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anyanres-my.sharepoint.com/personal/jyun_banyanres_com/Documents/Desktop/"/>
    </mc:Choice>
  </mc:AlternateContent>
  <xr:revisionPtr revIDLastSave="0" documentId="8_{948D5E2A-7B6C-41F7-A157-2E3C7DF049E8}" xr6:coauthVersionLast="47" xr6:coauthVersionMax="47" xr10:uidLastSave="{00000000-0000-0000-0000-000000000000}"/>
  <bookViews>
    <workbookView xWindow="-110" yWindow="-110" windowWidth="19420" windowHeight="10300" xr2:uid="{DAFA6BC7-A514-4462-AB84-3585DB573FC5}"/>
  </bookViews>
  <sheets>
    <sheet name="Sub Close Summary" sheetId="1" r:id="rId1"/>
    <sheet name="Sub Close Calcu" sheetId="2" r:id="rId2"/>
  </sheets>
  <externalReferences>
    <externalReference r:id="rId3"/>
    <externalReference r:id="rId4"/>
  </externalReferences>
  <definedNames>
    <definedName name="\a">#REF!</definedName>
    <definedName name="\b">#REF!</definedName>
    <definedName name="\c">#REF!</definedName>
    <definedName name="\d">#REF!</definedName>
    <definedName name="\e">#REF!</definedName>
    <definedName name="\g">#REF!</definedName>
    <definedName name="\l">#REF!</definedName>
    <definedName name="\n">#REF!</definedName>
    <definedName name="\p">#REF!</definedName>
    <definedName name="\s">#REF!</definedName>
    <definedName name="\w">#REF!</definedName>
    <definedName name="\x">#REF!</definedName>
    <definedName name="\y">#REF!</definedName>
    <definedName name="\z">#REF!</definedName>
    <definedName name="_______bot1">#REF!</definedName>
    <definedName name="_______bot2">#REF!</definedName>
    <definedName name="_______cov1">#REF!</definedName>
    <definedName name="_______cov2">#REF!</definedName>
    <definedName name="_______cov3">#REF!</definedName>
    <definedName name="_______cov4">#REF!</definedName>
    <definedName name="_______DAT1">#REF!</definedName>
    <definedName name="_______DAT2">#REF!</definedName>
    <definedName name="_______DAT3">#REF!</definedName>
    <definedName name="_______DAT4">#REF!</definedName>
    <definedName name="_______DAT5">#REF!</definedName>
    <definedName name="_______DAT6">#REF!</definedName>
    <definedName name="_______DAT7">#REF!</definedName>
    <definedName name="_______DAT8">#REF!</definedName>
    <definedName name="_______dcf2">#REF!</definedName>
    <definedName name="_______DSO1">#REF!</definedName>
    <definedName name="_______DSO2">#REF!</definedName>
    <definedName name="_______DSO3">#REF!</definedName>
    <definedName name="_______DSO4">#REF!</definedName>
    <definedName name="_______EPS91">#REF!</definedName>
    <definedName name="_______EPS92">#REF!</definedName>
    <definedName name="_______EPS93">#REF!</definedName>
    <definedName name="_______eps94">#REF!</definedName>
    <definedName name="_______exp2002">#REF!</definedName>
    <definedName name="_______exp2003">#REF!</definedName>
    <definedName name="_______exp2004">#REF!</definedName>
    <definedName name="_______exp2005">#REF!</definedName>
    <definedName name="_______exp2006">#REF!</definedName>
    <definedName name="_______gpq195">#REF!</definedName>
    <definedName name="_______gpq295">#REF!</definedName>
    <definedName name="_______gpq395">#REF!</definedName>
    <definedName name="_______gpq495">#REF!</definedName>
    <definedName name="_______ltc1001">#REF!</definedName>
    <definedName name="_______ltc1004">#REF!</definedName>
    <definedName name="_______ltc1012">#REF!</definedName>
    <definedName name="_______ltc1013">#REF!</definedName>
    <definedName name="_______ltc1032">#REF!</definedName>
    <definedName name="_______ltc1033">#REF!</definedName>
    <definedName name="_______ltc1037">#REF!</definedName>
    <definedName name="_______ltc1043">#REF!</definedName>
    <definedName name="_______ltc1044">#REF!</definedName>
    <definedName name="_______ltc1061">#REF!</definedName>
    <definedName name="_______ltc1062">#REF!</definedName>
    <definedName name="_______ltc1065">#REF!</definedName>
    <definedName name="_______ltc1067">#REF!</definedName>
    <definedName name="_______ltc1068">#REF!</definedName>
    <definedName name="_______ltc1069">#REF!</definedName>
    <definedName name="_______ltc1082">#REF!</definedName>
    <definedName name="_______ltc1083">#REF!</definedName>
    <definedName name="_______ltc1084">#REF!</definedName>
    <definedName name="_______ltc1085">#REF!</definedName>
    <definedName name="_______ltc1087">#REF!</definedName>
    <definedName name="_______ltc1091">#REF!</definedName>
    <definedName name="_______ltc1092">#REF!</definedName>
    <definedName name="_______ltc1111">#REF!</definedName>
    <definedName name="_______ltc1113">#REF!</definedName>
    <definedName name="_______ltc1114">#REF!</definedName>
    <definedName name="_______ltc11141">#REF!</definedName>
    <definedName name="_______ltc1115">#REF!</definedName>
    <definedName name="_______ltc1116">#REF!</definedName>
    <definedName name="_______ltc1122">#REF!</definedName>
    <definedName name="_______ltc1123">#REF!</definedName>
    <definedName name="_______ltc1124">#REF!</definedName>
    <definedName name="_______ltc1125">#REF!</definedName>
    <definedName name="_______ltc1126">#REF!</definedName>
    <definedName name="_______ltc1131">#REF!</definedName>
    <definedName name="_______ltc1135">#REF!</definedName>
    <definedName name="_______ltc1136">#REF!</definedName>
    <definedName name="_______ltc1137">#REF!</definedName>
    <definedName name="_______ltc1138">#REF!</definedName>
    <definedName name="_______ltc1141">#REF!</definedName>
    <definedName name="_______ltc1142">#REF!</definedName>
    <definedName name="_______ltc1143">#REF!</definedName>
    <definedName name="_______ltc1144">#REF!</definedName>
    <definedName name="_______ltc1145">#REF!</definedName>
    <definedName name="_______ltc1146">#REF!</definedName>
    <definedName name="_______ltc1147">#REF!</definedName>
    <definedName name="_______ltc1161">#REF!</definedName>
    <definedName name="_______ltc1162">#REF!</definedName>
    <definedName name="_______ltc1163">#REF!</definedName>
    <definedName name="_______ltc1164">#REF!</definedName>
    <definedName name="_______ltc1165">#REF!</definedName>
    <definedName name="_______ltc1167">#REF!</definedName>
    <definedName name="_______ltc1201">#REF!</definedName>
    <definedName name="_______ltc1202">#REF!</definedName>
    <definedName name="_______ltc1204">#REF!</definedName>
    <definedName name="_______ltc1206">#REF!</definedName>
    <definedName name="_______ltc1231">#REF!</definedName>
    <definedName name="_______ltc1232">#REF!</definedName>
    <definedName name="_______ltc1239">#REF!</definedName>
    <definedName name="_______ltc1240">#REF!</definedName>
    <definedName name="_______ltc1242">#REF!</definedName>
    <definedName name="_______ltc1243">#REF!</definedName>
    <definedName name="_______ltc1244">#REF!</definedName>
    <definedName name="_______ltc1245">#REF!</definedName>
    <definedName name="_______ltc1266">#REF!</definedName>
    <definedName name="_______ltc1267">#REF!</definedName>
    <definedName name="_______ltc1281">#REF!</definedName>
    <definedName name="_______ltc1282">#REF!</definedName>
    <definedName name="_______ltc1283">#REF!</definedName>
    <definedName name="_______ltc1284">#REF!</definedName>
    <definedName name="_______ltc1285">#REF!</definedName>
    <definedName name="_______ltc1286">#REF!</definedName>
    <definedName name="_______ltc1287">#REF!</definedName>
    <definedName name="_______ltc1301">#REF!</definedName>
    <definedName name="_______ltc1302">#REF!</definedName>
    <definedName name="_______ltc1303">#REF!</definedName>
    <definedName name="_______ltc1304">#REF!</definedName>
    <definedName name="_______ltc1305">#REF!</definedName>
    <definedName name="_______ltc1306">#REF!</definedName>
    <definedName name="_______ltc1307">#REF!</definedName>
    <definedName name="_______ltc1308">#REF!</definedName>
    <definedName name="_______ltc1311">#REF!</definedName>
    <definedName name="_______ltc1312">#REF!</definedName>
    <definedName name="_______ltc1313">#REF!</definedName>
    <definedName name="_______ltc1314">#REF!</definedName>
    <definedName name="_______ltc1315">#REF!</definedName>
    <definedName name="_______ltc1321">#REF!</definedName>
    <definedName name="_______ltc1332">#REF!</definedName>
    <definedName name="_______ltc1333">#REF!</definedName>
    <definedName name="_______ltc1335">#REF!</definedName>
    <definedName name="_______ltc1336">#REF!</definedName>
    <definedName name="_______ltc1338">#REF!</definedName>
    <definedName name="_______ltc1339">#REF!</definedName>
    <definedName name="_______ltc1340">#REF!</definedName>
    <definedName name="_______ltc1361">#REF!</definedName>
    <definedName name="_______ltc1362">#REF!</definedName>
    <definedName name="_______ltc1363">#REF!</definedName>
    <definedName name="_______ltc1364">#REF!</definedName>
    <definedName name="_______ltc1365">#REF!</definedName>
    <definedName name="_______ltc1366">#REF!</definedName>
    <definedName name="_______ltc1367">#REF!</definedName>
    <definedName name="_______ltc1401">#REF!</definedName>
    <definedName name="_______ltc1402">#REF!</definedName>
    <definedName name="_______ltc1403">#REF!</definedName>
    <definedName name="_______ltc1404">#REF!</definedName>
    <definedName name="_______ltc1405">#REF!</definedName>
    <definedName name="_______ltc1406">#REF!</definedName>
    <definedName name="_______ltc1431">#REF!</definedName>
    <definedName name="_______ltc1432">#REF!</definedName>
    <definedName name="_______ltc1433">#REF!</definedName>
    <definedName name="_______ltc1434">#REF!</definedName>
    <definedName name="_______ltc1461">#REF!</definedName>
    <definedName name="_______ltc1462">#REF!</definedName>
    <definedName name="_______ltc1464">#REF!</definedName>
    <definedName name="_______ltc1465">#REF!</definedName>
    <definedName name="_______ltc1466">#REF!</definedName>
    <definedName name="_______ltc1467">#REF!</definedName>
    <definedName name="_______ltc1505">#REF!</definedName>
    <definedName name="_______ltc1506">#REF!</definedName>
    <definedName name="_______ltc1515">#REF!</definedName>
    <definedName name="_______ltc1517">#REF!</definedName>
    <definedName name="_______ltc1518">#REF!</definedName>
    <definedName name="_______ltc1521">#REF!</definedName>
    <definedName name="_______ltc1522">#REF!</definedName>
    <definedName name="_______ltc1523">#REF!</definedName>
    <definedName name="_______ltc1525">#REF!</definedName>
    <definedName name="_______ltc1526">#REF!</definedName>
    <definedName name="_______ltc1532">#REF!</definedName>
    <definedName name="_______ltc1533">#REF!</definedName>
    <definedName name="_______ltc1534">#REF!</definedName>
    <definedName name="_______ltc1535">#REF!</definedName>
    <definedName name="_______ltc1536">#REF!</definedName>
    <definedName name="_______ltc1541">#REF!</definedName>
    <definedName name="_______ltc1542">#REF!</definedName>
    <definedName name="_______ltc1543">#REF!</definedName>
    <definedName name="_______ltc1544">#REF!</definedName>
    <definedName name="_______ltc1545">#REF!</definedName>
    <definedName name="_______ltc1546">#REF!</definedName>
    <definedName name="_______ltc1547">#REF!</definedName>
    <definedName name="_______ltc1549">#REF!</definedName>
    <definedName name="_______ltc1551">#REF!</definedName>
    <definedName name="_______ltc1552">#REF!</definedName>
    <definedName name="_______ltc1553">#REF!</definedName>
    <definedName name="_______ltc1554">#REF!</definedName>
    <definedName name="_______ltc1555">#REF!</definedName>
    <definedName name="_______ltc1556">#REF!</definedName>
    <definedName name="_______ltc1558">#REF!</definedName>
    <definedName name="_______ltc1559">#REF!</definedName>
    <definedName name="_______ltc1564">#REF!</definedName>
    <definedName name="_______ltc1566">#REF!</definedName>
    <definedName name="_______ltc1571">#REF!</definedName>
    <definedName name="_______ltc1572">#REF!</definedName>
    <definedName name="_______ltc1573">#REF!</definedName>
    <definedName name="_______ltc1574">#REF!</definedName>
    <definedName name="_______ltc1576">#REF!</definedName>
    <definedName name="_______ltc1577">#REF!</definedName>
    <definedName name="_______ltc1578">#REF!</definedName>
    <definedName name="_______ltc1579">#REF!</definedName>
    <definedName name="_______ltc1582">#REF!</definedName>
    <definedName name="_______ltc1583">#REF!</definedName>
    <definedName name="_______ltc1584">#REF!</definedName>
    <definedName name="_______ltc1585">#REF!</definedName>
    <definedName name="_______ltc1588">#REF!</definedName>
    <definedName name="_______ltc1591">#REF!</definedName>
    <definedName name="_______ltc1592">#REF!</definedName>
    <definedName name="_______ltc1593">#REF!</definedName>
    <definedName name="_______ltc1595">#REF!</definedName>
    <definedName name="_______ltc1596">#REF!</definedName>
    <definedName name="_______ltc1597">#REF!</definedName>
    <definedName name="_______ltc1602">#REF!</definedName>
    <definedName name="_______ltc1603">#REF!</definedName>
    <definedName name="_______ltc1604">#REF!</definedName>
    <definedName name="_______ltc1606">#REF!</definedName>
    <definedName name="_______ltc1611">#REF!</definedName>
    <definedName name="_______ltc1612">#REF!</definedName>
    <definedName name="_______ltc1613">#REF!</definedName>
    <definedName name="_______ltc1621">#REF!</definedName>
    <definedName name="_______ltc1622">#REF!</definedName>
    <definedName name="_______ltc1623">#REF!</definedName>
    <definedName name="_______ltc1625">#REF!</definedName>
    <definedName name="_______ltc1626">#REF!</definedName>
    <definedName name="_______ltc1641">#REF!</definedName>
    <definedName name="_______ltc1642">#REF!</definedName>
    <definedName name="_______ltc1646">#REF!</definedName>
    <definedName name="_______ltc1652">#REF!</definedName>
    <definedName name="_______ltc1653">#REF!</definedName>
    <definedName name="_______ltc1654">#REF!</definedName>
    <definedName name="_______ltc1655">#REF!</definedName>
    <definedName name="_______ltc1659">#REF!</definedName>
    <definedName name="_______ltc1661">#REF!</definedName>
    <definedName name="_______ltc1662">#REF!</definedName>
    <definedName name="_______ltc1663">#REF!</definedName>
    <definedName name="_______ltc1665">#REF!</definedName>
    <definedName name="_______ltc1666">#REF!</definedName>
    <definedName name="_______ltc1667">#REF!</definedName>
    <definedName name="_______ltc1668">#REF!</definedName>
    <definedName name="_______ltc1669">#REF!</definedName>
    <definedName name="_______ltc1671">#REF!</definedName>
    <definedName name="_______ltc1674">#REF!</definedName>
    <definedName name="_______ltc1682">#REF!</definedName>
    <definedName name="_______ltc1683">#REF!</definedName>
    <definedName name="_______ltc1684">#REF!</definedName>
    <definedName name="_______ltc1686">#REF!</definedName>
    <definedName name="_______ltc1687">#REF!</definedName>
    <definedName name="_______ltc1689">#REF!</definedName>
    <definedName name="_______ltc1692">#REF!</definedName>
    <definedName name="_______ltc1693">#REF!</definedName>
    <definedName name="_______ltc1694">#REF!</definedName>
    <definedName name="_______ltc1695">#REF!</definedName>
    <definedName name="_______ltc1705">#REF!</definedName>
    <definedName name="_______ltc1707">#REF!</definedName>
    <definedName name="_______ltc1711">#REF!</definedName>
    <definedName name="_______ltc1713">#REF!</definedName>
    <definedName name="_______ltc1714">#REF!</definedName>
    <definedName name="_______ltc1715">#REF!</definedName>
    <definedName name="_______ltc1716">#REF!</definedName>
    <definedName name="_______ltc1721">#REF!</definedName>
    <definedName name="_______ltc1723">#REF!</definedName>
    <definedName name="_______ltc1724">#REF!</definedName>
    <definedName name="_______ltc1726">#REF!</definedName>
    <definedName name="_______ltc1727">#REF!</definedName>
    <definedName name="_______ltc1731">#REF!</definedName>
    <definedName name="_______ltc1762">#REF!</definedName>
    <definedName name="_______ltc1765">#REF!</definedName>
    <definedName name="_______ltc1766">#REF!</definedName>
    <definedName name="_______ltc1767">#REF!</definedName>
    <definedName name="_______ltc1783">#REF!</definedName>
    <definedName name="_______ltc1784">#REF!</definedName>
    <definedName name="_______ltc1786">#REF!</definedName>
    <definedName name="_______ltc1787">#REF!</definedName>
    <definedName name="_______ltc1821">#REF!</definedName>
    <definedName name="_______ltc1822">#REF!</definedName>
    <definedName name="_______ltc1823">#REF!</definedName>
    <definedName name="_______ltc1826">#REF!</definedName>
    <definedName name="_______ltc1828">#REF!</definedName>
    <definedName name="_______ltc1841">#REF!</definedName>
    <definedName name="_______ltc1846">#REF!</definedName>
    <definedName name="_______ltc1884">#REF!</definedName>
    <definedName name="_______ltc1907">#REF!</definedName>
    <definedName name="_______ltc1908">#REF!</definedName>
    <definedName name="_______ltc1909">#REF!</definedName>
    <definedName name="_______ltc1911">#REF!</definedName>
    <definedName name="_______ltc1915">#REF!</definedName>
    <definedName name="_______ltc1923">#REF!</definedName>
    <definedName name="_______ltc1924">#REF!</definedName>
    <definedName name="_______ltc1929">#REF!</definedName>
    <definedName name="_______ltc4113">#REF!</definedName>
    <definedName name="_______ltc4114">#REF!</definedName>
    <definedName name="_______ltc4115">#REF!</definedName>
    <definedName name="_______ltc4116">#REF!</definedName>
    <definedName name="_______ltc7401">#REF!</definedName>
    <definedName name="_______ltc7411">#REF!</definedName>
    <definedName name="_______ltc7421">#REF!</definedName>
    <definedName name="_______ltc7422">#REF!</definedName>
    <definedName name="_______ltc7425">#REF!</definedName>
    <definedName name="_______ltc7426">#REF!</definedName>
    <definedName name="_______LTD107">#REF!</definedName>
    <definedName name="_______nsq195">#REF!</definedName>
    <definedName name="_______nsq295">#REF!</definedName>
    <definedName name="_______nsq395">#REF!</definedName>
    <definedName name="_______nsq495">#REF!</definedName>
    <definedName name="_______PFY1">#REF!</definedName>
    <definedName name="_______PFY2">#REF!</definedName>
    <definedName name="_______PFY3">#REF!</definedName>
    <definedName name="_______pg5">#REF!</definedName>
    <definedName name="_______pg6">#REF!</definedName>
    <definedName name="_______pg7">#REF!</definedName>
    <definedName name="_______rev2002">#REF!</definedName>
    <definedName name="_______rev2003">#REF!</definedName>
    <definedName name="_______rev2004">#REF!</definedName>
    <definedName name="_______rev2005">#REF!</definedName>
    <definedName name="_______rev2006">#REF!</definedName>
    <definedName name="_______STD107">#REF!</definedName>
    <definedName name="_______Tax1">#REF!</definedName>
    <definedName name="_______vii5">#REF!</definedName>
    <definedName name="______bot1">#REF!</definedName>
    <definedName name="______bot2">#REF!</definedName>
    <definedName name="______cov1">#REF!</definedName>
    <definedName name="______cov2">#REF!</definedName>
    <definedName name="______cov3">#REF!</definedName>
    <definedName name="______cov4">#REF!</definedName>
    <definedName name="______DAT1">#REF!</definedName>
    <definedName name="______DAT2">#REF!</definedName>
    <definedName name="______DAT3">#REF!</definedName>
    <definedName name="______DAT4">#REF!</definedName>
    <definedName name="______DAT5">#REF!</definedName>
    <definedName name="______DAT6">#REF!</definedName>
    <definedName name="______DAT7">#REF!</definedName>
    <definedName name="______DAT8">#REF!</definedName>
    <definedName name="______dcf2">#REF!</definedName>
    <definedName name="______DSO1">#REF!</definedName>
    <definedName name="______DSO2">#REF!</definedName>
    <definedName name="______DSO3">#REF!</definedName>
    <definedName name="______DSO4">#REF!</definedName>
    <definedName name="______EPS91">#REF!</definedName>
    <definedName name="______EPS92">#REF!</definedName>
    <definedName name="______EPS93">#REF!</definedName>
    <definedName name="______eps94">#REF!</definedName>
    <definedName name="______exp2002">#REF!</definedName>
    <definedName name="______exp2003">#REF!</definedName>
    <definedName name="______exp2004">#REF!</definedName>
    <definedName name="______exp2005">#REF!</definedName>
    <definedName name="______exp2006">#REF!</definedName>
    <definedName name="______gpq195">#REF!</definedName>
    <definedName name="______gpq295">#REF!</definedName>
    <definedName name="______gpq395">#REF!</definedName>
    <definedName name="______gpq495">#REF!</definedName>
    <definedName name="______ltc1001">#REF!</definedName>
    <definedName name="______ltc1004">#REF!</definedName>
    <definedName name="______ltc1012">#REF!</definedName>
    <definedName name="______ltc1013">#REF!</definedName>
    <definedName name="______ltc1032">#REF!</definedName>
    <definedName name="______ltc1033">#REF!</definedName>
    <definedName name="______ltc1037">#REF!</definedName>
    <definedName name="______ltc1043">#REF!</definedName>
    <definedName name="______ltc1044">#REF!</definedName>
    <definedName name="______ltc1061">#REF!</definedName>
    <definedName name="______ltc1062">#REF!</definedName>
    <definedName name="______ltc1065">#REF!</definedName>
    <definedName name="______ltc1067">#REF!</definedName>
    <definedName name="______ltc1068">#REF!</definedName>
    <definedName name="______ltc1069">#REF!</definedName>
    <definedName name="______ltc1082">#REF!</definedName>
    <definedName name="______ltc1083">#REF!</definedName>
    <definedName name="______ltc1084">#REF!</definedName>
    <definedName name="______ltc1085">#REF!</definedName>
    <definedName name="______ltc1087">#REF!</definedName>
    <definedName name="______ltc1091">#REF!</definedName>
    <definedName name="______ltc1092">#REF!</definedName>
    <definedName name="______ltc1111">#REF!</definedName>
    <definedName name="______ltc1113">#REF!</definedName>
    <definedName name="______ltc1114">#REF!</definedName>
    <definedName name="______ltc11141">#REF!</definedName>
    <definedName name="______ltc1115">#REF!</definedName>
    <definedName name="______ltc1116">#REF!</definedName>
    <definedName name="______ltc1122">#REF!</definedName>
    <definedName name="______ltc1123">#REF!</definedName>
    <definedName name="______ltc1124">#REF!</definedName>
    <definedName name="______ltc1125">#REF!</definedName>
    <definedName name="______ltc1126">#REF!</definedName>
    <definedName name="______ltc1131">#REF!</definedName>
    <definedName name="______ltc1135">#REF!</definedName>
    <definedName name="______ltc1136">#REF!</definedName>
    <definedName name="______ltc1137">#REF!</definedName>
    <definedName name="______ltc1138">#REF!</definedName>
    <definedName name="______ltc1141">#REF!</definedName>
    <definedName name="______ltc1142">#REF!</definedName>
    <definedName name="______ltc1143">#REF!</definedName>
    <definedName name="______ltc1144">#REF!</definedName>
    <definedName name="______ltc1145">#REF!</definedName>
    <definedName name="______ltc1146">#REF!</definedName>
    <definedName name="______ltc1147">#REF!</definedName>
    <definedName name="______ltc1161">#REF!</definedName>
    <definedName name="______ltc1162">#REF!</definedName>
    <definedName name="______ltc1163">#REF!</definedName>
    <definedName name="______ltc1164">#REF!</definedName>
    <definedName name="______ltc1165">#REF!</definedName>
    <definedName name="______ltc1167">#REF!</definedName>
    <definedName name="______ltc1201">#REF!</definedName>
    <definedName name="______ltc1202">#REF!</definedName>
    <definedName name="______ltc1204">#REF!</definedName>
    <definedName name="______ltc1206">#REF!</definedName>
    <definedName name="______ltc1231">#REF!</definedName>
    <definedName name="______ltc1232">#REF!</definedName>
    <definedName name="______ltc1239">#REF!</definedName>
    <definedName name="______ltc1240">#REF!</definedName>
    <definedName name="______ltc1242">#REF!</definedName>
    <definedName name="______ltc1243">#REF!</definedName>
    <definedName name="______ltc1244">#REF!</definedName>
    <definedName name="______ltc1245">#REF!</definedName>
    <definedName name="______ltc1266">#REF!</definedName>
    <definedName name="______ltc1267">#REF!</definedName>
    <definedName name="______ltc1281">#REF!</definedName>
    <definedName name="______ltc1282">#REF!</definedName>
    <definedName name="______ltc1283">#REF!</definedName>
    <definedName name="______ltc1284">#REF!</definedName>
    <definedName name="______ltc1285">#REF!</definedName>
    <definedName name="______ltc1286">#REF!</definedName>
    <definedName name="______ltc1287">#REF!</definedName>
    <definedName name="______ltc1301">#REF!</definedName>
    <definedName name="______ltc1302">#REF!</definedName>
    <definedName name="______ltc1303">#REF!</definedName>
    <definedName name="______ltc1304">#REF!</definedName>
    <definedName name="______ltc1305">#REF!</definedName>
    <definedName name="______ltc1306">#REF!</definedName>
    <definedName name="______ltc1307">#REF!</definedName>
    <definedName name="______ltc1308">#REF!</definedName>
    <definedName name="______ltc1311">#REF!</definedName>
    <definedName name="______ltc1312">#REF!</definedName>
    <definedName name="______ltc1313">#REF!</definedName>
    <definedName name="______ltc1314">#REF!</definedName>
    <definedName name="______ltc1315">#REF!</definedName>
    <definedName name="______ltc1321">#REF!</definedName>
    <definedName name="______ltc1332">#REF!</definedName>
    <definedName name="______ltc1333">#REF!</definedName>
    <definedName name="______ltc1335">#REF!</definedName>
    <definedName name="______ltc1336">#REF!</definedName>
    <definedName name="______ltc1338">#REF!</definedName>
    <definedName name="______ltc1339">#REF!</definedName>
    <definedName name="______ltc1340">#REF!</definedName>
    <definedName name="______ltc1361">#REF!</definedName>
    <definedName name="______ltc1362">#REF!</definedName>
    <definedName name="______ltc1363">#REF!</definedName>
    <definedName name="______ltc1364">#REF!</definedName>
    <definedName name="______ltc1365">#REF!</definedName>
    <definedName name="______ltc1366">#REF!</definedName>
    <definedName name="______ltc1367">#REF!</definedName>
    <definedName name="______ltc1401">#REF!</definedName>
    <definedName name="______ltc1402">#REF!</definedName>
    <definedName name="______ltc1403">#REF!</definedName>
    <definedName name="______ltc1404">#REF!</definedName>
    <definedName name="______ltc1405">#REF!</definedName>
    <definedName name="______ltc1406">#REF!</definedName>
    <definedName name="______ltc1431">#REF!</definedName>
    <definedName name="______ltc1432">#REF!</definedName>
    <definedName name="______ltc1433">#REF!</definedName>
    <definedName name="______ltc1434">#REF!</definedName>
    <definedName name="______ltc1461">#REF!</definedName>
    <definedName name="______ltc1462">#REF!</definedName>
    <definedName name="______ltc1464">#REF!</definedName>
    <definedName name="______ltc1465">#REF!</definedName>
    <definedName name="______ltc1466">#REF!</definedName>
    <definedName name="______ltc1467">#REF!</definedName>
    <definedName name="______ltc1505">#REF!</definedName>
    <definedName name="______ltc1506">#REF!</definedName>
    <definedName name="______ltc1515">#REF!</definedName>
    <definedName name="______ltc1517">#REF!</definedName>
    <definedName name="______ltc1518">#REF!</definedName>
    <definedName name="______ltc1521">#REF!</definedName>
    <definedName name="______ltc1522">#REF!</definedName>
    <definedName name="______ltc1523">#REF!</definedName>
    <definedName name="______ltc1525">#REF!</definedName>
    <definedName name="______ltc1526">#REF!</definedName>
    <definedName name="______ltc1532">#REF!</definedName>
    <definedName name="______ltc1533">#REF!</definedName>
    <definedName name="______ltc1534">#REF!</definedName>
    <definedName name="______ltc1535">#REF!</definedName>
    <definedName name="______ltc1536">#REF!</definedName>
    <definedName name="______ltc1541">#REF!</definedName>
    <definedName name="______ltc1542">#REF!</definedName>
    <definedName name="______ltc1543">#REF!</definedName>
    <definedName name="______ltc1544">#REF!</definedName>
    <definedName name="______ltc1545">#REF!</definedName>
    <definedName name="______ltc1546">#REF!</definedName>
    <definedName name="______ltc1547">#REF!</definedName>
    <definedName name="______ltc1549">#REF!</definedName>
    <definedName name="______ltc1551">#REF!</definedName>
    <definedName name="______ltc1552">#REF!</definedName>
    <definedName name="______ltc1553">#REF!</definedName>
    <definedName name="______ltc1554">#REF!</definedName>
    <definedName name="______ltc1555">#REF!</definedName>
    <definedName name="______ltc1556">#REF!</definedName>
    <definedName name="______ltc1558">#REF!</definedName>
    <definedName name="______ltc1559">#REF!</definedName>
    <definedName name="______ltc1564">#REF!</definedName>
    <definedName name="______ltc1566">#REF!</definedName>
    <definedName name="______ltc1571">#REF!</definedName>
    <definedName name="______ltc1572">#REF!</definedName>
    <definedName name="______ltc1573">#REF!</definedName>
    <definedName name="______ltc1574">#REF!</definedName>
    <definedName name="______ltc1576">#REF!</definedName>
    <definedName name="______ltc1577">#REF!</definedName>
    <definedName name="______ltc1578">#REF!</definedName>
    <definedName name="______ltc1579">#REF!</definedName>
    <definedName name="______ltc1582">#REF!</definedName>
    <definedName name="______ltc1583">#REF!</definedName>
    <definedName name="______ltc1584">#REF!</definedName>
    <definedName name="______ltc1585">#REF!</definedName>
    <definedName name="______ltc1588">#REF!</definedName>
    <definedName name="______ltc1591">#REF!</definedName>
    <definedName name="______ltc1592">#REF!</definedName>
    <definedName name="______ltc1593">#REF!</definedName>
    <definedName name="______ltc1595">#REF!</definedName>
    <definedName name="______ltc1596">#REF!</definedName>
    <definedName name="______ltc1597">#REF!</definedName>
    <definedName name="______ltc1602">#REF!</definedName>
    <definedName name="______ltc1603">#REF!</definedName>
    <definedName name="______ltc1604">#REF!</definedName>
    <definedName name="______ltc1606">#REF!</definedName>
    <definedName name="______ltc1611">#REF!</definedName>
    <definedName name="______ltc1612">#REF!</definedName>
    <definedName name="______ltc1613">#REF!</definedName>
    <definedName name="______ltc1621">#REF!</definedName>
    <definedName name="______ltc1622">#REF!</definedName>
    <definedName name="______ltc1623">#REF!</definedName>
    <definedName name="______ltc1625">#REF!</definedName>
    <definedName name="______ltc1626">#REF!</definedName>
    <definedName name="______ltc1641">#REF!</definedName>
    <definedName name="______ltc1642">#REF!</definedName>
    <definedName name="______ltc1646">#REF!</definedName>
    <definedName name="______ltc1652">#REF!</definedName>
    <definedName name="______ltc1653">#REF!</definedName>
    <definedName name="______ltc1654">#REF!</definedName>
    <definedName name="______ltc1655">#REF!</definedName>
    <definedName name="______ltc1659">#REF!</definedName>
    <definedName name="______ltc1661">#REF!</definedName>
    <definedName name="______ltc1662">#REF!</definedName>
    <definedName name="______ltc1663">#REF!</definedName>
    <definedName name="______ltc1664">#REF!</definedName>
    <definedName name="______ltc1665">#REF!</definedName>
    <definedName name="______ltc1666">#REF!</definedName>
    <definedName name="______ltc1667">#REF!</definedName>
    <definedName name="______ltc1668">#REF!</definedName>
    <definedName name="______ltc1669">#REF!</definedName>
    <definedName name="______ltc1671">#REF!</definedName>
    <definedName name="______ltc1674">#REF!</definedName>
    <definedName name="______ltc1682">#REF!</definedName>
    <definedName name="______ltc1683">#REF!</definedName>
    <definedName name="______ltc1684">#REF!</definedName>
    <definedName name="______ltc1686">#REF!</definedName>
    <definedName name="______ltc1687">#REF!</definedName>
    <definedName name="______ltc1689">#REF!</definedName>
    <definedName name="______ltc1692">#REF!</definedName>
    <definedName name="______ltc1693">#REF!</definedName>
    <definedName name="______ltc1694">#REF!</definedName>
    <definedName name="______ltc1695">#REF!</definedName>
    <definedName name="______ltc1705">#REF!</definedName>
    <definedName name="______ltc1707">#REF!</definedName>
    <definedName name="______ltc1711">#REF!</definedName>
    <definedName name="______ltc1713">#REF!</definedName>
    <definedName name="______ltc1714">#REF!</definedName>
    <definedName name="______ltc1715">#REF!</definedName>
    <definedName name="______ltc1716">#REF!</definedName>
    <definedName name="______ltc1721">#REF!</definedName>
    <definedName name="______ltc1723">#REF!</definedName>
    <definedName name="______ltc1724">#REF!</definedName>
    <definedName name="______ltc1726">#REF!</definedName>
    <definedName name="______ltc1727">#REF!</definedName>
    <definedName name="______ltc1731">#REF!</definedName>
    <definedName name="______ltc1762">#REF!</definedName>
    <definedName name="______ltc1765">#REF!</definedName>
    <definedName name="______ltc1766">#REF!</definedName>
    <definedName name="______ltc1767">#REF!</definedName>
    <definedName name="______ltc1783">#REF!</definedName>
    <definedName name="______ltc1784">#REF!</definedName>
    <definedName name="______ltc1786">#REF!</definedName>
    <definedName name="______ltc1787">#REF!</definedName>
    <definedName name="______ltc1821">#REF!</definedName>
    <definedName name="______ltc1822">#REF!</definedName>
    <definedName name="______ltc1823">#REF!</definedName>
    <definedName name="______ltc1826">#REF!</definedName>
    <definedName name="______ltc1828">#REF!</definedName>
    <definedName name="______ltc1841">#REF!</definedName>
    <definedName name="______ltc1846">#REF!</definedName>
    <definedName name="______ltc1884">#REF!</definedName>
    <definedName name="______ltc1907">#REF!</definedName>
    <definedName name="______ltc1908">#REF!</definedName>
    <definedName name="______ltc1909">#REF!</definedName>
    <definedName name="______ltc1911">#REF!</definedName>
    <definedName name="______ltc1915">#REF!</definedName>
    <definedName name="______ltc1923">#REF!</definedName>
    <definedName name="______ltc1924">#REF!</definedName>
    <definedName name="______ltc1929">#REF!</definedName>
    <definedName name="______ltc4113">#REF!</definedName>
    <definedName name="______ltc4114">#REF!</definedName>
    <definedName name="______ltc4115">#REF!</definedName>
    <definedName name="______ltc4116">#REF!</definedName>
    <definedName name="______ltc7401">#REF!</definedName>
    <definedName name="______ltc7411">#REF!</definedName>
    <definedName name="______ltc7421">#REF!</definedName>
    <definedName name="______ltc7422">#REF!</definedName>
    <definedName name="______ltc7425">#REF!</definedName>
    <definedName name="______ltc7426">#REF!</definedName>
    <definedName name="______LTD107">#REF!</definedName>
    <definedName name="______nsq195">#REF!</definedName>
    <definedName name="______nsq295">#REF!</definedName>
    <definedName name="______nsq395">#REF!</definedName>
    <definedName name="______nsq495">#REF!</definedName>
    <definedName name="______PFY1">#REF!</definedName>
    <definedName name="______PFY2">#REF!</definedName>
    <definedName name="______PFY3">#REF!</definedName>
    <definedName name="______pg5">#REF!</definedName>
    <definedName name="______pg6">#REF!</definedName>
    <definedName name="______pg7">#REF!</definedName>
    <definedName name="______rev2002">#REF!</definedName>
    <definedName name="______rev2003">#REF!</definedName>
    <definedName name="______rev2004">#REF!</definedName>
    <definedName name="______rev2005">#REF!</definedName>
    <definedName name="______rev2006">#REF!</definedName>
    <definedName name="______STD107">#REF!</definedName>
    <definedName name="______Tax1">#REF!</definedName>
    <definedName name="______vii5">#REF!</definedName>
    <definedName name="_____a2" localSheetId="1" hidden="1">{#N/A,#N/A,FALSE,"Assumptions";#N/A,#N/A,FALSE,"Inc Stmt";#N/A,#N/A,FALSE,"Stats";#N/A,#N/A,FALSE,"Existing Business";#N/A,#N/A,FALSE,"New Business";#N/A,#N/A,FALSE,"Labor";#N/A,#N/A,FALSE,"Vehicles";#N/A,#N/A,FALSE,"Facilities";#N/A,#N/A,FALSE,"Indirect Costs";#N/A,#N/A,FALSE,"Capital";#N/A,#N/A,FALSE,"CABR Form";#N/A,#N/A,FALSE,"Corp Costs";#N/A,#N/A,FALSE,"YTD Upload"}</definedName>
    <definedName name="_____a2" localSheetId="0" hidden="1">{#N/A,#N/A,FALSE,"Assumptions";#N/A,#N/A,FALSE,"Inc Stmt";#N/A,#N/A,FALSE,"Stats";#N/A,#N/A,FALSE,"Existing Business";#N/A,#N/A,FALSE,"New Business";#N/A,#N/A,FALSE,"Labor";#N/A,#N/A,FALSE,"Vehicles";#N/A,#N/A,FALSE,"Facilities";#N/A,#N/A,FALSE,"Indirect Costs";#N/A,#N/A,FALSE,"Capital";#N/A,#N/A,FALSE,"CABR Form";#N/A,#N/A,FALSE,"Corp Costs";#N/A,#N/A,FALSE,"YTD Upload"}</definedName>
    <definedName name="_____a2" hidden="1">{#N/A,#N/A,FALSE,"Assumptions";#N/A,#N/A,FALSE,"Inc Stmt";#N/A,#N/A,FALSE,"Stats";#N/A,#N/A,FALSE,"Existing Business";#N/A,#N/A,FALSE,"New Business";#N/A,#N/A,FALSE,"Labor";#N/A,#N/A,FALSE,"Vehicles";#N/A,#N/A,FALSE,"Facilities";#N/A,#N/A,FALSE,"Indirect Costs";#N/A,#N/A,FALSE,"Capital";#N/A,#N/A,FALSE,"CABR Form";#N/A,#N/A,FALSE,"Corp Costs";#N/A,#N/A,FALSE,"YTD Upload"}</definedName>
    <definedName name="_____bot1">#REF!</definedName>
    <definedName name="_____bot2">#REF!</definedName>
    <definedName name="_____cov1">#REF!</definedName>
    <definedName name="_____cov2">#REF!</definedName>
    <definedName name="_____cov3">#REF!</definedName>
    <definedName name="_____cov4">#REF!</definedName>
    <definedName name="_____DAT1">#REF!</definedName>
    <definedName name="_____DAT2">#REF!</definedName>
    <definedName name="_____DAT3">#REF!</definedName>
    <definedName name="_____DAT4">#REF!</definedName>
    <definedName name="_____DAT5">#REF!</definedName>
    <definedName name="_____DAT6">#REF!</definedName>
    <definedName name="_____DAT7">#REF!</definedName>
    <definedName name="_____DAT8">#REF!</definedName>
    <definedName name="_____dcf2">#REF!</definedName>
    <definedName name="_____DSO1">#REF!</definedName>
    <definedName name="_____DSO2">#REF!</definedName>
    <definedName name="_____DSO3">#REF!</definedName>
    <definedName name="_____DSO4">#REF!</definedName>
    <definedName name="_____EPS91">#REF!</definedName>
    <definedName name="_____EPS92">#REF!</definedName>
    <definedName name="_____EPS93">#REF!</definedName>
    <definedName name="_____eps94">#REF!</definedName>
    <definedName name="_____exp2002">#REF!</definedName>
    <definedName name="_____exp2003">#REF!</definedName>
    <definedName name="_____exp2004">#REF!</definedName>
    <definedName name="_____exp2005">#REF!</definedName>
    <definedName name="_____exp2006">#REF!</definedName>
    <definedName name="_____gpq195">#REF!</definedName>
    <definedName name="_____gpq295">#REF!</definedName>
    <definedName name="_____gpq395">#REF!</definedName>
    <definedName name="_____gpq495">#REF!</definedName>
    <definedName name="_____ltc1001">#REF!</definedName>
    <definedName name="_____ltc1004">#REF!</definedName>
    <definedName name="_____ltc1012">#REF!</definedName>
    <definedName name="_____ltc1013">#REF!</definedName>
    <definedName name="_____ltc1032">#REF!</definedName>
    <definedName name="_____ltc1033">#REF!</definedName>
    <definedName name="_____ltc1037">#REF!</definedName>
    <definedName name="_____ltc1043">#REF!</definedName>
    <definedName name="_____ltc1044">#REF!</definedName>
    <definedName name="_____ltc1061">#REF!</definedName>
    <definedName name="_____ltc1062">#REF!</definedName>
    <definedName name="_____ltc1065">#REF!</definedName>
    <definedName name="_____ltc1067">#REF!</definedName>
    <definedName name="_____ltc1068">#REF!</definedName>
    <definedName name="_____ltc1069">#REF!</definedName>
    <definedName name="_____ltc1082">#REF!</definedName>
    <definedName name="_____ltc1083">#REF!</definedName>
    <definedName name="_____ltc1084">#REF!</definedName>
    <definedName name="_____ltc1085">#REF!</definedName>
    <definedName name="_____ltc1087">#REF!</definedName>
    <definedName name="_____ltc1091">#REF!</definedName>
    <definedName name="_____ltc1092">#REF!</definedName>
    <definedName name="_____ltc1111">#REF!</definedName>
    <definedName name="_____ltc1113">#REF!</definedName>
    <definedName name="_____ltc1114">#REF!</definedName>
    <definedName name="_____ltc11141">#REF!</definedName>
    <definedName name="_____ltc1115">#REF!</definedName>
    <definedName name="_____ltc1116">#REF!</definedName>
    <definedName name="_____ltc1122">#REF!</definedName>
    <definedName name="_____ltc1123">#REF!</definedName>
    <definedName name="_____ltc1124">#REF!</definedName>
    <definedName name="_____ltc1125">#REF!</definedName>
    <definedName name="_____ltc1126">#REF!</definedName>
    <definedName name="_____ltc1131">#REF!</definedName>
    <definedName name="_____ltc1135">#REF!</definedName>
    <definedName name="_____ltc1136">#REF!</definedName>
    <definedName name="_____ltc1137">#REF!</definedName>
    <definedName name="_____ltc1138">#REF!</definedName>
    <definedName name="_____ltc1141">#REF!</definedName>
    <definedName name="_____ltc1142">#REF!</definedName>
    <definedName name="_____ltc1143">#REF!</definedName>
    <definedName name="_____ltc1144">#REF!</definedName>
    <definedName name="_____ltc1145">#REF!</definedName>
    <definedName name="_____ltc1146">#REF!</definedName>
    <definedName name="_____ltc1147">#REF!</definedName>
    <definedName name="_____ltc1161">#REF!</definedName>
    <definedName name="_____ltc1162">#REF!</definedName>
    <definedName name="_____ltc1163">#REF!</definedName>
    <definedName name="_____ltc1164">#REF!</definedName>
    <definedName name="_____ltc1165">#REF!</definedName>
    <definedName name="_____ltc1167">#REF!</definedName>
    <definedName name="_____ltc1201">#REF!</definedName>
    <definedName name="_____ltc1202">#REF!</definedName>
    <definedName name="_____ltc1204">#REF!</definedName>
    <definedName name="_____ltc1206">#REF!</definedName>
    <definedName name="_____ltc1231">#REF!</definedName>
    <definedName name="_____ltc1232">#REF!</definedName>
    <definedName name="_____ltc1239">#REF!</definedName>
    <definedName name="_____ltc1240">#REF!</definedName>
    <definedName name="_____ltc1242">#REF!</definedName>
    <definedName name="_____ltc1243">#REF!</definedName>
    <definedName name="_____ltc1244">#REF!</definedName>
    <definedName name="_____ltc1245">#REF!</definedName>
    <definedName name="_____ltc1266">#REF!</definedName>
    <definedName name="_____ltc1267">#REF!</definedName>
    <definedName name="_____ltc1281">#REF!</definedName>
    <definedName name="_____ltc1282">#REF!</definedName>
    <definedName name="_____ltc1283">#REF!</definedName>
    <definedName name="_____ltc1284">#REF!</definedName>
    <definedName name="_____ltc1285">#REF!</definedName>
    <definedName name="_____ltc1286">#REF!</definedName>
    <definedName name="_____ltc1287">#REF!</definedName>
    <definedName name="_____ltc1301">#REF!</definedName>
    <definedName name="_____ltc1302">#REF!</definedName>
    <definedName name="_____ltc1303">#REF!</definedName>
    <definedName name="_____ltc1304">#REF!</definedName>
    <definedName name="_____ltc1305">#REF!</definedName>
    <definedName name="_____ltc1306">#REF!</definedName>
    <definedName name="_____ltc1307">#REF!</definedName>
    <definedName name="_____ltc1308">#REF!</definedName>
    <definedName name="_____ltc1311">#REF!</definedName>
    <definedName name="_____ltc1312">#REF!</definedName>
    <definedName name="_____ltc1313">#REF!</definedName>
    <definedName name="_____ltc1314">#REF!</definedName>
    <definedName name="_____ltc1315">#REF!</definedName>
    <definedName name="_____ltc1321">#REF!</definedName>
    <definedName name="_____ltc1332">#REF!</definedName>
    <definedName name="_____ltc1333">#REF!</definedName>
    <definedName name="_____ltc1335">#REF!</definedName>
    <definedName name="_____ltc1336">#REF!</definedName>
    <definedName name="_____ltc1338">#REF!</definedName>
    <definedName name="_____ltc1339">#REF!</definedName>
    <definedName name="_____ltc1340">#REF!</definedName>
    <definedName name="_____ltc1361">#REF!</definedName>
    <definedName name="_____ltc1362">#REF!</definedName>
    <definedName name="_____ltc1363">#REF!</definedName>
    <definedName name="_____ltc1364">#REF!</definedName>
    <definedName name="_____ltc1365">#REF!</definedName>
    <definedName name="_____ltc1366">#REF!</definedName>
    <definedName name="_____ltc1367">#REF!</definedName>
    <definedName name="_____ltc1401">#REF!</definedName>
    <definedName name="_____ltc1402">#REF!</definedName>
    <definedName name="_____ltc1403">#REF!</definedName>
    <definedName name="_____ltc1404">#REF!</definedName>
    <definedName name="_____ltc1405">#REF!</definedName>
    <definedName name="_____ltc1406">#REF!</definedName>
    <definedName name="_____ltc1431">#REF!</definedName>
    <definedName name="_____ltc1432">#REF!</definedName>
    <definedName name="_____ltc1433">#REF!</definedName>
    <definedName name="_____ltc1434">#REF!</definedName>
    <definedName name="_____ltc1461">#REF!</definedName>
    <definedName name="_____ltc1462">#REF!</definedName>
    <definedName name="_____ltc1464">#REF!</definedName>
    <definedName name="_____ltc1465">#REF!</definedName>
    <definedName name="_____ltc1466">#REF!</definedName>
    <definedName name="_____ltc1467">#REF!</definedName>
    <definedName name="_____ltc1505">#REF!</definedName>
    <definedName name="_____ltc1506">#REF!</definedName>
    <definedName name="_____ltc1515">#REF!</definedName>
    <definedName name="_____ltc1517">#REF!</definedName>
    <definedName name="_____ltc1518">#REF!</definedName>
    <definedName name="_____ltc1521">#REF!</definedName>
    <definedName name="_____ltc1522">#REF!</definedName>
    <definedName name="_____ltc1523">#REF!</definedName>
    <definedName name="_____ltc1525">#REF!</definedName>
    <definedName name="_____ltc1526">#REF!</definedName>
    <definedName name="_____ltc1532">#REF!</definedName>
    <definedName name="_____ltc1533">#REF!</definedName>
    <definedName name="_____ltc1534">#REF!</definedName>
    <definedName name="_____ltc1535">#REF!</definedName>
    <definedName name="_____ltc1536">#REF!</definedName>
    <definedName name="_____ltc1541">#REF!</definedName>
    <definedName name="_____ltc1542">#REF!</definedName>
    <definedName name="_____ltc1543">#REF!</definedName>
    <definedName name="_____ltc1544">#REF!</definedName>
    <definedName name="_____ltc1545">#REF!</definedName>
    <definedName name="_____ltc1546">#REF!</definedName>
    <definedName name="_____ltc1547">#REF!</definedName>
    <definedName name="_____ltc1549">#REF!</definedName>
    <definedName name="_____ltc1551">#REF!</definedName>
    <definedName name="_____ltc1552">#REF!</definedName>
    <definedName name="_____ltc1553">#REF!</definedName>
    <definedName name="_____ltc1554">#REF!</definedName>
    <definedName name="_____ltc1555">#REF!</definedName>
    <definedName name="_____ltc1556">#REF!</definedName>
    <definedName name="_____ltc1558">#REF!</definedName>
    <definedName name="_____ltc1559">#REF!</definedName>
    <definedName name="_____ltc1564">#REF!</definedName>
    <definedName name="_____ltc1566">#REF!</definedName>
    <definedName name="_____ltc1571">#REF!</definedName>
    <definedName name="_____ltc1572">#REF!</definedName>
    <definedName name="_____ltc1573">#REF!</definedName>
    <definedName name="_____ltc1574">#REF!</definedName>
    <definedName name="_____ltc1576">#REF!</definedName>
    <definedName name="_____ltc1577">#REF!</definedName>
    <definedName name="_____ltc1578">#REF!</definedName>
    <definedName name="_____ltc1579">#REF!</definedName>
    <definedName name="_____ltc1582">#REF!</definedName>
    <definedName name="_____ltc1583">#REF!</definedName>
    <definedName name="_____ltc1584">#REF!</definedName>
    <definedName name="_____ltc1585">#REF!</definedName>
    <definedName name="_____ltc1588">#REF!</definedName>
    <definedName name="_____ltc1591">#REF!</definedName>
    <definedName name="_____ltc1592">#REF!</definedName>
    <definedName name="_____ltc1593">#REF!</definedName>
    <definedName name="_____ltc1595">#REF!</definedName>
    <definedName name="_____ltc1596">#REF!</definedName>
    <definedName name="_____ltc1597">#REF!</definedName>
    <definedName name="_____ltc1602">#REF!</definedName>
    <definedName name="_____ltc1603">#REF!</definedName>
    <definedName name="_____ltc1604">#REF!</definedName>
    <definedName name="_____ltc1606">#REF!</definedName>
    <definedName name="_____ltc1611">#REF!</definedName>
    <definedName name="_____ltc1612">#REF!</definedName>
    <definedName name="_____ltc1613">#REF!</definedName>
    <definedName name="_____ltc1621">#REF!</definedName>
    <definedName name="_____ltc1622">#REF!</definedName>
    <definedName name="_____ltc1623">#REF!</definedName>
    <definedName name="_____ltc1625">#REF!</definedName>
    <definedName name="_____ltc1626">#REF!</definedName>
    <definedName name="_____ltc1641">#REF!</definedName>
    <definedName name="_____ltc1642">#REF!</definedName>
    <definedName name="_____ltc1646">#REF!</definedName>
    <definedName name="_____ltc1652">#REF!</definedName>
    <definedName name="_____ltc1653">#REF!</definedName>
    <definedName name="_____ltc1654">#REF!</definedName>
    <definedName name="_____ltc1655">#REF!</definedName>
    <definedName name="_____ltc1659">#REF!</definedName>
    <definedName name="_____ltc1661">#REF!</definedName>
    <definedName name="_____ltc1662">#REF!</definedName>
    <definedName name="_____ltc1663">#REF!</definedName>
    <definedName name="_____ltc1664">#REF!</definedName>
    <definedName name="_____ltc1665">#REF!</definedName>
    <definedName name="_____ltc1666">#REF!</definedName>
    <definedName name="_____ltc1667">#REF!</definedName>
    <definedName name="_____ltc1668">#REF!</definedName>
    <definedName name="_____ltc1669">#REF!</definedName>
    <definedName name="_____ltc1671">#REF!</definedName>
    <definedName name="_____ltc1674">#REF!</definedName>
    <definedName name="_____ltc1682">#REF!</definedName>
    <definedName name="_____ltc1683">#REF!</definedName>
    <definedName name="_____ltc1684">#REF!</definedName>
    <definedName name="_____ltc1686">#REF!</definedName>
    <definedName name="_____ltc1687">#REF!</definedName>
    <definedName name="_____ltc1689">#REF!</definedName>
    <definedName name="_____ltc1692">#REF!</definedName>
    <definedName name="_____ltc1693">#REF!</definedName>
    <definedName name="_____ltc1694">#REF!</definedName>
    <definedName name="_____ltc1695">#REF!</definedName>
    <definedName name="_____ltc1705">#REF!</definedName>
    <definedName name="_____ltc1707">#REF!</definedName>
    <definedName name="_____ltc1711">#REF!</definedName>
    <definedName name="_____ltc1713">#REF!</definedName>
    <definedName name="_____ltc1714">#REF!</definedName>
    <definedName name="_____ltc1715">#REF!</definedName>
    <definedName name="_____ltc1716">#REF!</definedName>
    <definedName name="_____ltc1721">#REF!</definedName>
    <definedName name="_____ltc1723">#REF!</definedName>
    <definedName name="_____ltc1724">#REF!</definedName>
    <definedName name="_____ltc1726">#REF!</definedName>
    <definedName name="_____ltc1727">#REF!</definedName>
    <definedName name="_____ltc1731">#REF!</definedName>
    <definedName name="_____ltc1762">#REF!</definedName>
    <definedName name="_____ltc1765">#REF!</definedName>
    <definedName name="_____ltc1766">#REF!</definedName>
    <definedName name="_____ltc1767">#REF!</definedName>
    <definedName name="_____ltc1783">#REF!</definedName>
    <definedName name="_____ltc1784">#REF!</definedName>
    <definedName name="_____ltc1786">#REF!</definedName>
    <definedName name="_____ltc1787">#REF!</definedName>
    <definedName name="_____ltc1821">#REF!</definedName>
    <definedName name="_____ltc1822">#REF!</definedName>
    <definedName name="_____ltc1823">#REF!</definedName>
    <definedName name="_____ltc1826">#REF!</definedName>
    <definedName name="_____ltc1828">#REF!</definedName>
    <definedName name="_____ltc1841">#REF!</definedName>
    <definedName name="_____ltc1846">#REF!</definedName>
    <definedName name="_____ltc1884">#REF!</definedName>
    <definedName name="_____ltc1907">#REF!</definedName>
    <definedName name="_____ltc1908">#REF!</definedName>
    <definedName name="_____ltc1909">#REF!</definedName>
    <definedName name="_____ltc1911">#REF!</definedName>
    <definedName name="_____ltc1915">#REF!</definedName>
    <definedName name="_____ltc1923">#REF!</definedName>
    <definedName name="_____ltc1924">#REF!</definedName>
    <definedName name="_____ltc1929">#REF!</definedName>
    <definedName name="_____ltc4113">#REF!</definedName>
    <definedName name="_____ltc4114">#REF!</definedName>
    <definedName name="_____ltc4115">#REF!</definedName>
    <definedName name="_____ltc4116">#REF!</definedName>
    <definedName name="_____ltc7401">#REF!</definedName>
    <definedName name="_____ltc7411">#REF!</definedName>
    <definedName name="_____ltc7421">#REF!</definedName>
    <definedName name="_____ltc7422">#REF!</definedName>
    <definedName name="_____ltc7425">#REF!</definedName>
    <definedName name="_____ltc7426">#REF!</definedName>
    <definedName name="_____LTD107">#REF!</definedName>
    <definedName name="_____nsq195">#REF!</definedName>
    <definedName name="_____nsq295">#REF!</definedName>
    <definedName name="_____nsq395">#REF!</definedName>
    <definedName name="_____nsq495">#REF!</definedName>
    <definedName name="_____PFY1">#REF!</definedName>
    <definedName name="_____PFY2">#REF!</definedName>
    <definedName name="_____PFY3">#REF!</definedName>
    <definedName name="_____pg5">#REF!</definedName>
    <definedName name="_____pg6">#REF!</definedName>
    <definedName name="_____pg7">#REF!</definedName>
    <definedName name="_____q3" hidden="1">#REF!</definedName>
    <definedName name="_____rev2002">#REF!</definedName>
    <definedName name="_____rev2003">#REF!</definedName>
    <definedName name="_____rev2004">#REF!</definedName>
    <definedName name="_____rev2005">#REF!</definedName>
    <definedName name="_____rev2006">#REF!</definedName>
    <definedName name="_____STD107">#REF!</definedName>
    <definedName name="_____Tax1">#REF!</definedName>
    <definedName name="_____vii5">#REF!</definedName>
    <definedName name="_____w2" localSheetId="1" hidden="1">{#N/A,#N/A,FALSE,"Summary";#N/A,#N/A,FALSE,"10off&amp;co1,6,tstiplan";#N/A,#N/A,FALSE,"Systems";#N/A,#N/A,FALSE,"7offAct";#N/A,#N/A,FALSE,"3addAct"}</definedName>
    <definedName name="_____w2" localSheetId="0" hidden="1">{#N/A,#N/A,FALSE,"Summary";#N/A,#N/A,FALSE,"10off&amp;co1,6,tstiplan";#N/A,#N/A,FALSE,"Systems";#N/A,#N/A,FALSE,"7offAct";#N/A,#N/A,FALSE,"3addAct"}</definedName>
    <definedName name="_____w2" hidden="1">{#N/A,#N/A,FALSE,"Summary";#N/A,#N/A,FALSE,"10off&amp;co1,6,tstiplan";#N/A,#N/A,FALSE,"Systems";#N/A,#N/A,FALSE,"7offAct";#N/A,#N/A,FALSE,"3addAct"}</definedName>
    <definedName name="____bot1">#REF!</definedName>
    <definedName name="____bot2">#REF!</definedName>
    <definedName name="____cov1">#REF!</definedName>
    <definedName name="____cov2">#REF!</definedName>
    <definedName name="____cov3">#REF!</definedName>
    <definedName name="____cov4">#REF!</definedName>
    <definedName name="____DAT1">#REF!</definedName>
    <definedName name="____DAT2">#REF!</definedName>
    <definedName name="____DAT3">#REF!</definedName>
    <definedName name="____DAT4">#REF!</definedName>
    <definedName name="____DAT5">#REF!</definedName>
    <definedName name="____DAT6">#REF!</definedName>
    <definedName name="____DAT7">#REF!</definedName>
    <definedName name="____DAT8">#REF!</definedName>
    <definedName name="____dcf2">#REF!</definedName>
    <definedName name="____DSO1">#REF!</definedName>
    <definedName name="____DSO2">#REF!</definedName>
    <definedName name="____DSO3">#REF!</definedName>
    <definedName name="____DSO4">#REF!</definedName>
    <definedName name="____EPS91">#REF!</definedName>
    <definedName name="____EPS92">#REF!</definedName>
    <definedName name="____EPS93">#REF!</definedName>
    <definedName name="____eps94">#REF!</definedName>
    <definedName name="____exp2002">#REF!</definedName>
    <definedName name="____exp2003">#REF!</definedName>
    <definedName name="____exp2004">#REF!</definedName>
    <definedName name="____exp2005">#REF!</definedName>
    <definedName name="____exp2006">#REF!</definedName>
    <definedName name="____gpq195">#REF!</definedName>
    <definedName name="____gpq295">#REF!</definedName>
    <definedName name="____gpq395">#REF!</definedName>
    <definedName name="____gpq495">#REF!</definedName>
    <definedName name="____ltc1001">#REF!</definedName>
    <definedName name="____ltc1004">#REF!</definedName>
    <definedName name="____ltc1012">#REF!</definedName>
    <definedName name="____ltc1013">#REF!</definedName>
    <definedName name="____ltc1032">#REF!</definedName>
    <definedName name="____ltc1033">#REF!</definedName>
    <definedName name="____ltc1037">#REF!</definedName>
    <definedName name="____ltc1043">#REF!</definedName>
    <definedName name="____ltc1044">#REF!</definedName>
    <definedName name="____ltc1061">#REF!</definedName>
    <definedName name="____ltc1062">#REF!</definedName>
    <definedName name="____ltc1065">#REF!</definedName>
    <definedName name="____ltc1067">#REF!</definedName>
    <definedName name="____ltc1068">#REF!</definedName>
    <definedName name="____ltc1069">#REF!</definedName>
    <definedName name="____ltc1082">#REF!</definedName>
    <definedName name="____ltc1083">#REF!</definedName>
    <definedName name="____ltc1084">#REF!</definedName>
    <definedName name="____ltc1085">#REF!</definedName>
    <definedName name="____ltc1087">#REF!</definedName>
    <definedName name="____ltc1091">#REF!</definedName>
    <definedName name="____ltc1092">#REF!</definedName>
    <definedName name="____ltc1111">#REF!</definedName>
    <definedName name="____ltc1113">#REF!</definedName>
    <definedName name="____ltc1114">#REF!</definedName>
    <definedName name="____ltc11141">#REF!</definedName>
    <definedName name="____ltc1115">#REF!</definedName>
    <definedName name="____ltc1116">#REF!</definedName>
    <definedName name="____ltc1122">#REF!</definedName>
    <definedName name="____ltc1123">#REF!</definedName>
    <definedName name="____ltc1124">#REF!</definedName>
    <definedName name="____ltc1125">#REF!</definedName>
    <definedName name="____ltc1126">#REF!</definedName>
    <definedName name="____ltc1131">#REF!</definedName>
    <definedName name="____ltc1135">#REF!</definedName>
    <definedName name="____ltc1136">#REF!</definedName>
    <definedName name="____ltc1137">#REF!</definedName>
    <definedName name="____ltc1138">#REF!</definedName>
    <definedName name="____ltc1141">#REF!</definedName>
    <definedName name="____ltc1142">#REF!</definedName>
    <definedName name="____ltc1143">#REF!</definedName>
    <definedName name="____ltc1144">#REF!</definedName>
    <definedName name="____ltc1145">#REF!</definedName>
    <definedName name="____ltc1146">#REF!</definedName>
    <definedName name="____ltc1147">#REF!</definedName>
    <definedName name="____ltc1161">#REF!</definedName>
    <definedName name="____ltc1162">#REF!</definedName>
    <definedName name="____ltc1163">#REF!</definedName>
    <definedName name="____ltc1164">#REF!</definedName>
    <definedName name="____ltc1165">#REF!</definedName>
    <definedName name="____ltc1167">#REF!</definedName>
    <definedName name="____ltc1201">#REF!</definedName>
    <definedName name="____ltc1202">#REF!</definedName>
    <definedName name="____ltc1204">#REF!</definedName>
    <definedName name="____ltc1206">#REF!</definedName>
    <definedName name="____ltc1231">#REF!</definedName>
    <definedName name="____ltc1232">#REF!</definedName>
    <definedName name="____ltc1239">#REF!</definedName>
    <definedName name="____ltc1240">#REF!</definedName>
    <definedName name="____ltc1242">#REF!</definedName>
    <definedName name="____ltc1243">#REF!</definedName>
    <definedName name="____ltc1244">#REF!</definedName>
    <definedName name="____ltc1245">#REF!</definedName>
    <definedName name="____ltc1266">#REF!</definedName>
    <definedName name="____ltc1267">#REF!</definedName>
    <definedName name="____ltc1281">#REF!</definedName>
    <definedName name="____ltc1282">#REF!</definedName>
    <definedName name="____ltc1283">#REF!</definedName>
    <definedName name="____ltc1284">#REF!</definedName>
    <definedName name="____ltc1285">#REF!</definedName>
    <definedName name="____ltc1286">#REF!</definedName>
    <definedName name="____ltc1287">#REF!</definedName>
    <definedName name="____ltc1301">#REF!</definedName>
    <definedName name="____ltc1302">#REF!</definedName>
    <definedName name="____ltc1303">#REF!</definedName>
    <definedName name="____ltc1304">#REF!</definedName>
    <definedName name="____ltc1305">#REF!</definedName>
    <definedName name="____ltc1306">#REF!</definedName>
    <definedName name="____ltc1307">#REF!</definedName>
    <definedName name="____ltc1308">#REF!</definedName>
    <definedName name="____ltc1311">#REF!</definedName>
    <definedName name="____ltc1312">#REF!</definedName>
    <definedName name="____ltc1313">#REF!</definedName>
    <definedName name="____ltc1314">#REF!</definedName>
    <definedName name="____ltc1315">#REF!</definedName>
    <definedName name="____ltc1321">#REF!</definedName>
    <definedName name="____ltc1332">#REF!</definedName>
    <definedName name="____ltc1333">#REF!</definedName>
    <definedName name="____ltc1335">#REF!</definedName>
    <definedName name="____ltc1336">#REF!</definedName>
    <definedName name="____ltc1338">#REF!</definedName>
    <definedName name="____ltc1339">#REF!</definedName>
    <definedName name="____ltc1340">#REF!</definedName>
    <definedName name="____ltc1361">#REF!</definedName>
    <definedName name="____ltc1362">#REF!</definedName>
    <definedName name="____ltc1363">#REF!</definedName>
    <definedName name="____ltc1364">#REF!</definedName>
    <definedName name="____ltc1365">#REF!</definedName>
    <definedName name="____ltc1366">#REF!</definedName>
    <definedName name="____ltc1367">#REF!</definedName>
    <definedName name="____ltc1401">#REF!</definedName>
    <definedName name="____ltc1402">#REF!</definedName>
    <definedName name="____ltc1403">#REF!</definedName>
    <definedName name="____ltc1404">#REF!</definedName>
    <definedName name="____ltc1405">#REF!</definedName>
    <definedName name="____ltc1406">#REF!</definedName>
    <definedName name="____ltc1431">#REF!</definedName>
    <definedName name="____ltc1432">#REF!</definedName>
    <definedName name="____ltc1433">#REF!</definedName>
    <definedName name="____ltc1434">#REF!</definedName>
    <definedName name="____ltc1461">#REF!</definedName>
    <definedName name="____ltc1462">#REF!</definedName>
    <definedName name="____ltc1464">#REF!</definedName>
    <definedName name="____ltc1465">#REF!</definedName>
    <definedName name="____ltc1466">#REF!</definedName>
    <definedName name="____ltc1467">#REF!</definedName>
    <definedName name="____ltc1505">#REF!</definedName>
    <definedName name="____ltc1506">#REF!</definedName>
    <definedName name="____ltc1515">#REF!</definedName>
    <definedName name="____ltc1517">#REF!</definedName>
    <definedName name="____ltc1518">#REF!</definedName>
    <definedName name="____ltc1521">#REF!</definedName>
    <definedName name="____ltc1522">#REF!</definedName>
    <definedName name="____ltc1523">#REF!</definedName>
    <definedName name="____ltc1525">#REF!</definedName>
    <definedName name="____ltc1526">#REF!</definedName>
    <definedName name="____ltc1532">#REF!</definedName>
    <definedName name="____ltc1533">#REF!</definedName>
    <definedName name="____ltc1534">#REF!</definedName>
    <definedName name="____ltc1535">#REF!</definedName>
    <definedName name="____ltc1536">#REF!</definedName>
    <definedName name="____ltc1541">#REF!</definedName>
    <definedName name="____ltc1542">#REF!</definedName>
    <definedName name="____ltc1543">#REF!</definedName>
    <definedName name="____ltc1544">#REF!</definedName>
    <definedName name="____ltc1545">#REF!</definedName>
    <definedName name="____ltc1546">#REF!</definedName>
    <definedName name="____ltc1547">#REF!</definedName>
    <definedName name="____ltc1549">#REF!</definedName>
    <definedName name="____ltc1551">#REF!</definedName>
    <definedName name="____ltc1552">#REF!</definedName>
    <definedName name="____ltc1553">#REF!</definedName>
    <definedName name="____ltc1554">#REF!</definedName>
    <definedName name="____ltc1555">#REF!</definedName>
    <definedName name="____ltc1556">#REF!</definedName>
    <definedName name="____ltc1558">#REF!</definedName>
    <definedName name="____ltc1559">#REF!</definedName>
    <definedName name="____ltc1564">#REF!</definedName>
    <definedName name="____ltc1566">#REF!</definedName>
    <definedName name="____ltc1571">#REF!</definedName>
    <definedName name="____ltc1572">#REF!</definedName>
    <definedName name="____ltc1573">#REF!</definedName>
    <definedName name="____ltc1574">#REF!</definedName>
    <definedName name="____ltc1576">#REF!</definedName>
    <definedName name="____ltc1577">#REF!</definedName>
    <definedName name="____ltc1578">#REF!</definedName>
    <definedName name="____ltc1579">#REF!</definedName>
    <definedName name="____ltc1582">#REF!</definedName>
    <definedName name="____ltc1583">#REF!</definedName>
    <definedName name="____ltc1584">#REF!</definedName>
    <definedName name="____ltc1585">#REF!</definedName>
    <definedName name="____ltc1588">#REF!</definedName>
    <definedName name="____ltc1591">#REF!</definedName>
    <definedName name="____ltc1592">#REF!</definedName>
    <definedName name="____ltc1593">#REF!</definedName>
    <definedName name="____ltc1595">#REF!</definedName>
    <definedName name="____ltc1596">#REF!</definedName>
    <definedName name="____ltc1597">#REF!</definedName>
    <definedName name="____ltc1602">#REF!</definedName>
    <definedName name="____ltc1603">#REF!</definedName>
    <definedName name="____ltc1604">#REF!</definedName>
    <definedName name="____ltc1606">#REF!</definedName>
    <definedName name="____ltc1611">#REF!</definedName>
    <definedName name="____ltc1612">#REF!</definedName>
    <definedName name="____ltc1613">#REF!</definedName>
    <definedName name="____ltc1621">#REF!</definedName>
    <definedName name="____ltc1622">#REF!</definedName>
    <definedName name="____ltc1623">#REF!</definedName>
    <definedName name="____ltc1625">#REF!</definedName>
    <definedName name="____ltc1626">#REF!</definedName>
    <definedName name="____ltc1641">#REF!</definedName>
    <definedName name="____ltc1642">#REF!</definedName>
    <definedName name="____ltc1646">#REF!</definedName>
    <definedName name="____ltc1652">#REF!</definedName>
    <definedName name="____ltc1653">#REF!</definedName>
    <definedName name="____ltc1654">#REF!</definedName>
    <definedName name="____ltc1655">#REF!</definedName>
    <definedName name="____ltc1659">#REF!</definedName>
    <definedName name="____ltc1661">#REF!</definedName>
    <definedName name="____ltc1662">#REF!</definedName>
    <definedName name="____ltc1663">#REF!</definedName>
    <definedName name="____ltc1664">#REF!</definedName>
    <definedName name="____ltc1665">#REF!</definedName>
    <definedName name="____ltc1666">#REF!</definedName>
    <definedName name="____ltc1667">#REF!</definedName>
    <definedName name="____ltc1668">#REF!</definedName>
    <definedName name="____ltc1669">#REF!</definedName>
    <definedName name="____ltc1671">#REF!</definedName>
    <definedName name="____ltc1674">#REF!</definedName>
    <definedName name="____ltc1682">#REF!</definedName>
    <definedName name="____ltc1683">#REF!</definedName>
    <definedName name="____ltc1684">#REF!</definedName>
    <definedName name="____ltc1686">#REF!</definedName>
    <definedName name="____ltc1687">#REF!</definedName>
    <definedName name="____ltc1689">#REF!</definedName>
    <definedName name="____ltc1692">#REF!</definedName>
    <definedName name="____ltc1693">#REF!</definedName>
    <definedName name="____ltc1694">#REF!</definedName>
    <definedName name="____ltc1695">#REF!</definedName>
    <definedName name="____ltc1705">#REF!</definedName>
    <definedName name="____ltc1707">#REF!</definedName>
    <definedName name="____ltc1711">#REF!</definedName>
    <definedName name="____ltc1713">#REF!</definedName>
    <definedName name="____ltc1714">#REF!</definedName>
    <definedName name="____ltc1715">#REF!</definedName>
    <definedName name="____ltc1716">#REF!</definedName>
    <definedName name="____ltc1721">#REF!</definedName>
    <definedName name="____ltc1723">#REF!</definedName>
    <definedName name="____ltc1724">#REF!</definedName>
    <definedName name="____ltc1726">#REF!</definedName>
    <definedName name="____ltc1727">#REF!</definedName>
    <definedName name="____ltc1731">#REF!</definedName>
    <definedName name="____ltc1762">#REF!</definedName>
    <definedName name="____ltc1765">#REF!</definedName>
    <definedName name="____ltc1766">#REF!</definedName>
    <definedName name="____ltc1767">#REF!</definedName>
    <definedName name="____ltc1783">#REF!</definedName>
    <definedName name="____ltc1784">#REF!</definedName>
    <definedName name="____ltc1786">#REF!</definedName>
    <definedName name="____ltc1787">#REF!</definedName>
    <definedName name="____ltc1821">#REF!</definedName>
    <definedName name="____ltc1822">#REF!</definedName>
    <definedName name="____ltc1823">#REF!</definedName>
    <definedName name="____ltc1826">#REF!</definedName>
    <definedName name="____ltc1828">#REF!</definedName>
    <definedName name="____ltc1841">#REF!</definedName>
    <definedName name="____ltc1846">#REF!</definedName>
    <definedName name="____ltc1884">#REF!</definedName>
    <definedName name="____ltc1907">#REF!</definedName>
    <definedName name="____ltc1908">#REF!</definedName>
    <definedName name="____ltc1909">#REF!</definedName>
    <definedName name="____ltc1911">#REF!</definedName>
    <definedName name="____ltc1915">#REF!</definedName>
    <definedName name="____ltc1923">#REF!</definedName>
    <definedName name="____ltc1924">#REF!</definedName>
    <definedName name="____ltc1929">#REF!</definedName>
    <definedName name="____ltc4113">#REF!</definedName>
    <definedName name="____ltc4114">#REF!</definedName>
    <definedName name="____ltc4115">#REF!</definedName>
    <definedName name="____ltc4116">#REF!</definedName>
    <definedName name="____ltc7401">#REF!</definedName>
    <definedName name="____ltc7411">#REF!</definedName>
    <definedName name="____ltc7421">#REF!</definedName>
    <definedName name="____ltc7422">#REF!</definedName>
    <definedName name="____ltc7425">#REF!</definedName>
    <definedName name="____ltc7426">#REF!</definedName>
    <definedName name="____LTD107">#REF!</definedName>
    <definedName name="____nsq195">#REF!</definedName>
    <definedName name="____nsq295">#REF!</definedName>
    <definedName name="____nsq395">#REF!</definedName>
    <definedName name="____nsq495">#REF!</definedName>
    <definedName name="____PFY1">#REF!</definedName>
    <definedName name="____PFY2">#REF!</definedName>
    <definedName name="____PFY3">#REF!</definedName>
    <definedName name="____pg5">#REF!</definedName>
    <definedName name="____pg6">#REF!</definedName>
    <definedName name="____pg7">#REF!</definedName>
    <definedName name="____rev2002">#REF!</definedName>
    <definedName name="____rev2003">#REF!</definedName>
    <definedName name="____rev2004">#REF!</definedName>
    <definedName name="____rev2005">#REF!</definedName>
    <definedName name="____rev2006">#REF!</definedName>
    <definedName name="____STD107">#REF!</definedName>
    <definedName name="____Tax1">#REF!</definedName>
    <definedName name="____vii5">#REF!</definedName>
    <definedName name="___bot1">#REF!</definedName>
    <definedName name="___bot2">#REF!</definedName>
    <definedName name="___cov1">#REF!</definedName>
    <definedName name="___cov2">#REF!</definedName>
    <definedName name="___cov3">#REF!</definedName>
    <definedName name="___cov4">#REF!</definedName>
    <definedName name="___DAT1">#REF!</definedName>
    <definedName name="___DAT2">#REF!</definedName>
    <definedName name="___DAT3">#REF!</definedName>
    <definedName name="___DAT4">#REF!</definedName>
    <definedName name="___DAT5">#REF!</definedName>
    <definedName name="___DAT6">#REF!</definedName>
    <definedName name="___DAT7">#REF!</definedName>
    <definedName name="___DAT8">#REF!</definedName>
    <definedName name="___dcf2">#REF!</definedName>
    <definedName name="___DSO1">#REF!</definedName>
    <definedName name="___DSO2">#REF!</definedName>
    <definedName name="___DSO3">#REF!</definedName>
    <definedName name="___DSO4">#REF!</definedName>
    <definedName name="___EPS91">#REF!</definedName>
    <definedName name="___EPS92">#REF!</definedName>
    <definedName name="___EPS93">#REF!</definedName>
    <definedName name="___eps94">#REF!</definedName>
    <definedName name="___exp2002">#REF!</definedName>
    <definedName name="___exp2003">#REF!</definedName>
    <definedName name="___exp2004">#REF!</definedName>
    <definedName name="___exp2005">#REF!</definedName>
    <definedName name="___exp2006">#REF!</definedName>
    <definedName name="___gpq195">#REF!</definedName>
    <definedName name="___gpq295">#REF!</definedName>
    <definedName name="___gpq395">#REF!</definedName>
    <definedName name="___gpq495">#REF!</definedName>
    <definedName name="___ltc1001">#REF!</definedName>
    <definedName name="___ltc1004">#REF!</definedName>
    <definedName name="___ltc1012">#REF!</definedName>
    <definedName name="___ltc1013">#REF!</definedName>
    <definedName name="___ltc1032">#REF!</definedName>
    <definedName name="___ltc1033">#REF!</definedName>
    <definedName name="___ltc1037">#REF!</definedName>
    <definedName name="___ltc1043">#REF!</definedName>
    <definedName name="___ltc1044">#REF!</definedName>
    <definedName name="___ltc1061">#REF!</definedName>
    <definedName name="___ltc1062">#REF!</definedName>
    <definedName name="___ltc1065">#REF!</definedName>
    <definedName name="___ltc1067">#REF!</definedName>
    <definedName name="___ltc1068">#REF!</definedName>
    <definedName name="___ltc1069">#REF!</definedName>
    <definedName name="___ltc1082">#REF!</definedName>
    <definedName name="___ltc1083">#REF!</definedName>
    <definedName name="___ltc1084">#REF!</definedName>
    <definedName name="___ltc1085">#REF!</definedName>
    <definedName name="___ltc1087">#REF!</definedName>
    <definedName name="___ltc1091">#REF!</definedName>
    <definedName name="___ltc1092">#REF!</definedName>
    <definedName name="___ltc1111">#REF!</definedName>
    <definedName name="___ltc1113">#REF!</definedName>
    <definedName name="___ltc1114">#REF!</definedName>
    <definedName name="___ltc11141">#REF!</definedName>
    <definedName name="___ltc1115">#REF!</definedName>
    <definedName name="___ltc1116">#REF!</definedName>
    <definedName name="___ltc1122">#REF!</definedName>
    <definedName name="___ltc1123">#REF!</definedName>
    <definedName name="___ltc1124">#REF!</definedName>
    <definedName name="___ltc1125">#REF!</definedName>
    <definedName name="___ltc1126">#REF!</definedName>
    <definedName name="___ltc1131">#REF!</definedName>
    <definedName name="___ltc1135">#REF!</definedName>
    <definedName name="___ltc1136">#REF!</definedName>
    <definedName name="___ltc1137">#REF!</definedName>
    <definedName name="___ltc1138">#REF!</definedName>
    <definedName name="___ltc1141">#REF!</definedName>
    <definedName name="___ltc1142">#REF!</definedName>
    <definedName name="___ltc1143">#REF!</definedName>
    <definedName name="___ltc1144">#REF!</definedName>
    <definedName name="___ltc1145">#REF!</definedName>
    <definedName name="___ltc1146">#REF!</definedName>
    <definedName name="___ltc1147">#REF!</definedName>
    <definedName name="___ltc1161">#REF!</definedName>
    <definedName name="___ltc1162">#REF!</definedName>
    <definedName name="___ltc1163">#REF!</definedName>
    <definedName name="___ltc1164">#REF!</definedName>
    <definedName name="___ltc1165">#REF!</definedName>
    <definedName name="___ltc1167">#REF!</definedName>
    <definedName name="___ltc1201">#REF!</definedName>
    <definedName name="___ltc1202">#REF!</definedName>
    <definedName name="___ltc1204">#REF!</definedName>
    <definedName name="___ltc1206">#REF!</definedName>
    <definedName name="___ltc1231">#REF!</definedName>
    <definedName name="___ltc1232">#REF!</definedName>
    <definedName name="___ltc1239">#REF!</definedName>
    <definedName name="___ltc1240">#REF!</definedName>
    <definedName name="___ltc1242">#REF!</definedName>
    <definedName name="___ltc1243">#REF!</definedName>
    <definedName name="___ltc1244">#REF!</definedName>
    <definedName name="___ltc1245">#REF!</definedName>
    <definedName name="___ltc1266">#REF!</definedName>
    <definedName name="___ltc1267">#REF!</definedName>
    <definedName name="___ltc1281">#REF!</definedName>
    <definedName name="___ltc1282">#REF!</definedName>
    <definedName name="___ltc1283">#REF!</definedName>
    <definedName name="___ltc1284">#REF!</definedName>
    <definedName name="___ltc1285">#REF!</definedName>
    <definedName name="___ltc1286">#REF!</definedName>
    <definedName name="___ltc1287">#REF!</definedName>
    <definedName name="___ltc1301">#REF!</definedName>
    <definedName name="___ltc1302">#REF!</definedName>
    <definedName name="___ltc1303">#REF!</definedName>
    <definedName name="___ltc1304">#REF!</definedName>
    <definedName name="___ltc1305">#REF!</definedName>
    <definedName name="___ltc1306">#REF!</definedName>
    <definedName name="___ltc1307">#REF!</definedName>
    <definedName name="___ltc1308">#REF!</definedName>
    <definedName name="___ltc1311">#REF!</definedName>
    <definedName name="___ltc1312">#REF!</definedName>
    <definedName name="___ltc1313">#REF!</definedName>
    <definedName name="___ltc1314">#REF!</definedName>
    <definedName name="___ltc1315">#REF!</definedName>
    <definedName name="___ltc1321">#REF!</definedName>
    <definedName name="___ltc1332">#REF!</definedName>
    <definedName name="___ltc1333">#REF!</definedName>
    <definedName name="___ltc1335">#REF!</definedName>
    <definedName name="___ltc1336">#REF!</definedName>
    <definedName name="___ltc1338">#REF!</definedName>
    <definedName name="___ltc1339">#REF!</definedName>
    <definedName name="___ltc1340">#REF!</definedName>
    <definedName name="___ltc1361">#REF!</definedName>
    <definedName name="___ltc1362">#REF!</definedName>
    <definedName name="___ltc1363">#REF!</definedName>
    <definedName name="___ltc1364">#REF!</definedName>
    <definedName name="___ltc1365">#REF!</definedName>
    <definedName name="___ltc1366">#REF!</definedName>
    <definedName name="___ltc1367">#REF!</definedName>
    <definedName name="___ltc1401">#REF!</definedName>
    <definedName name="___ltc1402">#REF!</definedName>
    <definedName name="___ltc1403">#REF!</definedName>
    <definedName name="___ltc1404">#REF!</definedName>
    <definedName name="___ltc1405">#REF!</definedName>
    <definedName name="___ltc1406">#REF!</definedName>
    <definedName name="___ltc1431">#REF!</definedName>
    <definedName name="___ltc1432">#REF!</definedName>
    <definedName name="___ltc1433">#REF!</definedName>
    <definedName name="___ltc1434">#REF!</definedName>
    <definedName name="___ltc1461">#REF!</definedName>
    <definedName name="___ltc1462">#REF!</definedName>
    <definedName name="___ltc1464">#REF!</definedName>
    <definedName name="___ltc1465">#REF!</definedName>
    <definedName name="___ltc1466">#REF!</definedName>
    <definedName name="___ltc1467">#REF!</definedName>
    <definedName name="___ltc1505">#REF!</definedName>
    <definedName name="___ltc1506">#REF!</definedName>
    <definedName name="___ltc1515">#REF!</definedName>
    <definedName name="___ltc1517">#REF!</definedName>
    <definedName name="___ltc1518">#REF!</definedName>
    <definedName name="___ltc1521">#REF!</definedName>
    <definedName name="___ltc1522">#REF!</definedName>
    <definedName name="___ltc1523">#REF!</definedName>
    <definedName name="___ltc1525">#REF!</definedName>
    <definedName name="___ltc1526">#REF!</definedName>
    <definedName name="___ltc1532">#REF!</definedName>
    <definedName name="___ltc1533">#REF!</definedName>
    <definedName name="___ltc1534">#REF!</definedName>
    <definedName name="___ltc1535">#REF!</definedName>
    <definedName name="___ltc1536">#REF!</definedName>
    <definedName name="___ltc1541">#REF!</definedName>
    <definedName name="___ltc1542">#REF!</definedName>
    <definedName name="___ltc1543">#REF!</definedName>
    <definedName name="___ltc1544">#REF!</definedName>
    <definedName name="___ltc1545">#REF!</definedName>
    <definedName name="___ltc1546">#REF!</definedName>
    <definedName name="___ltc1547">#REF!</definedName>
    <definedName name="___ltc1549">#REF!</definedName>
    <definedName name="___ltc1551">#REF!</definedName>
    <definedName name="___ltc1552">#REF!</definedName>
    <definedName name="___ltc1553">#REF!</definedName>
    <definedName name="___ltc1554">#REF!</definedName>
    <definedName name="___ltc1555">#REF!</definedName>
    <definedName name="___ltc1556">#REF!</definedName>
    <definedName name="___ltc1558">#REF!</definedName>
    <definedName name="___ltc1559">#REF!</definedName>
    <definedName name="___ltc1564">#REF!</definedName>
    <definedName name="___ltc1566">#REF!</definedName>
    <definedName name="___ltc1571">#REF!</definedName>
    <definedName name="___ltc1572">#REF!</definedName>
    <definedName name="___ltc1573">#REF!</definedName>
    <definedName name="___ltc1574">#REF!</definedName>
    <definedName name="___ltc1576">#REF!</definedName>
    <definedName name="___ltc1577">#REF!</definedName>
    <definedName name="___ltc1578">#REF!</definedName>
    <definedName name="___ltc1579">#REF!</definedName>
    <definedName name="___ltc1582">#REF!</definedName>
    <definedName name="___ltc1583">#REF!</definedName>
    <definedName name="___ltc1584">#REF!</definedName>
    <definedName name="___ltc1585">#REF!</definedName>
    <definedName name="___ltc1588">#REF!</definedName>
    <definedName name="___ltc1591">#REF!</definedName>
    <definedName name="___ltc1592">#REF!</definedName>
    <definedName name="___ltc1593">#REF!</definedName>
    <definedName name="___ltc1595">#REF!</definedName>
    <definedName name="___ltc1596">#REF!</definedName>
    <definedName name="___ltc1597">#REF!</definedName>
    <definedName name="___ltc1602">#REF!</definedName>
    <definedName name="___ltc1603">#REF!</definedName>
    <definedName name="___ltc1604">#REF!</definedName>
    <definedName name="___ltc1606">#REF!</definedName>
    <definedName name="___ltc1611">#REF!</definedName>
    <definedName name="___ltc1612">#REF!</definedName>
    <definedName name="___ltc1613">#REF!</definedName>
    <definedName name="___ltc1621">#REF!</definedName>
    <definedName name="___ltc1622">#REF!</definedName>
    <definedName name="___ltc1623">#REF!</definedName>
    <definedName name="___ltc1625">#REF!</definedName>
    <definedName name="___ltc1626">#REF!</definedName>
    <definedName name="___ltc1641">#REF!</definedName>
    <definedName name="___ltc1642">#REF!</definedName>
    <definedName name="___ltc1646">#REF!</definedName>
    <definedName name="___ltc1652">#REF!</definedName>
    <definedName name="___ltc1653">#REF!</definedName>
    <definedName name="___ltc1654">#REF!</definedName>
    <definedName name="___ltc1655">#REF!</definedName>
    <definedName name="___ltc1659">#REF!</definedName>
    <definedName name="___ltc1661">#REF!</definedName>
    <definedName name="___ltc1662">#REF!</definedName>
    <definedName name="___ltc1663">#REF!</definedName>
    <definedName name="___ltc1664">#REF!</definedName>
    <definedName name="___ltc1665">#REF!</definedName>
    <definedName name="___ltc1666">#REF!</definedName>
    <definedName name="___ltc1667">#REF!</definedName>
    <definedName name="___ltc1668">#REF!</definedName>
    <definedName name="___ltc1669">#REF!</definedName>
    <definedName name="___ltc1671">#REF!</definedName>
    <definedName name="___ltc1674">#REF!</definedName>
    <definedName name="___ltc1682">#REF!</definedName>
    <definedName name="___ltc1683">#REF!</definedName>
    <definedName name="___ltc1684">#REF!</definedName>
    <definedName name="___ltc1686">#REF!</definedName>
    <definedName name="___ltc1687">#REF!</definedName>
    <definedName name="___ltc1689">#REF!</definedName>
    <definedName name="___ltc1692">#REF!</definedName>
    <definedName name="___ltc1693">#REF!</definedName>
    <definedName name="___ltc1694">#REF!</definedName>
    <definedName name="___ltc1695">#REF!</definedName>
    <definedName name="___ltc1705">#REF!</definedName>
    <definedName name="___ltc1707">#REF!</definedName>
    <definedName name="___ltc1711">#REF!</definedName>
    <definedName name="___ltc1713">#REF!</definedName>
    <definedName name="___ltc1714">#REF!</definedName>
    <definedName name="___ltc1715">#REF!</definedName>
    <definedName name="___ltc1716">#REF!</definedName>
    <definedName name="___ltc1721">#REF!</definedName>
    <definedName name="___ltc1723">#REF!</definedName>
    <definedName name="___ltc1724">#REF!</definedName>
    <definedName name="___ltc1726">#REF!</definedName>
    <definedName name="___ltc1727">#REF!</definedName>
    <definedName name="___ltc1731">#REF!</definedName>
    <definedName name="___ltc1762">#REF!</definedName>
    <definedName name="___ltc1765">#REF!</definedName>
    <definedName name="___ltc1766">#REF!</definedName>
    <definedName name="___ltc1767">#REF!</definedName>
    <definedName name="___ltc1783">#REF!</definedName>
    <definedName name="___ltc1784">#REF!</definedName>
    <definedName name="___ltc1786">#REF!</definedName>
    <definedName name="___ltc1787">#REF!</definedName>
    <definedName name="___ltc1821">#REF!</definedName>
    <definedName name="___ltc1822">#REF!</definedName>
    <definedName name="___ltc1823">#REF!</definedName>
    <definedName name="___ltc1826">#REF!</definedName>
    <definedName name="___ltc1828">#REF!</definedName>
    <definedName name="___ltc1841">#REF!</definedName>
    <definedName name="___ltc1846">#REF!</definedName>
    <definedName name="___ltc1884">#REF!</definedName>
    <definedName name="___ltc1907">#REF!</definedName>
    <definedName name="___ltc1908">#REF!</definedName>
    <definedName name="___ltc1909">#REF!</definedName>
    <definedName name="___ltc1911">#REF!</definedName>
    <definedName name="___ltc1915">#REF!</definedName>
    <definedName name="___ltc1923">#REF!</definedName>
    <definedName name="___ltc1924">#REF!</definedName>
    <definedName name="___ltc1929">#REF!</definedName>
    <definedName name="___ltc4113">#REF!</definedName>
    <definedName name="___ltc4114">#REF!</definedName>
    <definedName name="___ltc4115">#REF!</definedName>
    <definedName name="___ltc4116">#REF!</definedName>
    <definedName name="___ltc7401">#REF!</definedName>
    <definedName name="___ltc7411">#REF!</definedName>
    <definedName name="___ltc7421">#REF!</definedName>
    <definedName name="___ltc7422">#REF!</definedName>
    <definedName name="___ltc7425">#REF!</definedName>
    <definedName name="___ltc7426">#REF!</definedName>
    <definedName name="___LTD107">#REF!</definedName>
    <definedName name="___nsq195">#REF!</definedName>
    <definedName name="___nsq295">#REF!</definedName>
    <definedName name="___nsq395">#REF!</definedName>
    <definedName name="___nsq495">#REF!</definedName>
    <definedName name="___PFY1">#REF!</definedName>
    <definedName name="___PFY2">#REF!</definedName>
    <definedName name="___PFY3">#REF!</definedName>
    <definedName name="___pg5">#REF!</definedName>
    <definedName name="___pg6">#REF!</definedName>
    <definedName name="___pg7">#REF!</definedName>
    <definedName name="___q3" hidden="1">#REF!</definedName>
    <definedName name="___rev2002">#REF!</definedName>
    <definedName name="___rev2003">#REF!</definedName>
    <definedName name="___rev2004">#REF!</definedName>
    <definedName name="___rev2005">#REF!</definedName>
    <definedName name="___rev2006">#REF!</definedName>
    <definedName name="___STD107">#REF!</definedName>
    <definedName name="___Tax1">#REF!</definedName>
    <definedName name="___vii5">#REF!</definedName>
    <definedName name="__123Graph_A" hidden="1">#REF!</definedName>
    <definedName name="__123Graph_B" hidden="1">#REF!</definedName>
    <definedName name="__123Graph_C" hidden="1">#REF!</definedName>
    <definedName name="__123Graph_E" hidden="1">#REF!</definedName>
    <definedName name="__bot1">#REF!</definedName>
    <definedName name="__bot2">#REF!</definedName>
    <definedName name="__cov1">#REF!</definedName>
    <definedName name="__cov2">#REF!</definedName>
    <definedName name="__cov3">#REF!</definedName>
    <definedName name="__cov4">#REF!</definedName>
    <definedName name="__DAT1">#REF!</definedName>
    <definedName name="__DAT2">#REF!</definedName>
    <definedName name="__DAT3">#REF!</definedName>
    <definedName name="__DAT4">#REF!</definedName>
    <definedName name="__DAT5">#REF!</definedName>
    <definedName name="__DAT6">#REF!</definedName>
    <definedName name="__DAT7">#REF!</definedName>
    <definedName name="__DAT8">#REF!</definedName>
    <definedName name="__dcf2">#REF!</definedName>
    <definedName name="__DSO1">#REF!</definedName>
    <definedName name="__DSO2">#REF!</definedName>
    <definedName name="__DSO3">#REF!</definedName>
    <definedName name="__DSO4">#REF!</definedName>
    <definedName name="__EPS91">#REF!</definedName>
    <definedName name="__EPS92">#REF!</definedName>
    <definedName name="__EPS93">#REF!</definedName>
    <definedName name="__eps94">#REF!</definedName>
    <definedName name="__exp2002">#REF!</definedName>
    <definedName name="__exp2003">#REF!</definedName>
    <definedName name="__exp2004">#REF!</definedName>
    <definedName name="__exp2005">#REF!</definedName>
    <definedName name="__exp2006">#REF!</definedName>
    <definedName name="__FDS_HYPERLINK_TOGGLE_STATE__" hidden="1">"ON"</definedName>
    <definedName name="__gpq195">#REF!</definedName>
    <definedName name="__gpq295">#REF!</definedName>
    <definedName name="__gpq395">#REF!</definedName>
    <definedName name="__gpq495">#REF!</definedName>
    <definedName name="__ltc1001">#REF!</definedName>
    <definedName name="__ltc1004">#REF!</definedName>
    <definedName name="__ltc1012">#REF!</definedName>
    <definedName name="__ltc1013">#REF!</definedName>
    <definedName name="__ltc1032">#REF!</definedName>
    <definedName name="__ltc1033">#REF!</definedName>
    <definedName name="__ltc1037">#REF!</definedName>
    <definedName name="__ltc1043">#REF!</definedName>
    <definedName name="__ltc1044">#REF!</definedName>
    <definedName name="__ltc1061">#REF!</definedName>
    <definedName name="__ltc1062">#REF!</definedName>
    <definedName name="__ltc1065">#REF!</definedName>
    <definedName name="__ltc1067">#REF!</definedName>
    <definedName name="__ltc1068">#REF!</definedName>
    <definedName name="__ltc1069">#REF!</definedName>
    <definedName name="__ltc1082">#REF!</definedName>
    <definedName name="__ltc1083">#REF!</definedName>
    <definedName name="__ltc1084">#REF!</definedName>
    <definedName name="__ltc1085">#REF!</definedName>
    <definedName name="__ltc1087">#REF!</definedName>
    <definedName name="__ltc1091">#REF!</definedName>
    <definedName name="__ltc1092">#REF!</definedName>
    <definedName name="__ltc1111">#REF!</definedName>
    <definedName name="__ltc1113">#REF!</definedName>
    <definedName name="__ltc1114">#REF!</definedName>
    <definedName name="__ltc11141">#REF!</definedName>
    <definedName name="__ltc1115">#REF!</definedName>
    <definedName name="__ltc1116">#REF!</definedName>
    <definedName name="__ltc1122">#REF!</definedName>
    <definedName name="__ltc1123">#REF!</definedName>
    <definedName name="__ltc1124">#REF!</definedName>
    <definedName name="__ltc1125">#REF!</definedName>
    <definedName name="__ltc1126">#REF!</definedName>
    <definedName name="__ltc1131">#REF!</definedName>
    <definedName name="__ltc1135">#REF!</definedName>
    <definedName name="__ltc1136">#REF!</definedName>
    <definedName name="__ltc1137">#REF!</definedName>
    <definedName name="__ltc1138">#REF!</definedName>
    <definedName name="__ltc1141">#REF!</definedName>
    <definedName name="__ltc1142">#REF!</definedName>
    <definedName name="__ltc1143">#REF!</definedName>
    <definedName name="__ltc1144">#REF!</definedName>
    <definedName name="__ltc1145">#REF!</definedName>
    <definedName name="__ltc1146">#REF!</definedName>
    <definedName name="__ltc1147">#REF!</definedName>
    <definedName name="__ltc1161">#REF!</definedName>
    <definedName name="__ltc1162">#REF!</definedName>
    <definedName name="__ltc1163">#REF!</definedName>
    <definedName name="__ltc1164">#REF!</definedName>
    <definedName name="__ltc1165">#REF!</definedName>
    <definedName name="__ltc1167">#REF!</definedName>
    <definedName name="__ltc1201">#REF!</definedName>
    <definedName name="__ltc1202">#REF!</definedName>
    <definedName name="__ltc1204">#REF!</definedName>
    <definedName name="__ltc1206">#REF!</definedName>
    <definedName name="__ltc1231">#REF!</definedName>
    <definedName name="__ltc1232">#REF!</definedName>
    <definedName name="__ltc1239">#REF!</definedName>
    <definedName name="__ltc1240">#REF!</definedName>
    <definedName name="__ltc1242">#REF!</definedName>
    <definedName name="__ltc1243">#REF!</definedName>
    <definedName name="__ltc1244">#REF!</definedName>
    <definedName name="__ltc1245">#REF!</definedName>
    <definedName name="__ltc1266">#REF!</definedName>
    <definedName name="__ltc1267">#REF!</definedName>
    <definedName name="__ltc1281">#REF!</definedName>
    <definedName name="__ltc1282">#REF!</definedName>
    <definedName name="__ltc1283">#REF!</definedName>
    <definedName name="__ltc1284">#REF!</definedName>
    <definedName name="__ltc1285">#REF!</definedName>
    <definedName name="__ltc1286">#REF!</definedName>
    <definedName name="__ltc1287">#REF!</definedName>
    <definedName name="__ltc1301">#REF!</definedName>
    <definedName name="__ltc1302">#REF!</definedName>
    <definedName name="__ltc1303">#REF!</definedName>
    <definedName name="__ltc1304">#REF!</definedName>
    <definedName name="__ltc1305">#REF!</definedName>
    <definedName name="__ltc1306">#REF!</definedName>
    <definedName name="__ltc1307">#REF!</definedName>
    <definedName name="__ltc1308">#REF!</definedName>
    <definedName name="__ltc1311">#REF!</definedName>
    <definedName name="__ltc1312">#REF!</definedName>
    <definedName name="__ltc1313">#REF!</definedName>
    <definedName name="__ltc1314">#REF!</definedName>
    <definedName name="__ltc1315">#REF!</definedName>
    <definedName name="__ltc1321">#REF!</definedName>
    <definedName name="__ltc1332">#REF!</definedName>
    <definedName name="__ltc1333">#REF!</definedName>
    <definedName name="__ltc1335">#REF!</definedName>
    <definedName name="__ltc1336">#REF!</definedName>
    <definedName name="__ltc1338">#REF!</definedName>
    <definedName name="__ltc1339">#REF!</definedName>
    <definedName name="__ltc1340">#REF!</definedName>
    <definedName name="__ltc1361">#REF!</definedName>
    <definedName name="__ltc1362">#REF!</definedName>
    <definedName name="__ltc1363">#REF!</definedName>
    <definedName name="__ltc1364">#REF!</definedName>
    <definedName name="__ltc1365">#REF!</definedName>
    <definedName name="__ltc1366">#REF!</definedName>
    <definedName name="__ltc1367">#REF!</definedName>
    <definedName name="__ltc1401">#REF!</definedName>
    <definedName name="__ltc1402">#REF!</definedName>
    <definedName name="__ltc1403">#REF!</definedName>
    <definedName name="__ltc1404">#REF!</definedName>
    <definedName name="__ltc1405">#REF!</definedName>
    <definedName name="__ltc1406">#REF!</definedName>
    <definedName name="__ltc1431">#REF!</definedName>
    <definedName name="__ltc1432">#REF!</definedName>
    <definedName name="__ltc1433">#REF!</definedName>
    <definedName name="__ltc1434">#REF!</definedName>
    <definedName name="__ltc1461">#REF!</definedName>
    <definedName name="__ltc1462">#REF!</definedName>
    <definedName name="__ltc1464">#REF!</definedName>
    <definedName name="__ltc1465">#REF!</definedName>
    <definedName name="__ltc1466">#REF!</definedName>
    <definedName name="__ltc1467">#REF!</definedName>
    <definedName name="__ltc1505">#REF!</definedName>
    <definedName name="__ltc1506">#REF!</definedName>
    <definedName name="__ltc1515">#REF!</definedName>
    <definedName name="__ltc1517">#REF!</definedName>
    <definedName name="__ltc1518">#REF!</definedName>
    <definedName name="__ltc1521">#REF!</definedName>
    <definedName name="__ltc1522">#REF!</definedName>
    <definedName name="__ltc1523">#REF!</definedName>
    <definedName name="__ltc1525">#REF!</definedName>
    <definedName name="__ltc1526">#REF!</definedName>
    <definedName name="__ltc1532">#REF!</definedName>
    <definedName name="__ltc1533">#REF!</definedName>
    <definedName name="__ltc1534">#REF!</definedName>
    <definedName name="__ltc1535">#REF!</definedName>
    <definedName name="__ltc1536">#REF!</definedName>
    <definedName name="__ltc1541">#REF!</definedName>
    <definedName name="__ltc1542">#REF!</definedName>
    <definedName name="__ltc1543">#REF!</definedName>
    <definedName name="__ltc1544">#REF!</definedName>
    <definedName name="__ltc1545">#REF!</definedName>
    <definedName name="__ltc1546">#REF!</definedName>
    <definedName name="__ltc1547">#REF!</definedName>
    <definedName name="__ltc1549">#REF!</definedName>
    <definedName name="__ltc1551">#REF!</definedName>
    <definedName name="__ltc1552">#REF!</definedName>
    <definedName name="__ltc1553">#REF!</definedName>
    <definedName name="__ltc1554">#REF!</definedName>
    <definedName name="__ltc1555">#REF!</definedName>
    <definedName name="__ltc1556">#REF!</definedName>
    <definedName name="__ltc1558">#REF!</definedName>
    <definedName name="__ltc1559">#REF!</definedName>
    <definedName name="__ltc1564">#REF!</definedName>
    <definedName name="__ltc1566">#REF!</definedName>
    <definedName name="__ltc1571">#REF!</definedName>
    <definedName name="__ltc1572">#REF!</definedName>
    <definedName name="__ltc1573">#REF!</definedName>
    <definedName name="__ltc1574">#REF!</definedName>
    <definedName name="__ltc1576">#REF!</definedName>
    <definedName name="__ltc1577">#REF!</definedName>
    <definedName name="__ltc1578">#REF!</definedName>
    <definedName name="__ltc1579">#REF!</definedName>
    <definedName name="__ltc1582">#REF!</definedName>
    <definedName name="__ltc1583">#REF!</definedName>
    <definedName name="__ltc1584">#REF!</definedName>
    <definedName name="__ltc1585">#REF!</definedName>
    <definedName name="__ltc1588">#REF!</definedName>
    <definedName name="__ltc1591">#REF!</definedName>
    <definedName name="__ltc1592">#REF!</definedName>
    <definedName name="__ltc1593">#REF!</definedName>
    <definedName name="__ltc1595">#REF!</definedName>
    <definedName name="__ltc1596">#REF!</definedName>
    <definedName name="__ltc1597">#REF!</definedName>
    <definedName name="__ltc1602">#REF!</definedName>
    <definedName name="__ltc1603">#REF!</definedName>
    <definedName name="__ltc1604">#REF!</definedName>
    <definedName name="__ltc1606">#REF!</definedName>
    <definedName name="__ltc1611">#REF!</definedName>
    <definedName name="__ltc1612">#REF!</definedName>
    <definedName name="__ltc1613">#REF!</definedName>
    <definedName name="__ltc1621">#REF!</definedName>
    <definedName name="__ltc1622">#REF!</definedName>
    <definedName name="__ltc1623">#REF!</definedName>
    <definedName name="__ltc1625">#REF!</definedName>
    <definedName name="__ltc1626">#REF!</definedName>
    <definedName name="__ltc1641">#REF!</definedName>
    <definedName name="__ltc1642">#REF!</definedName>
    <definedName name="__ltc1646">#REF!</definedName>
    <definedName name="__ltc1652">#REF!</definedName>
    <definedName name="__ltc1653">#REF!</definedName>
    <definedName name="__ltc1654">#REF!</definedName>
    <definedName name="__ltc1655">#REF!</definedName>
    <definedName name="__ltc1659">#REF!</definedName>
    <definedName name="__ltc1661">#REF!</definedName>
    <definedName name="__ltc1662">#REF!</definedName>
    <definedName name="__ltc1663">#REF!</definedName>
    <definedName name="__ltc1664">#REF!</definedName>
    <definedName name="__ltc1665">#REF!</definedName>
    <definedName name="__ltc1666">#REF!</definedName>
    <definedName name="__ltc1667">#REF!</definedName>
    <definedName name="__ltc1668">#REF!</definedName>
    <definedName name="__ltc1669">#REF!</definedName>
    <definedName name="__ltc1671">#REF!</definedName>
    <definedName name="__ltc1674">#REF!</definedName>
    <definedName name="__ltc1682">#REF!</definedName>
    <definedName name="__ltc1683">#REF!</definedName>
    <definedName name="__ltc1684">#REF!</definedName>
    <definedName name="__ltc1686">#REF!</definedName>
    <definedName name="__ltc1687">#REF!</definedName>
    <definedName name="__ltc1689">#REF!</definedName>
    <definedName name="__ltc1692">#REF!</definedName>
    <definedName name="__ltc1693">#REF!</definedName>
    <definedName name="__ltc1694">#REF!</definedName>
    <definedName name="__ltc1695">#REF!</definedName>
    <definedName name="__ltc1705">#REF!</definedName>
    <definedName name="__ltc1707">#REF!</definedName>
    <definedName name="__ltc1711">#REF!</definedName>
    <definedName name="__ltc1713">#REF!</definedName>
    <definedName name="__ltc1714">#REF!</definedName>
    <definedName name="__ltc1715">#REF!</definedName>
    <definedName name="__ltc1716">#REF!</definedName>
    <definedName name="__ltc1721">#REF!</definedName>
    <definedName name="__ltc1723">#REF!</definedName>
    <definedName name="__ltc1724">#REF!</definedName>
    <definedName name="__ltc1726">#REF!</definedName>
    <definedName name="__ltc1727">#REF!</definedName>
    <definedName name="__ltc1731">#REF!</definedName>
    <definedName name="__ltc1762">#REF!</definedName>
    <definedName name="__ltc1765">#REF!</definedName>
    <definedName name="__ltc1766">#REF!</definedName>
    <definedName name="__ltc1767">#REF!</definedName>
    <definedName name="__ltc1783">#REF!</definedName>
    <definedName name="__ltc1784">#REF!</definedName>
    <definedName name="__ltc1786">#REF!</definedName>
    <definedName name="__ltc1787">#REF!</definedName>
    <definedName name="__ltc1821">#REF!</definedName>
    <definedName name="__ltc1822">#REF!</definedName>
    <definedName name="__ltc1823">#REF!</definedName>
    <definedName name="__ltc1826">#REF!</definedName>
    <definedName name="__ltc1828">#REF!</definedName>
    <definedName name="__ltc1841">#REF!</definedName>
    <definedName name="__ltc1846">#REF!</definedName>
    <definedName name="__ltc1884">#REF!</definedName>
    <definedName name="__ltc1907">#REF!</definedName>
    <definedName name="__ltc1908">#REF!</definedName>
    <definedName name="__ltc1909">#REF!</definedName>
    <definedName name="__ltc1911">#REF!</definedName>
    <definedName name="__ltc1915">#REF!</definedName>
    <definedName name="__ltc1923">#REF!</definedName>
    <definedName name="__ltc1924">#REF!</definedName>
    <definedName name="__ltc1929">#REF!</definedName>
    <definedName name="__ltc4113">#REF!</definedName>
    <definedName name="__ltc4114">#REF!</definedName>
    <definedName name="__ltc4115">#REF!</definedName>
    <definedName name="__ltc4116">#REF!</definedName>
    <definedName name="__ltc7401">#REF!</definedName>
    <definedName name="__ltc7411">#REF!</definedName>
    <definedName name="__ltc7421">#REF!</definedName>
    <definedName name="__ltc7422">#REF!</definedName>
    <definedName name="__ltc7425">#REF!</definedName>
    <definedName name="__ltc7426">#REF!</definedName>
    <definedName name="__LTD107">#REF!</definedName>
    <definedName name="__nsq195">#REF!</definedName>
    <definedName name="__nsq295">#REF!</definedName>
    <definedName name="__nsq395">#REF!</definedName>
    <definedName name="__nsq495">#REF!</definedName>
    <definedName name="__PFY1">#REF!</definedName>
    <definedName name="__PFY2">#REF!</definedName>
    <definedName name="__PFY3">#REF!</definedName>
    <definedName name="__pg5">#REF!</definedName>
    <definedName name="__pg6">#REF!</definedName>
    <definedName name="__pg7">#REF!</definedName>
    <definedName name="__q3" hidden="1">#REF!</definedName>
    <definedName name="__rev2002">#REF!</definedName>
    <definedName name="__rev2003">#REF!</definedName>
    <definedName name="__rev2004">#REF!</definedName>
    <definedName name="__rev2005">#REF!</definedName>
    <definedName name="__rev2006">#REF!</definedName>
    <definedName name="__STD107">#REF!</definedName>
    <definedName name="__Tax1">#REF!</definedName>
    <definedName name="__vii5">#REF!</definedName>
    <definedName name="_1Purch">#REF!</definedName>
    <definedName name="_2">#REF!</definedName>
    <definedName name="_2Module___Secret_.GoToEnd">#REF!</definedName>
    <definedName name="_2Purch">#REF!</definedName>
    <definedName name="_3_7">#REF!</definedName>
    <definedName name="_3Purch">#REF!</definedName>
    <definedName name="_4Module___Secret_.GoToEnd">#REF!</definedName>
    <definedName name="_5_Yr_Growth">#REF!</definedName>
    <definedName name="_6_7">#REF!</definedName>
    <definedName name="_6Module___Secret_.GoToEnd">#REF!</definedName>
    <definedName name="_9_7">#REF!</definedName>
    <definedName name="_93BE">#REF!</definedName>
    <definedName name="_93DIL">#REF!</definedName>
    <definedName name="_94BE">#REF!</definedName>
    <definedName name="_94DIL">#REF!</definedName>
    <definedName name="_bot1">#REF!</definedName>
    <definedName name="_bot2">#REF!</definedName>
    <definedName name="_CFX91">#REF!</definedName>
    <definedName name="_COMP">#REF!</definedName>
    <definedName name="_COS90">#REF!</definedName>
    <definedName name="_COS91">#REF!</definedName>
    <definedName name="_COS92">#REF!</definedName>
    <definedName name="_cov1">#REF!</definedName>
    <definedName name="_cov2">#REF!</definedName>
    <definedName name="_cov3">#REF!</definedName>
    <definedName name="_cov4">#REF!</definedName>
    <definedName name="_DAT1">#REF!</definedName>
    <definedName name="_DAT2">#REF!</definedName>
    <definedName name="_DAT3">#REF!</definedName>
    <definedName name="_DAT4">#REF!</definedName>
    <definedName name="_DAT5">#REF!</definedName>
    <definedName name="_DAT6">#REF!</definedName>
    <definedName name="_DAT7">#REF!</definedName>
    <definedName name="_DAT8">#REF!</definedName>
    <definedName name="_dcf2">#REF!</definedName>
    <definedName name="_DSO1">#REF!</definedName>
    <definedName name="_DSO2">#REF!</definedName>
    <definedName name="_DSO3">#REF!</definedName>
    <definedName name="_DSO4">#REF!</definedName>
    <definedName name="_EPS91">#REF!</definedName>
    <definedName name="_EPS92">#REF!</definedName>
    <definedName name="_EPS93">#REF!</definedName>
    <definedName name="_eps94">#REF!</definedName>
    <definedName name="_exp2002">#REF!</definedName>
    <definedName name="_exp2003">#REF!</definedName>
    <definedName name="_exp2004">#REF!</definedName>
    <definedName name="_exp2005">#REF!</definedName>
    <definedName name="_exp2006">#REF!</definedName>
    <definedName name="_Fill" hidden="1">#REF!</definedName>
    <definedName name="_gpq195">#REF!</definedName>
    <definedName name="_gpq295">#REF!</definedName>
    <definedName name="_gpq395">#REF!</definedName>
    <definedName name="_gpq495">#REF!</definedName>
    <definedName name="_Key1" hidden="1">#REF!</definedName>
    <definedName name="_ltc1001">#REF!</definedName>
    <definedName name="_ltc1004">#REF!</definedName>
    <definedName name="_ltc1012">#REF!</definedName>
    <definedName name="_ltc1013">#REF!</definedName>
    <definedName name="_ltc1032">#REF!</definedName>
    <definedName name="_ltc1033">#REF!</definedName>
    <definedName name="_ltc1037">#REF!</definedName>
    <definedName name="_ltc1043">#REF!</definedName>
    <definedName name="_ltc1044">#REF!</definedName>
    <definedName name="_ltc1061">#REF!</definedName>
    <definedName name="_ltc1062">#REF!</definedName>
    <definedName name="_ltc1065">#REF!</definedName>
    <definedName name="_ltc1067">#REF!</definedName>
    <definedName name="_ltc1068">#REF!</definedName>
    <definedName name="_ltc1069">#REF!</definedName>
    <definedName name="_ltc1082">#REF!</definedName>
    <definedName name="_ltc1083">#REF!</definedName>
    <definedName name="_ltc1084">#REF!</definedName>
    <definedName name="_ltc1085">#REF!</definedName>
    <definedName name="_ltc1087">#REF!</definedName>
    <definedName name="_ltc1091">#REF!</definedName>
    <definedName name="_ltc1092">#REF!</definedName>
    <definedName name="_ltc1111">#REF!</definedName>
    <definedName name="_ltc1113">#REF!</definedName>
    <definedName name="_ltc1114">#REF!</definedName>
    <definedName name="_ltc11141">#REF!</definedName>
    <definedName name="_ltc1115">#REF!</definedName>
    <definedName name="_ltc1116">#REF!</definedName>
    <definedName name="_ltc1122">#REF!</definedName>
    <definedName name="_ltc1123">#REF!</definedName>
    <definedName name="_ltc1124">#REF!</definedName>
    <definedName name="_ltc1125">#REF!</definedName>
    <definedName name="_ltc1126">#REF!</definedName>
    <definedName name="_ltc1131">#REF!</definedName>
    <definedName name="_ltc1135">#REF!</definedName>
    <definedName name="_ltc1136">#REF!</definedName>
    <definedName name="_ltc1137">#REF!</definedName>
    <definedName name="_ltc1138">#REF!</definedName>
    <definedName name="_ltc1141">#REF!</definedName>
    <definedName name="_ltc1142">#REF!</definedName>
    <definedName name="_ltc1143">#REF!</definedName>
    <definedName name="_ltc1144">#REF!</definedName>
    <definedName name="_ltc1145">#REF!</definedName>
    <definedName name="_ltc1146">#REF!</definedName>
    <definedName name="_ltc1147">#REF!</definedName>
    <definedName name="_ltc1161">#REF!</definedName>
    <definedName name="_ltc1162">#REF!</definedName>
    <definedName name="_ltc1163">#REF!</definedName>
    <definedName name="_ltc1164">#REF!</definedName>
    <definedName name="_ltc1165">#REF!</definedName>
    <definedName name="_ltc1167">#REF!</definedName>
    <definedName name="_ltc1201">#REF!</definedName>
    <definedName name="_ltc1202">#REF!</definedName>
    <definedName name="_ltc1204">#REF!</definedName>
    <definedName name="_ltc1206">#REF!</definedName>
    <definedName name="_ltc1231">#REF!</definedName>
    <definedName name="_ltc1232">#REF!</definedName>
    <definedName name="_ltc1239">#REF!</definedName>
    <definedName name="_ltc1240">#REF!</definedName>
    <definedName name="_ltc1242">#REF!</definedName>
    <definedName name="_ltc1243">#REF!</definedName>
    <definedName name="_ltc1244">#REF!</definedName>
    <definedName name="_ltc1245">#REF!</definedName>
    <definedName name="_ltc1266">#REF!</definedName>
    <definedName name="_ltc1267">#REF!</definedName>
    <definedName name="_ltc1281">#REF!</definedName>
    <definedName name="_ltc1282">#REF!</definedName>
    <definedName name="_ltc1283">#REF!</definedName>
    <definedName name="_ltc1284">#REF!</definedName>
    <definedName name="_ltc1285">#REF!</definedName>
    <definedName name="_ltc1286">#REF!</definedName>
    <definedName name="_ltc1287">#REF!</definedName>
    <definedName name="_ltc1301">#REF!</definedName>
    <definedName name="_ltc1302">#REF!</definedName>
    <definedName name="_ltc1303">#REF!</definedName>
    <definedName name="_ltc1304">#REF!</definedName>
    <definedName name="_ltc1305">#REF!</definedName>
    <definedName name="_ltc1306">#REF!</definedName>
    <definedName name="_ltc1307">#REF!</definedName>
    <definedName name="_ltc1308">#REF!</definedName>
    <definedName name="_ltc1311">#REF!</definedName>
    <definedName name="_ltc1312">#REF!</definedName>
    <definedName name="_ltc1313">#REF!</definedName>
    <definedName name="_ltc1314">#REF!</definedName>
    <definedName name="_ltc1315">#REF!</definedName>
    <definedName name="_ltc1321">#REF!</definedName>
    <definedName name="_ltc1332">#REF!</definedName>
    <definedName name="_ltc1333">#REF!</definedName>
    <definedName name="_ltc1335">#REF!</definedName>
    <definedName name="_ltc1336">#REF!</definedName>
    <definedName name="_ltc1338">#REF!</definedName>
    <definedName name="_ltc1339">#REF!</definedName>
    <definedName name="_ltc1340">#REF!</definedName>
    <definedName name="_ltc1361">#REF!</definedName>
    <definedName name="_ltc1362">#REF!</definedName>
    <definedName name="_ltc1363">#REF!</definedName>
    <definedName name="_ltc1364">#REF!</definedName>
    <definedName name="_ltc1365">#REF!</definedName>
    <definedName name="_ltc1366">#REF!</definedName>
    <definedName name="_ltc1367">#REF!</definedName>
    <definedName name="_ltc1401">#REF!</definedName>
    <definedName name="_ltc1402">#REF!</definedName>
    <definedName name="_ltc1403">#REF!</definedName>
    <definedName name="_ltc1404">#REF!</definedName>
    <definedName name="_ltc1405">#REF!</definedName>
    <definedName name="_ltc1406">#REF!</definedName>
    <definedName name="_ltc1431">#REF!</definedName>
    <definedName name="_ltc1432">#REF!</definedName>
    <definedName name="_ltc1433">#REF!</definedName>
    <definedName name="_ltc1434">#REF!</definedName>
    <definedName name="_ltc1461">#REF!</definedName>
    <definedName name="_ltc1462">#REF!</definedName>
    <definedName name="_ltc1464">#REF!</definedName>
    <definedName name="_ltc1465">#REF!</definedName>
    <definedName name="_ltc1466">#REF!</definedName>
    <definedName name="_ltc1467">#REF!</definedName>
    <definedName name="_ltc1505">#REF!</definedName>
    <definedName name="_ltc1506">#REF!</definedName>
    <definedName name="_ltc1515">#REF!</definedName>
    <definedName name="_ltc1517">#REF!</definedName>
    <definedName name="_ltc1518">#REF!</definedName>
    <definedName name="_ltc1521">#REF!</definedName>
    <definedName name="_ltc1522">#REF!</definedName>
    <definedName name="_ltc1523">#REF!</definedName>
    <definedName name="_ltc1525">#REF!</definedName>
    <definedName name="_ltc1526">#REF!</definedName>
    <definedName name="_ltc1532">#REF!</definedName>
    <definedName name="_ltc1533">#REF!</definedName>
    <definedName name="_ltc1534">#REF!</definedName>
    <definedName name="_ltc1535">#REF!</definedName>
    <definedName name="_ltc1536">#REF!</definedName>
    <definedName name="_ltc1541">#REF!</definedName>
    <definedName name="_ltc1542">#REF!</definedName>
    <definedName name="_ltc1543">#REF!</definedName>
    <definedName name="_ltc1544">#REF!</definedName>
    <definedName name="_ltc1545">#REF!</definedName>
    <definedName name="_ltc1546">#REF!</definedName>
    <definedName name="_ltc1547">#REF!</definedName>
    <definedName name="_ltc1549">#REF!</definedName>
    <definedName name="_ltc1551">#REF!</definedName>
    <definedName name="_ltc1552">#REF!</definedName>
    <definedName name="_ltc1553">#REF!</definedName>
    <definedName name="_ltc1554">#REF!</definedName>
    <definedName name="_ltc1555">#REF!</definedName>
    <definedName name="_ltc1556">#REF!</definedName>
    <definedName name="_ltc1558">#REF!</definedName>
    <definedName name="_ltc1559">#REF!</definedName>
    <definedName name="_ltc1564">#REF!</definedName>
    <definedName name="_ltc1566">#REF!</definedName>
    <definedName name="_ltc1571">#REF!</definedName>
    <definedName name="_ltc1572">#REF!</definedName>
    <definedName name="_ltc1573">#REF!</definedName>
    <definedName name="_ltc1574">#REF!</definedName>
    <definedName name="_ltc1576">#REF!</definedName>
    <definedName name="_ltc1577">#REF!</definedName>
    <definedName name="_ltc1578">#REF!</definedName>
    <definedName name="_ltc1579">#REF!</definedName>
    <definedName name="_ltc1582">#REF!</definedName>
    <definedName name="_ltc1583">#REF!</definedName>
    <definedName name="_ltc1584">#REF!</definedName>
    <definedName name="_ltc1585">#REF!</definedName>
    <definedName name="_ltc1588">#REF!</definedName>
    <definedName name="_ltc1591">#REF!</definedName>
    <definedName name="_ltc1592">#REF!</definedName>
    <definedName name="_ltc1593">#REF!</definedName>
    <definedName name="_ltc1595">#REF!</definedName>
    <definedName name="_ltc1596">#REF!</definedName>
    <definedName name="_ltc1597">#REF!</definedName>
    <definedName name="_ltc1602">#REF!</definedName>
    <definedName name="_ltc1603">#REF!</definedName>
    <definedName name="_ltc1604">#REF!</definedName>
    <definedName name="_ltc1606">#REF!</definedName>
    <definedName name="_ltc1611">#REF!</definedName>
    <definedName name="_ltc1612">#REF!</definedName>
    <definedName name="_ltc1613">#REF!</definedName>
    <definedName name="_ltc1621">#REF!</definedName>
    <definedName name="_ltc1622">#REF!</definedName>
    <definedName name="_ltc1623">#REF!</definedName>
    <definedName name="_ltc1625">#REF!</definedName>
    <definedName name="_ltc1626">#REF!</definedName>
    <definedName name="_ltc1641">#REF!</definedName>
    <definedName name="_ltc1642">#REF!</definedName>
    <definedName name="_ltc1646">#REF!</definedName>
    <definedName name="_ltc1652">#REF!</definedName>
    <definedName name="_ltc1653">#REF!</definedName>
    <definedName name="_ltc1654">#REF!</definedName>
    <definedName name="_ltc1655">#REF!</definedName>
    <definedName name="_ltc1659">#REF!</definedName>
    <definedName name="_ltc1661">#REF!</definedName>
    <definedName name="_ltc1662">#REF!</definedName>
    <definedName name="_ltc1663">#REF!</definedName>
    <definedName name="_ltc1664">#REF!</definedName>
    <definedName name="_ltc1665">#REF!</definedName>
    <definedName name="_ltc1666">#REF!</definedName>
    <definedName name="_ltc1667">#REF!</definedName>
    <definedName name="_ltc1668">#REF!</definedName>
    <definedName name="_ltc1669">#REF!</definedName>
    <definedName name="_ltc1671">#REF!</definedName>
    <definedName name="_ltc1674">#REF!</definedName>
    <definedName name="_ltc1682">#REF!</definedName>
    <definedName name="_ltc1683">#REF!</definedName>
    <definedName name="_ltc1684">#REF!</definedName>
    <definedName name="_ltc1686">#REF!</definedName>
    <definedName name="_ltc1687">#REF!</definedName>
    <definedName name="_ltc1689">#REF!</definedName>
    <definedName name="_ltc1692">#REF!</definedName>
    <definedName name="_ltc1693">#REF!</definedName>
    <definedName name="_ltc1694">#REF!</definedName>
    <definedName name="_ltc1695">#REF!</definedName>
    <definedName name="_ltc1705">#REF!</definedName>
    <definedName name="_ltc1707">#REF!</definedName>
    <definedName name="_ltc1711">#REF!</definedName>
    <definedName name="_ltc1713">#REF!</definedName>
    <definedName name="_ltc1714">#REF!</definedName>
    <definedName name="_ltc1715">#REF!</definedName>
    <definedName name="_ltc1716">#REF!</definedName>
    <definedName name="_ltc1721">#REF!</definedName>
    <definedName name="_ltc1723">#REF!</definedName>
    <definedName name="_ltc1724">#REF!</definedName>
    <definedName name="_ltc1726">#REF!</definedName>
    <definedName name="_ltc1727">#REF!</definedName>
    <definedName name="_ltc1731">#REF!</definedName>
    <definedName name="_ltc1762">#REF!</definedName>
    <definedName name="_ltc1765">#REF!</definedName>
    <definedName name="_ltc1766">#REF!</definedName>
    <definedName name="_ltc1767">#REF!</definedName>
    <definedName name="_ltc1783">#REF!</definedName>
    <definedName name="_ltc1784">#REF!</definedName>
    <definedName name="_ltc1786">#REF!</definedName>
    <definedName name="_ltc1787">#REF!</definedName>
    <definedName name="_ltc1821">#REF!</definedName>
    <definedName name="_ltc1822">#REF!</definedName>
    <definedName name="_ltc1823">#REF!</definedName>
    <definedName name="_ltc1826">#REF!</definedName>
    <definedName name="_ltc1828">#REF!</definedName>
    <definedName name="_ltc1841">#REF!</definedName>
    <definedName name="_ltc1846">#REF!</definedName>
    <definedName name="_ltc1884">#REF!</definedName>
    <definedName name="_ltc1907">#REF!</definedName>
    <definedName name="_ltc1908">#REF!</definedName>
    <definedName name="_ltc1909">#REF!</definedName>
    <definedName name="_ltc1911">#REF!</definedName>
    <definedName name="_ltc1915">#REF!</definedName>
    <definedName name="_ltc1923">#REF!</definedName>
    <definedName name="_ltc1924">#REF!</definedName>
    <definedName name="_ltc1929">#REF!</definedName>
    <definedName name="_ltc4113">#REF!</definedName>
    <definedName name="_ltc4114">#REF!</definedName>
    <definedName name="_ltc4115">#REF!</definedName>
    <definedName name="_ltc4116">#REF!</definedName>
    <definedName name="_ltc7401">#REF!</definedName>
    <definedName name="_ltc7411">#REF!</definedName>
    <definedName name="_ltc7421">#REF!</definedName>
    <definedName name="_ltc7422">#REF!</definedName>
    <definedName name="_ltc7425">#REF!</definedName>
    <definedName name="_ltc7426">#REF!</definedName>
    <definedName name="_LTD107">#REF!</definedName>
    <definedName name="_nsq195">#REF!</definedName>
    <definedName name="_nsq295">#REF!</definedName>
    <definedName name="_nsq395">#REF!</definedName>
    <definedName name="_nsq495">#REF!</definedName>
    <definedName name="_Order1" hidden="1">255</definedName>
    <definedName name="_Order2" hidden="1">255</definedName>
    <definedName name="_P00baladj">#REF!</definedName>
    <definedName name="_P00feeamort">#REF!</definedName>
    <definedName name="_P00fees">#REF!</definedName>
    <definedName name="_P00incassum">#REF!</definedName>
    <definedName name="_P00summary">#REF!</definedName>
    <definedName name="_PFY1">#REF!</definedName>
    <definedName name="_PFY2">#REF!</definedName>
    <definedName name="_PFY3">#REF!</definedName>
    <definedName name="_pg5">#REF!</definedName>
    <definedName name="_pg6">#REF!</definedName>
    <definedName name="_pg7">#REF!</definedName>
    <definedName name="_q3" hidden="1">#REF!</definedName>
    <definedName name="_Report">"model"</definedName>
    <definedName name="_rev2002">#REF!</definedName>
    <definedName name="_rev2003">#REF!</definedName>
    <definedName name="_rev2004">#REF!</definedName>
    <definedName name="_rev2005">#REF!</definedName>
    <definedName name="_rev2006">#REF!</definedName>
    <definedName name="_S_Base" localSheetId="1">{0.1;0;0.382758620689655;0;0;0;0.258620689655172;0;0.258620689655172}</definedName>
    <definedName name="_S_Base" localSheetId="0">{0.1;0;0.382758620689655;0;0;0;0.258620689655172;0;0.258620689655172}</definedName>
    <definedName name="_S_Base">{0.1;0;0.382758620689655;0;0;0;0.258620689655172;0;0.258620689655172}</definedName>
    <definedName name="_S_new_case" localSheetId="1">{0.1;0;0.45;0;0;0;0;0;0.45}</definedName>
    <definedName name="_S_new_case" localSheetId="0">{0.1;0;0.45;0;0;0;0;0;0.45}</definedName>
    <definedName name="_S_new_case">{0.1;0;0.45;0;0;0;0;0;0.45}</definedName>
    <definedName name="_SBaseRef">#REF!</definedName>
    <definedName name="_Sort" hidden="1">#REF!</definedName>
    <definedName name="_STD107">#REF!</definedName>
    <definedName name="_Table1_Out" hidden="1">#REF!</definedName>
    <definedName name="_Table2_In2" hidden="1">#REF!</definedName>
    <definedName name="_Table2_Out" hidden="1">#REF!</definedName>
    <definedName name="_Tax1">#REF!</definedName>
    <definedName name="_TAX90">#REF!</definedName>
    <definedName name="_vii5">#REF!</definedName>
    <definedName name="_Zaaleswork" localSheetId="1">{0;0;0;0;1;#N/A;0.25;0.25;0.5;0.25;2;FALSE;FALSE;FALSE;FALSE;FALSE;#N/A;1;72;#N/A;#N/A;"&amp;L&amp;7 RAMIBD04\GROUPS\M&amp;A\GORMAN\SPONSORS\MODEL\NEWMOD_1.XLS -- &amp;D, &amp;T -- Page &amp;P of &amp;N
&amp;7";"&amp;R&amp;""Times New Roman,Italic""&amp;7&amp;F; &amp;D; &amp;T; page &amp;P of &amp;N"}</definedName>
    <definedName name="_Zaaleswork" localSheetId="0">{0;0;0;0;1;#N/A;0.25;0.25;0.5;0.25;2;FALSE;FALSE;FALSE;FALSE;FALSE;#N/A;1;72;#N/A;#N/A;"&amp;L&amp;7 RAMIBD04\GROUPS\M&amp;A\GORMAN\SPONSORS\MODEL\NEWMOD_1.XLS -- &amp;D, &amp;T -- Page &amp;P of &amp;N
&amp;7";"&amp;R&amp;""Times New Roman,Italic""&amp;7&amp;F; &amp;D; &amp;T; page &amp;P of &amp;N"}</definedName>
    <definedName name="_Zaaleswork">{0;0;0;0;1;#N/A;0.25;0.25;0.5;0.25;2;FALSE;FALSE;FALSE;FALSE;FALSE;#N/A;1;72;#N/A;#N/A;"&amp;L&amp;7 RAMIBD04\GROUPS\M&amp;A\GORMAN\SPONSORS\MODEL\NEWMOD_1.XLS -- &amp;D, &amp;T -- Page &amp;P of &amp;N
&amp;7";"&amp;R&amp;""Times New Roman,Italic""&amp;7&amp;F; &amp;D; &amp;T; page &amp;P of &amp;N"}</definedName>
    <definedName name="_Zbaladj" localSheetId="1">{0;0;0;0;1;1;0;0;0;0;2;FALSE;FALSE;FALSE;FALSE;FALSE;#N/A;1;#N/A;1;1;"";""}</definedName>
    <definedName name="_Zbaladj" localSheetId="0">{0;0;0;0;1;1;0;0;0;0;2;FALSE;FALSE;FALSE;FALSE;FALSE;#N/A;1;#N/A;1;1;"";""}</definedName>
    <definedName name="_Zbaladj">{0;0;0;0;1;1;0;0;0;0;2;FALSE;FALSE;FALSE;FALSE;FALSE;#N/A;1;#N/A;1;1;"";""}</definedName>
    <definedName name="_ZEV" localSheetId="1">{0;0;0;0;1;#N/A;0.75;0.75;1;1;1;FALSE;FALSE;FALSE;FALSE;FALSE;#N/A;1;100;#N/A;#N/A;"&amp;A";"Page &amp;P"}</definedName>
    <definedName name="_ZEV" localSheetId="0">{0;0;0;0;1;#N/A;0.75;0.75;1;1;1;FALSE;FALSE;FALSE;FALSE;FALSE;#N/A;1;100;#N/A;#N/A;"&amp;A";"Page &amp;P"}</definedName>
    <definedName name="_ZEV">{0;0;0;0;1;#N/A;0.75;0.75;1;1;1;FALSE;FALSE;FALSE;FALSE;FALSE;#N/A;1;100;#N/A;#N/A;"&amp;A";"Page &amp;P"}</definedName>
    <definedName name="_Zmodel" localSheetId="1">{0;0;0;0;1;1;0.25;0.25;0.75;0.25;2;FALSE;FALSE;FALSE;FALSE;FALSE;#N/A;1;75;#N/A;#N/A;"";""}</definedName>
    <definedName name="_Zmodel" localSheetId="0">{0;0;0;0;1;1;0.25;0.25;0.75;0.25;2;FALSE;FALSE;FALSE;FALSE;FALSE;#N/A;1;75;#N/A;#N/A;"";""}</definedName>
    <definedName name="_Zmodel">{0;0;0;0;1;1;0.25;0.25;0.75;0.25;2;FALSE;FALSE;FALSE;FALSE;FALSE;#N/A;1;75;#N/A;#N/A;"";""}</definedName>
    <definedName name="_Zsummary" localSheetId="1">{0;0;0;0;1;1;0.85;0.87;0.5;0.5;1;FALSE;FALSE;FALSE;FALSE;FALSE;#N/A;1;100;#N/A;#N/A;"";""}</definedName>
    <definedName name="_Zsummary" localSheetId="0">{0;0;0;0;1;1;0.85;0.87;0.5;0.5;1;FALSE;FALSE;FALSE;FALSE;FALSE;#N/A;1;100;#N/A;#N/A;"";""}</definedName>
    <definedName name="_Zsummary">{0;0;0;0;1;1;0.85;0.87;0.5;0.5;1;FALSE;FALSE;FALSE;FALSE;FALSE;#N/A;1;100;#N/A;#N/A;"";""}</definedName>
    <definedName name="_Zwhole_model" localSheetId="1">{0;0;0;0;1;1;0.25;0;0.75;0.5;2;FALSE;FALSE;FALSE;FALSE;FALSE;#N/A;1;77;#N/A;#N/A;"";""}</definedName>
    <definedName name="_Zwhole_model" localSheetId="0">{0;0;0;0;1;1;0.25;0;0.75;0.5;2;FALSE;FALSE;FALSE;FALSE;FALSE;#N/A;1;77;#N/A;#N/A;"";""}</definedName>
    <definedName name="_Zwhole_model">{0;0;0;0;1;1;0.25;0;0.75;0.5;2;FALSE;FALSE;FALSE;FALSE;FALSE;#N/A;1;77;#N/A;#N/A;"";""}</definedName>
    <definedName name="_Zwholemodel" localSheetId="1">{0;0;0;0;1;1;0.25;0;0.75;0.5;2;FALSE;FALSE;FALSE;FALSE;FALSE;#N/A;1;77;#N/A;#N/A;"";""}</definedName>
    <definedName name="_Zwholemodel" localSheetId="0">{0;0;0;0;1;1;0.25;0;0.75;0.5;2;FALSE;FALSE;FALSE;FALSE;FALSE;#N/A;1;77;#N/A;#N/A;"";""}</definedName>
    <definedName name="_Zwholemodel">{0;0;0;0;1;1;0.25;0;0.75;0.5;2;FALSE;FALSE;FALSE;FALSE;FALSE;#N/A;1;77;#N/A;#N/A;"";""}</definedName>
    <definedName name="a">#N/A</definedName>
    <definedName name="aa">#N/A</definedName>
    <definedName name="AAA_DOCTOPS" hidden="1">"AAA_SET"</definedName>
    <definedName name="AAA_duser" hidden="1">"OFF"</definedName>
    <definedName name="AAAAA">#N/A</definedName>
    <definedName name="AAAAAAA">#REF!</definedName>
    <definedName name="AAAAAAAA">#N/A</definedName>
    <definedName name="AAAAAAAAA">#REF!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abc" localSheetId="1" hidden="1">{"Assets",#N/A,FALSE,"Balance Sheet";"Liabilities",#N/A,FALSE,"Balance Sheet"}</definedName>
    <definedName name="abc" localSheetId="0" hidden="1">{"Assets",#N/A,FALSE,"Balance Sheet";"Liabilities",#N/A,FALSE,"Balance Sheet"}</definedName>
    <definedName name="abc" hidden="1">{"Assets",#N/A,FALSE,"Balance Sheet";"Liabilities",#N/A,FALSE,"Balance Sheet"}</definedName>
    <definedName name="Account_Description">#REF!</definedName>
    <definedName name="ACCR93">#REF!</definedName>
    <definedName name="ACCR94">#REF!</definedName>
    <definedName name="ACCR95">#REF!</definedName>
    <definedName name="ACQ">#REF!</definedName>
    <definedName name="AcqLboProjection">#REF!</definedName>
    <definedName name="acquirer">#REF!</definedName>
    <definedName name="acquiror">#REF!</definedName>
    <definedName name="Active_User_Profile">#REF!</definedName>
    <definedName name="Active_Users">#REF!</definedName>
    <definedName name="ACwvu.Client._.Profile.">#REF!</definedName>
    <definedName name="ACwvu.Rate._.Table.">#REF!</definedName>
    <definedName name="ACwvu.Revenue.">#REF!</definedName>
    <definedName name="AddComp">#REF!</definedName>
    <definedName name="adfadsf">#REF!</definedName>
    <definedName name="AdjustedEPSPrimary">#REF!</definedName>
    <definedName name="AdjustedNetIncome">#REF!</definedName>
    <definedName name="AdjustedPretaxIncome">#REF!</definedName>
    <definedName name="AdjustmentsToPTI">#REF!</definedName>
    <definedName name="AdjustmentsToTaxes">#REF!</definedName>
    <definedName name="admin">#REF!</definedName>
    <definedName name="adsa">#REF!</definedName>
    <definedName name="albersrent">#REF!</definedName>
    <definedName name="all_size2adtv">#REF!</definedName>
    <definedName name="allcash">#REF!</definedName>
    <definedName name="AllCells">#REF!</definedName>
    <definedName name="AllErrors">#REF!</definedName>
    <definedName name="alt_boxsize">#REF!</definedName>
    <definedName name="Americas">#N/A</definedName>
    <definedName name="AMORT">#REF!</definedName>
    <definedName name="amount">#REF!</definedName>
    <definedName name="AmountV">#REF!</definedName>
    <definedName name="an">#REF!,#REF!,#REF!,#REF!</definedName>
    <definedName name="angellrent">#REF!</definedName>
    <definedName name="ANNUAL">#REF!</definedName>
    <definedName name="another">#REF!,#REF!,#REF!,#REF!</definedName>
    <definedName name="anscount" hidden="1">1</definedName>
    <definedName name="AP">#REF!</definedName>
    <definedName name="April2">#REF!</definedName>
    <definedName name="aq">#REF!</definedName>
    <definedName name="AR">#REF!</definedName>
    <definedName name="ARFCST91">#REF!</definedName>
    <definedName name="as" localSheetId="1" hidden="1">{#N/A,#N/A,FALSE,"Assumptions";#N/A,#N/A,FALSE,"N-IS-Sum";#N/A,#N/A,FALSE,"N-St-Sum";#N/A,#N/A,FALSE,"Inc Stmt";#N/A,#N/A,FALSE,"Stats"}</definedName>
    <definedName name="as" localSheetId="0" hidden="1">{#N/A,#N/A,FALSE,"Assumptions";#N/A,#N/A,FALSE,"N-IS-Sum";#N/A,#N/A,FALSE,"N-St-Sum";#N/A,#N/A,FALSE,"Inc Stmt";#N/A,#N/A,FALSE,"Stats"}</definedName>
    <definedName name="as" hidden="1">{#N/A,#N/A,FALSE,"Assumptions";#N/A,#N/A,FALSE,"N-IS-Sum";#N/A,#N/A,FALSE,"N-St-Sum";#N/A,#N/A,FALSE,"Inc Stmt";#N/A,#N/A,FALSE,"Stats"}</definedName>
    <definedName name="AS2DocOpenMode" hidden="1">"AS2DocumentEdit"</definedName>
    <definedName name="asdf">#REF!</definedName>
    <definedName name="asf">#REF!</definedName>
    <definedName name="asia">#REF!</definedName>
    <definedName name="asp">#REF!</definedName>
    <definedName name="ASSET">#N/A</definedName>
    <definedName name="AssocProd1">#REF!</definedName>
    <definedName name="AssocProd2">#REF!</definedName>
    <definedName name="AssocProd3">#REF!</definedName>
    <definedName name="AssocProd4">#REF!</definedName>
    <definedName name="AssocRate1">#REF!</definedName>
    <definedName name="AssocRate2">#REF!</definedName>
    <definedName name="AssocRate3">#REF!</definedName>
    <definedName name="AssocRate4">#REF!</definedName>
    <definedName name="Assumptions">#REF!</definedName>
    <definedName name="asum1">#REF!</definedName>
    <definedName name="asum2">#REF!</definedName>
    <definedName name="ASUM3">#REF!</definedName>
    <definedName name="Aug94vs_plan">#REF!</definedName>
    <definedName name="August">#REF!</definedName>
    <definedName name="August2">#REF!</definedName>
    <definedName name="AutoDestruct.AutoDestruct">#REF!</definedName>
    <definedName name="AverageDaysInventory">#REF!</definedName>
    <definedName name="AverageDaysPayable">#REF!</definedName>
    <definedName name="AverageDSO">#REF!</definedName>
    <definedName name="AverageInvTurns">#REF!</definedName>
    <definedName name="AverageNWC">#REF!</definedName>
    <definedName name="AVG_DEAL">#REF!</definedName>
    <definedName name="b">#N/A</definedName>
    <definedName name="BACK_A">#REF!</definedName>
    <definedName name="BadDebtYTD04">#REF!</definedName>
    <definedName name="baladj">#REF!</definedName>
    <definedName name="BALSH90">#REF!</definedName>
    <definedName name="BALSH91">#REF!</definedName>
    <definedName name="BALSH92">#REF!</definedName>
    <definedName name="BALSHT">#REF!</definedName>
    <definedName name="barnettrent">#REF!</definedName>
    <definedName name="BaseLocal">#REF!</definedName>
    <definedName name="BaseYear">#REF!</definedName>
    <definedName name="Bengal3_EPS_DataTable_Horizontal">#REF!</definedName>
    <definedName name="Bengal3_EPS_DataTable_Vertical">#REF!</definedName>
    <definedName name="BEPT93">#REF!</definedName>
    <definedName name="BEPT94">#REF!</definedName>
    <definedName name="BEPT95">#REF!</definedName>
    <definedName name="beta">#REF!</definedName>
    <definedName name="blank">#REF!</definedName>
    <definedName name="BlkPreSnd">#REF!</definedName>
    <definedName name="BlkRegSnd">#REF!</definedName>
    <definedName name="blue">#REF!</definedName>
    <definedName name="bndcasenumber">#REF!</definedName>
    <definedName name="boardrpt">#REF!,#REF!</definedName>
    <definedName name="bot">#REF!</definedName>
    <definedName name="BOTCOPY">#REF!</definedName>
    <definedName name="BOTSEG">#REF!</definedName>
    <definedName name="BreakPeriodDate">#REF!</definedName>
    <definedName name="BS">#REF!</definedName>
    <definedName name="BS_00_01_02">#REF!</definedName>
    <definedName name="BSCVALUATION">#REF!</definedName>
    <definedName name="BSCVALUATION2">#REF!</definedName>
    <definedName name="budinc">#REF!</definedName>
    <definedName name="Bus.Seg.">#REF!</definedName>
    <definedName name="CACI">#REF!</definedName>
    <definedName name="Calc">#REF!</definedName>
    <definedName name="Calendar">#REF!</definedName>
    <definedName name="CalendarPE">#REF!</definedName>
    <definedName name="cap">#REF!</definedName>
    <definedName name="cap_table">#REF!</definedName>
    <definedName name="Capex">#REF!</definedName>
    <definedName name="Capex1SPCD">#REF!</definedName>
    <definedName name="Capex2LABEL">#REF!</definedName>
    <definedName name="Capex3IMAGING">#REF!</definedName>
    <definedName name="capexgrowth">#REF!</definedName>
    <definedName name="Capital_Committed">#REF!</definedName>
    <definedName name="CapitalStructScenario">#REF!</definedName>
    <definedName name="capnumber">#REF!</definedName>
    <definedName name="CapStructScen">#REF!</definedName>
    <definedName name="CapStructScenario">#REF!</definedName>
    <definedName name="careagerent">#REF!</definedName>
    <definedName name="carerent">#REF!</definedName>
    <definedName name="CarryRate">#REF!</definedName>
    <definedName name="CASE">#REF!</definedName>
    <definedName name="case2">#REF!</definedName>
    <definedName name="casename">#REF!</definedName>
    <definedName name="casenumber">#REF!</definedName>
    <definedName name="cash">#REF!</definedName>
    <definedName name="CashFlow">#REF!</definedName>
    <definedName name="CASHFLOW2">#REF!</definedName>
    <definedName name="Category">#REF!</definedName>
    <definedName name="Category__Investment_Café">#REF!</definedName>
    <definedName name="CB">#REF!</definedName>
    <definedName name="cb_sChart10D6460A_opts" hidden="1">"1, 1, 1, False, 2, True, False, , 0, False, False, 1, 1"</definedName>
    <definedName name="cb_sChart10D65256_opts" hidden="1">"1, 1, 1, False, 2, True, False, , 0, False, False, 1, 1"</definedName>
    <definedName name="cb_sChart10D653EB_opts" hidden="1">"1, 1, 1, False, 2, True, False, , 0, False, False, 1, 1"</definedName>
    <definedName name="cb_sChart10D65893_opts" hidden="1">"1, 1, 1, False, 2, True, False, , 0, False, False, 1, 1"</definedName>
    <definedName name="cb_sChartEE4CE1B_opts" hidden="1">"1, 4, 1, False, 2, False, False, , 0, False, False, 1, 1"</definedName>
    <definedName name="cb_sChartEE4CF99_opts" hidden="1">"1, 1, 1, False, 2, False, False, , 0, False, False, 1, 1"</definedName>
    <definedName name="cb_sChartEE4DD06_opts" hidden="1">"1, 1, 1, False, 2, False, False, , 0, False, False, 1, 2"</definedName>
    <definedName name="cb_sChartEE4E93B_opts" hidden="1">"1, 1, 1, False, 2, False, False, , 0, False, False, 1, 1"</definedName>
    <definedName name="cb_sChartEE51E95_opts" hidden="1">"1, 1, 1, False, 2, False, False, , 0, False, False, 1, 1"</definedName>
    <definedName name="cb_sChartEED7645_opts" hidden="1">"1, 1, 1, False, 2, False, False, , 0, False, False, 1, 1"</definedName>
    <definedName name="cb_sChartEEDA195_opts" hidden="1">"1, 1, 1, False, 2, False, False, , 0, False, False, 1, 1"</definedName>
    <definedName name="cb_sChartEEDC338_opts" hidden="1">"1, 1, 1, False, 2, False, False, , 0, False, False, 1, 1"</definedName>
    <definedName name="cb_sChartEEDEDB8_opts" hidden="1">"1, 1, 1, False, 2, False, False, , 0, False, True, 1, 1"</definedName>
    <definedName name="cb_sChartEEDEE5A_opts" hidden="1">"1, 3, 1, False, 2, True, False, , 0, False, True, 1, 1"</definedName>
    <definedName name="cb_sChartEEDF178_opts" hidden="1">"1, 3, 1, False, 2, False, False, , 0, False, True, 1, 1"</definedName>
    <definedName name="cb_sChartF6A6B11_opts" hidden="1">"1, 1, 1, False, 2, True, False, , 0, False, False, 1, 1"</definedName>
    <definedName name="cb_sChartFD191DC_opts" hidden="1">"1, 3, 1, False, 2, True, False, , 0, False, True, 1, 1"</definedName>
    <definedName name="cb_sChartFD1A245_opts" hidden="1">"1, 3, 1, False, 2, True, False, , 0, False, True, 1, 1"</definedName>
    <definedName name="cb_sChartFD3F0E9_opts" hidden="1">"1, 3, 1, False, 2, True, False, , 0, False, False, 1, 1"</definedName>
    <definedName name="cb_sChartFD3F27E_opts" hidden="1">"1, 3, 1, False, 2, True, False, , 0, False, True, 1, 1"</definedName>
    <definedName name="cb_sChartFD58483_opts" hidden="1">"1, 1, 1, False, 2, True, False, , 0, False, False, 1, 1"</definedName>
    <definedName name="cb_sChartFD5C4CD_opts" hidden="1">"1, 1, 1, False, 2, True, False, , 0, False, False, 1, 1"</definedName>
    <definedName name="cb_sChartFD5D4CE_opts" hidden="1">"1, 1, 1, False, 2, True, False, , 0, False, False, 1, 1"</definedName>
    <definedName name="cb_sChartFD5DF34_opts" hidden="1">"1, 1, 1, False, 2, True, False, , 0, False, False, 1, 1"</definedName>
    <definedName name="cb_sChartFD5EFC0_opts" hidden="1">"1, 1, 1, False, 2, True, False, , 0, False, False, 1, 1"</definedName>
    <definedName name="cb_sChartFD5FDB9_opts" hidden="1">"1, 1, 1, False, 2, True, False, , 0, False, False, 1, 1"</definedName>
    <definedName name="cb_sChartFE54712_opts" hidden="1">"1, 3, 1, False, 2, True, False, , 0, False, True, 1, 1"</definedName>
    <definedName name="cbs">#REF!</definedName>
    <definedName name="CC_Case">#REF!</definedName>
    <definedName name="Cell_1">#REF!</definedName>
    <definedName name="CF_00_01_02">#REF!</definedName>
    <definedName name="CFSUM">#REF!</definedName>
    <definedName name="ch">#N/A</definedName>
    <definedName name="ChangeNWC">#REF!</definedName>
    <definedName name="CHANGES">#N/A</definedName>
    <definedName name="chart">"Chart 1"</definedName>
    <definedName name="ChartCaptions">#REF!</definedName>
    <definedName name="ChartingArea">#REF!,#REF!</definedName>
    <definedName name="ChartingLabels">#REF!</definedName>
    <definedName name="Check">#REF!</definedName>
    <definedName name="Chem_00_01_02">#REF!</definedName>
    <definedName name="Choices_Wrapper">#N/A</definedName>
    <definedName name="CIPS">#N/A</definedName>
    <definedName name="CIQWBGuid" hidden="1">"15dbcf0f-8ddd-4e0d-8bfb-566d106797d3"</definedName>
    <definedName name="circ">#REF!</definedName>
    <definedName name="CliBlkPre">#REF!</definedName>
    <definedName name="CliBlkReg">#REF!</definedName>
    <definedName name="Client">#REF!</definedName>
    <definedName name="Client_Company_Profile">#REF!</definedName>
    <definedName name="CliMsgTotDols">#REF!</definedName>
    <definedName name="CliMsgTotUnits">#REF!</definedName>
    <definedName name="CliPdrPre">#REF!</definedName>
    <definedName name="CliPdrReg">#REF!</definedName>
    <definedName name="clipperrent">#REF!</definedName>
    <definedName name="CliTotRev">#REF!</definedName>
    <definedName name="ClosingDate">#REF!</definedName>
    <definedName name="ClosingPrice">#REF!</definedName>
    <definedName name="CMonth" localSheetId="1">MONTH(FOM)</definedName>
    <definedName name="CMonth" localSheetId="0">MONTH(FOM)</definedName>
    <definedName name="CMonth">MONTH(FOM)</definedName>
    <definedName name="CmpCode">#REF!</definedName>
    <definedName name="COA">#REF!</definedName>
    <definedName name="COGS">#REF!</definedName>
    <definedName name="col">#REF!</definedName>
    <definedName name="com_scale">#REF!</definedName>
    <definedName name="Commit.">#N/A</definedName>
    <definedName name="CommitmentsABC">#N/A</definedName>
    <definedName name="CommitmentsJosh">#N/A</definedName>
    <definedName name="CommonEquity">#REF!</definedName>
    <definedName name="CommonOutstanding">#REF!</definedName>
    <definedName name="Commtments">#N/A</definedName>
    <definedName name="Company">#REF!</definedName>
    <definedName name="Company_Name">"Cavalier Homes, Inc."</definedName>
    <definedName name="CompanyName">#REF!</definedName>
    <definedName name="CompanyOverview1">#REF!</definedName>
    <definedName name="CompanyOverview2">#REF!</definedName>
    <definedName name="CompanyOverview3">#REF!</definedName>
    <definedName name="CompanyOverview4">#REF!</definedName>
    <definedName name="CompanyOverview5">#REF!</definedName>
    <definedName name="Compounding">#REF!</definedName>
    <definedName name="COMPS">#REF!</definedName>
    <definedName name="consol" localSheetId="1" hidden="1">{"Assets",#N/A,FALSE,"Balance Sheet";"Liabilities",#N/A,FALSE,"Balance Sheet"}</definedName>
    <definedName name="consol" localSheetId="0" hidden="1">{"Assets",#N/A,FALSE,"Balance Sheet";"Liabilities",#N/A,FALSE,"Balance Sheet"}</definedName>
    <definedName name="consol" hidden="1">{"Assets",#N/A,FALSE,"Balance Sheet";"Liabilities",#N/A,FALSE,"Balance Sheet"}</definedName>
    <definedName name="contingency">#REF!</definedName>
    <definedName name="ContractAllowance">#REF!</definedName>
    <definedName name="converts">#REF!</definedName>
    <definedName name="Copy">#REF!</definedName>
    <definedName name="COPYBOT">#REF!</definedName>
    <definedName name="COPYTOP">#REF!</definedName>
    <definedName name="corp">#REF!</definedName>
    <definedName name="cost">#REF!</definedName>
    <definedName name="Cost_Calc">#REF!</definedName>
    <definedName name="Cost_of_sales_98_9">#REF!</definedName>
    <definedName name="Costs">#REF!</definedName>
    <definedName name="cov">#REF!</definedName>
    <definedName name="covg1">#REF!</definedName>
    <definedName name="covg2">#REF!</definedName>
    <definedName name="covg3">#REF!</definedName>
    <definedName name="cpi">#REF!</definedName>
    <definedName name="CPRating">#REF!</definedName>
    <definedName name="crap">#REF!</definedName>
    <definedName name="crate">#REF!</definedName>
    <definedName name="crestwoodrent">#REF!</definedName>
    <definedName name="_xlnm.Criteria">#REF!</definedName>
    <definedName name="CSHFL90">#REF!</definedName>
    <definedName name="CSHFL91">#REF!</definedName>
    <definedName name="CSHFL92">#REF!</definedName>
    <definedName name="CurCode">#REF!</definedName>
    <definedName name="CURQ">#REF!</definedName>
    <definedName name="Currency">#REF!</definedName>
    <definedName name="CurrentAssets">#REF!</definedName>
    <definedName name="CurrentDistributions">#REF!</definedName>
    <definedName name="CurrentError">#REF!</definedName>
    <definedName name="CurrentHoldingsMV">#REF!</definedName>
    <definedName name="CurrentHoldingsPartnership">#REF!</definedName>
    <definedName name="CurrentIRR">#REF!</definedName>
    <definedName name="CurrentLiabilities">#REF!</definedName>
    <definedName name="CurrentRatio">#REF!</definedName>
    <definedName name="CurrentTotalFees">#REF!</definedName>
    <definedName name="CurrentTotalTakeDown">#REF!</definedName>
    <definedName name="CurrentValuation">#REF!</definedName>
    <definedName name="cyeps93">#REF!</definedName>
    <definedName name="cyeps94">#REF!</definedName>
    <definedName name="cyeps95">#REF!</definedName>
    <definedName name="cyeps96">#REF!</definedName>
    <definedName name="cyeps97">#REF!</definedName>
    <definedName name="CYEPSGrowth">#REF!</definedName>
    <definedName name="cyrev93">#REF!</definedName>
    <definedName name="cyrev94">#REF!</definedName>
    <definedName name="cyrev95">#REF!</definedName>
    <definedName name="cyrev96">#REF!</definedName>
    <definedName name="cyrev97">#REF!</definedName>
    <definedName name="d">#REF!,#REF!,#REF!,#REF!</definedName>
    <definedName name="dance">#REF!</definedName>
    <definedName name="dash">#REF!</definedName>
    <definedName name="data_all">#REF!</definedName>
    <definedName name="data_table">#REF!</definedName>
    <definedName name="DataThrough">#REF!</definedName>
    <definedName name="DATE">#REF!</definedName>
    <definedName name="Date2">#REF!</definedName>
    <definedName name="Date3">#REF!</definedName>
    <definedName name="DATEOUT">#REF!</definedName>
    <definedName name="dates">#REF!</definedName>
    <definedName name="david">#REF!,#REF!,#REF!,#REF!,#REF!,#REF!,#REF!</definedName>
    <definedName name="DAYS360">#REF!</definedName>
    <definedName name="DaysInventory">#REF!</definedName>
    <definedName name="DaysPayable">#REF!</definedName>
    <definedName name="DCF_AREA">#REF!</definedName>
    <definedName name="DCF_IN_LBO">#REF!</definedName>
    <definedName name="DCFBase">#REF!</definedName>
    <definedName name="ddd" hidden="1">#REF!</definedName>
    <definedName name="dddd" hidden="1">#REF!</definedName>
    <definedName name="DEAL_NAME">#REF!</definedName>
    <definedName name="DEAL_SIZE">#REF!</definedName>
    <definedName name="DEAL_TIMING">#REF!</definedName>
    <definedName name="dealer_proj">#REF!</definedName>
    <definedName name="dealfee">#REF!</definedName>
    <definedName name="December">#REF!</definedName>
    <definedName name="December2">#REF!</definedName>
    <definedName name="DeferredTaxes">#REF!</definedName>
    <definedName name="DeNovoInputs1">#REF!</definedName>
    <definedName name="DeNovoInputs2">#REF!</definedName>
    <definedName name="DeNovoInputs3">#REF!</definedName>
    <definedName name="DeNovoInputs4">#REF!</definedName>
    <definedName name="dep">#REF!</definedName>
    <definedName name="Deprec_00_01_02">#REF!</definedName>
    <definedName name="DEPRECAMORT">#REF!</definedName>
    <definedName name="Depreciation">#REF!</definedName>
    <definedName name="DepreciationYTD03">#REF!</definedName>
    <definedName name="DepreciationYTD04">#REF!</definedName>
    <definedName name="DESCRIPT">#REF!</definedName>
    <definedName name="detail">#REF!</definedName>
    <definedName name="detail_by_bus_unit">#REF!</definedName>
    <definedName name="Details">#REF!</definedName>
    <definedName name="Details2">#REF!</definedName>
    <definedName name="Details3">#REF!</definedName>
    <definedName name="Details4">#REF!</definedName>
    <definedName name="Details5">#REF!</definedName>
    <definedName name="details6">#REF!</definedName>
    <definedName name="Detials2">#REF!</definedName>
    <definedName name="dfd" localSheetId="1" hidden="1">{#N/A,#N/A,FALSE,"Assumptions";#N/A,#N/A,FALSE,"N-IS-Sum";#N/A,#N/A,FALSE,"N-St-Sum";#N/A,#N/A,FALSE,"Inc Stmt";#N/A,#N/A,FALSE,"Stats"}</definedName>
    <definedName name="dfd" localSheetId="0" hidden="1">{#N/A,#N/A,FALSE,"Assumptions";#N/A,#N/A,FALSE,"N-IS-Sum";#N/A,#N/A,FALSE,"N-St-Sum";#N/A,#N/A,FALSE,"Inc Stmt";#N/A,#N/A,FALSE,"Stats"}</definedName>
    <definedName name="dfd" hidden="1">{#N/A,#N/A,FALSE,"Assumptions";#N/A,#N/A,FALSE,"N-IS-Sum";#N/A,#N/A,FALSE,"N-St-Sum";#N/A,#N/A,FALSE,"Inc Stmt";#N/A,#N/A,FALSE,"Stats"}</definedName>
    <definedName name="DFG" localSheetId="1" hidden="1">{#N/A,#N/A,FALSE,"Assumptions";#N/A,#N/A,FALSE,"N-IS-Sum";#N/A,#N/A,FALSE,"N-St-Sum";#N/A,#N/A,FALSE,"Inc Stmt";#N/A,#N/A,FALSE,"Stats"}</definedName>
    <definedName name="DFG" localSheetId="0" hidden="1">{#N/A,#N/A,FALSE,"Assumptions";#N/A,#N/A,FALSE,"N-IS-Sum";#N/A,#N/A,FALSE,"N-St-Sum";#N/A,#N/A,FALSE,"Inc Stmt";#N/A,#N/A,FALSE,"Stats"}</definedName>
    <definedName name="DFG" hidden="1">{#N/A,#N/A,FALSE,"Assumptions";#N/A,#N/A,FALSE,"N-IS-Sum";#N/A,#N/A,FALSE,"N-St-Sum";#N/A,#N/A,FALSE,"Inc Stmt";#N/A,#N/A,FALSE,"Stats"}</definedName>
    <definedName name="dipcash">#REF!</definedName>
    <definedName name="dis">#REF!</definedName>
    <definedName name="DISCOUNTED_CASH_FLOW_ANALYSIS">#REF!</definedName>
    <definedName name="DisE1M2">#REF!</definedName>
    <definedName name="distr4">#REF!</definedName>
    <definedName name="Distributions">#REF!</definedName>
    <definedName name="divest">#REF!</definedName>
    <definedName name="dividends">#REF!</definedName>
    <definedName name="DocCode">#REF!</definedName>
    <definedName name="DocDate">#REF!</definedName>
    <definedName name="DocDesc">#REF!</definedName>
    <definedName name="DocNum">#REF!</definedName>
    <definedName name="Dollars">#REF!</definedName>
    <definedName name="dollarstoseller">#REF!</definedName>
    <definedName name="DSO">#REF!</definedName>
    <definedName name="DTABLE">#REF!</definedName>
    <definedName name="Dummy">#REF!</definedName>
    <definedName name="DummyCol">#REF!</definedName>
    <definedName name="duplicate123A" hidden="1">#REF!</definedName>
    <definedName name="dynamci">#REF!</definedName>
    <definedName name="dynamic">#REF!</definedName>
    <definedName name="E">#REF!</definedName>
    <definedName name="EAST_REGION">#REF!</definedName>
    <definedName name="EBDIAT">#REF!</definedName>
    <definedName name="EBIT">#REF!</definedName>
    <definedName name="EBIT95">#REF!</definedName>
    <definedName name="EBITDA_Bridge">#REF!</definedName>
    <definedName name="EBITDAR_Capex_Excl_Medi_Cal">"cov1"</definedName>
    <definedName name="EBITDASUM">#REF!</definedName>
    <definedName name="ebitdatable">#REF!</definedName>
    <definedName name="EBITSENS">#REF!</definedName>
    <definedName name="El3_">#REF!</definedName>
    <definedName name="El4_">#REF!</definedName>
    <definedName name="EMEA">#N/A</definedName>
    <definedName name="Employees">#REF!</definedName>
    <definedName name="End">#REF!</definedName>
    <definedName name="End_Date">#REF!</definedName>
    <definedName name="energy">#REF!</definedName>
    <definedName name="Energy_00_01_02">#REF!</definedName>
    <definedName name="EnterpriseValueBook">#REF!</definedName>
    <definedName name="EPS">#REF!</definedName>
    <definedName name="epsq194">#REF!</definedName>
    <definedName name="epsq195">#REF!</definedName>
    <definedName name="epsq294">#REF!</definedName>
    <definedName name="epsq295">#REF!</definedName>
    <definedName name="epsq394">#REF!</definedName>
    <definedName name="epsq395">#REF!</definedName>
    <definedName name="epsq494">#REF!</definedName>
    <definedName name="epsq495">#REF!</definedName>
    <definedName name="errtr" localSheetId="1" hidden="1">{#N/A,#N/A,FALSE,"Summary";#N/A,#N/A,FALSE,"10off&amp;co1,6,tstiplan";#N/A,#N/A,FALSE,"Systems";#N/A,#N/A,FALSE,"7offAct";#N/A,#N/A,FALSE,"3addAct"}</definedName>
    <definedName name="errtr" localSheetId="0" hidden="1">{#N/A,#N/A,FALSE,"Summary";#N/A,#N/A,FALSE,"10off&amp;co1,6,tstiplan";#N/A,#N/A,FALSE,"Systems";#N/A,#N/A,FALSE,"7offAct";#N/A,#N/A,FALSE,"3addAct"}</definedName>
    <definedName name="errtr" hidden="1">{#N/A,#N/A,FALSE,"Summary";#N/A,#N/A,FALSE,"10off&amp;co1,6,tstiplan";#N/A,#N/A,FALSE,"Systems";#N/A,#N/A,FALSE,"7offAct";#N/A,#N/A,FALSE,"3addAct"}</definedName>
    <definedName name="europe">#REF!</definedName>
    <definedName name="EX">#REF!</definedName>
    <definedName name="Exchange">#REF!</definedName>
    <definedName name="Exchange_ratio">#REF!</definedName>
    <definedName name="exhange">#REF!</definedName>
    <definedName name="Exhibit11FullyDiluted">#REF!</definedName>
    <definedName name="Exhibit11Primary">#REF!</definedName>
    <definedName name="Exityr">#REF!</definedName>
    <definedName name="Exp_Base_Profit">#REF!</definedName>
    <definedName name="Exp_Base_Revenue">#REF!</definedName>
    <definedName name="Exp_Dilution">#REF!</definedName>
    <definedName name="Exp_EBIT">#REF!</definedName>
    <definedName name="Exp_Gro_Rate_01">#REF!</definedName>
    <definedName name="Exp_Gro_Rate_02">#REF!</definedName>
    <definedName name="Exp_Gro_Rate_03">#REF!</definedName>
    <definedName name="Exp_Gro_Rate_04">#REF!</definedName>
    <definedName name="Exp_Gro_Rate_05">#REF!</definedName>
    <definedName name="Exp_Gro_Rate_97">#REF!</definedName>
    <definedName name="Exp_Gro_Rate_98">#REF!</definedName>
    <definedName name="Exp_Gro_Rate_99">#REF!</definedName>
    <definedName name="Exp_PE">#REF!</definedName>
    <definedName name="Exp_Profit_01">#REF!</definedName>
    <definedName name="Exp_Profit_02">#REF!</definedName>
    <definedName name="Exp_Profit_03">#REF!</definedName>
    <definedName name="Exp_Profit_04">#REF!</definedName>
    <definedName name="Exp_Profit_05">#REF!</definedName>
    <definedName name="Exp_Profit_97">#REF!</definedName>
    <definedName name="Exp_Profit_98">#REF!</definedName>
    <definedName name="Exp_Profit_99">#REF!</definedName>
    <definedName name="Exp_Return_Mult">#REF!</definedName>
    <definedName name="Exp_Value">#REF!</definedName>
    <definedName name="Expected_case">#REF!</definedName>
    <definedName name="Expense_Type">#REF!</definedName>
    <definedName name="EXPENSES">#REF!</definedName>
    <definedName name="exps">#REF!</definedName>
    <definedName name="_xlnm.Extract">#REF!</definedName>
    <definedName name="F">#REF!</definedName>
    <definedName name="FactSet">#REF!</definedName>
    <definedName name="fax_feeder">#REF!,#REF!,#REF!,#REF!</definedName>
    <definedName name="fdsa">#REF!</definedName>
    <definedName name="February2">#REF!</definedName>
    <definedName name="FEE">#REF!</definedName>
    <definedName name="feeamort">#REF!</definedName>
    <definedName name="FeederOpEx">#REF!</definedName>
    <definedName name="FeederPnL">#REF!</definedName>
    <definedName name="Fees">#REF!</definedName>
    <definedName name="feps93">#REF!</definedName>
    <definedName name="feps94">#REF!</definedName>
    <definedName name="ffffff" hidden="1">#REF!</definedName>
    <definedName name="FILMAMORT">#REF!</definedName>
    <definedName name="FilteredFolders">OFFSET(#REF!, 0, 0, COUNTA(#REF!) -1, 1)</definedName>
    <definedName name="FilteredReports">OFFSET(#REF!, 0, 0, COUNTA(#REF!) -2, 1)</definedName>
    <definedName name="fin_debt">#REF!</definedName>
    <definedName name="Finan.Pos.">#REF!</definedName>
    <definedName name="financing">#REF!</definedName>
    <definedName name="FINOptions">"0,0,1,1,1,0,0,-1,0,0,2,0,"</definedName>
    <definedName name="FirmValue">#REF!</definedName>
    <definedName name="FirstError">#REF!</definedName>
    <definedName name="Fiscal">#REF!</definedName>
    <definedName name="fiscal2">#REF!</definedName>
    <definedName name="FiscalPE">#REF!</definedName>
    <definedName name="Fixed">#REF!</definedName>
    <definedName name="Folders">#REF!</definedName>
    <definedName name="Follow_on">#REF!</definedName>
    <definedName name="FOM">EOMONTH(TODAY(),-1)+1</definedName>
    <definedName name="FONM">EOMONTH(TODAY(),0)+1</definedName>
    <definedName name="Footnote">#REF!</definedName>
    <definedName name="Footnote__f">#REF!</definedName>
    <definedName name="Footnote_a">#REF!</definedName>
    <definedName name="Footnote1">#REF!</definedName>
    <definedName name="Footnote10">#REF!</definedName>
    <definedName name="Footnote2">#REF!</definedName>
    <definedName name="Footnote3">#REF!</definedName>
    <definedName name="Footnote4">#REF!</definedName>
    <definedName name="Footnote5">#REF!</definedName>
    <definedName name="Footnote6">#REF!</definedName>
    <definedName name="Footnote7">#REF!</definedName>
    <definedName name="Footnote8">#REF!</definedName>
    <definedName name="Footnote9">#REF!</definedName>
    <definedName name="FootnoteRange">#REF!</definedName>
    <definedName name="Footnotes">#REF!</definedName>
    <definedName name="forward">(1.1^0.25)</definedName>
    <definedName name="FreeCashFlow">#REF!</definedName>
    <definedName name="FSoPacific" localSheetId="1" hidden="1">{"BS",#N/A,FALSE,"USA"}</definedName>
    <definedName name="FSoPacific" localSheetId="0" hidden="1">{"BS",#N/A,FALSE,"USA"}</definedName>
    <definedName name="FSoPacific" hidden="1">{"BS",#N/A,FALSE,"USA"}</definedName>
    <definedName name="fund">#REF!</definedName>
    <definedName name="FUNDIV">#REF!</definedName>
    <definedName name="FundsFromOperations">#REF!</definedName>
    <definedName name="furniture">#REF!</definedName>
    <definedName name="fyColHeading">#REF!</definedName>
    <definedName name="fyCoverDate">#REF!</definedName>
    <definedName name="FYE">#REF!</definedName>
    <definedName name="fyf">#REF!</definedName>
    <definedName name="g">#REF!</definedName>
    <definedName name="G_A">#REF!</definedName>
    <definedName name="G_A90">#REF!</definedName>
    <definedName name="G_A91">#REF!</definedName>
    <definedName name="G_A92">#REF!</definedName>
    <definedName name="gas_efficiency_ratio">#REF!</definedName>
    <definedName name="GD">#REF!</definedName>
    <definedName name="geo">#REF!</definedName>
    <definedName name="Geography">#REF!</definedName>
    <definedName name="goodwill">#REF!</definedName>
    <definedName name="GoToEnd">#REF!</definedName>
    <definedName name="GOverride">#REF!</definedName>
    <definedName name="GPsplit">#REF!</definedName>
    <definedName name="Graph1">#REF!</definedName>
    <definedName name="gross_debt">#REF!</definedName>
    <definedName name="Gross_Margin">#REF!</definedName>
    <definedName name="GrossNet">#REF!</definedName>
    <definedName name="GrossProfit">#REF!</definedName>
    <definedName name="GSA">#REF!</definedName>
    <definedName name="guy">#REF!</definedName>
    <definedName name="hcpirent">#REF!</definedName>
    <definedName name="HEAD">#REF!</definedName>
    <definedName name="head2">#REF!</definedName>
    <definedName name="HealthInsYTD04">#REF!</definedName>
    <definedName name="Hello">#REF!</definedName>
    <definedName name="High">#REF!</definedName>
    <definedName name="historical" hidden="1">#REF!</definedName>
    <definedName name="hj">#N/A</definedName>
    <definedName name="HMS">#REF!</definedName>
    <definedName name="houserrent">#REF!</definedName>
    <definedName name="i">#REF!</definedName>
    <definedName name="IBES_sw">#REF!</definedName>
    <definedName name="IBESDate">#REF!</definedName>
    <definedName name="Impacts">#REF!</definedName>
    <definedName name="inc">#REF!,#REF!,#REF!,#REF!</definedName>
    <definedName name="incassum">#REF!</definedName>
    <definedName name="INCOME">#REF!</definedName>
    <definedName name="Increase">#REF!</definedName>
    <definedName name="incremental">#REF!</definedName>
    <definedName name="INCST90">#REF!</definedName>
    <definedName name="INCST91">#REF!</definedName>
    <definedName name="INCST92">#REF!</definedName>
    <definedName name="ind">#REF!</definedName>
    <definedName name="IndCat">#REF!</definedName>
    <definedName name="IndCodeDescription">#REF!</definedName>
    <definedName name="INDEX">#REF!</definedName>
    <definedName name="IndicatedDividend">#REF!</definedName>
    <definedName name="industrial">#REF!</definedName>
    <definedName name="industry">#REF!</definedName>
    <definedName name="inflator">#REF!</definedName>
    <definedName name="Initial">#REF!</definedName>
    <definedName name="INITIAL_SALES">#REF!</definedName>
    <definedName name="InitializeCommand">"$d$1"</definedName>
    <definedName name="Inpact">#REF!</definedName>
    <definedName name="Input">#REF!</definedName>
    <definedName name="Inputs">#REF!</definedName>
    <definedName name="inside_acct_mgr">#REF!</definedName>
    <definedName name="inside_acct_rep">#REF!</definedName>
    <definedName name="inside_sales_mgr">#REF!</definedName>
    <definedName name="INT90A">#REF!</definedName>
    <definedName name="INT90B">#REF!</definedName>
    <definedName name="INT91A">#REF!</definedName>
    <definedName name="INT91B">#REF!</definedName>
    <definedName name="INT92A">#REF!</definedName>
    <definedName name="INT92B">#REF!</definedName>
    <definedName name="Intangibles">#REF!</definedName>
    <definedName name="interco">#REF!</definedName>
    <definedName name="Interest">#REF!</definedName>
    <definedName name="InterestExpense">#REF!</definedName>
    <definedName name="InterestIncome">#REF!</definedName>
    <definedName name="Inventory">#REF!</definedName>
    <definedName name="InventoryTurns">#REF!</definedName>
    <definedName name="Investment_Name">#REF!</definedName>
    <definedName name="Investment_Type">#REF!</definedName>
    <definedName name="Investments__Investment_Café">#REF!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DEP" hidden="1">"c1340"</definedName>
    <definedName name="IQ_ACCUMULATED_PENSION_OBLIGATION" localSheetId="1" hidden="1">"c2244"</definedName>
    <definedName name="IQ_ACCUMULATED_PENSION_OBLIGATION" localSheetId="0" hidden="1">"c2244"</definedName>
    <definedName name="IQ_ACCUMULATED_PENSION_OBLIGATION" hidden="1">"c2108"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RE_ASSETS" hidden="1">"c1628"</definedName>
    <definedName name="IQ_AD" hidden="1">"c7"</definedName>
    <definedName name="IQ_ADD_PAID_IN" hidden="1">"c1344"</definedName>
    <definedName name="IQ_ADDIN" hidden="1">"AUTO"</definedName>
    <definedName name="IQ_ADDITIONAL_NON_INT_INC_FDIC" hidden="1">"c6574"</definedName>
    <definedName name="IQ_ADJ_AVG_BANK_ASSETS" hidden="1">"c2671"</definedName>
    <definedName name="IQ_ADJUSTABLE_RATE_LOANS_FDIC" hidden="1">"c6375"</definedName>
    <definedName name="IQ_ADMIN_RATIO" hidden="1">"c2784"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TER_TAX_INCOME_FDIC" hidden="1">"c6583"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TIONS" hidden="1">"c2837"</definedName>
    <definedName name="IQ_AIR_ORDERS" hidden="1">"c2836"</definedName>
    <definedName name="IQ_AIR_OWNED" hidden="1">"c2832"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ENSE_FDIC" hidden="1">"c6677"</definedName>
    <definedName name="IQ_AMORTIZATION" hidden="1">"c1591"</definedName>
    <definedName name="IQ_AMORTIZED_COST_FDIC" hidden="1">"c6426"</definedName>
    <definedName name="IQ_AMT_OUT" hidden="1">"c2145"</definedName>
    <definedName name="IQ_ANNU_DISTRIBUTION_UNIT" hidden="1">"c3004"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BACKED_FDIC" hidden="1">"c6301"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HELD_FDIC" hidden="1">"c6305"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UDITOR_NAME" hidden="1">"c1539"</definedName>
    <definedName name="IQ_AUDITOR_OPINION" hidden="1">"c1540"</definedName>
    <definedName name="IQ_AUTO_WRITTEN" hidden="1">"c62"</definedName>
    <definedName name="IQ_AVAILABLE_FOR_SALE_FDIC" hidden="1">"c6409"</definedName>
    <definedName name="IQ_AVERAGE_ASSETS_FDIC" hidden="1">"c6362"</definedName>
    <definedName name="IQ_AVERAGE_ASSETS_QUART_FDIC" hidden="1">"c6363"</definedName>
    <definedName name="IQ_AVERAGE_EARNING_ASSETS_FDIC" hidden="1">"c6748"</definedName>
    <definedName name="IQ_AVERAGE_EQUITY_FDIC" hidden="1">"c6749"</definedName>
    <definedName name="IQ_AVERAGE_LOANS_FDIC" hidden="1">"c6750"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BROKER_REC_NO_REUT" hidden="1">"c5315"</definedName>
    <definedName name="IQ_AVG_BROKER_REC_REUT" hidden="1">"c3630"</definedName>
    <definedName name="IQ_AVG_DAILY_VOL" hidden="1">"c65"</definedName>
    <definedName name="IQ_AVG_EMPLOYEES" hidden="1">"c6019"</definedName>
    <definedName name="IQ_AVG_INDUSTRY_REC" hidden="1">"c4455"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MKTCAP" hidden="1">"c80"</definedName>
    <definedName name="IQ_AVG_PRICE" hidden="1">"c81"</definedName>
    <definedName name="IQ_AVG_PRICE_TARGET" hidden="1">"c82"</definedName>
    <definedName name="IQ_AVG_SHAREOUTSTANDING" hidden="1">"c83"</definedName>
    <definedName name="IQ_AVG_TEMP_EMPLOYEES" hidden="1">"c6020"</definedName>
    <definedName name="IQ_AVG_TEV" hidden="1">"c84"</definedName>
    <definedName name="IQ_AVG_VOLUME" hidden="1">"c1346"</definedName>
    <definedName name="IQ_BALANCE_GOODS_APR_FC_UNUSED_UNUSED_UNUSED" hidden="1">"c8353"</definedName>
    <definedName name="IQ_BALANCE_GOODS_APR_UNUSED_UNUSED_UNUSED" hidden="1">"c7473"</definedName>
    <definedName name="IQ_BALANCE_GOODS_FC_UNUSED_UNUSED_UNUSED" hidden="1">"c7693"</definedName>
    <definedName name="IQ_BALANCE_GOODS_POP_FC_UNUSED_UNUSED_UNUSED" hidden="1">"c7913"</definedName>
    <definedName name="IQ_BALANCE_GOODS_POP_UNUSED_UNUSED_UNUSED" hidden="1">"c7033"</definedName>
    <definedName name="IQ_BALANCE_GOODS_UNUSED_UNUSED_UNUSED" hidden="1">"c6813"</definedName>
    <definedName name="IQ_BALANCE_GOODS_YOY_FC_UNUSED_UNUSED_UNUSED" hidden="1">"c8133"</definedName>
    <definedName name="IQ_BALANCE_GOODS_YOY_UNUSED_UNUSED_UNUSED" hidden="1">"c7253"</definedName>
    <definedName name="IQ_BALANCE_SERV_APR_FC_UNUSED_UNUSED_UNUSED" hidden="1">"c8355"</definedName>
    <definedName name="IQ_BALANCE_SERV_APR_UNUSED_UNUSED_UNUSED" hidden="1">"c7475"</definedName>
    <definedName name="IQ_BALANCE_SERV_FC_UNUSED_UNUSED_UNUSED" hidden="1">"c7695"</definedName>
    <definedName name="IQ_BALANCE_SERV_POP_FC_UNUSED_UNUSED_UNUSED" hidden="1">"c7915"</definedName>
    <definedName name="IQ_BALANCE_SERV_POP_UNUSED_UNUSED_UNUSED" hidden="1">"c7035"</definedName>
    <definedName name="IQ_BALANCE_SERV_UNUSED_UNUSED_UNUSED" hidden="1">"c6815"</definedName>
    <definedName name="IQ_BALANCE_SERV_YOY_FC_UNUSED_UNUSED_UNUSED" hidden="1">"c8135"</definedName>
    <definedName name="IQ_BALANCE_SERV_YOY_UNUSED_UNUSED_UNUSED" hidden="1">"c7255"</definedName>
    <definedName name="IQ_BALANCE_TRADE_APR_FC_UNUSED_UNUSED_UNUSED" hidden="1">"c8357"</definedName>
    <definedName name="IQ_BALANCE_TRADE_APR_UNUSED_UNUSED_UNUSED" hidden="1">"c7477"</definedName>
    <definedName name="IQ_BALANCE_TRADE_FC_UNUSED_UNUSED_UNUSED" hidden="1">"c7697"</definedName>
    <definedName name="IQ_BALANCE_TRADE_POP_FC_UNUSED_UNUSED_UNUSED" hidden="1">"c7917"</definedName>
    <definedName name="IQ_BALANCE_TRADE_POP_UNUSED_UNUSED_UNUSED" hidden="1">"c7037"</definedName>
    <definedName name="IQ_BALANCE_TRADE_UNUSED_UNUSED_UNUSED" hidden="1">"c6817"</definedName>
    <definedName name="IQ_BALANCE_TRADE_YOY_FC_UNUSED_UNUSED_UNUSED" hidden="1">"c8137"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S_FOREIGN_COUNTRIES_TOTAL_DEPOSITS_FDIC" hidden="1">"c6475"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ONDRATING_FITCH" hidden="1">"IQ_BONDRATING_FITCH"</definedName>
    <definedName name="IQ_BONDRATING_SP" hidden="1">"IQ_BONDRATING_SP"</definedName>
    <definedName name="IQ_BOOK_VALUE" hidden="1">"IQ_BOOK_VALUE"</definedName>
    <definedName name="IQ_BROK_COMISSION" hidden="1">"c98"</definedName>
    <definedName name="IQ_BROK_COMMISSION" hidden="1">"c3514"</definedName>
    <definedName name="IQ_BROKERED_DEPOSITS_FDIC" hidden="1">"c6486"</definedName>
    <definedName name="IQ_BUDGET_BALANCE_APR_FC_UNUSED_UNUSED_UNUSED" hidden="1">"c8359"</definedName>
    <definedName name="IQ_BUDGET_BALANCE_APR_UNUSED_UNUSED_UNUSED" hidden="1">"c7479"</definedName>
    <definedName name="IQ_BUDGET_BALANCE_FC_UNUSED_UNUSED_UNUSED" hidden="1">"c7699"</definedName>
    <definedName name="IQ_BUDGET_BALANCE_POP_FC_UNUSED_UNUSED_UNUSED" hidden="1">"c7919"</definedName>
    <definedName name="IQ_BUDGET_BALANCE_POP_UNUSED_UNUSED_UNUSED" hidden="1">"c7039"</definedName>
    <definedName name="IQ_BUDGET_BALANCE_UNUSED_UNUSED_UNUSED" hidden="1">"c6819"</definedName>
    <definedName name="IQ_BUDGET_BALANCE_YOY_FC_UNUSED_UNUSED_UNUSED" hidden="1">"c8139"</definedName>
    <definedName name="IQ_BUDGET_BALANCE_YOY_UNUSED_UNUSED_UNUSED" hidden="1">"c7259"</definedName>
    <definedName name="IQ_BUDGET_RECEIPTS_APR_FC_UNUSED_UNUSED_UNUSED" hidden="1">"c8361"</definedName>
    <definedName name="IQ_BUDGET_RECEIPTS_APR_UNUSED_UNUSED_UNUSED" hidden="1">"c7481"</definedName>
    <definedName name="IQ_BUDGET_RECEIPTS_FC_UNUSED_UNUSED_UNUSED" hidden="1">"c7701"</definedName>
    <definedName name="IQ_BUDGET_RECEIPTS_POP_FC_UNUSED_UNUSED_UNUSED" hidden="1">"c7921"</definedName>
    <definedName name="IQ_BUDGET_RECEIPTS_POP_UNUSED_UNUSED_UNUSED" hidden="1">"c7041"</definedName>
    <definedName name="IQ_BUDGET_RECEIPTS_UNUSED_UNUSED_UNUSED" hidden="1">"c6821"</definedName>
    <definedName name="IQ_BUDGET_RECEIPTS_YOY_FC_UNUSED_UNUSED_UNUSED" hidden="1">"c8141"</definedName>
    <definedName name="IQ_BUDGET_RECEIPTS_YOY_UNUSED_UNUSED_UNUSED" hidden="1">"c7261"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REV" hidden="1">"c4068"</definedName>
    <definedName name="IQ_BUS_SEG_REV_ABS" hidden="1">"c4090"</definedName>
    <definedName name="IQ_BUS_SEG_REV_TOTAL" hidden="1">"c4106"</definedName>
    <definedName name="IQ_BUSINESS_DESCRIPTION" hidden="1">"c322"</definedName>
    <definedName name="IQ_BV_OVER_SHARES" hidden="1">"c1349"</definedName>
    <definedName name="IQ_BV_SHARE" hidden="1">"c100"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Q_EST" hidden="1">"c6796"</definedName>
    <definedName name="IQ_CAL_Q_EST_REUT" hidden="1">"c6800"</definedName>
    <definedName name="IQ_CAL_Y" hidden="1">"c102"</definedName>
    <definedName name="IQ_CAL_Y_EST" hidden="1">"c6797"</definedName>
    <definedName name="IQ_CAL_Y_EST_REUT" hidden="1">"c6801"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IZED_INTEREST" localSheetId="1" hidden="1">"c3460"</definedName>
    <definedName name="IQ_CAPITALIZED_INTEREST" localSheetId="0" hidden="1">"c3460"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localSheetId="1" hidden="1">"c116"</definedName>
    <definedName name="IQ_CASH_ACQUIRE_CF" localSheetId="0" hidden="1">"c116"</definedName>
    <definedName name="IQ_CASH_ACQUIRE_CF" hidden="1">"c1630"</definedName>
    <definedName name="IQ_CASH_CONVERSION" hidden="1">"c117"</definedName>
    <definedName name="IQ_CASH_DIVIDENDS_NET_INCOME_FDIC" hidden="1">"c6738"</definedName>
    <definedName name="IQ_CASH_DUE_BANKS" hidden="1">"c1351"</definedName>
    <definedName name="IQ_CASH_EQUIV" hidden="1">"c118"</definedName>
    <definedName name="IQ_CASH_FINAN" hidden="1">"c119"</definedName>
    <definedName name="IQ_CASH_FLOW_ACT_OR_EST" hidden="1">"c4154"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OPER" hidden="1">"c6293"</definedName>
    <definedName name="IQ_CASH_INVEST" hidden="1">"c121"</definedName>
    <definedName name="IQ_CASH_OPER" hidden="1">"c122"</definedName>
    <definedName name="IQ_CASH_OPER_ACT_OR_EST" hidden="1">"c4164"</definedName>
    <definedName name="IQ_CASH_OPER_EST" hidden="1">"c4163"</definedName>
    <definedName name="IQ_CASH_OPER_HIGH_EST" hidden="1">"c4166"</definedName>
    <definedName name="IQ_CASH_OPER_LOW_EST" hidden="1">"c4244"</definedName>
    <definedName name="IQ_CASH_OPER_MEDIAN_EST" hidden="1">"c4245"</definedName>
    <definedName name="IQ_CASH_OPER_NUM_EST" hidden="1">"c4246"</definedName>
    <definedName name="IQ_CASH_OPER_STDDEV_EST" hidden="1">"c4247"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CE_FDIC" hidden="1">"c6296"</definedName>
    <definedName name="IQ_CDS_ASK" hidden="1">"c6027"</definedName>
    <definedName name="IQ_CDS_BID" hidden="1">"c6026"</definedName>
    <definedName name="IQ_CDS_CURRENCY" hidden="1">"c6031"</definedName>
    <definedName name="IQ_CDS_EVAL_DATE" hidden="1">"c6029"</definedName>
    <definedName name="IQ_CDS_MID" hidden="1">"c6028"</definedName>
    <definedName name="IQ_CDS_NAME" hidden="1">"c6034"</definedName>
    <definedName name="IQ_CDS_TERM" hidden="1">"c6030"</definedName>
    <definedName name="IQ_CDS_TYPE" hidden="1">"c6025"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PS_EST" hidden="1">"c1667"</definedName>
    <definedName name="IQ_CFPS_HIGH_EST" hidden="1">"c1669"</definedName>
    <definedName name="IQ_CFPS_LOW_EST" hidden="1">"c1670"</definedName>
    <definedName name="IQ_CFPS_MEDIAN_EST" hidden="1">"c1668"</definedName>
    <definedName name="IQ_CFPS_NUM_EST" hidden="1">"c1671"</definedName>
    <definedName name="IQ_CFPS_STDDEV_EST" hidden="1">"c1672"</definedName>
    <definedName name="IQ_CH" hidden="1">110000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_REAL_APR_FC_UNUSED_UNUSED_UNUSED" hidden="1">"c8500"</definedName>
    <definedName name="IQ_CHANGE_INVENT_REAL_APR_UNUSED_UNUSED_UNUSED" hidden="1">"c7620"</definedName>
    <definedName name="IQ_CHANGE_INVENT_REAL_FC_UNUSED_UNUSED_UNUSED" hidden="1">"c7840"</definedName>
    <definedName name="IQ_CHANGE_INVENT_REAL_POP_FC_UNUSED_UNUSED_UNUSED" hidden="1">"c8060"</definedName>
    <definedName name="IQ_CHANGE_INVENT_REAL_POP_UNUSED_UNUSED_UNUSED" hidden="1">"c7180"</definedName>
    <definedName name="IQ_CHANGE_INVENT_REAL_UNUSED_UNUSED_UNUSED" hidden="1">"c6960"</definedName>
    <definedName name="IQ_CHANGE_INVENT_REAL_YOY_FC_UNUSED_UNUSED_UNUSED" hidden="1">"c8280"</definedName>
    <definedName name="IQ_CHANGE_INVENT_REAL_YOY_UNUSED_UNUSED_UNUSED" hidden="1">"c7400"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OBLIGATION_IMMEDIATE" hidden="1">"c2253"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ASSB_OUTSTANDING_BS_DATE" hidden="1">"c1972"</definedName>
    <definedName name="IQ_CLASSB_OUTSTANDING_FILING_DATE" hidden="1">"c1974"</definedName>
    <definedName name="IQ_CLOSEPRICE" hidden="1">"c174"</definedName>
    <definedName name="IQ_CLOSEPRICE_ADJ" hidden="1">"c2115"</definedName>
    <definedName name="IQ_CMO_FDIC" hidden="1">"c6406"</definedName>
    <definedName name="IQ_COGS" hidden="1">"c175"</definedName>
    <definedName name="IQ_COLLECTION_DOMESTIC_FDIC" hidden="1">"c6387"</definedName>
    <definedName name="IQ_COMBINED_RATIO" hidden="1">"c176"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LOANS_NET_FDIC" hidden="1">"c6317"</definedName>
    <definedName name="IQ_COMMERCIAL_INDUSTRIAL_NET_CHARGE_OFFS_FDIC" hidden="1">"c6636"</definedName>
    <definedName name="IQ_COMMERCIAL_INDUSTRIAL_RECOVERIES_FDIC" hidden="1">"c6617"</definedName>
    <definedName name="IQ_COMMERCIAL_INDUSTRIAL_TOTAL_LOANS_FOREIGN_FDIC" hidden="1">"c6451"</definedName>
    <definedName name="IQ_COMMERCIAL_MORT" hidden="1">"c179"</definedName>
    <definedName name="IQ_COMMERCIAL_RE_CONSTRUCTION_LAND_DEV_FDIC" hidden="1">"c6526"</definedName>
    <definedName name="IQ_COMMERCIAL_RE_LOANS_FDIC" hidden="1">"c6312"</definedName>
    <definedName name="IQ_COMMISS_FEES" hidden="1">"c180"</definedName>
    <definedName name="IQ_COMMISSION_DEF" hidden="1">"c181"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ID" hidden="1">"c3513"</definedName>
    <definedName name="IQ_COMPANY_NAME" hidden="1">"c215"</definedName>
    <definedName name="IQ_COMPANY_NAME_LONG" hidden="1">"c1585"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DEV_LOANS_FDIC" hidden="1">"c6313"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OANS" hidden="1">"c222"</definedName>
    <definedName name="IQ_CONSUMER_LOANS" hidden="1">"c223"</definedName>
    <definedName name="IQ_CONTRACTS_OTHER_COMMODITIES_EQUITIES._FDIC" hidden="1">"c6522"</definedName>
    <definedName name="IQ_CONTRACTS_OTHER_COMMODITIES_EQUITIES_FDIC" hidden="1">"c6522"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T" hidden="1">"c2536"</definedName>
    <definedName name="IQ_CONVERT_PCT" hidden="1">"c2537"</definedName>
    <definedName name="IQ_CONVEXITY" hidden="1">"c2182"</definedName>
    <definedName name="IQ_CONVEYED_TO_OTHERS_FDIC" hidden="1">"c6534"</definedName>
    <definedName name="IQ_CORE_CAPITAL_RATIO_FDIC" hidden="1">"c6745"</definedName>
    <definedName name="IQ_CORP_GOODS_PRICE_INDEX_APR_FC_UNUSED_UNUSED_UNUSED" hidden="1">"c8381"</definedName>
    <definedName name="IQ_CORP_GOODS_PRICE_INDEX_APR_UNUSED_UNUSED_UNUSED" hidden="1">"c7501"</definedName>
    <definedName name="IQ_CORP_GOODS_PRICE_INDEX_FC_UNUSED_UNUSED_UNUSED" hidden="1">"c7721"</definedName>
    <definedName name="IQ_CORP_GOODS_PRICE_INDEX_POP_FC_UNUSED_UNUSED_UNUSED" hidden="1">"c7941"</definedName>
    <definedName name="IQ_CORP_GOODS_PRICE_INDEX_POP_UNUSED_UNUSED_UNUSED" hidden="1">"c7061"</definedName>
    <definedName name="IQ_CORP_GOODS_PRICE_INDEX_UNUSED_UNUSED_UNUSED" hidden="1">"c6841"</definedName>
    <definedName name="IQ_CORP_GOODS_PRICE_INDEX_YOY_FC_UNUSED_UNUSED_UNUSED" hidden="1">"c8161"</definedName>
    <definedName name="IQ_CORP_GOODS_PRICE_INDEX_YOY_UNUSED_UNUSED_UNUSED" hidden="1">"c7281"</definedName>
    <definedName name="IQ_COST_BORROWING" hidden="1">"c2936"</definedName>
    <definedName name="IQ_COST_BORROWINGS" hidden="1">"c225"</definedName>
    <definedName name="IQ_COST_OF_FUNDING_ASSETS_FDIC" hidden="1">"c6725"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P" hidden="1">"c2495"</definedName>
    <definedName name="IQ_CP_PCT" hidden="1">"c2496"</definedName>
    <definedName name="IQ_CQ" hidden="1">5000</definedName>
    <definedName name="IQ_CREDIT_CARD_CHARGE_OFFS_FDIC" hidden="1">"c6652"</definedName>
    <definedName name="IQ_CREDIT_CARD_FEE_BNK" hidden="1">"c231"</definedName>
    <definedName name="IQ_CREDIT_CARD_FEE_FIN" hidden="1">"c1583"</definedName>
    <definedName name="IQ_CREDIT_CARD_LINES_FDIC" hidden="1">"c6525"</definedName>
    <definedName name="IQ_CREDIT_CARD_LOANS_FDIC" hidden="1">"c6319"</definedName>
    <definedName name="IQ_CREDIT_CARD_NET_CHARGE_OFFS_FDIC" hidden="1">"c6654"</definedName>
    <definedName name="IQ_CREDIT_CARD_RECOVERIES_FDIC" hidden="1">"c6653"</definedName>
    <definedName name="IQ_CREDIT_LOSS_CF" hidden="1">"c232"</definedName>
    <definedName name="IQ_CREDIT_LOSS_PROVISION_NET_CHARGE_OFFS_FDIC" hidden="1">"c6734"</definedName>
    <definedName name="IQ_CUMULATIVE_SPLIT_FACTOR" hidden="1">"c2094"</definedName>
    <definedName name="IQ_CURR_ACCT_BALANCE_APR_FC_UNUSED_UNUSED_UNUSED" hidden="1">"c8387"</definedName>
    <definedName name="IQ_CURR_ACCT_BALANCE_APR_UNUSED_UNUSED_UNUSED" hidden="1">"c7507"</definedName>
    <definedName name="IQ_CURR_ACCT_BALANCE_FC_UNUSED_UNUSED_UNUSED" hidden="1">"c7727"</definedName>
    <definedName name="IQ_CURR_ACCT_BALANCE_POP_FC_UNUSED_UNUSED_UNUSED" hidden="1">"c7947"</definedName>
    <definedName name="IQ_CURR_ACCT_BALANCE_POP_UNUSED_UNUSED_UNUSED" hidden="1">"c7067"</definedName>
    <definedName name="IQ_CURR_ACCT_BALANCE_UNUSED_UNUSED_UNUSED" hidden="1">"c6847"</definedName>
    <definedName name="IQ_CURR_ACCT_BALANCE_YOY_FC_UNUSED_UNUSED_UNUSED" hidden="1">"c8167"</definedName>
    <definedName name="IQ_CURR_ACCT_BALANCE_YOY_UNUSED_UNUSED_UNUSED" hidden="1">"c7287"</definedName>
    <definedName name="IQ_CURR_DOMESTIC_TAXES" hidden="1">"c2074"</definedName>
    <definedName name="IQ_CURR_FOREIGN_TAXES" hidden="1">"c2075"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MAND_DEPOSITS_FDIC" hidden="1">"c6489"</definedName>
    <definedName name="IQ_DEPOSIT_ACCOUNTS_LESS_THAN_100K_FDIC" hidden="1">"c6494"</definedName>
    <definedName name="IQ_DEPOSIT_ACCOUNTS_MORE_THAN_100K_FDIC" hidden="1">"c6492"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FIN" hidden="1">"c321"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RIVATIVES_FDIC" hidden="1">"c6523"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STRIBUTABLE_CASH" hidden="1">"c3002"</definedName>
    <definedName name="IQ_DISTRIBUTABLE_CASH_ACT_OR_EST" hidden="1">"c4278"</definedName>
    <definedName name="IQ_DISTRIBUTABLE_CASH_EST_CIQ" hidden="1">"c4802"</definedName>
    <definedName name="IQ_DISTRIBUTABLE_CASH_HIGH_EST_CIQ" hidden="1">"c4805"</definedName>
    <definedName name="IQ_DISTRIBUTABLE_CASH_LOW_EST_CIQ" hidden="1">"c4806"</definedName>
    <definedName name="IQ_DISTRIBUTABLE_CASH_MEDIAN_EST_CIQ" hidden="1">"c4807"</definedName>
    <definedName name="IQ_DISTRIBUTABLE_CASH_NUM_EST_CIQ" hidden="1">"c4808"</definedName>
    <definedName name="IQ_DISTRIBUTABLE_CASH_PAYOUT" hidden="1">"c3005"</definedName>
    <definedName name="IQ_DISTRIBUTABLE_CASH_SHARE" hidden="1">"c3003"</definedName>
    <definedName name="IQ_DISTRIBUTABLE_CASH_SHARE_ACT_OR_EST" hidden="1">"c4286"</definedName>
    <definedName name="IQ_DISTRIBUTABLE_CASH_SHARE_EST_CIQ" hidden="1">"c4810"</definedName>
    <definedName name="IQ_DISTRIBUTABLE_CASH_SHARE_HIGH_EST_CIQ" hidden="1">"c4813"</definedName>
    <definedName name="IQ_DISTRIBUTABLE_CASH_SHARE_LOW_EST_CIQ" hidden="1">"c4814"</definedName>
    <definedName name="IQ_DISTRIBUTABLE_CASH_SHARE_MEDIAN_EST_CIQ" hidden="1">"c4815"</definedName>
    <definedName name="IQ_DISTRIBUTABLE_CASH_SHARE_NUM_EST_CIQ" hidden="1">"c4816"</definedName>
    <definedName name="IQ_DISTRIBUTABLE_CASH_SHARE_STDDEV_EST_CIQ" hidden="1">"c4817"</definedName>
    <definedName name="IQ_DISTRIBUTABLE_CASH_STDDEV_EST_CIQ" hidden="1">"c4819"</definedName>
    <definedName name="IQ_DIV_AMOUNT" hidden="1">"c3041"</definedName>
    <definedName name="IQ_DIV_PAYMENT_DATE" localSheetId="1" hidden="1">"c2205"</definedName>
    <definedName name="IQ_DIV_PAYMENT_DATE" localSheetId="0" hidden="1">"c2205"</definedName>
    <definedName name="IQ_DIV_PAYMENT_DATE" hidden="1">"c2106"</definedName>
    <definedName name="IQ_DIV_RECORD_DATE" localSheetId="1" hidden="1">"c2204"</definedName>
    <definedName name="IQ_DIV_RECORD_DATE" localSheetId="0" hidden="1">"c2204"</definedName>
    <definedName name="IQ_DIV_RECORD_DATE" hidden="1">"c2105"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IVIDENDS_DECLARED_COMMON_FDIC" hidden="1">"c6659"</definedName>
    <definedName name="IQ_DIVIDENDS_DECLARED_PREFERRED_FDIC" hidden="1">"c6658"</definedName>
    <definedName name="IQ_DIVIDENDS_FDIC" hidden="1">"c6660"</definedName>
    <definedName name="IQ_DNB_OTHER_EXP_INC_TAX_US" hidden="1">"c6787"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PAC" hidden="1">"c2801"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EST" hidden="1">"c1674"</definedName>
    <definedName name="IQ_DPS_HIGH_EST" hidden="1">"c1676"</definedName>
    <definedName name="IQ_DPS_LOW_EST" hidden="1">"c1677"</definedName>
    <definedName name="IQ_DPS_MEDIAN_EST" hidden="1">"c1675"</definedName>
    <definedName name="IQ_DPS_NUM_EST" hidden="1">"c1678"</definedName>
    <definedName name="IQ_DPS_STDDEV_EST" hidden="1">"c1679"</definedName>
    <definedName name="IQ_DURATION" hidden="1">"c2181"</definedName>
    <definedName name="IQ_EARNING_ASSET_YIELD" hidden="1">"c343"</definedName>
    <definedName name="IQ_EARNING_ASSETS_FDIC" hidden="1">"c6360"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REUT" hidden="1">"c5314"</definedName>
    <definedName name="IQ_EARNINGS_COVERAGE_NET_CHARGE_OFFS_FDIC" hidden="1">"c6735"</definedName>
    <definedName name="IQ_EBIT" hidden="1">"c352"</definedName>
    <definedName name="IQ_EBIT_10K" hidden="1">"IQ_EBIT_10K"</definedName>
    <definedName name="IQ_EBIT_10Q" hidden="1">"IQ_EBIT_10Q"</definedName>
    <definedName name="IQ_EBIT_10Q1" hidden="1">"IQ_EBIT_10Q1"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EQ_INC" hidden="1">"c3498"</definedName>
    <definedName name="IQ_EBIT_EQ_INC_EXCL_SBC" hidden="1">"c3502"</definedName>
    <definedName name="IQ_EBIT_EST" hidden="1">"c1681"</definedName>
    <definedName name="IQ_EBIT_EXCL_SBC" hidden="1">"c3082"</definedName>
    <definedName name="IQ_EBIT_GROWTH_1" hidden="1">"IQ_EBIT_GROWTH_1"</definedName>
    <definedName name="IQ_EBIT_GROWTH_2" hidden="1">"IQ_EBIT_GROWTH_2"</definedName>
    <definedName name="IQ_EBIT_GW_ACT_OR_EST" hidden="1">"c4306"</definedName>
    <definedName name="IQ_EBIT_HIGH_EST" hidden="1">"c1683"</definedName>
    <definedName name="IQ_EBIT_INT" hidden="1">"c360"</definedName>
    <definedName name="IQ_EBIT_LOW_EST" hidden="1">"c1684"</definedName>
    <definedName name="IQ_EBIT_MARGIN" hidden="1">"c359"</definedName>
    <definedName name="IQ_EBIT_MEDIAN_EST" hidden="1">"c1682"</definedName>
    <definedName name="IQ_EBIT_NUM_EST" hidden="1">"c1685"</definedName>
    <definedName name="IQ_EBIT_OVER_IE" hidden="1">"c1369"</definedName>
    <definedName name="IQ_EBIT_SBC_ACT_OR_EST" hidden="1">"c4316"</definedName>
    <definedName name="IQ_EBIT_SBC_GW_ACT_OR_EST" hidden="1">"c4320"</definedName>
    <definedName name="IQ_EBIT_STDDEV_EST" hidden="1">"c1686"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K" hidden="1">"IQ_EBITDA_10K"</definedName>
    <definedName name="IQ_EBITDA_10Q" hidden="1">"IQ_EBITDA_10Q"</definedName>
    <definedName name="IQ_EBITDA_10Q1" hidden="1">"IQ_EBITDA_10Q1"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CAPEX_INT" hidden="1">"c368"</definedName>
    <definedName name="IQ_EBITDA_CAPEX_OVER_TOTAL_IE" hidden="1">"c1370"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REUT" hidden="1">"c3640"</definedName>
    <definedName name="IQ_EBITDA_EXCL_SBC" hidden="1">"c3081"</definedName>
    <definedName name="IQ_EBITDA_GROWTH_1" hidden="1">"IQ_EBITDA_GROWTH_1"</definedName>
    <definedName name="IQ_EBITDA_GROWTH_2" hidden="1">"IQ_EBITDA_GROWTH_2"</definedName>
    <definedName name="IQ_EBITDA_HIGH_EST" hidden="1">"c370"</definedName>
    <definedName name="IQ_EBITDA_HIGH_EST_REUT" hidden="1">"c3642"</definedName>
    <definedName name="IQ_EBITDA_INT" hidden="1">"c373"</definedName>
    <definedName name="IQ_EBITDA_LOW_EST" hidden="1">"c371"</definedName>
    <definedName name="IQ_EBITDA_LOW_EST_REUT" hidden="1">"c3643"</definedName>
    <definedName name="IQ_EBITDA_MARGIN" hidden="1">"c372"</definedName>
    <definedName name="IQ_EBITDA_MEDIAN_EST" hidden="1">"c1663"</definedName>
    <definedName name="IQ_EBITDA_MEDIAN_EST_REUT" hidden="1">"c3641"</definedName>
    <definedName name="IQ_EBITDA_NUM_EST" hidden="1">"c374"</definedName>
    <definedName name="IQ_EBITDA_NUM_EST_REUT" hidden="1">"c3644"</definedName>
    <definedName name="IQ_EBITDA_OVER_TOTAL_IE" hidden="1">"c1371"</definedName>
    <definedName name="IQ_EBITDA_SBC_ACT_OR_EST" hidden="1">"c4337"</definedName>
    <definedName name="IQ_EBITDA_STDDEV_EST" hidden="1">"c375"</definedName>
    <definedName name="IQ_EBITDA_STDDEV_EST_REUT" hidden="1">"c3645"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" hidden="1">"c6215"</definedName>
    <definedName name="IQ_EBT_REIT" hidden="1">"c389"</definedName>
    <definedName name="IQ_EBT_SBC_ACT_OR_EST" hidden="1">"c4350"</definedName>
    <definedName name="IQ_EBT_SBC_GW_ACT_OR_EST" hidden="1">"c4354"</definedName>
    <definedName name="IQ_EBT_UTI" hidden="1">"c390"</definedName>
    <definedName name="IQ_ECO_METRIC_6825_UNUSED_UNUSED_UNUSED" hidden="1">"c6825"</definedName>
    <definedName name="IQ_ECO_METRIC_6839_UNUSED_UNUSED_UNUSED" hidden="1">"c6839"</definedName>
    <definedName name="IQ_ECO_METRIC_6896_UNUSED_UNUSED_UNUSED" hidden="1">"c6896"</definedName>
    <definedName name="IQ_ECO_METRIC_6897_UNUSED_UNUSED_UNUSED" hidden="1">"c6897"</definedName>
    <definedName name="IQ_ECO_METRIC_6988_UNUSED_UNUSED_UNUSED" hidden="1">"c6988"</definedName>
    <definedName name="IQ_ECO_METRIC_7045_UNUSED_UNUSED_UNUSED" hidden="1">"c7045"</definedName>
    <definedName name="IQ_ECO_METRIC_7059_UNUSED_UNUSED_UNUSED" hidden="1">"c7059"</definedName>
    <definedName name="IQ_ECO_METRIC_7116_UNUSED_UNUSED_UNUSED" hidden="1">"c7116"</definedName>
    <definedName name="IQ_ECO_METRIC_7117_UNUSED_UNUSED_UNUSED" hidden="1">"c7117"</definedName>
    <definedName name="IQ_ECO_METRIC_7208_UNUSED_UNUSED_UNUSED" hidden="1">"c7208"</definedName>
    <definedName name="IQ_ECO_METRIC_7265_UNUSED_UNUSED_UNUSED" hidden="1">"c7265"</definedName>
    <definedName name="IQ_ECO_METRIC_7279_UNUSED_UNUSED_UNUSED" hidden="1">"c7279"</definedName>
    <definedName name="IQ_ECO_METRIC_7336_UNUSED_UNUSED_UNUSED" hidden="1">"c7336"</definedName>
    <definedName name="IQ_ECO_METRIC_7337_UNUSED_UNUSED_UNUSED" hidden="1">"c7337"</definedName>
    <definedName name="IQ_ECO_METRIC_7428_UNUSED_UNUSED_UNUSED" hidden="1">"c7428"</definedName>
    <definedName name="IQ_ECO_METRIC_7556_UNUSED_UNUSED_UNUSED" hidden="1">"c7556"</definedName>
    <definedName name="IQ_ECO_METRIC_7557_UNUSED_UNUSED_UNUSED" hidden="1">"c7557"</definedName>
    <definedName name="IQ_ECO_METRIC_7648_UNUSED_UNUSED_UNUSED" hidden="1">"c7648"</definedName>
    <definedName name="IQ_ECO_METRIC_7705_UNUSED_UNUSED_UNUSED" hidden="1">"c7705"</definedName>
    <definedName name="IQ_ECO_METRIC_7719_UNUSED_UNUSED_UNUSED" hidden="1">"c7719"</definedName>
    <definedName name="IQ_ECO_METRIC_7776_UNUSED_UNUSED_UNUSED" hidden="1">"c7776"</definedName>
    <definedName name="IQ_ECO_METRIC_7777_UNUSED_UNUSED_UNUSED" hidden="1">"c7777"</definedName>
    <definedName name="IQ_ECO_METRIC_7868_UNUSED_UNUSED_UNUSED" hidden="1">"c7868"</definedName>
    <definedName name="IQ_ECO_METRIC_7925_UNUSED_UNUSED_UNUSED" hidden="1">"c7925"</definedName>
    <definedName name="IQ_ECO_METRIC_7939_UNUSED_UNUSED_UNUSED" hidden="1">"c7939"</definedName>
    <definedName name="IQ_ECO_METRIC_7996_UNUSED_UNUSED_UNUSED" hidden="1">"c7996"</definedName>
    <definedName name="IQ_ECO_METRIC_7997_UNUSED_UNUSED_UNUSED" hidden="1">"c7997"</definedName>
    <definedName name="IQ_ECO_METRIC_8088_UNUSED_UNUSED_UNUSED" hidden="1">"c8088"</definedName>
    <definedName name="IQ_ECO_METRIC_8145_UNUSED_UNUSED_UNUSED" hidden="1">"c8145"</definedName>
    <definedName name="IQ_ECO_METRIC_8159_UNUSED_UNUSED_UNUSED" hidden="1">"c8159"</definedName>
    <definedName name="IQ_ECO_METRIC_8216_UNUSED_UNUSED_UNUSED" hidden="1">"c8216"</definedName>
    <definedName name="IQ_ECO_METRIC_8217_UNUSED_UNUSED_UNUSED" hidden="1">"c8217"</definedName>
    <definedName name="IQ_ECO_METRIC_8308_UNUSED_UNUSED_UNUSED" hidden="1">"c8308"</definedName>
    <definedName name="IQ_ECO_METRIC_8436_UNUSED_UNUSED_UNUSED" hidden="1">"c8436"</definedName>
    <definedName name="IQ_ECO_METRIC_8437_UNUSED_UNUSED_UNUSED" hidden="1">"c8437"</definedName>
    <definedName name="IQ_ECO_METRIC_8528_UNUSED_UNUSED_UNUSED" hidden="1">"c8528"</definedName>
    <definedName name="IQ_ECS_AUTHORIZED_SHARES" hidden="1">"c5583"</definedName>
    <definedName name="IQ_ECS_AUTHORIZED_SHARES_ABS" hidden="1">"c5597"</definedName>
    <definedName name="IQ_ECS_CONVERT_FACTOR" hidden="1">"c5581"</definedName>
    <definedName name="IQ_ECS_CONVERT_FACTOR_ABS" hidden="1">"c5595"</definedName>
    <definedName name="IQ_ECS_CONVERT_INTO" hidden="1">"c5580"</definedName>
    <definedName name="IQ_ECS_CONVERT_INTO_ABS" hidden="1">"c5594"</definedName>
    <definedName name="IQ_ECS_CONVERT_TYPE" hidden="1">"c5579"</definedName>
    <definedName name="IQ_ECS_CONVERT_TYPE_ABS" hidden="1">"c5593"</definedName>
    <definedName name="IQ_ECS_INACTIVE_DATE" hidden="1">"c5576"</definedName>
    <definedName name="IQ_ECS_INACTIVE_DATE_ABS" hidden="1">"c5590"</definedName>
    <definedName name="IQ_ECS_NAME" hidden="1">"c5571"</definedName>
    <definedName name="IQ_ECS_NAME_ABS" hidden="1">"c5585"</definedName>
    <definedName name="IQ_ECS_NUM_SHAREHOLDERS" hidden="1">"c5584"</definedName>
    <definedName name="IQ_ECS_NUM_SHAREHOLDERS_ABS" hidden="1">"c5598"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SHARES_OUT_BS_DATE" hidden="1">"c5572"</definedName>
    <definedName name="IQ_ECS_SHARES_OUT_BS_DATE_ABS" hidden="1">"c5586"</definedName>
    <definedName name="IQ_ECS_SHARES_OUT_FILING_DATE" hidden="1">"c5573"</definedName>
    <definedName name="IQ_ECS_SHARES_OUT_FILING_DATE_ABS" hidden="1">"c5587"</definedName>
    <definedName name="IQ_ECS_START_DATE" hidden="1">"c5575"</definedName>
    <definedName name="IQ_ECS_START_DATE_ABS" hidden="1">"c5589"</definedName>
    <definedName name="IQ_ECS_TYPE" hidden="1">"c5574"</definedName>
    <definedName name="IQ_ECS_TYPE_ABS" hidden="1">"c5588"</definedName>
    <definedName name="IQ_ECS_VOTING" hidden="1">"c5582"</definedName>
    <definedName name="IQ_ECS_VOTING_ABS" hidden="1">"c5596"</definedName>
    <definedName name="IQ_EFFECT_SPECIAL_CHARGE" hidden="1">"c1595"</definedName>
    <definedName name="IQ_EFFECT_TAX_RATE" hidden="1">"c1899"</definedName>
    <definedName name="IQ_EFFICIENCY_RATIO" hidden="1">"c391"</definedName>
    <definedName name="IQ_EFFICIENCY_RATIO_FDIC" hidden="1">"c6736"</definedName>
    <definedName name="IQ_EMPLOYEES" hidden="1">"c392"</definedName>
    <definedName name="IQ_ENTERPRISE_VALUE" hidden="1">"c1348"</definedName>
    <definedName name="IQ_EPS" hidden="1">"IQ_EPS"</definedName>
    <definedName name="IQ_EPS_10K" hidden="1">"IQ_EPS_10K"</definedName>
    <definedName name="IQ_EPS_10Q" hidden="1">"IQ_EPS_10Q"</definedName>
    <definedName name="IQ_EPS_10Q1" hidden="1">"IQ_EPS_10Q1"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EST" hidden="1">"c399"</definedName>
    <definedName name="IQ_EPS_EST_1" hidden="1">"IQ_EPS_EST_1"</definedName>
    <definedName name="IQ_EPS_EST_REUT" hidden="1">"c5453"</definedName>
    <definedName name="IQ_EPS_GW_EST" hidden="1">"c1737"</definedName>
    <definedName name="IQ_EPS_GW_EST_REUT" hidden="1">"c5389"</definedName>
    <definedName name="IQ_EPS_GW_HIGH_EST" hidden="1">"c1739"</definedName>
    <definedName name="IQ_EPS_GW_HIGH_EST_REUT" hidden="1">"c5391"</definedName>
    <definedName name="IQ_EPS_GW_LOW_EST" hidden="1">"c1740"</definedName>
    <definedName name="IQ_EPS_GW_LOW_EST_REUT" hidden="1">"c5392"</definedName>
    <definedName name="IQ_EPS_GW_MEDIAN_EST" hidden="1">"c1738"</definedName>
    <definedName name="IQ_EPS_GW_MEDIAN_EST_REUT" hidden="1">"c5390"</definedName>
    <definedName name="IQ_EPS_GW_NUM_EST" hidden="1">"c1741"</definedName>
    <definedName name="IQ_EPS_GW_NUM_EST_REUT" hidden="1">"c5393"</definedName>
    <definedName name="IQ_EPS_GW_STDDEV_EST" hidden="1">"c1742"</definedName>
    <definedName name="IQ_EPS_GW_STDDEV_EST_REUT" hidden="1">"c5394"</definedName>
    <definedName name="IQ_EPS_HIGH_EST" hidden="1">"c400"</definedName>
    <definedName name="IQ_EPS_HIGH_EST_REUT" hidden="1">"c5454"</definedName>
    <definedName name="IQ_EPS_LOW_EST" hidden="1">"c401"</definedName>
    <definedName name="IQ_EPS_LOW_EST_REUT" hidden="1">"c5455"</definedName>
    <definedName name="IQ_EPS_MEDIAN_EST" hidden="1">"c1661"</definedName>
    <definedName name="IQ_EPS_MEDIAN_EST_REUT" hidden="1">"c5456"</definedName>
    <definedName name="IQ_EPS_NORM" hidden="1">"c1902"</definedName>
    <definedName name="IQ_EPS_NORM_EST" hidden="1">"c2226"</definedName>
    <definedName name="IQ_EPS_NORM_EST_REUT" hidden="1">"c5326"</definedName>
    <definedName name="IQ_EPS_NORM_HIGH_EST" hidden="1">"c2228"</definedName>
    <definedName name="IQ_EPS_NORM_HIGH_EST_REUT" hidden="1">"c5328"</definedName>
    <definedName name="IQ_EPS_NORM_LOW_EST" hidden="1">"c2229"</definedName>
    <definedName name="IQ_EPS_NORM_LOW_EST_REUT" hidden="1">"c5329"</definedName>
    <definedName name="IQ_EPS_NORM_MEDIAN_EST" hidden="1">"c2227"</definedName>
    <definedName name="IQ_EPS_NORM_MEDIAN_EST_REUT" hidden="1">"c5327"</definedName>
    <definedName name="IQ_EPS_NORM_NUM_EST" hidden="1">"c2230"</definedName>
    <definedName name="IQ_EPS_NORM_NUM_EST_REUT" hidden="1">"c5330"</definedName>
    <definedName name="IQ_EPS_NORM_STDDEV_EST" hidden="1">"c2231"</definedName>
    <definedName name="IQ_EPS_NORM_STDDEV_EST_REUT" hidden="1">"c5331"</definedName>
    <definedName name="IQ_EPS_NUM_EST" hidden="1">"c402"</definedName>
    <definedName name="IQ_EPS_NUM_EST_REUT" hidden="1">"c5451"</definedName>
    <definedName name="IQ_EPS_REPORTED_EST" hidden="1">"c1744"</definedName>
    <definedName name="IQ_EPS_REPORTED_EST_REUT" hidden="1">"c5396"</definedName>
    <definedName name="IQ_EPS_REPORTED_HIGH_EST" hidden="1">"c1746"</definedName>
    <definedName name="IQ_EPS_REPORTED_HIGH_EST_REUT" hidden="1">"c5398"</definedName>
    <definedName name="IQ_EPS_REPORTED_LOW_EST" hidden="1">"c1747"</definedName>
    <definedName name="IQ_EPS_REPORTED_LOW_EST_REUT" hidden="1">"c5399"</definedName>
    <definedName name="IQ_EPS_REPORTED_MEDIAN_EST" hidden="1">"c1745"</definedName>
    <definedName name="IQ_EPS_REPORTED_MEDIAN_EST_REUT" hidden="1">"c5397"</definedName>
    <definedName name="IQ_EPS_REPORTED_NUM_EST" hidden="1">"c1748"</definedName>
    <definedName name="IQ_EPS_REPORTED_NUM_EST_REUT" hidden="1">"c5400"</definedName>
    <definedName name="IQ_EPS_REPORTED_STDDEV_EST" hidden="1">"c1749"</definedName>
    <definedName name="IQ_EPS_REPORTED_STDDEV_EST_REUT" hidden="1">"c5401"</definedName>
    <definedName name="IQ_EPS_SBC_ACT_OR_EST" hidden="1">"c4376"</definedName>
    <definedName name="IQ_EPS_SBC_GW_ACT_OR_EST" hidden="1">"c4380"</definedName>
    <definedName name="IQ_EPS_STDDEV_EST" hidden="1">"c403"</definedName>
    <definedName name="IQ_EPS_STDDEV_EST_REUT" hidden="1">"c5452"</definedName>
    <definedName name="IQ_EQUITY_AFFIL" hidden="1">"c1451"</definedName>
    <definedName name="IQ_EQUITY_CAPITAL_ASSETS_FDIC" hidden="1">"c6744"</definedName>
    <definedName name="IQ_EQUITY_FDIC" hidden="1">"c6353"</definedName>
    <definedName name="IQ_EQUITY_METHOD" hidden="1">"c404"</definedName>
    <definedName name="IQ_EQUITY_SECURITIES_FDIC" hidden="1">"c6304"</definedName>
    <definedName name="IQ_EQUITY_SECURITY_EXPOSURES_FDIC" hidden="1">"c6664"</definedName>
    <definedName name="IQ_EQV_OVER_BV" hidden="1">"c1596"</definedName>
    <definedName name="IQ_EQV_OVER_LTM_PRETAX_INC" hidden="1">"c1390"</definedName>
    <definedName name="IQ_ESOP_DEBT" hidden="1">"c1597"</definedName>
    <definedName name="IQ_EST_ACT_CFPS" hidden="1">"c1673"</definedName>
    <definedName name="IQ_EST_ACT_DPS" hidden="1">"c1680"</definedName>
    <definedName name="IQ_EST_ACT_EBIT" hidden="1">"c1687"</definedName>
    <definedName name="IQ_EST_ACT_EBITDA" hidden="1">"c1664"</definedName>
    <definedName name="IQ_EST_ACT_EPS" hidden="1">"c1648"</definedName>
    <definedName name="IQ_EST_ACT_EPS_GW" hidden="1">"c1743"</definedName>
    <definedName name="IQ_EST_ACT_EPS_GW_REUT" hidden="1">"c5395"</definedName>
    <definedName name="IQ_EST_ACT_EPS_NORM" hidden="1">"c2232"</definedName>
    <definedName name="IQ_EST_ACT_EPS_NORM_REUT" hidden="1">"c5332"</definedName>
    <definedName name="IQ_EST_ACT_EPS_REPORTED" hidden="1">"c1750"</definedName>
    <definedName name="IQ_EST_ACT_EPS_REPORTED_REUT" hidden="1">"c5402"</definedName>
    <definedName name="IQ_EST_ACT_FFO" hidden="1">"c1666"</definedName>
    <definedName name="IQ_EST_ACT_FFO_REUT" hidden="1">"c3843"</definedName>
    <definedName name="IQ_EST_ACT_FFO_THOM" hidden="1">"c4005"</definedName>
    <definedName name="IQ_EST_ACT_NAV" hidden="1">"c1757"</definedName>
    <definedName name="IQ_EST_ACT_NI" hidden="1">"c1722"</definedName>
    <definedName name="IQ_EST_ACT_NI_GW" hidden="1">"c1729"</definedName>
    <definedName name="IQ_EST_ACT_NI_REPORTED" hidden="1">"c1736"</definedName>
    <definedName name="IQ_EST_ACT_OPER_INC" hidden="1">"c1694"</definedName>
    <definedName name="IQ_EST_ACT_PRETAX_GW_INC" hidden="1">"c1708"</definedName>
    <definedName name="IQ_EST_ACT_PRETAX_INC" hidden="1">"c1701"</definedName>
    <definedName name="IQ_EST_ACT_PRETAX_REPORT_INC" hidden="1">"c1715"</definedName>
    <definedName name="IQ_EST_ACT_REV" hidden="1">"c2113"</definedName>
    <definedName name="IQ_EST_CFPS_DIFF" hidden="1">"c1871"</definedName>
    <definedName name="IQ_EST_CFPS_GROWTH_1YR" hidden="1">"c1774"</definedName>
    <definedName name="IQ_EST_CFPS_GROWTH_2YR" hidden="1">"c1775"</definedName>
    <definedName name="IQ_EST_CFPS_GROWTH_Q_1YR" hidden="1">"c1776"</definedName>
    <definedName name="IQ_EST_CFPS_SEQ_GROWTH_Q" hidden="1">"c1777"</definedName>
    <definedName name="IQ_EST_CFPS_SURPRISE_PERCENT" hidden="1">"c1872"</definedName>
    <definedName name="IQ_EST_CURRENCY" hidden="1">"c2140"</definedName>
    <definedName name="IQ_EST_CURRENCY_REUT" hidden="1">"c5437"</definedName>
    <definedName name="IQ_EST_DATE" hidden="1">"c1634"</definedName>
    <definedName name="IQ_EST_DATE_REUT" hidden="1">"c5438"</definedName>
    <definedName name="IQ_EST_DPS_DIFF" hidden="1">"c1873"</definedName>
    <definedName name="IQ_EST_DPS_GROWTH_1YR" hidden="1">"c1778"</definedName>
    <definedName name="IQ_EST_DPS_GROWTH_2YR" hidden="1">"c1779"</definedName>
    <definedName name="IQ_EST_DPS_GROWTH_Q_1YR" hidden="1">"c1780"</definedName>
    <definedName name="IQ_EST_DPS_SEQ_GROWTH_Q" hidden="1">"c1781"</definedName>
    <definedName name="IQ_EST_DPS_SURPRISE_PERCENT" hidden="1">"c1874"</definedName>
    <definedName name="IQ_EST_EBIT_DIFF" hidden="1">"c1875"</definedName>
    <definedName name="IQ_EST_EBIT_SURPRISE_PERCENT" hidden="1">"c1876"</definedName>
    <definedName name="IQ_EST_EBITDA_DIFF" hidden="1">"c1867"</definedName>
    <definedName name="IQ_EST_EBITDA_GROWTH_1YR" hidden="1">"c1766"</definedName>
    <definedName name="IQ_EST_EBITDA_GROWTH_2YR" hidden="1">"c1767"</definedName>
    <definedName name="IQ_EST_EBITDA_GROWTH_Q_1YR" hidden="1">"c1768"</definedName>
    <definedName name="IQ_EST_EBITDA_SEQ_GROWTH_Q" hidden="1">"c1769"</definedName>
    <definedName name="IQ_EST_EBITDA_SURPRISE_PERCENT" hidden="1">"c1868"</definedName>
    <definedName name="IQ_EST_EPS_DIFF" hidden="1">"c1864"</definedName>
    <definedName name="IQ_EST_EPS_GROWTH_1YR" hidden="1">"c1636"</definedName>
    <definedName name="IQ_EST_EPS_GROWTH_1YR_REUT" hidden="1">"c3646"</definedName>
    <definedName name="IQ_EST_EPS_GROWTH_2YR" hidden="1">"c1637"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REUT" hidden="1">"c3633"</definedName>
    <definedName name="IQ_EST_EPS_GROWTH_5YR_STDDEV" hidden="1">"c1660"</definedName>
    <definedName name="IQ_EST_EPS_GROWTH_Q_1YR" hidden="1">"c1641"</definedName>
    <definedName name="IQ_EST_EPS_GROWTH_Q_1YR_REUT" hidden="1">"c5410"</definedName>
    <definedName name="IQ_EST_EPS_GW_DIFF" hidden="1">"c1891"</definedName>
    <definedName name="IQ_EST_EPS_GW_DIFF_REUT" hidden="1">"c5429"</definedName>
    <definedName name="IQ_EST_EPS_GW_SURPRISE_PERCENT" hidden="1">"c1892"</definedName>
    <definedName name="IQ_EST_EPS_GW_SURPRISE_PERCENT_REUT" hidden="1">"c5430"</definedName>
    <definedName name="IQ_EST_EPS_NORM_DIFF" hidden="1">"c2247"</definedName>
    <definedName name="IQ_EST_EPS_NORM_DIFF_REUT" hidden="1">"c5411"</definedName>
    <definedName name="IQ_EST_EPS_NORM_SURPRISE_PERCENT" hidden="1">"c2248"</definedName>
    <definedName name="IQ_EST_EPS_NORM_SURPRISE_PERCENT_REUT" hidden="1">"c5412"</definedName>
    <definedName name="IQ_EST_EPS_REPORT_DIFF" hidden="1">"c1893"</definedName>
    <definedName name="IQ_EST_EPS_REPORT_DIFF_REUT" hidden="1">"c5431"</definedName>
    <definedName name="IQ_EST_EPS_REPORT_SURPRISE_PERCENT" hidden="1">"c1894"</definedName>
    <definedName name="IQ_EST_EPS_REPORT_SURPRISE_PERCENT_REUT" hidden="1">"c5432"</definedName>
    <definedName name="IQ_EST_EPS_SEQ_GROWTH_Q" hidden="1">"c1764"</definedName>
    <definedName name="IQ_EST_EPS_SURPRISE" hidden="1">"c1635"</definedName>
    <definedName name="IQ_EST_EPS_SURPRISE_PERCENT" hidden="1">"c1635"</definedName>
    <definedName name="IQ_EST_FFO_DIFF" hidden="1">"c1869"</definedName>
    <definedName name="IQ_EST_FFO_DIFF_REUT" hidden="1">"c3890"</definedName>
    <definedName name="IQ_EST_FFO_DIFF_THOM" hidden="1">"c5186"</definedName>
    <definedName name="IQ_EST_FFO_GROWTH_1YR" hidden="1">"c1770"</definedName>
    <definedName name="IQ_EST_FFO_GROWTH_2YR" hidden="1">"c1771"</definedName>
    <definedName name="IQ_EST_FFO_GROWTH_Q_1YR" hidden="1">"c1772"</definedName>
    <definedName name="IQ_EST_FFO_SEQ_GROWTH_Q" hidden="1">"c1773"</definedName>
    <definedName name="IQ_EST_FFO_SURPRISE_PERCENT" hidden="1">"c1870"</definedName>
    <definedName name="IQ_EST_FFO_SURPRISE_PERCENT_REUT" hidden="1">"c3891"</definedName>
    <definedName name="IQ_EST_FFO_SURPRISE_PERCENT_THOM" hidden="1">"c5187"</definedName>
    <definedName name="IQ_EST_NAV_DIFF" hidden="1">"c1895"</definedName>
    <definedName name="IQ_EST_NAV_SURPRISE_PERCENT" hidden="1">"c1896"</definedName>
    <definedName name="IQ_EST_NI_DIFF" hidden="1">"c1885"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URPRISE_PERCENT" hidden="1">"c1886"</definedName>
    <definedName name="IQ_EST_NUM_BUY" hidden="1">"c1759"</definedName>
    <definedName name="IQ_EST_NUM_BUY_CIQ" hidden="1">"c3700"</definedName>
    <definedName name="IQ_EST_NUM_BUY_REUT" hidden="1">"c3869"</definedName>
    <definedName name="IQ_EST_NUM_BUY_THOM" hidden="1">"c5165"</definedName>
    <definedName name="IQ_EST_NUM_HOLD" hidden="1">"c1761"</definedName>
    <definedName name="IQ_EST_NUM_HOLD_CIQ" hidden="1">"c3702"</definedName>
    <definedName name="IQ_EST_NUM_HOLD_REUT" hidden="1">"c3871"</definedName>
    <definedName name="IQ_EST_NUM_HOLD_THOM" hidden="1">"c5167"</definedName>
    <definedName name="IQ_EST_NUM_NO_OPINION" hidden="1">"c1758"</definedName>
    <definedName name="IQ_EST_NUM_OUTPERFORM" hidden="1">"c1760"</definedName>
    <definedName name="IQ_EST_NUM_OUTPERFORM_CIQ" hidden="1">"c3701"</definedName>
    <definedName name="IQ_EST_NUM_OUTPERFORM_REUT" hidden="1">"c3870"</definedName>
    <definedName name="IQ_EST_NUM_OUTPERFORM_THOM" hidden="1">"c5166"</definedName>
    <definedName name="IQ_EST_NUM_SELL" hidden="1">"c1763"</definedName>
    <definedName name="IQ_EST_NUM_SELL_CIQ" hidden="1">"c3704"</definedName>
    <definedName name="IQ_EST_NUM_SELL_REUT" hidden="1">"c3873"</definedName>
    <definedName name="IQ_EST_NUM_SELL_THOM" hidden="1">"c5169"</definedName>
    <definedName name="IQ_EST_NUM_UNDERPERFORM" hidden="1">"c1762"</definedName>
    <definedName name="IQ_EST_NUM_UNDERPERFORM_CIQ" hidden="1">"c3703"</definedName>
    <definedName name="IQ_EST_NUM_UNDERPERFORM_REUT" hidden="1">"c3872"</definedName>
    <definedName name="IQ_EST_NUM_UNDERPERFORM_THOM" hidden="1">"c5168"</definedName>
    <definedName name="IQ_EST_OPER_INC_DIFF" hidden="1">"c1877"</definedName>
    <definedName name="IQ_EST_OPER_INC_SURPRISE_PERCENT" hidden="1">"c1878"</definedName>
    <definedName name="IQ_EST_PRE_TAX_DIFF" hidden="1">"c1879"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REV_DIFF" hidden="1">"c1865"</definedName>
    <definedName name="IQ_EST_REV_GROWTH_1YR" hidden="1">"c1638"</definedName>
    <definedName name="IQ_EST_REV_GROWTH_2YR" hidden="1">"c1639"</definedName>
    <definedName name="IQ_EST_REV_GROWTH_Q_1YR" hidden="1">"c1640"</definedName>
    <definedName name="IQ_EST_REV_SEQ_GROWTH_Q" hidden="1">"c1765"</definedName>
    <definedName name="IQ_EST_REV_SURPRISE_PERCENT" hidden="1">"c1866"</definedName>
    <definedName name="IQ_EST_VENDOR" hidden="1">"c5564"</definedName>
    <definedName name="IQ_ESTIMATED_ASSESSABLE_DEPOSITS_FDIC" hidden="1">"c6490"</definedName>
    <definedName name="IQ_ESTIMATED_INSURED_DEPOSITS_FDIC" hidden="1">"c6491"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_OVER_REVENUE_EST" hidden="1">"IQ_EV_OVER_REVENUE_EST"</definedName>
    <definedName name="IQ_EV_OVER_REVENUE_EST_1" hidden="1">"IQ_EV_OVER_REVENUE_EST_1"</definedName>
    <definedName name="IQ_EVAL_DATE" hidden="1">"c2180"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PORTS_APR_FC_UNUSED_UNUSED_UNUSED" hidden="1">"c8401"</definedName>
    <definedName name="IQ_EXPORTS_APR_UNUSED_UNUSED_UNUSED" hidden="1">"c7521"</definedName>
    <definedName name="IQ_EXPORTS_FC_UNUSED_UNUSED_UNUSED" hidden="1">"c7741"</definedName>
    <definedName name="IQ_EXPORTS_GOODS_REAL_SAAR_APR_FC_UNUSED_UNUSED_UNUSED" hidden="1">"c8512"</definedName>
    <definedName name="IQ_EXPORTS_GOODS_REAL_SAAR_APR_UNUSED_UNUSED_UNUSED" hidden="1">"c7632"</definedName>
    <definedName name="IQ_EXPORTS_GOODS_REAL_SAAR_FC_UNUSED_UNUSED_UNUSED" hidden="1">"c7852"</definedName>
    <definedName name="IQ_EXPORTS_GOODS_REAL_SAAR_POP_FC_UNUSED_UNUSED_UNUSED" hidden="1">"c8072"</definedName>
    <definedName name="IQ_EXPORTS_GOODS_REAL_SAAR_POP_UNUSED_UNUSED_UNUSED" hidden="1">"c7192"</definedName>
    <definedName name="IQ_EXPORTS_GOODS_REAL_SAAR_UNUSED_UNUSED_UNUSED" hidden="1">"c6972"</definedName>
    <definedName name="IQ_EXPORTS_GOODS_REAL_SAAR_YOY_FC_UNUSED_UNUSED_UNUSED" hidden="1">"c8292"</definedName>
    <definedName name="IQ_EXPORTS_GOODS_REAL_SAAR_YOY_UNUSED_UNUSED_UNUSED" hidden="1">"c7412"</definedName>
    <definedName name="IQ_EXPORTS_POP_FC_UNUSED_UNUSED_UNUSED" hidden="1">"c7961"</definedName>
    <definedName name="IQ_EXPORTS_POP_UNUSED_UNUSED_UNUSED" hidden="1">"c7081"</definedName>
    <definedName name="IQ_EXPORTS_SERVICES_REAL_SAAR_APR_FC_UNUSED_UNUSED_UNUSED" hidden="1">"c8516"</definedName>
    <definedName name="IQ_EXPORTS_SERVICES_REAL_SAAR_APR_UNUSED_UNUSED_UNUSED" hidden="1">"c7636"</definedName>
    <definedName name="IQ_EXPORTS_SERVICES_REAL_SAAR_FC_UNUSED_UNUSED_UNUSED" hidden="1">"c7856"</definedName>
    <definedName name="IQ_EXPORTS_SERVICES_REAL_SAAR_POP_FC_UNUSED_UNUSED_UNUSED" hidden="1">"c8076"</definedName>
    <definedName name="IQ_EXPORTS_SERVICES_REAL_SAAR_POP_UNUSED_UNUSED_UNUSED" hidden="1">"c7196"</definedName>
    <definedName name="IQ_EXPORTS_SERVICES_REAL_SAAR_UNUSED_UNUSED_UNUSED" hidden="1">"c6976"</definedName>
    <definedName name="IQ_EXPORTS_SERVICES_REAL_SAAR_YOY_FC_UNUSED_UNUSED_UNUSED" hidden="1">"c8296"</definedName>
    <definedName name="IQ_EXPORTS_SERVICES_REAL_SAAR_YOY_UNUSED_UNUSED_UNUSED" hidden="1">"c7416"</definedName>
    <definedName name="IQ_EXPORTS_UNUSED_UNUSED_UNUSED" hidden="1">"c6861"</definedName>
    <definedName name="IQ_EXPORTS_YOY_FC_UNUSED_UNUSED_UNUSED" hidden="1">"c8181"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ITEMS" hidden="1">"c1459"</definedName>
    <definedName name="IQ_EXTRAORDINARY_GAINS_FDIC" hidden="1">"c6586"</definedName>
    <definedName name="IQ_FAIR_VALUE_FDIC" hidden="1">"c6427"</definedName>
    <definedName name="IQ_FARM_LOANS_NET_FDIC" hidden="1">"c6316"</definedName>
    <definedName name="IQ_FARM_LOANS_TOTAL_LOANS_FOREIGN_FDIC" hidden="1">"c6450"</definedName>
    <definedName name="IQ_FARMLAND_LOANS_FDIC" hidden="1">"c6314"</definedName>
    <definedName name="IQ_FDIC" hidden="1">"c417"</definedName>
    <definedName name="IQ_FED_FUNDS_PURCHASED_FDIC" hidden="1">"c6343"</definedName>
    <definedName name="IQ_FED_FUNDS_SOLD_FDIC" hidden="1">"c6307"</definedName>
    <definedName name="IQ_FEDFUNDS_SOLD" hidden="1">"c2256"</definedName>
    <definedName name="IQ_FFO" hidden="1">"c1574"</definedName>
    <definedName name="IQ_FFO_ADJ_ACT_OR_EST" hidden="1">"c4435"</definedName>
    <definedName name="IQ_FFO_ADJ_EST_CIQ" hidden="1">"c4959"</definedName>
    <definedName name="IQ_FFO_ADJ_HIGH_EST_CIQ" hidden="1">"c4962"</definedName>
    <definedName name="IQ_FFO_ADJ_LOW_EST_CIQ" hidden="1">"c4963"</definedName>
    <definedName name="IQ_FFO_ADJ_MEDIAN_EST_CIQ" hidden="1">"c4964"</definedName>
    <definedName name="IQ_FFO_ADJ_NUM_EST_CIQ" hidden="1">"c4965"</definedName>
    <definedName name="IQ_FFO_ADJ_STDDEV_EST_CIQ" hidden="1">"c4966"</definedName>
    <definedName name="IQ_FFO_EST" hidden="1">"c418"</definedName>
    <definedName name="IQ_FFO_EST_CIQ" hidden="1">"c3668"</definedName>
    <definedName name="IQ_FFO_EST_REUT" hidden="1">"c3837"</definedName>
    <definedName name="IQ_FFO_EST_THOM" hidden="1">"c3999"</definedName>
    <definedName name="IQ_FFO_HIGH_EST" hidden="1">"c419"</definedName>
    <definedName name="IQ_FFO_HIGH_EST_CIQ" hidden="1">"c3670"</definedName>
    <definedName name="IQ_FFO_HIGH_EST_REUT" hidden="1">"c3839"</definedName>
    <definedName name="IQ_FFO_HIGH_EST_THOM" hidden="1">"c4001"</definedName>
    <definedName name="IQ_FFO_LOW_EST" hidden="1">"c420"</definedName>
    <definedName name="IQ_FFO_LOW_EST_CIQ" hidden="1">"c3671"</definedName>
    <definedName name="IQ_FFO_LOW_EST_REUT" hidden="1">"c3840"</definedName>
    <definedName name="IQ_FFO_LOW_EST_THOM" hidden="1">"c4002"</definedName>
    <definedName name="IQ_FFO_MEDIAN_EST" hidden="1">"c1665"</definedName>
    <definedName name="IQ_FFO_MEDIAN_EST_CIQ" hidden="1">"c3669"</definedName>
    <definedName name="IQ_FFO_MEDIAN_EST_REUT" hidden="1">"c3838"</definedName>
    <definedName name="IQ_FFO_MEDIAN_EST_THOM" hidden="1">"c4000"</definedName>
    <definedName name="IQ_FFO_NUM_EST" hidden="1">"c421"</definedName>
    <definedName name="IQ_FFO_NUM_EST_CIQ" hidden="1">"c3672"</definedName>
    <definedName name="IQ_FFO_NUM_EST_REUT" hidden="1">"c3841"</definedName>
    <definedName name="IQ_FFO_NUM_EST_THOM" hidden="1">"c4003"</definedName>
    <definedName name="IQ_FFO_PAYOUT_RATIO" hidden="1">"c3492"</definedName>
    <definedName name="IQ_FFO_SHARE_ACT_OR_EST" hidden="1">"c4446"</definedName>
    <definedName name="IQ_FFO_STDDEV_EST" hidden="1">"c422"</definedName>
    <definedName name="IQ_FFO_STDDEV_EST_CIQ" hidden="1">"c3673"</definedName>
    <definedName name="IQ_FFO_STDDEV_EST_REUT" hidden="1">"c3842"</definedName>
    <definedName name="IQ_FFO_STDDEV_EST_THOM" hidden="1">"c4004"</definedName>
    <definedName name="IQ_FH" hidden="1">100000</definedName>
    <definedName name="IQ_FHLB_ADVANCES_FDIC" hidden="1">"c6366"</definedName>
    <definedName name="IQ_FHLB_DEBT" hidden="1">"c423"</definedName>
    <definedName name="IQ_FHLB_DUE_AFTER_FIVE" hidden="1">"c2086"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CURRENT_PORT_DEBT_TOTAL" hidden="1">"c5524"</definedName>
    <definedName name="IQ_FIN_DIV_CURRENT_PORT_LEASES_TOTAL" hidden="1">"c5523"</definedName>
    <definedName name="IQ_FIN_DIV_DEBT_CURRENT" hidden="1">"c429"</definedName>
    <definedName name="IQ_FIN_DIV_DEBT_LT" hidden="1">"c430"</definedName>
    <definedName name="IQ_FIN_DIV_DEBT_LT_TOTAL" hidden="1">"c5526"</definedName>
    <definedName name="IQ_FIN_DIV_DEBT_TOTAL" hidden="1">"c5656"</definedName>
    <definedName name="IQ_FIN_DIV_EXP" hidden="1">"c431"</definedName>
    <definedName name="IQ_FIN_DIV_INT_EXP" hidden="1">"c432"</definedName>
    <definedName name="IQ_FIN_DIV_LEASES_LT_TOTAL" hidden="1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NOTES_PAY_TOTAL" hidden="1">"c5522"</definedName>
    <definedName name="IQ_FIN_DIV_REV" hidden="1">"c437"</definedName>
    <definedName name="IQ_FIN_DIV_ST_DEBT_TOTAL" hidden="1">"c5527"</definedName>
    <definedName name="IQ_FIN_DIV_ST_INVEST" hidden="1">"c6288"</definedName>
    <definedName name="IQ_FINANCING_CASH" hidden="1">"c1405"</definedName>
    <definedName name="IQ_FINANCING_CASH_SUPPL" hidden="1">"c1406"</definedName>
    <definedName name="IQ_FINANCING_OBLIG_CURRENT" hidden="1">"c6190"</definedName>
    <definedName name="IQ_FINANCING_OBLIG_NON_CURRENT" hidden="1">"c6191"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REUT" hidden="1">"c6798"</definedName>
    <definedName name="IQ_FISCAL_Y" hidden="1">"c441"</definedName>
    <definedName name="IQ_FISCAL_Y_EST" hidden="1">"c6795"</definedName>
    <definedName name="IQ_FISCAL_Y_EST_REUT" hidden="1">"c6799"</definedName>
    <definedName name="IQ_FIVE_PERCENT_OWNER" hidden="1">"c442"</definedName>
    <definedName name="IQ_FIVE_YEAR_FIXED_AND_FLOATING_RATE_FDIC" hidden="1">"c6422"</definedName>
    <definedName name="IQ_FIVE_YEAR_MORTGAGE_PASS_THROUGHS_FDIC" hidden="1">"c6414"</definedName>
    <definedName name="IQ_FIVEPERCENT_PERCENT" hidden="1">"c443"</definedName>
    <definedName name="IQ_FIVEPERCENT_SHARES" hidden="1">"c444"</definedName>
    <definedName name="IQ_FIXED_ASSET_TURNS" hidden="1">"c445"</definedName>
    <definedName name="IQ_FIXED_INVEST_APR_FC_UNUSED_UNUSED_UNUSED" hidden="1">"c8410"</definedName>
    <definedName name="IQ_FIXED_INVEST_APR_UNUSED_UNUSED_UNUSED" hidden="1">"c7530"</definedName>
    <definedName name="IQ_FIXED_INVEST_FC_UNUSED_UNUSED_UNUSED" hidden="1">"c7750"</definedName>
    <definedName name="IQ_FIXED_INVEST_POP_FC_UNUSED_UNUSED_UNUSED" hidden="1">"c7970"</definedName>
    <definedName name="IQ_FIXED_INVEST_POP_UNUSED_UNUSED_UNUSED" hidden="1">"c7090"</definedName>
    <definedName name="IQ_FIXED_INVEST_REAL_APR_FC_UNUSED_UNUSED_UNUSED" hidden="1">"c8518"</definedName>
    <definedName name="IQ_FIXED_INVEST_REAL_APR_UNUSED_UNUSED_UNUSED" hidden="1">"c7638"</definedName>
    <definedName name="IQ_FIXED_INVEST_REAL_FC_UNUSED_UNUSED_UNUSED" hidden="1">"c7858"</definedName>
    <definedName name="IQ_FIXED_INVEST_REAL_POP_FC_UNUSED_UNUSED_UNUSED" hidden="1">"c8078"</definedName>
    <definedName name="IQ_FIXED_INVEST_REAL_POP_UNUSED_UNUSED_UNUSED" hidden="1">"c7198"</definedName>
    <definedName name="IQ_FIXED_INVEST_REAL_UNUSED_UNUSED_UNUSED" hidden="1">"c6978"</definedName>
    <definedName name="IQ_FIXED_INVEST_REAL_YOY_FC_UNUSED_UNUSED_UNUSED" hidden="1">"c8298"</definedName>
    <definedName name="IQ_FIXED_INVEST_REAL_YOY_UNUSED_UNUSED_UNUSED" hidden="1">"c7418"</definedName>
    <definedName name="IQ_FIXED_INVEST_UNUSED_UNUSED_UNUSED" hidden="1">"c6870"</definedName>
    <definedName name="IQ_FIXED_INVEST_YOY_FC_UNUSED_UNUSED_UNUSED" hidden="1">"c8190"</definedName>
    <definedName name="IQ_FIXED_INVEST_YOY_UNUSED_UNUSED_UNUSED" hidden="1">"c7310"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LOAN_CHARG_OFFS_FDIC" hidden="1">"c6645"</definedName>
    <definedName name="IQ_FOREIGN_BANKS_NET_CHARGE_OFFS_FDIC" hidden="1">"c6647"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NONTRANSACTION_ACCOUNTS_FDIC" hidden="1">"c6549"</definedName>
    <definedName name="IQ_FOREIGN_DEPOSITS_TRANSACTION_ACCOUNTS_FDIC" hidden="1">"c6541"</definedName>
    <definedName name="IQ_FOREIGN_EXCHANGE" hidden="1">"c1376"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ULLY_INSURED_DEPOSITS_FDIC" hidden="1">"c6487"</definedName>
    <definedName name="IQ_FUTURES_FORWARD_CONTRACTS_NOTIONAL_AMOUNT_FDIC" hidden="1">"c6518"</definedName>
    <definedName name="IQ_FUTURES_FORWARD_CONTRACTS_RATE_RISK_FDIC" hidden="1">"c6508"</definedName>
    <definedName name="IQ_FWD" hidden="1">"LTM"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WD_Q3" hidden="1">"504"</definedName>
    <definedName name="IQ_FWD_Q4" hidden="1">"505"</definedName>
    <definedName name="IQ_FWD_Q5" hidden="1">"506"</definedName>
    <definedName name="IQ_FWD_Q6" hidden="1">"507"</definedName>
    <definedName name="IQ_FWD_Q7" hidden="1">"508"</definedName>
    <definedName name="IQ_FWD1" hidden="1">"LTM"</definedName>
    <definedName name="IQ_FX" hidden="1">"c451"</definedName>
    <definedName name="IQ_FX_CONTRACTS_FDIC" hidden="1">"c6517"</definedName>
    <definedName name="IQ_FX_CONTRACTS_SPOT_FDIC" hidden="1">"c6356"</definedName>
    <definedName name="IQ_FY" hidden="1">1000</definedName>
    <definedName name="IQ_FY_DATE" hidden="1">"IQ_FY_DATE"</definedName>
    <definedName name="IQ_GA_EXP" hidden="1">"c2241"</definedName>
    <definedName name="IQ_GAAP_BS" hidden="1">"c6789"</definedName>
    <definedName name="IQ_GAAP_CF" hidden="1">"c6790"</definedName>
    <definedName name="IQ_GAAP_IS" hidden="1">"c6194"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AIN_SALE_LOANS_FDIC" hidden="1">"c6673"</definedName>
    <definedName name="IQ_GAIN_SALE_RE_FDIC" hidden="1">"c6674"</definedName>
    <definedName name="IQ_GAINS_SALE_ASSETS_FDIC" hidden="1">"c6675"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NMA_FDIC" hidden="1">"c6398"</definedName>
    <definedName name="IQ_GOODWILL_FDIC" hidden="1">"c6334"</definedName>
    <definedName name="IQ_GOODWILL_IMPAIRMENT_FDIC" hidden="1">"c6678"</definedName>
    <definedName name="IQ_GOODWILL_INTAN_FDIC" hidden="1">"c6333"</definedName>
    <definedName name="IQ_GOODWILL_NET" hidden="1">"c1380"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C_EARNED" hidden="1">"c2747"</definedName>
    <definedName name="IQ_GROSS_PROFIT" hidden="1">"c1378"</definedName>
    <definedName name="IQ_GROSS_SPRD" hidden="1">"c2155"</definedName>
    <definedName name="IQ_GROSS_WRITTEN" hidden="1">"c2726"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DAYS_REV_OUT" hidden="1">"c5993"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SALARIES_PCT_REV" hidden="1">"c5970"</definedName>
    <definedName name="IQ_HC_SUPPLIES_PCT_REV" hidden="1">"c5971"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LD_MATURITY_FDIC" hidden="1">"c6408"</definedName>
    <definedName name="IQ_HIGH_TARGET_PRICE" hidden="1">"c1651"</definedName>
    <definedName name="IQ_HIGH_TARGET_PRICE_REUT" hidden="1">"c5317"</definedName>
    <definedName name="IQ_HIGHPRICE" hidden="1">"c545"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OWNERS_WRITTEN" hidden="1">"c546"</definedName>
    <definedName name="IQ_HOUSING_COMPLETIONS_SINGLE_FAM_APR_FC_UNUSED_UNUSED_UNUSED" hidden="1">"c8422"</definedName>
    <definedName name="IQ_HOUSING_COMPLETIONS_SINGLE_FAM_APR_UNUSED_UNUSED_UNUSED" hidden="1">"c7542"</definedName>
    <definedName name="IQ_HOUSING_COMPLETIONS_SINGLE_FAM_FC_UNUSED_UNUSED_UNUSED" hidden="1">"c7762"</definedName>
    <definedName name="IQ_HOUSING_COMPLETIONS_SINGLE_FAM_POP_FC_UNUSED_UNUSED_UNUSED" hidden="1">"c7982"</definedName>
    <definedName name="IQ_HOUSING_COMPLETIONS_SINGLE_FAM_POP_UNUSED_UNUSED_UNUSED" hidden="1">"c7102"</definedName>
    <definedName name="IQ_HOUSING_COMPLETIONS_SINGLE_FAM_UNUSED_UNUSED_UNUSED" hidden="1">"c6882"</definedName>
    <definedName name="IQ_HOUSING_COMPLETIONS_SINGLE_FAM_YOY_FC_UNUSED_UNUSED_UNUSED" hidden="1">"c8202"</definedName>
    <definedName name="IQ_HOUSING_COMPLETIONS_SINGLE_FAM_YOY_UNUSED_UNUSED_UNUSED" hidden="1">"c7322"</definedName>
    <definedName name="IQ_IMPAIR_OIL" hidden="1">"c547"</definedName>
    <definedName name="IQ_IMPAIRMENT_GW" hidden="1">"c548"</definedName>
    <definedName name="IQ_IMPORTS_GOODS_REAL_SAAR_APR_FC_UNUSED_UNUSED_UNUSED" hidden="1">"c8523"</definedName>
    <definedName name="IQ_IMPORTS_GOODS_REAL_SAAR_APR_UNUSED_UNUSED_UNUSED" hidden="1">"c7643"</definedName>
    <definedName name="IQ_IMPORTS_GOODS_REAL_SAAR_FC_UNUSED_UNUSED_UNUSED" hidden="1">"c7863"</definedName>
    <definedName name="IQ_IMPORTS_GOODS_REAL_SAAR_POP_FC_UNUSED_UNUSED_UNUSED" hidden="1">"c8083"</definedName>
    <definedName name="IQ_IMPORTS_GOODS_REAL_SAAR_POP_UNUSED_UNUSED_UNUSED" hidden="1">"c7203"</definedName>
    <definedName name="IQ_IMPORTS_GOODS_REAL_SAAR_UNUSED_UNUSED_UNUSED" hidden="1">"c6983"</definedName>
    <definedName name="IQ_IMPORTS_GOODS_REAL_SAAR_YOY_FC_UNUSED_UNUSED_UNUSED" hidden="1">"c8303"</definedName>
    <definedName name="IQ_IMPORTS_GOODS_REAL_SAAR_YOY_UNUSED_UNUSED_UNUSED" hidden="1">"c7423"</definedName>
    <definedName name="IQ_IMPORTS_GOODS_SERVICES_APR_FC_UNUSED_UNUSED_UNUSED" hidden="1">"c8429"</definedName>
    <definedName name="IQ_IMPORTS_GOODS_SERVICES_APR_UNUSED_UNUSED_UNUSED" hidden="1">"c7549"</definedName>
    <definedName name="IQ_IMPORTS_GOODS_SERVICES_FC_UNUSED_UNUSED_UNUSED" hidden="1">"c7769"</definedName>
    <definedName name="IQ_IMPORTS_GOODS_SERVICES_POP_FC_UNUSED_UNUSED_UNUSED" hidden="1">"c7989"</definedName>
    <definedName name="IQ_IMPORTS_GOODS_SERVICES_POP_UNUSED_UNUSED_UNUSED" hidden="1">"c7109"</definedName>
    <definedName name="IQ_IMPORTS_GOODS_SERVICES_REAL_SAAR_APR_FC_UNUSED_UNUSED_UNUSED" hidden="1">"c8524"</definedName>
    <definedName name="IQ_IMPORTS_GOODS_SERVICES_REAL_SAAR_APR_UNUSED_UNUSED_UNUSED" hidden="1">"c7644"</definedName>
    <definedName name="IQ_IMPORTS_GOODS_SERVICES_REAL_SAAR_FC_UNUSED_UNUSED_UNUSED" hidden="1">"c7864"</definedName>
    <definedName name="IQ_IMPORTS_GOODS_SERVICES_REAL_SAAR_POP_FC_UNUSED_UNUSED_UNUSED" hidden="1">"c8084"</definedName>
    <definedName name="IQ_IMPORTS_GOODS_SERVICES_REAL_SAAR_POP_UNUSED_UNUSED_UNUSED" hidden="1">"c7204"</definedName>
    <definedName name="IQ_IMPORTS_GOODS_SERVICES_REAL_SAAR_UNUSED_UNUSED_UNUSED" hidden="1">"c6984"</definedName>
    <definedName name="IQ_IMPORTS_GOODS_SERVICES_REAL_SAAR_YOY_FC_UNUSED_UNUSED_UNUSED" hidden="1">"c8304"</definedName>
    <definedName name="IQ_IMPORTS_GOODS_SERVICES_REAL_SAAR_YOY_UNUSED_UNUSED_UNUSED" hidden="1">"c7424"</definedName>
    <definedName name="IQ_IMPORTS_GOODS_SERVICES_UNUSED_UNUSED_UNUSED" hidden="1">"c6889"</definedName>
    <definedName name="IQ_IMPORTS_GOODS_SERVICES_YOY_FC_UNUSED_UNUSED_UNUSED" hidden="1">"c8209"</definedName>
    <definedName name="IQ_IMPORTS_GOODS_SERVICES_YOY_UNUSED_UNUSED_UNUSED" hidden="1">"c7329"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EARNED_FDIC" hidden="1">"c6359"</definedName>
    <definedName name="IQ_INCOME_TAXES_FDIC" hidden="1">"c6582"</definedName>
    <definedName name="IQ_INDIVIDUALS_CHARGE_OFFS_FDIC" hidden="1">"c6599"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USTRY" hidden="1">"c3601"</definedName>
    <definedName name="IQ_INDUSTRY_GROUP" hidden="1">"c3602"</definedName>
    <definedName name="IQ_INDUSTRY_SECTOR" hidden="1">"c3603"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LOANS_FDIC" hidden="1">"c6365"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UNDERWRITING_INCOME_FDIC" hidden="1">"c6671"</definedName>
    <definedName name="IQ_INT_BORROW" hidden="1">"c583"</definedName>
    <definedName name="IQ_INT_DEMAND_NOTES_FDIC" hidden="1">"c6567"</definedName>
    <definedName name="IQ_INT_DEPOSITS" hidden="1">"c584"</definedName>
    <definedName name="IQ_INT_DIV_INC" hidden="1">"c585"</definedName>
    <definedName name="IQ_INT_DOMESTIC_DEPOSITS_FDIC" hidden="1">"c6564"</definedName>
    <definedName name="IQ_INT_EXP_BR" hidden="1">"c586"</definedName>
    <definedName name="IQ_INT_EXP_COVERAGE" hidden="1">"c587"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FDIC" hidden="1">"c6569"</definedName>
    <definedName name="IQ_INT_EXP_UTI" hidden="1">"c592"</definedName>
    <definedName name="IQ_INT_FED_FUNDS_FDIC" hidden="1">"c6566"</definedName>
    <definedName name="IQ_INT_FOREIGN_DEPOSITS_FDIC" hidden="1">"c6565"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FED_FUNDS_FDIC" hidden="1">"c6561"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OTAL" hidden="1">"c598"</definedName>
    <definedName name="IQ_INT_INC_TOTAL_FDIC" hidden="1">"c6563"</definedName>
    <definedName name="IQ_INT_INC_TRADING_ACCOUNTS_FDIC" hidden="1">"c6560"</definedName>
    <definedName name="IQ_INT_INC_UTI" hidden="1">"c599"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_SUB_NOTES_FDIC" hidden="1">"c6568"</definedName>
    <definedName name="IQ_INTANGIBLES_NET" hidden="1">"c1407"</definedName>
    <definedName name="IQ_INTEREST_BEARING_BALANCES_FDIC" hidden="1">"c6371"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10K" hidden="1">"IQ_INTEREST_INC_10K"</definedName>
    <definedName name="IQ_INTEREST_INC_10Q" hidden="1">"IQ_INTEREST_INC_10Q"</definedName>
    <definedName name="IQ_INTEREST_INC_10Q1" hidden="1">"IQ_INTEREST_INC_10Q1"</definedName>
    <definedName name="IQ_INTEREST_INC_NON" hidden="1">"c1384"</definedName>
    <definedName name="IQ_INTEREST_INVEST_INC" hidden="1">"c619"</definedName>
    <definedName name="IQ_INTEREST_LT_DEBT" hidden="1">"c2086"</definedName>
    <definedName name="IQ_INTEREST_RATE_CONTRACTS_FDIC" hidden="1">"c6512"</definedName>
    <definedName name="IQ_INTEREST_RATE_EXPOSURES_FDIC" hidden="1">"c6662"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UNI_SECURITY" hidden="1">"c5512"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MENT_BANKING_OTHER_FEES_FDIC" hidden="1">"c6666"</definedName>
    <definedName name="IQ_IPRD" hidden="1">"c644"</definedName>
    <definedName name="IQ_IRA_KEOGH_ACCOUNTS_FDIC" hidden="1">"c6496"</definedName>
    <definedName name="IQ_ISM_SERVICES_APR_FC_UNUSED_UNUSED_UNUSED" hidden="1">"c8443"</definedName>
    <definedName name="IQ_ISM_SERVICES_APR_UNUSED_UNUSED_UNUSED" hidden="1">"c7563"</definedName>
    <definedName name="IQ_ISM_SERVICES_FC_UNUSED_UNUSED_UNUSED" hidden="1">"c7783"</definedName>
    <definedName name="IQ_ISM_SERVICES_POP_FC_UNUSED_UNUSED_UNUSED" hidden="1">"c8003"</definedName>
    <definedName name="IQ_ISM_SERVICES_POP_UNUSED_UNUSED_UNUSED" hidden="1">"c7123"</definedName>
    <definedName name="IQ_ISM_SERVICES_UNUSED_UNUSED_UNUSED" hidden="1">"c6903"</definedName>
    <definedName name="IQ_ISM_SERVICES_YOY_FC_UNUSED_UNUSED_UNUSED" hidden="1">"c8223"</definedName>
    <definedName name="IQ_ISM_SERVICES_YOY_UNUSED_UNUSED_UNUSED" hidden="1">"c7343"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LAND" hidden="1">"c645"</definedName>
    <definedName name="IQ_LAST_EBIT_MARGIN" hidden="1">"IQ_LAST_EBIT_MARGIN"</definedName>
    <definedName name="IQ_LAST_EBITDA_MARGIN" hidden="1">"IQ_LAST_EBITDA_MARGIN"</definedName>
    <definedName name="IQ_LAST_GROSS_MARGIN" hidden="1">"IQ_LAST_GROSS_MARGIN"</definedName>
    <definedName name="IQ_LAST_NET_INC_MARGIN" hidden="1">"IQ_LAST_NET_INC_MARGIN"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" hidden="1">"1"</definedName>
    <definedName name="IQ_LATESTK" hidden="1">1000</definedName>
    <definedName name="IQ_LATESTKFR" hidden="1">"50"</definedName>
    <definedName name="IQ_LATESTQ" hidden="1">500</definedName>
    <definedName name="IQ_LATESTQFR" hidden="1">"100"</definedName>
    <definedName name="IQ_LEASE_FINANCING_RECEIVABLES_CHARGE_OFFS_FDIC" hidden="1">"c6602"</definedName>
    <definedName name="IQ_LEASE_FINANCING_RECEIVABLES_FDIC" hidden="1">"c6433"</definedName>
    <definedName name="IQ_LEASE_FINANCING_RECEIVABLES_NET_CHARGE_OFFS_FDIC" hidden="1">"c6640"</definedName>
    <definedName name="IQ_LEASE_FINANCING_RECEIVABLES_RECOVERIES_FDIC" hidden="1">"c6621"</definedName>
    <definedName name="IQ_LEASE_FINANCING_RECEIVABLES_TOTAL_LOANS_FOREIGN_FDIC" hidden="1">"c6449"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CENSED_POPS" hidden="1">"c2123"</definedName>
    <definedName name="IQ_LIFE_EARNED" hidden="1">"c2739"</definedName>
    <definedName name="IQ_LIFE_INSURANCE_ASSETS_FDIC" hidden="1">"c6372"</definedName>
    <definedName name="IQ_LIFOR" hidden="1">"c655"</definedName>
    <definedName name="IQ_LISTING_CURRENCY" hidden="1">"c2127"</definedName>
    <definedName name="IQ_LL" hidden="1">"c656"</definedName>
    <definedName name="IQ_LOAN_COMMITMENTS_REVOLVING_FDIC" hidden="1">"c6524"</definedName>
    <definedName name="IQ_LOAN_LEASE_RECEIV" hidden="1">"c657"</definedName>
    <definedName name="IQ_LOAN_LOSS" hidden="1">"c1386"</definedName>
    <definedName name="IQ_LOAN_LOSS_ALLOW_FDIC" hidden="1">"c6326"</definedName>
    <definedName name="IQ_LOAN_LOSS_ALLOWANCE_NONCURRENT_LOANS_FDIC" hidden="1">"c6740"</definedName>
    <definedName name="IQ_LOAN_LOSSES_FDIC" hidden="1">"c6580"</definedName>
    <definedName name="IQ_LOAN_SERVICE_REV" hidden="1">"c658"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ITUTIONS_FDIC" hidden="1">"c6382"</definedName>
    <definedName name="IQ_LOANS_FOR_SALE" hidden="1">"c666"</definedName>
    <definedName name="IQ_LOANS_HELD_FOREIGN_FDIC" hidden="1">"c6315"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NET_FDIC" hidden="1">"c6327"</definedName>
    <definedName name="IQ_LOANS_LEASES_NET_UNEARNED_FDIC" hidden="1">"c6325"</definedName>
    <definedName name="IQ_LOANS_NOT_SECURED_RE_FDIC" hidden="1">"c6381"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URED_BY_RE_CHARGE_OFFS_FDIC" hidden="1">"c6588"</definedName>
    <definedName name="IQ_LOANS_SECURED_BY_RE_RECOVERIES_FDIC" hidden="1">"c6607"</definedName>
    <definedName name="IQ_LOANS_SECURED_NON_US_FDIC" hidden="1">"c6380"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NG_TERM_ASSETS_FDIC" hidden="1">"c6361"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ALLOWANCE_LOANS_FDIC" hidden="1">"c6739"</definedName>
    <definedName name="IQ_LOSS_LOSS_EXP" hidden="1">"c672"</definedName>
    <definedName name="IQ_LOSS_TO_NET_EARNED" hidden="1">"c2751"</definedName>
    <definedName name="IQ_LOW_TARGET_PRICE" hidden="1">"c1652"</definedName>
    <definedName name="IQ_LOW_TARGET_PRICE_REUT" hidden="1">"c5318"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DATE" hidden="1">"IQ_LTM_DATE"</definedName>
    <definedName name="IQ_LTM_REVENUE_OVER_EMPLOYEES" hidden="1">"c1437"</definedName>
    <definedName name="IQ_LTMMONTH" hidden="1">120000</definedName>
    <definedName name="IQ_MACHINERY" hidden="1">"c711"</definedName>
    <definedName name="IQ_MAINT_CAPEX" hidden="1">"c2947"</definedName>
    <definedName name="IQ_MAINT_CAPEX_ACT_OR_EST" hidden="1">"c4458"</definedName>
    <definedName name="IQ_MAINT_CAPEX_EST" hidden="1">"c4457"</definedName>
    <definedName name="IQ_MAINT_CAPEX_HIGH_EST" hidden="1">"c4460"</definedName>
    <definedName name="IQ_MAINT_CAPEX_LOW_EST" hidden="1">"c4461"</definedName>
    <definedName name="IQ_MAINT_CAPEX_MEDIAN_EST" hidden="1">"c4462"</definedName>
    <definedName name="IQ_MAINT_CAPEX_NUM_EST" hidden="1">"c4463"</definedName>
    <definedName name="IQ_MAINT_CAPEX_STDDEV_EST" hidden="1">"c4464"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ATURITY_ONE_YEAR_LESS_FDIC" hidden="1">"c6425"</definedName>
    <definedName name="IQ_MC_RATIO" hidden="1">"c2783"</definedName>
    <definedName name="IQ_MC_STATUTORY_SURPLUS" hidden="1">"c2772"</definedName>
    <definedName name="IQ_MEDIAN_NEW_HOME_SALES_APR_FC_UNUSED_UNUSED_UNUSED" hidden="1">"c8460"</definedName>
    <definedName name="IQ_MEDIAN_NEW_HOME_SALES_APR_UNUSED_UNUSED_UNUSED" hidden="1">"c7580"</definedName>
    <definedName name="IQ_MEDIAN_NEW_HOME_SALES_FC_UNUSED_UNUSED_UNUSED" hidden="1">"c7800"</definedName>
    <definedName name="IQ_MEDIAN_NEW_HOME_SALES_POP_FC_UNUSED_UNUSED_UNUSED" hidden="1">"c8020"</definedName>
    <definedName name="IQ_MEDIAN_NEW_HOME_SALES_POP_UNUSED_UNUSED_UNUSED" hidden="1">"c7140"</definedName>
    <definedName name="IQ_MEDIAN_NEW_HOME_SALES_UNUSED_UNUSED_UNUSED" hidden="1">"c6920"</definedName>
    <definedName name="IQ_MEDIAN_NEW_HOME_SALES_YOY_FC_UNUSED_UNUSED_UNUSED" hidden="1">"c8240"</definedName>
    <definedName name="IQ_MEDIAN_NEW_HOME_SALES_YOY_UNUSED_UNUSED_UNUSED" hidden="1">"c7360"</definedName>
    <definedName name="IQ_MEDIAN_TARGET_PRICE" hidden="1">"c1650"</definedName>
    <definedName name="IQ_MEDIAN_TARGET_PRICE_REUT" hidden="1">"c5316"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REUT" hidden="1">"c4048"</definedName>
    <definedName name="IQ_MM_ACCOUNT" hidden="1">"c743"</definedName>
    <definedName name="IQ_MONEY_MARKET_DEPOSIT_ACCOUNTS_FDIC" hidden="1">"c6553"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SERV_RIGHTS" hidden="1">"c2242"</definedName>
    <definedName name="IQ_MORTGAGE_SERVICING_FDIC" hidden="1">"c6335"</definedName>
    <definedName name="IQ_MTD" hidden="1">800000</definedName>
    <definedName name="IQ_MULTIFAMILY_RESIDENTIAL_LOANS_FDIC" hidden="1">"c6311"</definedName>
    <definedName name="IQ_NAMES_REVISION_DATE_" localSheetId="1" hidden="1">40080.6546875</definedName>
    <definedName name="IQ_NAMES_REVISION_DATE_" localSheetId="0" hidden="1">40080.6546875</definedName>
    <definedName name="IQ_NAMES_REVISION_DATE_" hidden="1">39940.4425462963</definedName>
    <definedName name="IQ_NAV_ACT_OR_EST" hidden="1">"c2225"</definedName>
    <definedName name="IQ_NAV_EST" hidden="1">"c1751"</definedName>
    <definedName name="IQ_NAV_HIGH_EST" hidden="1">"c1753"</definedName>
    <definedName name="IQ_NAV_LOW_EST" hidden="1">"c1754"</definedName>
    <definedName name="IQ_NAV_MEDIAN_EST" hidden="1">"c1752"</definedName>
    <definedName name="IQ_NAV_NUM_EST" hidden="1">"c1755"</definedName>
    <definedName name="IQ_NAV_STDDEV_EST" hidden="1">"c1756"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EBITDA" hidden="1">"c750"</definedName>
    <definedName name="IQ_NET_DEBT_EBITDA_CAPEX" hidden="1">"c2949"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EARNED" hidden="1">"c2734"</definedName>
    <definedName name="IQ_NET_INC" hidden="1">"c1394"</definedName>
    <definedName name="IQ_NET_INC_10K" hidden="1">"IQ_NET_INC_10K"</definedName>
    <definedName name="IQ_NET_INC_10Q" hidden="1">"IQ_NET_INC_10Q"</definedName>
    <definedName name="IQ_NET_INC_10Q1" hidden="1">"IQ_NET_INC_10Q1"</definedName>
    <definedName name="IQ_NET_INC_BEFORE" hidden="1">"c1368"</definedName>
    <definedName name="IQ_NET_INC_CF" hidden="1">"c1397"</definedName>
    <definedName name="IQ_NET_INC_GROWTH_1" hidden="1">"IQ_NET_INC_GROWTH_1"</definedName>
    <definedName name="IQ_NET_INC_GROWTH_2" hidden="1">"IQ_NET_INC_GROWTH_2"</definedName>
    <definedName name="IQ_NET_INC_MARGIN" hidden="1">"c1398"</definedName>
    <definedName name="IQ_NET_INCOME_FDIC" hidden="1">"c6587"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BNK" hidden="1">"c764"</definedName>
    <definedName name="IQ_NET_INT_INC_BNK_FDIC" hidden="1">"c6570"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OPERATING_INCOME_ASSETS_FDIC" hidden="1">"c6729"</definedName>
    <definedName name="IQ_NET_RENTAL_EXP_FN" hidden="1">"c780"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EST" hidden="1">"c1716"</definedName>
    <definedName name="IQ_NI_GW_EST" hidden="1">"c1723"</definedName>
    <definedName name="IQ_NI_GW_HIGH_EST" hidden="1">"c1725"</definedName>
    <definedName name="IQ_NI_GW_LOW_EST" hidden="1">"c1726"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LOW_EST" hidden="1">"c1719"</definedName>
    <definedName name="IQ_NI_MARGIN" hidden="1">"c794"</definedName>
    <definedName name="IQ_NI_MEDIAN_EST" hidden="1">"c1717"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BC_ACT_OR_EST" hidden="1">"c4474"</definedName>
    <definedName name="IQ_NI_SBC_GW_ACT_OR_EST" hidden="1">"c4478"</definedName>
    <definedName name="IQ_NI_SFAS" hidden="1">"c795"</definedName>
    <definedName name="IQ_NI_STDDEV_EST" hidden="1">"c1721"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EXP_FDIC" hidden="1">"c6579"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FDIC" hidden="1">"c6575"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PENSION_EXP" hidden="1">"c3000"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INTEREST_BEARING_BALANCES_FDIC" hidden="1">"c6394"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OME_EARNING_ASSETS_FDIC" hidden="1">"c6727"</definedName>
    <definedName name="IQ_NONMORTGAGE_SERVICING_FDIC" hidden="1">"c6336"</definedName>
    <definedName name="IQ_NONRECOURSE_DEBT" hidden="1">"c2550"</definedName>
    <definedName name="IQ_NONRECOURSE_DEBT_PCT" hidden="1">"c2551"</definedName>
    <definedName name="IQ_NONRES_FIXED_INVEST_PRIV_APR_FC_UNUSED_UNUSED_UNUSED" hidden="1">"c8468"</definedName>
    <definedName name="IQ_NONRES_FIXED_INVEST_PRIV_APR_UNUSED_UNUSED_UNUSED" hidden="1">"c7588"</definedName>
    <definedName name="IQ_NONRES_FIXED_INVEST_PRIV_FC_UNUSED_UNUSED_UNUSED" hidden="1">"c7808"</definedName>
    <definedName name="IQ_NONRES_FIXED_INVEST_PRIV_POP_FC_UNUSED_UNUSED_UNUSED" hidden="1">"c8028"</definedName>
    <definedName name="IQ_NONRES_FIXED_INVEST_PRIV_POP_UNUSED_UNUSED_UNUSED" hidden="1">"c7148"</definedName>
    <definedName name="IQ_NONRES_FIXED_INVEST_PRIV_UNUSED_UNUSED_UNUSED" hidden="1">"c6928"</definedName>
    <definedName name="IQ_NONRES_FIXED_INVEST_PRIV_YOY_FC_UNUSED_UNUSED_UNUSED" hidden="1">"c8248"</definedName>
    <definedName name="IQ_NONRES_FIXED_INVEST_PRIV_YOY_UNUSED_UNUSED_UNUSED" hidden="1">"c7368"</definedName>
    <definedName name="IQ_NONTRANSACTION_ACCOUNTS_FDIC" hidden="1">"c6552"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TIONAL_AMOUNT_CREDIT_DERIVATIVES_FDIC" hidden="1">"c6507"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OFFICES" hidden="1">"c2088"</definedName>
    <definedName name="IQ_NUMBER_ADRHOLDERS" hidden="1">"c1970"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SHAREHOLDERS" hidden="1">"c1967"</definedName>
    <definedName name="IQ_NUMBER_SHAREHOLDERS_CLASSA" hidden="1">"c1968"</definedName>
    <definedName name="IQ_NUMBER_SHAREHOLDERS_CLASSB" hidden="1">"c1969"</definedName>
    <definedName name="IQ_NUMBER_SHAREHOLDERS_OTHER" hidden="1">"c1969"</definedName>
    <definedName name="IQ_OBLIGATIONS_OF_STATES_TOTAL_LOANS_FOREIGN_FDIC" hidden="1">"c6447"</definedName>
    <definedName name="IQ_OBLIGATIONS_STATES_FDIC" hidden="1">"c6431"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" hidden="1">"c1999"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ION" hidden="1">"c2059"</definedName>
    <definedName name="IQ_OG_TOTAL_OIL_PRODUCTON" hidden="1">"c2059"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ED55" hidden="1">1</definedName>
    <definedName name="IQ_OPENPRICE" hidden="1">"c848"</definedName>
    <definedName name="IQ_OPER_INC" hidden="1">"c849"</definedName>
    <definedName name="IQ_OPER_INC_BR" hidden="1">"c850"</definedName>
    <definedName name="IQ_OPER_INC_EST" hidden="1">"c1688"</definedName>
    <definedName name="IQ_OPER_INC_FIN" hidden="1">"c851"</definedName>
    <definedName name="IQ_OPER_INC_HIGH_EST" hidden="1">"c1690"</definedName>
    <definedName name="IQ_OPER_INC_INS" hidden="1">"c852"</definedName>
    <definedName name="IQ_OPER_INC_LOW_EST" hidden="1">"c1691"</definedName>
    <definedName name="IQ_OPER_INC_MARGIN" hidden="1">"c1448"</definedName>
    <definedName name="IQ_OPER_INC_MEDIAN_EST" hidden="1">"c1689"</definedName>
    <definedName name="IQ_OPER_INC_NUM_EST" hidden="1">"c1692"</definedName>
    <definedName name="IQ_OPER_INC_RE" hidden="1">"c6240"</definedName>
    <definedName name="IQ_OPER_INC_REIT" hidden="1">"c853"</definedName>
    <definedName name="IQ_OPER_INC_STDDEV_EST" hidden="1">"c1693"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CERCISED" hidden="1">"c2116"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OREIGN_FDIC" hidden="1">"c6460"</definedName>
    <definedName name="IQ_OREO_MULTI_FAMILY_RESIDENTIAL_FDIC" hidden="1">"c6455"</definedName>
    <definedName name="IQ_OTHER_ADJUST_GROSS_LOANS" hidden="1">"c859"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BORROWED_FUNDS_FDIC" hidden="1">"c6345"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OMESTIC_DEBT_SECURITIES_FDIC" hidden="1">"c6302"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SURANCE_FEES_FDIC" hidden="1">"c6672"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OANS" hidden="1">"c945"</definedName>
    <definedName name="IQ_OTHER_LOANS_CHARGE_OFFS_FDIC" hidden="1">"c6601"</definedName>
    <definedName name="IQ_OTHER_LOANS_FOREIGN_FDIC" hidden="1">"c6446"</definedName>
    <definedName name="IQ_OTHER_LOANS_LEASES_FDIC" hidden="1">"c6322"</definedName>
    <definedName name="IQ_OTHER_LOANS_NET_CHARGE_OFFS_FDIC" hidden="1">"c6639"</definedName>
    <definedName name="IQ_OTHER_LOANS_RECOVERIES_FDIC" hidden="1">"c6620"</definedName>
    <definedName name="IQ_OTHER_LOANS_TOTAL_FDIC" hidden="1">"c6432"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FDIC" hidden="1">"c6578"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SAVINGS_DEPOSITS_FDIC" hidden="1">"c6554"</definedName>
    <definedName name="IQ_OTHER_STRIKE_PRICE_GRANTED" hidden="1">"c2692"</definedName>
    <definedName name="IQ_OTHER_TRANSACTIONS_FDIC" hidden="1">"c6504"</definedName>
    <definedName name="IQ_OTHER_UNDRAWN" hidden="1">"c2522"</definedName>
    <definedName name="IQ_OTHER_UNUSED_COMMITMENTS_FDIC" hidden="1">"c6530"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localSheetId="1" hidden="1">"c1023"</definedName>
    <definedName name="IQ_OUTSTANDING_FILING_DATE" localSheetId="0" hidden="1">"c1023"</definedName>
    <definedName name="IQ_OUTSTANDING_FILING_DATE" hidden="1">"c2127"</definedName>
    <definedName name="IQ_OUTSTANDING_FILING_DATE_TOTAL" hidden="1">"c2107"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REUT" hidden="1">"c4049"</definedName>
    <definedName name="IQ_PE_NORMALIZED" hidden="1">"c2207"</definedName>
    <definedName name="IQ_PE_RATIO" hidden="1">"c1610"</definedName>
    <definedName name="IQ_PEG_FWD" hidden="1">"c1863"</definedName>
    <definedName name="IQ_PEG_FWD_REUT" hidden="1">"c4052"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8MONTHS" hidden="1">"c1853"</definedName>
    <definedName name="IQ_PERCENT_CHANGE_EST_5YR_GROWTH_RATE_3MONTHS" hidden="1">"c1849"</definedName>
    <definedName name="IQ_PERCENT_CHANGE_EST_5YR_GROWTH_RATE_6MONTHS" hidden="1">"c1850"</definedName>
    <definedName name="IQ_PERCENT_CHANGE_EST_5YR_GROWTH_RATE_9MONTHS" hidden="1">"c1851"</definedName>
    <definedName name="IQ_PERCENT_CHANGE_EST_5YR_GROWTH_RATE_DAY" hidden="1">"c1846"</definedName>
    <definedName name="IQ_PERCENT_CHANGE_EST_5YR_GROWTH_RATE_MONTH" hidden="1">"c1848"</definedName>
    <definedName name="IQ_PERCENT_CHANGE_EST_5YR_GROWTH_RATE_WEEK" hidden="1">"c1847"</definedName>
    <definedName name="IQ_PERCENT_CHANGE_EST_CFPS_12MONTHS" hidden="1">"c1812"</definedName>
    <definedName name="IQ_PERCENT_CHANGE_EST_CFPS_18MONTHS" hidden="1">"c1813"</definedName>
    <definedName name="IQ_PERCENT_CHANGE_EST_CFPS_3MONTHS" hidden="1">"c1809"</definedName>
    <definedName name="IQ_PERCENT_CHANGE_EST_CFPS_6MONTHS" hidden="1">"c1810"</definedName>
    <definedName name="IQ_PERCENT_CHANGE_EST_CFPS_9MONTHS" hidden="1">"c1811"</definedName>
    <definedName name="IQ_PERCENT_CHANGE_EST_CFPS_DAY" hidden="1">"c1806"</definedName>
    <definedName name="IQ_PERCENT_CHANGE_EST_CFPS_MONTH" hidden="1">"c1808"</definedName>
    <definedName name="IQ_PERCENT_CHANGE_EST_CFPS_WEEK" hidden="1">"c1807"</definedName>
    <definedName name="IQ_PERCENT_CHANGE_EST_DPS_12MONTHS" hidden="1">"c1820"</definedName>
    <definedName name="IQ_PERCENT_CHANGE_EST_DPS_18MONTHS" hidden="1">"c1821"</definedName>
    <definedName name="IQ_PERCENT_CHANGE_EST_DPS_3MONTHS" hidden="1">"c1817"</definedName>
    <definedName name="IQ_PERCENT_CHANGE_EST_DPS_6MONTHS" hidden="1">"c1818"</definedName>
    <definedName name="IQ_PERCENT_CHANGE_EST_DPS_9MONTHS" hidden="1">"c1819"</definedName>
    <definedName name="IQ_PERCENT_CHANGE_EST_DPS_DAY" hidden="1">"c1814"</definedName>
    <definedName name="IQ_PERCENT_CHANGE_EST_DPS_MONTH" hidden="1">"c1816"</definedName>
    <definedName name="IQ_PERCENT_CHANGE_EST_DPS_WEEK" hidden="1">"c1815"</definedName>
    <definedName name="IQ_PERCENT_CHANGE_EST_EBITDA_12MONTHS" hidden="1">"c1804"</definedName>
    <definedName name="IQ_PERCENT_CHANGE_EST_EBITDA_18MONTHS" hidden="1">"c1805"</definedName>
    <definedName name="IQ_PERCENT_CHANGE_EST_EBITDA_3MONTHS" hidden="1">"c1801"</definedName>
    <definedName name="IQ_PERCENT_CHANGE_EST_EBITDA_6MONTHS" hidden="1">"c1802"</definedName>
    <definedName name="IQ_PERCENT_CHANGE_EST_EBITDA_9MONTHS" hidden="1">"c1803"</definedName>
    <definedName name="IQ_PERCENT_CHANGE_EST_EBITDA_DAY" hidden="1">"c1798"</definedName>
    <definedName name="IQ_PERCENT_CHANGE_EST_EBITDA_MONTH" hidden="1">"c1800"</definedName>
    <definedName name="IQ_PERCENT_CHANGE_EST_EBITDA_WEEK" hidden="1">"c1799"</definedName>
    <definedName name="IQ_PERCENT_CHANGE_EST_EPS_12MONTHS" hidden="1">"c1788"</definedName>
    <definedName name="IQ_PERCENT_CHANGE_EST_EPS_18MONTHS" hidden="1">"c1789"</definedName>
    <definedName name="IQ_PERCENT_CHANGE_EST_EPS_3MONTHS" hidden="1">"c1785"</definedName>
    <definedName name="IQ_PERCENT_CHANGE_EST_EPS_6MONTHS" hidden="1">"c1786"</definedName>
    <definedName name="IQ_PERCENT_CHANGE_EST_EPS_9MONTHS" hidden="1">"c1787"</definedName>
    <definedName name="IQ_PERCENT_CHANGE_EST_EPS_DAY" hidden="1">"c1782"</definedName>
    <definedName name="IQ_PERCENT_CHANGE_EST_EPS_MONTH" hidden="1">"c1784"</definedName>
    <definedName name="IQ_PERCENT_CHANGE_EST_EPS_WEEK" hidden="1">"c1783"</definedName>
    <definedName name="IQ_PERCENT_CHANGE_EST_FFO_12MONTHS" hidden="1">"c1828"</definedName>
    <definedName name="IQ_PERCENT_CHANGE_EST_FFO_12MONTHS_CIQ" hidden="1">"c3769"</definedName>
    <definedName name="IQ_PERCENT_CHANGE_EST_FFO_12MONTHS_REUT" hidden="1">"c3938"</definedName>
    <definedName name="IQ_PERCENT_CHANGE_EST_FFO_12MONTHS_THOM" hidden="1">"c5248"</definedName>
    <definedName name="IQ_PERCENT_CHANGE_EST_FFO_18MONTHS" hidden="1">"c1829"</definedName>
    <definedName name="IQ_PERCENT_CHANGE_EST_FFO_18MONTHS_CIQ" hidden="1">"c3770"</definedName>
    <definedName name="IQ_PERCENT_CHANGE_EST_FFO_18MONTHS_REUT" hidden="1">"c3939"</definedName>
    <definedName name="IQ_PERCENT_CHANGE_EST_FFO_18MONTHS_THOM" hidden="1">"c5249"</definedName>
    <definedName name="IQ_PERCENT_CHANGE_EST_FFO_3MONTHS" hidden="1">"c1825"</definedName>
    <definedName name="IQ_PERCENT_CHANGE_EST_FFO_3MONTHS_CIQ" hidden="1">"c3766"</definedName>
    <definedName name="IQ_PERCENT_CHANGE_EST_FFO_3MONTHS_REUT" hidden="1">"c3935"</definedName>
    <definedName name="IQ_PERCENT_CHANGE_EST_FFO_3MONTHS_THOM" hidden="1">"c5245"</definedName>
    <definedName name="IQ_PERCENT_CHANGE_EST_FFO_6MONTHS" hidden="1">"c1826"</definedName>
    <definedName name="IQ_PERCENT_CHANGE_EST_FFO_6MONTHS_CIQ" hidden="1">"c3767"</definedName>
    <definedName name="IQ_PERCENT_CHANGE_EST_FFO_6MONTHS_REUT" hidden="1">"c3936"</definedName>
    <definedName name="IQ_PERCENT_CHANGE_EST_FFO_6MONTHS_THOM" hidden="1">"c5246"</definedName>
    <definedName name="IQ_PERCENT_CHANGE_EST_FFO_9MONTHS" hidden="1">"c1827"</definedName>
    <definedName name="IQ_PERCENT_CHANGE_EST_FFO_9MONTHS_CIQ" hidden="1">"c3768"</definedName>
    <definedName name="IQ_PERCENT_CHANGE_EST_FFO_9MONTHS_REUT" hidden="1">"c3937"</definedName>
    <definedName name="IQ_PERCENT_CHANGE_EST_FFO_9MONTHS_THOM" hidden="1">"c5247"</definedName>
    <definedName name="IQ_PERCENT_CHANGE_EST_FFO_DAY" hidden="1">"c1822"</definedName>
    <definedName name="IQ_PERCENT_CHANGE_EST_FFO_DAY_CIQ" hidden="1">"c3764"</definedName>
    <definedName name="IQ_PERCENT_CHANGE_EST_FFO_DAY_REUT" hidden="1">"c3933"</definedName>
    <definedName name="IQ_PERCENT_CHANGE_EST_FFO_DAY_THOM" hidden="1">"c5243"</definedName>
    <definedName name="IQ_PERCENT_CHANGE_EST_FFO_MONTH" hidden="1">"c1824"</definedName>
    <definedName name="IQ_PERCENT_CHANGE_EST_FFO_MONTH_CIQ" hidden="1">"c3765"</definedName>
    <definedName name="IQ_PERCENT_CHANGE_EST_FFO_MONTH_REUT" hidden="1">"c3934"</definedName>
    <definedName name="IQ_PERCENT_CHANGE_EST_FFO_MONTH_THOM" hidden="1">"c5244"</definedName>
    <definedName name="IQ_PERCENT_CHANGE_EST_FFO_WEEK" hidden="1">"c1823"</definedName>
    <definedName name="IQ_PERCENT_CHANGE_EST_FFO_WEEK_CIQ" hidden="1">"c3795"</definedName>
    <definedName name="IQ_PERCENT_CHANGE_EST_FFO_WEEK_REUT" hidden="1">"c3964"</definedName>
    <definedName name="IQ_PERCENT_CHANGE_EST_FFO_WEEK_THOM" hidden="1">"c5274"</definedName>
    <definedName name="IQ_PERCENT_CHANGE_EST_PRICE_TARGET_12MONTHS" hidden="1">"c1844"</definedName>
    <definedName name="IQ_PERCENT_CHANGE_EST_PRICE_TARGET_18MONTHS" hidden="1">"c1845"</definedName>
    <definedName name="IQ_PERCENT_CHANGE_EST_PRICE_TARGET_3MONTHS" hidden="1">"c1841"</definedName>
    <definedName name="IQ_PERCENT_CHANGE_EST_PRICE_TARGET_6MONTHS" hidden="1">"c1842"</definedName>
    <definedName name="IQ_PERCENT_CHANGE_EST_PRICE_TARGET_9MONTHS" hidden="1">"c1843"</definedName>
    <definedName name="IQ_PERCENT_CHANGE_EST_PRICE_TARGET_DAY" hidden="1">"c1838"</definedName>
    <definedName name="IQ_PERCENT_CHANGE_EST_PRICE_TARGET_MONTH" hidden="1">"c1840"</definedName>
    <definedName name="IQ_PERCENT_CHANGE_EST_PRICE_TARGET_WEEK" hidden="1">"c1839"</definedName>
    <definedName name="IQ_PERCENT_CHANGE_EST_RECO_12MONTHS" hidden="1">"c1836"</definedName>
    <definedName name="IQ_PERCENT_CHANGE_EST_RECO_18MONTHS" hidden="1">"c1837"</definedName>
    <definedName name="IQ_PERCENT_CHANGE_EST_RECO_3MONTHS" hidden="1">"c1833"</definedName>
    <definedName name="IQ_PERCENT_CHANGE_EST_RECO_6MONTHS" hidden="1">"c1834"</definedName>
    <definedName name="IQ_PERCENT_CHANGE_EST_RECO_9MONTHS" hidden="1">"c1835"</definedName>
    <definedName name="IQ_PERCENT_CHANGE_EST_RECO_DAY" hidden="1">"c1830"</definedName>
    <definedName name="IQ_PERCENT_CHANGE_EST_RECO_MONTH" hidden="1">"c1832"</definedName>
    <definedName name="IQ_PERCENT_CHANGE_EST_RECO_WEEK" hidden="1">"c1831"</definedName>
    <definedName name="IQ_PERCENT_CHANGE_EST_REV_12MONTHS" hidden="1">"c1796"</definedName>
    <definedName name="IQ_PERCENT_CHANGE_EST_REV_18MONTHS" hidden="1">"c1797"</definedName>
    <definedName name="IQ_PERCENT_CHANGE_EST_REV_3MONTHS" hidden="1">"c1793"</definedName>
    <definedName name="IQ_PERCENT_CHANGE_EST_REV_6MONTHS" hidden="1">"c1794"</definedName>
    <definedName name="IQ_PERCENT_CHANGE_EST_REV_9MONTHS" hidden="1">"c1795"</definedName>
    <definedName name="IQ_PERCENT_CHANGE_EST_REV_DAY" hidden="1">"c1790"</definedName>
    <definedName name="IQ_PERCENT_CHANGE_EST_REV_MONTH" hidden="1">"c1792"</definedName>
    <definedName name="IQ_PERCENT_CHANGE_EST_REV_WEEK" hidden="1">"c1791"</definedName>
    <definedName name="IQ_PERCENT_INSURED_FDIC" hidden="1">"c6374"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EDGED_SECURITIES_FDIC" hidden="1">"c6401"</definedName>
    <definedName name="IQ_PLL" hidden="1">"c2114"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OTENTIAL_UPSIDE" hidden="1">"c1855"</definedName>
    <definedName name="IQ_PRE_OPEN_COST" hidden="1">"c1040"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FERRED_FDIC" hidden="1">"c6349"</definedName>
    <definedName name="IQ_PREMISES_EQUIPMENT_FDIC" hidden="1">"c6577"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" hidden="1">"IQ_PRETAX_INC"</definedName>
    <definedName name="IQ_PRETAX_INC_10K" hidden="1">"IQ_PRETAX_INC_10K"</definedName>
    <definedName name="IQ_PRETAX_INC_10Q" hidden="1">"IQ_PRETAX_INC_10Q"</definedName>
    <definedName name="IQ_PRETAX_INC_10Q1" hidden="1">"IQ_PRETAX_INC_10Q1"</definedName>
    <definedName name="IQ_PRETAX_INC_EST" hidden="1">"c1695"</definedName>
    <definedName name="IQ_PRETAX_INC_HIGH_EST" hidden="1">"c1697"</definedName>
    <definedName name="IQ_PRETAX_INC_LOW_EST" hidden="1">"c1698"</definedName>
    <definedName name="IQ_PRETAX_INC_MEDIAN_EST" hidden="1">"c1696"</definedName>
    <definedName name="IQ_PRETAX_INC_NUM_EST" hidden="1">"c1699"</definedName>
    <definedName name="IQ_PRETAX_INC_STDDEV_EST" hidden="1">"c1700"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ETAX_RETURN_ASSETS_FDIC" hidden="1">"c6731"</definedName>
    <definedName name="IQ_PRICE_OVER_BVPS" hidden="1">"c1412"</definedName>
    <definedName name="IQ_PRICE_OVER_EPS_EST" hidden="1">"IQ_PRICE_OVER_EPS_EST"</definedName>
    <definedName name="IQ_PRICE_OVER_EPS_EST_1" hidden="1">"IQ_PRICE_OVER_EPS_EST_1"</definedName>
    <definedName name="IQ_PRICE_OVER_LTM_EPS" hidden="1">"c1413"</definedName>
    <definedName name="IQ_PRICE_TARGET" hidden="1">"c82"</definedName>
    <definedName name="IQ_PRICE_TARGET_REUT" hidden="1">"c3631"</definedName>
    <definedName name="IQ_PRICEDATE" hidden="1">"c1069"</definedName>
    <definedName name="IQ_PRICEDATETIME" hidden="1">"IQ_PRICEDATETIME"</definedName>
    <definedName name="IQ_PRICING_DATE" hidden="1">"c1613"</definedName>
    <definedName name="IQ_PRIMARY_EPS_TYPE_THOM" hidden="1">"c5297"</definedName>
    <definedName name="IQ_PRIMARY_INDUSTRY" hidden="1">"c1070"</definedName>
    <definedName name="IQ_PRINCIPAL_AMT" hidden="1">"c2157"</definedName>
    <definedName name="IQ_PRIVATE_CONST_TOTAL_APR_FC_UNUSED_UNUSED_UNUSED" hidden="1">"c8559"</definedName>
    <definedName name="IQ_PRIVATE_CONST_TOTAL_APR_UNUSED_UNUSED_UNUSED" hidden="1">"c7679"</definedName>
    <definedName name="IQ_PRIVATE_CONST_TOTAL_FC_UNUSED_UNUSED_UNUSED" hidden="1">"c7899"</definedName>
    <definedName name="IQ_PRIVATE_CONST_TOTAL_POP_FC_UNUSED_UNUSED_UNUSED" hidden="1">"c8119"</definedName>
    <definedName name="IQ_PRIVATE_CONST_TOTAL_POP_UNUSED_UNUSED_UNUSED" hidden="1">"c7239"</definedName>
    <definedName name="IQ_PRIVATE_CONST_TOTAL_UNUSED_UNUSED_UNUSED" hidden="1">"c7019"</definedName>
    <definedName name="IQ_PRIVATE_CONST_TOTAL_YOY_FC_UNUSED_UNUSED_UNUSED" hidden="1">"c8339"</definedName>
    <definedName name="IQ_PRIVATE_CONST_TOTAL_YOY_UNUSED_UNUSED_UNUSED" hidden="1">"c7459"</definedName>
    <definedName name="IQ_PRIVATE_RES_CONST_REAL_APR_FC_UNUSED_UNUSED_UNUSED" hidden="1">"c8535"</definedName>
    <definedName name="IQ_PRIVATE_RES_CONST_REAL_APR_UNUSED_UNUSED_UNUSED" hidden="1">"c7655"</definedName>
    <definedName name="IQ_PRIVATE_RES_CONST_REAL_FC_UNUSED_UNUSED_UNUSED" hidden="1">"c7875"</definedName>
    <definedName name="IQ_PRIVATE_RES_CONST_REAL_POP_FC_UNUSED_UNUSED_UNUSED" hidden="1">"c8095"</definedName>
    <definedName name="IQ_PRIVATE_RES_CONST_REAL_POP_UNUSED_UNUSED_UNUSED" hidden="1">"c7215"</definedName>
    <definedName name="IQ_PRIVATE_RES_CONST_REAL_UNUSED_UNUSED_UNUSED" hidden="1">"c6995"</definedName>
    <definedName name="IQ_PRIVATE_RES_CONST_REAL_YOY_FC_UNUSED_UNUSED_UNUSED" hidden="1">"c8315"</definedName>
    <definedName name="IQ_PRIVATE_RES_CONST_REAL_YOY_UNUSED_UNUSED_UNUSED" hidden="1">"c7435"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PURCHASE_FOREIGN_CURRENCIES_FDIC" hidden="1">"c6513"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S_EQUIP_NONRES_SAAR_APR_FC_UNUSED_UNUSED_UNUSED" hidden="1">"c8491"</definedName>
    <definedName name="IQ_PURCHASES_EQUIP_NONRES_SAAR_APR_UNUSED_UNUSED_UNUSED" hidden="1">"c7611"</definedName>
    <definedName name="IQ_PURCHASES_EQUIP_NONRES_SAAR_FC_UNUSED_UNUSED_UNUSED" hidden="1">"c7831"</definedName>
    <definedName name="IQ_PURCHASES_EQUIP_NONRES_SAAR_POP_FC_UNUSED_UNUSED_UNUSED" hidden="1">"c8051"</definedName>
    <definedName name="IQ_PURCHASES_EQUIP_NONRES_SAAR_POP_UNUSED_UNUSED_UNUSED" hidden="1">"c7171"</definedName>
    <definedName name="IQ_PURCHASES_EQUIP_NONRES_SAAR_UNUSED_UNUSED_UNUSED" hidden="1">"c6951"</definedName>
    <definedName name="IQ_PURCHASES_EQUIP_NONRES_SAAR_YOY_FC_UNUSED_UNUSED_UNUSED" hidden="1">"c8271"</definedName>
    <definedName name="IQ_PURCHASES_EQUIP_NONRES_SAAR_YOY_UNUSED_UNUSED_UNUSED" hidden="1">"c7391"</definedName>
    <definedName name="IQ_PUT_DATE_SCHEDULE" hidden="1">"c2483"</definedName>
    <definedName name="IQ_PUT_NOTIFICATION" hidden="1">"c2485"</definedName>
    <definedName name="IQ_PUT_PRICE_SCHEDULE" hidden="1">"c2484"</definedName>
    <definedName name="IQ_QTD" hidden="1">750000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FORECLOSURE_FDIC" hidden="1">"c6332"</definedName>
    <definedName name="IQ_RE_INVEST_FDIC" hidden="1">"c6331"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AL_ESTATE" hidden="1">"c1093"</definedName>
    <definedName name="IQ_REAL_ESTATE_ASSETS" hidden="1">"c1094"</definedName>
    <definedName name="IQ_RECOVERIES_1_4_FAMILY_LOANS_FDIC" hidden="1">"c6707"</definedName>
    <definedName name="IQ_RECOVERIES_AUTO_LOANS_FDIC" hidden="1">"c6701"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" hidden="1">"c4507"</definedName>
    <definedName name="IQ_RECURRING_PROFIT_SHARE_ACT_OR_EST" hidden="1">"c4508"</definedName>
    <definedName name="IQ_REDEEM_PREF_STOCK" hidden="1">"c1417"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LATED_PLANS_FDIC" hidden="1">"c6320"</definedName>
    <definedName name="IQ_RENTAL_REV" hidden="1">"c1101"</definedName>
    <definedName name="IQ_RES_CONST_REAL_APR_FC_UNUSED_UNUSED_UNUSED" hidden="1">"c8536"</definedName>
    <definedName name="IQ_RES_CONST_REAL_APR_UNUSED_UNUSED_UNUSED" hidden="1">"c7656"</definedName>
    <definedName name="IQ_RES_CONST_REAL_FC_UNUSED_UNUSED_UNUSED" hidden="1">"c7876"</definedName>
    <definedName name="IQ_RES_CONST_REAL_POP_FC_UNUSED_UNUSED_UNUSED" hidden="1">"c8096"</definedName>
    <definedName name="IQ_RES_CONST_REAL_POP_UNUSED_UNUSED_UNUSED" hidden="1">"c7216"</definedName>
    <definedName name="IQ_RES_CONST_REAL_SAAR_APR_FC_UNUSED_UNUSED_UNUSED" hidden="1">"c8537"</definedName>
    <definedName name="IQ_RES_CONST_REAL_SAAR_APR_UNUSED_UNUSED_UNUSED" hidden="1">"c7657"</definedName>
    <definedName name="IQ_RES_CONST_REAL_SAAR_FC_UNUSED_UNUSED_UNUSED" hidden="1">"c7877"</definedName>
    <definedName name="IQ_RES_CONST_REAL_SAAR_POP_FC_UNUSED_UNUSED_UNUSED" hidden="1">"c8097"</definedName>
    <definedName name="IQ_RES_CONST_REAL_SAAR_POP_UNUSED_UNUSED_UNUSED" hidden="1">"c7217"</definedName>
    <definedName name="IQ_RES_CONST_REAL_SAAR_UNUSED_UNUSED_UNUSED" hidden="1">"c6997"</definedName>
    <definedName name="IQ_RES_CONST_REAL_SAAR_YOY_FC_UNUSED_UNUSED_UNUSED" hidden="1">"c8317"</definedName>
    <definedName name="IQ_RES_CONST_REAL_SAAR_YOY_UNUSED_UNUSED_UNUSED" hidden="1">"c7437"</definedName>
    <definedName name="IQ_RES_CONST_REAL_UNUSED_UNUSED_UNUSED" hidden="1">"c6996"</definedName>
    <definedName name="IQ_RES_CONST_REAL_YOY_FC_UNUSED_UNUSED_UNUSED" hidden="1">"c8316"</definedName>
    <definedName name="IQ_RES_CONST_REAL_YOY_UNUSED_UNUSED_UNUSED" hidden="1">"c7436"</definedName>
    <definedName name="IQ_RES_CONST_SAAR_APR_FC_UNUSED_UNUSED_UNUSED" hidden="1">"c8540"</definedName>
    <definedName name="IQ_RES_CONST_SAAR_APR_UNUSED_UNUSED_UNUSED" hidden="1">"c7660"</definedName>
    <definedName name="IQ_RES_CONST_SAAR_FC_UNUSED_UNUSED_UNUSED" hidden="1">"c7880"</definedName>
    <definedName name="IQ_RES_CONST_SAAR_POP_FC_UNUSED_UNUSED_UNUSED" hidden="1">"c8100"</definedName>
    <definedName name="IQ_RES_CONST_SAAR_POP_UNUSED_UNUSED_UNUSED" hidden="1">"c7220"</definedName>
    <definedName name="IQ_RES_CONST_SAAR_UNUSED_UNUSED_UNUSED" hidden="1">"c7000"</definedName>
    <definedName name="IQ_RES_CONST_SAAR_YOY_FC_UNUSED_UNUSED_UNUSED" hidden="1">"c8320"</definedName>
    <definedName name="IQ_RES_CONST_SAAR_YOY_UNUSED_UNUSED_UNUSED" hidden="1">"c7440"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FRANCHISE_STORES" localSheetId="1" hidden="1">"c2895"</definedName>
    <definedName name="IQ_RETAIL_ACQUIRED_FRANCHISE_STORES" localSheetId="0" hidden="1">"c2895"</definedName>
    <definedName name="IQ_RETAIL_ACQUIRED_FRANCHISE_STORES" hidden="1">"c2903"</definedName>
    <definedName name="IQ_RETAIL_ACQUIRED_OWNED_STORES" localSheetId="1" hidden="1">"c2903"</definedName>
    <definedName name="IQ_RETAIL_ACQUIRED_OWNED_STORES" localSheetId="0" hidden="1">"c2903"</definedName>
    <definedName name="IQ_RETAIL_ACQUIRED_OWNED_STORES" hidden="1">"c2895"</definedName>
    <definedName name="IQ_RETAIL_ACQUIRED_STORES" hidden="1">"c2887"</definedName>
    <definedName name="IQ_RETAIL_AVG_STORE_SIZE_GROSS" hidden="1">"c2066"</definedName>
    <definedName name="IQ_RETAIL_AVG_STORE_SIZE_NET" hidden="1">"c2067"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WNED_STORES_BEG" hidden="1">"c2901"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FRANCHISE_STORES" hidden="1">"c2898"</definedName>
    <definedName name="IQ_RETAIL_TOTAL_OWNED_STORES" hidden="1">"c2906"</definedName>
    <definedName name="IQ_RETAIL_TOTAL_STORES" hidden="1">"c2061"</definedName>
    <definedName name="IQ_RETAINED_EARN" hidden="1">"c1420"</definedName>
    <definedName name="IQ_RETAINED_EARNINGS_AVERAGE_EQUITY_FDIC" hidden="1">"c6733"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DIC" hidden="1">"c6730"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DIC" hidden="1">"c6732"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STDDEV_EST" hidden="1">"c1124"</definedName>
    <definedName name="IQ_REV_STDDEV_EST_REUT" hidden="1">"c3639"</definedName>
    <definedName name="IQ_REV_UTI" hidden="1">"c1125"</definedName>
    <definedName name="IQ_REVALUATION_GAINS_FDIC" hidden="1">"c6428"</definedName>
    <definedName name="IQ_REVALUATION_LOSSES_FDIC" hidden="1">"c6429"</definedName>
    <definedName name="IQ_REVENUE" hidden="1">"c1422"</definedName>
    <definedName name="IQ_REVENUE_10K" hidden="1">"IQ_REVENUE_10K"</definedName>
    <definedName name="IQ_REVENUE_10Q" hidden="1">"IQ_REVENUE_10Q"</definedName>
    <definedName name="IQ_REVENUE_10Q1" hidden="1">"IQ_REVENUE_10Q1"</definedName>
    <definedName name="IQ_REVENUE_ACT_OR_EST" hidden="1">"c2214"</definedName>
    <definedName name="IQ_REVENUE_EST" hidden="1">"c1126"</definedName>
    <definedName name="IQ_REVENUE_EST_1" hidden="1">"IQ_REVENUE_EST_1"</definedName>
    <definedName name="IQ_REVENUE_EST_REUT" hidden="1">"c3634"</definedName>
    <definedName name="IQ_REVENUE_GROWTH_1" hidden="1">"IQ_REVENUE_GROWTH_1"</definedName>
    <definedName name="IQ_REVENUE_GROWTH_2" hidden="1">"IQ_REVENUE_GROWTH_2"</definedName>
    <definedName name="IQ_REVENUE_HIGH_EST" hidden="1">"c1127"</definedName>
    <definedName name="IQ_REVENUE_HIGH_EST_REUT" hidden="1">"c3636"</definedName>
    <definedName name="IQ_REVENUE_LOW_EST" hidden="1">"c1128"</definedName>
    <definedName name="IQ_REVENUE_LOW_EST_REUT" hidden="1">"c3637"</definedName>
    <definedName name="IQ_REVENUE_MEDIAN_EST" hidden="1">"c1662"</definedName>
    <definedName name="IQ_REVENUE_MEDIAN_EST_REUT" hidden="1">"c3635"</definedName>
    <definedName name="IQ_REVENUE_NUM_EST" hidden="1">"c1129"</definedName>
    <definedName name="IQ_REVENUE_NUM_EST_REUT" hidden="1">"c3638"</definedName>
    <definedName name="IQ_REVISION_DATE_" localSheetId="1" hidden="1">39346.4732291667</definedName>
    <definedName name="IQ_REVISION_DATE_" localSheetId="0" hidden="1">39346.4732291667</definedName>
    <definedName name="IQ_REVISION_DATE_" hidden="1">38793.5202662037</definedName>
    <definedName name="IQ_REVISION_DATE__1" hidden="1">39346.4732291667</definedName>
    <definedName name="IQ_REVOLVING_SECURED_1_4_NON_ACCRUAL_FFIEC" hidden="1">"c13314"</definedName>
    <definedName name="IQ_REVOLVING_SECURED_1_–4_NON_ACCRUAL_FFIEC" hidden="1">"c13314"</definedName>
    <definedName name="IQ_RISK_ADJ_BANK_ASSETS" hidden="1">"c2670"</definedName>
    <definedName name="IQ_RISK_WEIGHTED_ASSETS_FDIC" hidden="1">"c6370"</definedName>
    <definedName name="IQ_SALARY" hidden="1">"c1130"</definedName>
    <definedName name="IQ_SALARY_FDIC" hidden="1">"c6576"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EC_PURCHASED_RESELL" hidden="1">"c5513"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NET_CHARGE_OFFS_FDIC" hidden="1">"c6631"</definedName>
    <definedName name="IQ_SECURED_FARMLAND_RECOVERIES_FDIC" hidden="1">"c6612"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GAINS_FDIC" hidden="1">"c6584"</definedName>
    <definedName name="IQ_SECURITIES_ISSUED_STATES_FDIC" hidden="1">"c6300"</definedName>
    <definedName name="IQ_SECURITIES_LENT_FDIC" hidden="1">"c6532"</definedName>
    <definedName name="IQ_SECURITIES_UNDERWRITING_FDIC" hidden="1">"c6529"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FDIC" hidden="1">"c6572"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C_ACTION" hidden="1">"c2644"</definedName>
    <definedName name="IQ_SP_ISSUE_LC_DATE" hidden="1">"c2643"</definedName>
    <definedName name="IQ_SP_ISSUE_LC_LT" hidden="1">"c2645"</definedName>
    <definedName name="IQ_SP_ISSUE_LT" hidden="1">"c2645"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ES_NONTRANSACTION_ACCOUNTS_FDIC" hidden="1">"c6547"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GS_FIN" hidden="1">"c2998"</definedName>
    <definedName name="IQ_STOCK_BASED_COGS_UTIL" hidden="1">"c2997"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TEGY_NOTE" hidden="1">"c6791"</definedName>
    <definedName name="IQ_STRIKE_PRICE_ISSUED" hidden="1">"c1645"</definedName>
    <definedName name="IQ_STRIKE_PRICE_OS" hidden="1">"c1646"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RPLUS_FDIC" hidden="1">"c6351"</definedName>
    <definedName name="IQ_SVA" hidden="1">"c1214"</definedName>
    <definedName name="IQ_TARGET_PRICE_LASTCLOSE" hidden="1">"c1855"</definedName>
    <definedName name="IQ_TARGET_PRICE_NUM" hidden="1">"c1653"</definedName>
    <definedName name="IQ_TARGET_PRICE_NUM_REUT" hidden="1">"c5319"</definedName>
    <definedName name="IQ_TARGET_PRICE_STDDEV" hidden="1">"c1654"</definedName>
    <definedName name="IQ_TARGET_PRICE_STDDEV_REUT" hidden="1">"c5320"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BITDA_FWD" hidden="1">"c1224"</definedName>
    <definedName name="IQ_TEV_EBITDA_FWD_REUT" hidden="1">"c4050"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REUT" hidden="1">"c4051"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RISK_BASED_CAPITAL_RATIO_FDIC" hidden="1">"c6746"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ME_DEP" hidden="1">"c1230"</definedName>
    <definedName name="IQ_TIME_DEPOSITS_LESS_THAN_100K_FDIC" hidden="1">"c6465"</definedName>
    <definedName name="IQ_TIME_DEPOSITS_MORE_THAN_100K_FDIC" hidden="1">"c6470"</definedName>
    <definedName name="IQ_TODAY" hidden="1">0</definedName>
    <definedName name="IQ_TOT_ADJ_INC" hidden="1">"c1616"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FDIC" hidden="1">"c6339"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ARGE_OFFS_FDIC" hidden="1">"c6603"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DUE" hidden="1">"c2509"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POSITS" hidden="1">"c1265"</definedName>
    <definedName name="IQ_TOTAL_DEPOSITS_FDIC" hidden="1">"c6342"</definedName>
    <definedName name="IQ_TOTAL_DIV_PAID_CF" hidden="1">"c1266"</definedName>
    <definedName name="IQ_TOTAL_EMPLOYEE" hidden="1">"c2141"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IABILITIES_FDIC" hidden="1">"c6348"</definedName>
    <definedName name="IQ_TOTAL_LOANS" hidden="1">"c5653"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COVERIES_FDIC" hidden="1">"c6622"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RISK_BASED_CAPITAL_RATIO_FDIC" hidden="1">"c6747"</definedName>
    <definedName name="IQ_TOTAL_SECURITIES_FDIC" hidden="1">"c6306"</definedName>
    <definedName name="IQ_TOTAL_SPECIAL" hidden="1">"c1618"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TIME_DEPOSITS_FDIC" hidden="1">"c6497"</definedName>
    <definedName name="IQ_TOTAL_TIME_SAVINGS_DEPOSITS_FDIC" hidden="1">"c6498"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ADVISORS" hidden="1">"c2387"</definedName>
    <definedName name="IQ_TR_BUY_FIN_ADVISORS" hidden="1">"c3045"</definedName>
    <definedName name="IQ_TR_BUY_LEG_ADVISORS" hidden="1">"c2387"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ADVISORS" hidden="1">"c2388"</definedName>
    <definedName name="IQ_TR_SELL_FIN_ADVISORS" hidden="1">"c3046"</definedName>
    <definedName name="IQ_TR_SELL_LEG_ADVISORS" hidden="1">"c2388"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BDEBT" hidden="1">"c2370"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ADVISORS" hidden="1">"c2386"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"c1345"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DIC" hidden="1">"c6328"</definedName>
    <definedName name="IQ_TRADING_CURRENCY" hidden="1">"c2212"</definedName>
    <definedName name="IQ_TRADING_LIABILITIES_FDIC" hidden="1">"c6344"</definedName>
    <definedName name="IQ_TRANSACTION_ACCOUNTS_FDIC" hidden="1">"c6544"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EASURY_STOCK_TRANSACTIONS_FDIC" hidden="1">"c6501"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DIVIDED_PROFITS_FDIC" hidden="1">"c6352"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"c1456"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" hidden="1">"c2930"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" hidden="1">"c2932"</definedName>
    <definedName name="IQ_US_GAAP_CL_ADJ" hidden="1">"c2927"</definedName>
    <definedName name="IQ_US_GAAP_COST_REV" hidden="1">"c2965"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" hidden="1">"c2973"</definedName>
    <definedName name="IQ_US_GAAP_DO_ADJ" hidden="1">"c2959"</definedName>
    <definedName name="IQ_US_GAAP_EXTRA_ACC_ITEMS" hidden="1">"c2972"</definedName>
    <definedName name="IQ_US_GAAP_EXTRA_ACC_ITEMS_ADJ" hidden="1">"c2958"</definedName>
    <definedName name="IQ_US_GAAP_INC_TAX" hidden="1">"c2975"</definedName>
    <definedName name="IQ_US_GAAP_INC_TAX_ADJ" hidden="1">"c2961"</definedName>
    <definedName name="IQ_US_GAAP_INTEREST_EXP" hidden="1">"c2971"</definedName>
    <definedName name="IQ_US_GAAP_INTEREST_EXP_ADJ" hidden="1">"c2957"</definedName>
    <definedName name="IQ_US_GAAP_LIAB_LT" hidden="1">"c2933"</definedName>
    <definedName name="IQ_US_GAAP_LIAB_LT_ADJ" hidden="1">"c2928"</definedName>
    <definedName name="IQ_US_GAAP_LIAB_TOTAL_LIAB" hidden="1">"c2933"</definedName>
    <definedName name="IQ_US_GAAP_MINORITY_INTEREST_IS" hidden="1">"c2974"</definedName>
    <definedName name="IQ_US_GAAP_MINORITY_INTEREST_IS_ADJ" hidden="1">"c2960"</definedName>
    <definedName name="IQ_US_GAAP_NCA" hidden="1">"c2931"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EXCL" hidden="1">"c2977"</definedName>
    <definedName name="IQ_US_GAAP_NI_AVAIL_INCL" hidden="1">"c2978"</definedName>
    <definedName name="IQ_US_GAAP_OTHER_ADJ_ADJ" hidden="1">"c2962"</definedName>
    <definedName name="IQ_US_GAAP_OTHER_NON_OPER" hidden="1">"c2969"</definedName>
    <definedName name="IQ_US_GAAP_OTHER_NON_OPER_ADJ" hidden="1">"c2955"</definedName>
    <definedName name="IQ_US_GAAP_OTHER_OPER" hidden="1">"c2968"</definedName>
    <definedName name="IQ_US_GAAP_OTHER_OPER_ADJ" hidden="1">"c2954"</definedName>
    <definedName name="IQ_US_GAAP_RD" hidden="1">"c2967"</definedName>
    <definedName name="IQ_US_GAAP_RD_ADJ" hidden="1">"c2953"</definedName>
    <definedName name="IQ_US_GAAP_SGA" hidden="1">"c2966"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" hidden="1">"c2964"</definedName>
    <definedName name="IQ_US_GAAP_TOTAL_REV_ADJ" hidden="1">"c2950"</definedName>
    <definedName name="IQ_US_GAAP_TOTAL_UNUSUAL" hidden="1">"c2970"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TREASURY_SECURITIES_FDIC" hidden="1">"c6298"</definedName>
    <definedName name="IQ_UTIL_PPE_NET" hidden="1">"c1620"</definedName>
    <definedName name="IQ_UTIL_REV" hidden="1">"c2091"</definedName>
    <definedName name="IQ_UV_PENSION_LIAB" hidden="1">"c1332"</definedName>
    <definedName name="IQ_VALUATION_ALLOWANCES_FDIC" hidden="1">"c6400"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C_REVENUE_FDIC" hidden="1">"c6667"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IP_INV" hidden="1">"c1335"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XDIV_DATE" localSheetId="1" hidden="1">"c2203"</definedName>
    <definedName name="IQ_XDIV_DATE" localSheetId="0" hidden="1">"c2203"</definedName>
    <definedName name="IQ_XDIV_DATE" hidden="1">"c2104"</definedName>
    <definedName name="IQ_YEAR_FOUNDED" hidden="1">"c6793"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B_BOOKMARK_COUNT" hidden="1">0</definedName>
    <definedName name="iRange">#REF!</definedName>
    <definedName name="IRR">#REF!</definedName>
    <definedName name="ISO_Reserve">#REF!</definedName>
    <definedName name="IXI">#N/A</definedName>
    <definedName name="jack">#REF!</definedName>
    <definedName name="January2">#REF!</definedName>
    <definedName name="Japan">#N/A</definedName>
    <definedName name="jhkj">#REF!</definedName>
    <definedName name="jjjjjjjjjjjjj">#N/A</definedName>
    <definedName name="jkljlj">#N/A</definedName>
    <definedName name="July">#REF!</definedName>
    <definedName name="July2">#REF!</definedName>
    <definedName name="June">#REF!</definedName>
    <definedName name="June2">#REF!</definedName>
    <definedName name="JUNE30DEBT">#REF!</definedName>
    <definedName name="JUNK2">#REF!</definedName>
    <definedName name="JUNK3">#REF!</definedName>
    <definedName name="k">#REF!</definedName>
    <definedName name="K2_WBEVMODE" hidden="1">-1</definedName>
    <definedName name="karellrent">#REF!</definedName>
    <definedName name="KEA">#REF!</definedName>
    <definedName name="Key_1">#REF!</definedName>
    <definedName name="Key_10">#REF!</definedName>
    <definedName name="Key_10AB">#REF!</definedName>
    <definedName name="Key_11">#REF!</definedName>
    <definedName name="Key_110">#REF!</definedName>
    <definedName name="Key_2">#REF!</definedName>
    <definedName name="Key_3">#REF!</definedName>
    <definedName name="Key_4">#REF!</definedName>
    <definedName name="Key_5">#REF!</definedName>
    <definedName name="Key_6">#REF!</definedName>
    <definedName name="Key_7">#REF!</definedName>
    <definedName name="Key_8">#REF!</definedName>
    <definedName name="Key_9">#REF!</definedName>
    <definedName name="lakerent">#REF!</definedName>
    <definedName name="Last">#REF!</definedName>
    <definedName name="LatestFYE">#REF!</definedName>
    <definedName name="LatestQuarterDate">#REF!</definedName>
    <definedName name="LatestShares">#REF!</definedName>
    <definedName name="lbo">#REF!</definedName>
    <definedName name="lbohead1">#REF!</definedName>
    <definedName name="lbohead2">#REF!</definedName>
    <definedName name="lbomcb">#REF!</definedName>
    <definedName name="lborefin">LEFT(#REF!)="Y"</definedName>
    <definedName name="Lev_comps">#REF!</definedName>
    <definedName name="level1">#REF!</definedName>
    <definedName name="level2">#REF!</definedName>
    <definedName name="level3">#REF!</definedName>
    <definedName name="level4">#REF!</definedName>
    <definedName name="level5">#REF!</definedName>
    <definedName name="level6">#REF!</definedName>
    <definedName name="level7">#REF!</definedName>
    <definedName name="LFQ">#REF!</definedName>
    <definedName name="LFY">#REF!</definedName>
    <definedName name="LFYPrice">#REF!</definedName>
    <definedName name="LifeInsYTD04">#REF!</definedName>
    <definedName name="Line">#REF!</definedName>
    <definedName name="Liq_Factor">#REF!</definedName>
    <definedName name="Location">#REF!</definedName>
    <definedName name="Low">#REF!</definedName>
    <definedName name="LPsplit">#REF!</definedName>
    <definedName name="ltc">#REF!</definedName>
    <definedName name="ltcrent">#REF!</definedName>
    <definedName name="LTD">#REF!</definedName>
    <definedName name="LTM">#REF!</definedName>
    <definedName name="LTM_DATE">#REF!</definedName>
    <definedName name="LTMPE">#REF!</definedName>
    <definedName name="LTMPrice">#REF!</definedName>
    <definedName name="m">#REF!</definedName>
    <definedName name="M_PlaceofPath" hidden="1">"F:\HDEMOTT\DATA\vdf\emms_vdf.xls"</definedName>
    <definedName name="March2">#REF!</definedName>
    <definedName name="marginsensitivity">#REF!</definedName>
    <definedName name="Mark_EBIT">#REF!</definedName>
    <definedName name="market">#REF!</definedName>
    <definedName name="market_equity_value">#REF!</definedName>
    <definedName name="Market_Value">#REF!</definedName>
    <definedName name="Marketing">#REF!</definedName>
    <definedName name="MarketValue">#REF!</definedName>
    <definedName name="MasterNewIssue">#REF!</definedName>
    <definedName name="MasterOpEx">#REF!</definedName>
    <definedName name="Material_element_of_COS">#REF!</definedName>
    <definedName name="mc">#REF!</definedName>
    <definedName name="mcb">#REF!</definedName>
    <definedName name="MealsYTD04">#REF!</definedName>
    <definedName name="Merge">#REF!</definedName>
    <definedName name="mgmt">#REF!</definedName>
    <definedName name="mgt_case">#REF!</definedName>
    <definedName name="MIN">#REF!</definedName>
    <definedName name="minority">#REF!</definedName>
    <definedName name="MinorityGrowth">#REF!</definedName>
    <definedName name="MinorityInterestAboveTheLine">#REF!</definedName>
    <definedName name="MinorityInterestBalance">#REF!</definedName>
    <definedName name="MinorityInterestBelowTheLine">#REF!</definedName>
    <definedName name="mkt">#REF!</definedName>
    <definedName name="Mo12Rev1">#REF!</definedName>
    <definedName name="Mo12Rev2">#REF!</definedName>
    <definedName name="Mo12Rev3">#REF!</definedName>
    <definedName name="Mo12Rev4">#REF!</definedName>
    <definedName name="Model">#REF!,#REF!,#REF!,#REF!,#REF!,#REF!,#REF!,#REF!</definedName>
    <definedName name="MONT">#REF!</definedName>
    <definedName name="MONTH">#REF!</definedName>
    <definedName name="Month_all">#REF!</definedName>
    <definedName name="Month_bal_sht">#REF!</definedName>
    <definedName name="Month_cashflow">#REF!</definedName>
    <definedName name="Month_inc_stmt">#REF!</definedName>
    <definedName name="Month_ratios_calcs">#REF!</definedName>
    <definedName name="Months">#REF!</definedName>
    <definedName name="Months_to_full_usage">#REF!</definedName>
    <definedName name="months15">#REF!,#REF!</definedName>
    <definedName name="MOverride">#REF!</definedName>
    <definedName name="MRIRevPerScan">#REF!</definedName>
    <definedName name="mrp">#REF!</definedName>
    <definedName name="mrsharecount">#REF!</definedName>
    <definedName name="MTD">#REF!</definedName>
    <definedName name="mullisrent">#REF!</definedName>
    <definedName name="NAME">#REF!</definedName>
    <definedName name="name_q3" hidden="1">#REF!</definedName>
    <definedName name="NAME2">#REF!</definedName>
    <definedName name="Names">#REF!</definedName>
    <definedName name="NCF">#REF!</definedName>
    <definedName name="Net_Income">#REF!</definedName>
    <definedName name="NetChan">#REF!</definedName>
    <definedName name="NETINC">#REF!</definedName>
    <definedName name="NetIncomeYTD04">#REF!</definedName>
    <definedName name="netincq195">#REF!</definedName>
    <definedName name="netincq295">#REF!</definedName>
    <definedName name="netincq395">#REF!</definedName>
    <definedName name="netincq495">#REF!</definedName>
    <definedName name="new" hidden="1">43256.6395486111</definedName>
    <definedName name="NewCo_EPS_DataTable_Horizontal">#REF!</definedName>
    <definedName name="NewCo_EPS_DataTable_Vertical">#REF!</definedName>
    <definedName name="NewKey" hidden="1">#REF!</definedName>
    <definedName name="NewKey2" hidden="1">#REF!</definedName>
    <definedName name="NEWMEDIAVALUE">#REF!</definedName>
    <definedName name="newportrent">#REF!</definedName>
    <definedName name="NewRange">#REF!</definedName>
    <definedName name="nhirent">#REF!</definedName>
    <definedName name="nhprent">#REF!</definedName>
    <definedName name="nj">#REF!</definedName>
    <definedName name="NMonth" localSheetId="1">MONTH(FONM)</definedName>
    <definedName name="NMonth" localSheetId="0">MONTH(FONM)</definedName>
    <definedName name="NMonth">MONTH(FONM)</definedName>
    <definedName name="NOL">#REF!</definedName>
    <definedName name="nols">#REF!</definedName>
    <definedName name="NORM">#REF!</definedName>
    <definedName name="note">#REF!</definedName>
    <definedName name="NOTES90">#REF!</definedName>
    <definedName name="NOTES91">#REF!</definedName>
    <definedName name="November">#REF!</definedName>
    <definedName name="November2">#REF!</definedName>
    <definedName name="Nuke">#REF!</definedName>
    <definedName name="numbers">#REF!</definedName>
    <definedName name="nv" localSheetId="1" hidden="1">{"Assets",#N/A,FALSE,"Balance Sheet";"Liabilities",#N/A,FALSE,"Balance Sheet"}</definedName>
    <definedName name="nv" localSheetId="0" hidden="1">{"Assets",#N/A,FALSE,"Balance Sheet";"Liabilities",#N/A,FALSE,"Balance Sheet"}</definedName>
    <definedName name="nv" hidden="1">{"Assets",#N/A,FALSE,"Balance Sheet";"Liabilities",#N/A,FALSE,"Balance Sheet"}</definedName>
    <definedName name="NvsASD">"V2001-03-31"</definedName>
    <definedName name="NvsAutoDrillOk">"VN"</definedName>
    <definedName name="NvsElapsedTime">0.000231597223319113</definedName>
    <definedName name="NvsEndTime">37004.5462148148</definedName>
    <definedName name="NvsInstSpec">"%,FDEPTID,TDEPTS_BY_LOCATIONS,N089_KING_PACKAGING"</definedName>
    <definedName name="NvsLayoutType">"M3"</definedName>
    <definedName name="NvsNplSpec">"%,X,RZT.ACCOUNT.NPLODE,CZF.."</definedName>
    <definedName name="NvsPanelEffdt">"V1903-01-03"</definedName>
    <definedName name="NvsPanelSetid">"VSTD00"</definedName>
    <definedName name="NvsReqBU">"V30100"</definedName>
    <definedName name="NvsReqBUOnly">"VY"</definedName>
    <definedName name="NvsTransLed">"VN"</definedName>
    <definedName name="NvsTreeASD">"V2001-03-31"</definedName>
    <definedName name="NvsValTbl.ACCOUNT">"GL_ACCOUNT_TBL"</definedName>
    <definedName name="NvsValTbl.BUSINESS_UNIT">"BUS_UNIT_TBL_GL"</definedName>
    <definedName name="NvsValTbl.CURRENCY_CD">"CURRENCY_CD_TBL"</definedName>
    <definedName name="NvsValTbl.DEPTID">"DEPARTMENT_TBL"</definedName>
    <definedName name="NvsValTbl.PRODUCT">"PRODUCT_TBL"</definedName>
    <definedName name="NWC">#REF!</definedName>
    <definedName name="NYEPS">#REF!</definedName>
    <definedName name="NYNET">#REF!</definedName>
    <definedName name="NYREV">#REF!</definedName>
    <definedName name="October">#REF!</definedName>
    <definedName name="October2">#REF!</definedName>
    <definedName name="offpr">#REF!</definedName>
    <definedName name="Offset">#REF!</definedName>
    <definedName name="OH">#REF!</definedName>
    <definedName name="OIE">#REF!</definedName>
    <definedName name="oldcasename">#REF!</definedName>
    <definedName name="oldcn">#REF!</definedName>
    <definedName name="oldcname">#REF!</definedName>
    <definedName name="oldCoverDate">#REF!</definedName>
    <definedName name="oldpp">#REF!</definedName>
    <definedName name="Oldpurchase">#REF!</definedName>
    <definedName name="OLDQ">#REF!</definedName>
    <definedName name="omegarent">#REF!</definedName>
    <definedName name="OnOff">#REF!</definedName>
    <definedName name="Operating_Expense">#REF!</definedName>
    <definedName name="Operating_Income">#REF!</definedName>
    <definedName name="operating_scenario">#REF!</definedName>
    <definedName name="OperatingIncome">#REF!</definedName>
    <definedName name="opincq195">#REF!</definedName>
    <definedName name="opincq295">#REF!</definedName>
    <definedName name="opincq395">#REF!</definedName>
    <definedName name="opincq495">#REF!</definedName>
    <definedName name="OpInput1">#REF!</definedName>
    <definedName name="OpInput2">#REF!</definedName>
    <definedName name="OpInput3">#REF!</definedName>
    <definedName name="OpInput4">#REF!</definedName>
    <definedName name="OpInput5">#REF!</definedName>
    <definedName name="OpInput6">#REF!</definedName>
    <definedName name="OpInput7">#REF!</definedName>
    <definedName name="OpInput8">#REF!</definedName>
    <definedName name="Opt_Base_Profit">#REF!</definedName>
    <definedName name="Opt_Base_Revenue">#REF!</definedName>
    <definedName name="Opt_Dilution">#REF!</definedName>
    <definedName name="Opt_EBIT">#REF!</definedName>
    <definedName name="Opt_Gro_Rate_01">#REF!</definedName>
    <definedName name="Opt_Gro_Rate_02">#REF!</definedName>
    <definedName name="Opt_Gro_Rate_03">#REF!</definedName>
    <definedName name="Opt_Gro_Rate_04">#REF!</definedName>
    <definedName name="Opt_Gro_Rate_05">#REF!</definedName>
    <definedName name="Opt_Gro_Rate_97">#REF!</definedName>
    <definedName name="Opt_Gro_Rate_98">#REF!</definedName>
    <definedName name="Opt_Gro_Rate_99">#REF!</definedName>
    <definedName name="Opt_PE">#REF!</definedName>
    <definedName name="Opt_Profit_01">#REF!</definedName>
    <definedName name="Opt_Profit_02">#REF!</definedName>
    <definedName name="Opt_Profit_03">#REF!</definedName>
    <definedName name="Opt_Profit_04">#REF!</definedName>
    <definedName name="Opt_Profit_05">#REF!</definedName>
    <definedName name="Opt_Profit_97">#REF!</definedName>
    <definedName name="Opt_Profit_98">#REF!</definedName>
    <definedName name="Opt_Profit_99">#REF!</definedName>
    <definedName name="Opt_Return_Mult">#REF!</definedName>
    <definedName name="Opt_Value">#REF!</definedName>
    <definedName name="Optimistic_Case">#REF!</definedName>
    <definedName name="option_proceeds">#REF!</definedName>
    <definedName name="Options">#REF!</definedName>
    <definedName name="Options2">#REF!</definedName>
    <definedName name="other_expense">#REF!</definedName>
    <definedName name="OtherAssets">#REF!</definedName>
    <definedName name="OtherCurrentAssets">#REF!</definedName>
    <definedName name="OtherCurrentLiabilities">#REF!</definedName>
    <definedName name="OtherLongTermLiabilities">#REF!</definedName>
    <definedName name="OtherNonCashOpItems">#REF!</definedName>
    <definedName name="OtherOperatingExpense">#REF!</definedName>
    <definedName name="othersrent">#REF!</definedName>
    <definedName name="out">#REF!</definedName>
    <definedName name="override">#REF!</definedName>
    <definedName name="OVR">#REF!</definedName>
    <definedName name="ownedrent">#REF!</definedName>
    <definedName name="OwnerDays1">#REF!</definedName>
    <definedName name="OwnerDays2">#REF!</definedName>
    <definedName name="OwnerDays3">#REF!</definedName>
    <definedName name="OwnerDays4">#REF!</definedName>
    <definedName name="OwnerDraw1">#REF!</definedName>
    <definedName name="OwnerDraw2">#REF!</definedName>
    <definedName name="OwnerDraw3">#REF!</definedName>
    <definedName name="OwnerDraw4">#REF!</definedName>
    <definedName name="OwnerMkt">#REF!</definedName>
    <definedName name="OwnerPct1">#REF!</definedName>
    <definedName name="OwnerPct2">#REF!</definedName>
    <definedName name="OwnerPct3">#REF!</definedName>
    <definedName name="OwnerPct4">#REF!</definedName>
    <definedName name="OwnerProd1">#REF!</definedName>
    <definedName name="OwnerProd2">#REF!</definedName>
    <definedName name="OwnerProd3">#REF!</definedName>
    <definedName name="OwnerProd4">#REF!</definedName>
    <definedName name="Owners">#REF!</definedName>
    <definedName name="P_PCT">#REF!</definedName>
    <definedName name="P_ROW_OFFSET">#REF!</definedName>
    <definedName name="Pacrim">#N/A</definedName>
    <definedName name="PAGE">#REF!</definedName>
    <definedName name="PAGE1">#REF!</definedName>
    <definedName name="PAGE2">#REF!</definedName>
    <definedName name="PAGE3">#REF!</definedName>
    <definedName name="PAGE5">#REF!</definedName>
    <definedName name="paid">#REF!</definedName>
    <definedName name="Paid_In_Capital">#REF!</definedName>
    <definedName name="PART">#REF!</definedName>
    <definedName name="PART2">#REF!</definedName>
    <definedName name="Participation">#REF!</definedName>
    <definedName name="PartnershipName">#REF!</definedName>
    <definedName name="Paste_DeNovoSchedule1">#REF!</definedName>
    <definedName name="Paste_DeNovoSchedule2">#REF!</definedName>
    <definedName name="Paste_DeNovoSchedule3">#REF!</definedName>
    <definedName name="Paste_DeNovoSchedule4">#REF!</definedName>
    <definedName name="Paste1_All">#REF!</definedName>
    <definedName name="Paste2_ExTIII">#REF!</definedName>
    <definedName name="Paste3_TIA">#REF!</definedName>
    <definedName name="Paste4_TIB">#REF!</definedName>
    <definedName name="Paste5_TII">#REF!</definedName>
    <definedName name="Paste6_TIII">#REF!</definedName>
    <definedName name="paydown">#REF!</definedName>
    <definedName name="PBT">#REF!</definedName>
    <definedName name="pc_case">#REF!</definedName>
    <definedName name="PCENTER">#REF!</definedName>
    <definedName name="PdrPreRec">#REF!</definedName>
    <definedName name="PdrRegRec">#REF!</definedName>
    <definedName name="pebitdax">#REF!</definedName>
    <definedName name="Pennsylvania_State_Employee_Retirement_Services__L.P.">"_CC1"</definedName>
    <definedName name="Period">#REF!</definedName>
    <definedName name="period_end">#REF!</definedName>
    <definedName name="PeriodsInYear">#REF!</definedName>
    <definedName name="perServ_perMo">#REF!</definedName>
    <definedName name="Pess_Base_Profit">#REF!</definedName>
    <definedName name="Pess_Base_Revenue">#REF!</definedName>
    <definedName name="Pess_Dilution">#REF!</definedName>
    <definedName name="Pess_EBIT">#REF!</definedName>
    <definedName name="Pess_Gro_Rate_01">#REF!</definedName>
    <definedName name="Pess_Gro_Rate_02">#REF!</definedName>
    <definedName name="Pess_Gro_Rate_03">#REF!</definedName>
    <definedName name="Pess_Gro_Rate_04">#REF!</definedName>
    <definedName name="Pess_Gro_Rate_05">#REF!</definedName>
    <definedName name="Pess_Gro_Rate_97">#REF!</definedName>
    <definedName name="Pess_Gro_Rate_98">#REF!</definedName>
    <definedName name="Pess_Gro_Rate_99">#REF!</definedName>
    <definedName name="Pess_PE">#REF!</definedName>
    <definedName name="Pess_Profit_01">#REF!</definedName>
    <definedName name="Pess_Profit_02">#REF!</definedName>
    <definedName name="Pess_Profit_03">#REF!</definedName>
    <definedName name="Pess_Profit_04">#REF!</definedName>
    <definedName name="Pess_Profit_05">#REF!</definedName>
    <definedName name="Pess_Profit_97">#REF!</definedName>
    <definedName name="Pess_Profit_98">#REF!</definedName>
    <definedName name="Pess_Profit_99">#REF!</definedName>
    <definedName name="Pess_Return_Mult">#REF!</definedName>
    <definedName name="Pess_Rev">#REF!</definedName>
    <definedName name="Pess_Value">#REF!</definedName>
    <definedName name="Pessimistic_Case">#REF!</definedName>
    <definedName name="PFPRICE">#REF!</definedName>
    <definedName name="PFPRICE2">#REF!</definedName>
    <definedName name="PFQ">#REF!</definedName>
    <definedName name="PFY1Price">#REF!</definedName>
    <definedName name="PFY2Price">#REF!</definedName>
    <definedName name="PFYPrice">#REF!</definedName>
    <definedName name="pharma">#REF!</definedName>
    <definedName name="PIK">#REF!</definedName>
    <definedName name="PIKK">#REF!</definedName>
    <definedName name="PIKSen">#REF!</definedName>
    <definedName name="PIKYrs">#REF!</definedName>
    <definedName name="please">#REF!</definedName>
    <definedName name="PNLMaster">#REF!</definedName>
    <definedName name="PPandE">#REF!</definedName>
    <definedName name="ppe">#REF!</definedName>
    <definedName name="PreferredBook">#REF!</definedName>
    <definedName name="PreferredDividends">#REF!</definedName>
    <definedName name="PreferredEquity">#REF!</definedName>
    <definedName name="PreferredLiquidation">#REF!</definedName>
    <definedName name="PreferredOutstanding">#REF!</definedName>
    <definedName name="PreferredStock107">#REF!</definedName>
    <definedName name="PrefRtn">#REF!</definedName>
    <definedName name="preincq195">#REF!</definedName>
    <definedName name="preincq295">#REF!</definedName>
    <definedName name="preincq395">#REF!</definedName>
    <definedName name="preincq495">#REF!</definedName>
    <definedName name="Preparer">#REF!</definedName>
    <definedName name="PresentationNormalA4">#REF!</definedName>
    <definedName name="PRGN">#REF!</definedName>
    <definedName name="Price">#REF!</definedName>
    <definedName name="price1997">#REF!</definedName>
    <definedName name="price1998">#REF!</definedName>
    <definedName name="price1999">#REF!</definedName>
    <definedName name="price2000">#REF!</definedName>
    <definedName name="price2001">#REF!</definedName>
    <definedName name="price2002">#REF!</definedName>
    <definedName name="price2003">#REF!</definedName>
    <definedName name="price2004">#REF!</definedName>
    <definedName name="price2005">#REF!</definedName>
    <definedName name="price97">#REF!</definedName>
    <definedName name="Primary">#REF!</definedName>
    <definedName name="Prime98">#REF!</definedName>
    <definedName name="PRIMEVIEW">#REF!</definedName>
    <definedName name="PRINT">#REF!</definedName>
    <definedName name="Print_1">#REF!</definedName>
    <definedName name="Print_2">#REF!</definedName>
    <definedName name="_xlnm.Print_Area">#REF!</definedName>
    <definedName name="Print_Area_MI">#REF!</definedName>
    <definedName name="print_area_mi_2">#REF!</definedName>
    <definedName name="Print_Macro__p">#REF!</definedName>
    <definedName name="Print_Rank">#REF!</definedName>
    <definedName name="Print_Titles_MI">#REF!</definedName>
    <definedName name="print1">#REF!</definedName>
    <definedName name="Print1Start">#REF!</definedName>
    <definedName name="Print1Stop">#REF!</definedName>
    <definedName name="print2">#REF!</definedName>
    <definedName name="Print2Start">#REF!</definedName>
    <definedName name="Print2Stop">#REF!</definedName>
    <definedName name="Print3Start">#REF!</definedName>
    <definedName name="Print3Stop">#REF!</definedName>
    <definedName name="PrintArea">#REF!</definedName>
    <definedName name="printcase">#REF!</definedName>
    <definedName name="printsum">#REF!</definedName>
    <definedName name="PriorDistributions">#REF!</definedName>
    <definedName name="PriorHoldingsMV">#REF!</definedName>
    <definedName name="PriorHoldingsPartnership">#REF!</definedName>
    <definedName name="PriorIRR">#REF!</definedName>
    <definedName name="PriorPartnershipName">#REF!</definedName>
    <definedName name="PriorQuarter">#REF!</definedName>
    <definedName name="PriorQuarterEndDate">#REF!</definedName>
    <definedName name="PriorTotalFees">#REF!</definedName>
    <definedName name="PriorTotalTakeDown">#REF!</definedName>
    <definedName name="PriorValuation">#REF!</definedName>
    <definedName name="PROJECT">#REF!</definedName>
    <definedName name="projection">#REF!</definedName>
    <definedName name="ProjectionCase">#REF!</definedName>
    <definedName name="PROJECTNAME">#REF!</definedName>
    <definedName name="pstp_data">#REF!</definedName>
    <definedName name="PtrDetail">#REF!</definedName>
    <definedName name="Public">#REF!</definedName>
    <definedName name="publicprivate">#REF!</definedName>
    <definedName name="pubpriv">#REF!</definedName>
    <definedName name="purchase">#REF!</definedName>
    <definedName name="purchase?">#REF!</definedName>
    <definedName name="q" localSheetId="1" hidden="1">{#N/A,#N/A,FALSE,"Assumptions";#N/A,#N/A,FALSE,"N-IS-Sum";#N/A,#N/A,FALSE,"N-St-Sum";#N/A,#N/A,FALSE,"Inc Stmt";#N/A,#N/A,FALSE,"Stats"}</definedName>
    <definedName name="q" localSheetId="0" hidden="1">{#N/A,#N/A,FALSE,"Assumptions";#N/A,#N/A,FALSE,"N-IS-Sum";#N/A,#N/A,FALSE,"N-St-Sum";#N/A,#N/A,FALSE,"Inc Stmt";#N/A,#N/A,FALSE,"Stats"}</definedName>
    <definedName name="q" hidden="1">{#N/A,#N/A,FALSE,"Assumptions";#N/A,#N/A,FALSE,"N-IS-Sum";#N/A,#N/A,FALSE,"N-St-Sum";#N/A,#N/A,FALSE,"Inc Stmt";#N/A,#N/A,FALSE,"Stats"}</definedName>
    <definedName name="Q_PCT">#REF!</definedName>
    <definedName name="Q_ROW_OFFSET">#REF!</definedName>
    <definedName name="Q1_CV_Total">#REF!</definedName>
    <definedName name="Q1_DR_BizDev">#REF!</definedName>
    <definedName name="Q1_DR_Total">#REF!</definedName>
    <definedName name="Q1_FC_Total">#REF!</definedName>
    <definedName name="Q1_PR_Total">#REF!</definedName>
    <definedName name="Q1_SALES">#REF!</definedName>
    <definedName name="Q2_CV_Total">#REF!</definedName>
    <definedName name="Q2_DR_BizDev">#REF!</definedName>
    <definedName name="Q2_DR_Total">#REF!</definedName>
    <definedName name="Q2_FC_Total">#REF!</definedName>
    <definedName name="Q2_PR_Total">#REF!</definedName>
    <definedName name="Q2_SALES">#REF!</definedName>
    <definedName name="Q3_CV_Total">#REF!</definedName>
    <definedName name="Q3_DR_BizDev">#REF!</definedName>
    <definedName name="Q3_DR_Total">#REF!</definedName>
    <definedName name="Q3_FC_Total">#REF!</definedName>
    <definedName name="Q3_PR_Total">#REF!</definedName>
    <definedName name="Q3_SALES">#REF!</definedName>
    <definedName name="Q4_CV_Total">#REF!</definedName>
    <definedName name="Q4_DR_BizDev">#REF!</definedName>
    <definedName name="Q4_DR_Total">#REF!</definedName>
    <definedName name="Q4_FC_Total">#REF!</definedName>
    <definedName name="Q4_PR_Total">#REF!</definedName>
    <definedName name="Q4_SALES">#REF!</definedName>
    <definedName name="QNET">#REF!</definedName>
    <definedName name="QREV">#REF!</definedName>
    <definedName name="Qry_Trend_Doctors_Level2">#REF!</definedName>
    <definedName name="Qry_Trend_Drugs_Level2">#REF!</definedName>
    <definedName name="Qry_Trend_Drugs_Level3">#REF!</definedName>
    <definedName name="QTR">#REF!</definedName>
    <definedName name="QTR_GROWTH">#REF!</definedName>
    <definedName name="qtr_vs_plan">#REF!</definedName>
    <definedName name="QtrV">#REF!</definedName>
    <definedName name="QUARTER">#REF!</definedName>
    <definedName name="Quarter_bal_sht">#REF!</definedName>
    <definedName name="Quarter_cashflow">#REF!</definedName>
    <definedName name="Quarter_inc_stmt">#REF!</definedName>
    <definedName name="Quarter_ratios_calcs">#REF!</definedName>
    <definedName name="QUARTERLY">#REF!</definedName>
    <definedName name="Quarterly.Income.Statement">#REF!</definedName>
    <definedName name="Quarterly.Margin.Analysis">#REF!</definedName>
    <definedName name="QuarterlyDividend">#REF!</definedName>
    <definedName name="Quarters">#REF!</definedName>
    <definedName name="QuickRatio">#REF!</definedName>
    <definedName name="R_D">#REF!</definedName>
    <definedName name="RandD">#REF!</definedName>
    <definedName name="range">#REF!</definedName>
    <definedName name="Range1A">#REF!</definedName>
    <definedName name="Rank_1">#REF!</definedName>
    <definedName name="Rank_10">#REF!</definedName>
    <definedName name="Rank_101">#REF!</definedName>
    <definedName name="Rank_11">#REF!</definedName>
    <definedName name="Rank_110">#REF!</definedName>
    <definedName name="Rank_2">#REF!</definedName>
    <definedName name="Rank_3">#REF!</definedName>
    <definedName name="Rank_4">#REF!</definedName>
    <definedName name="Rank_5">#REF!</definedName>
    <definedName name="Rank_6">#REF!</definedName>
    <definedName name="Rank_7">#REF!</definedName>
    <definedName name="Rank_8">#REF!</definedName>
    <definedName name="Rank_9">#REF!</definedName>
    <definedName name="Rankings">#REF!</definedName>
    <definedName name="Rate_Table">#REF!</definedName>
    <definedName name="ratingsharesum">#REF!</definedName>
    <definedName name="raw">#REF!</definedName>
    <definedName name="real_average">#REF!</definedName>
    <definedName name="Real_Estate">#REF!</definedName>
    <definedName name="real_ye">#REF!</definedName>
    <definedName name="Really_Opt_Dilution">#REF!</definedName>
    <definedName name="Really_Opt_EBIT">#REF!</definedName>
    <definedName name="Really_Opt_PE">#REF!</definedName>
    <definedName name="Really_opt_return_mult">#REF!</definedName>
    <definedName name="Really_Opt_Value">#REF!</definedName>
    <definedName name="Really_Optimistic_Case">#REF!</definedName>
    <definedName name="Really_Pess_Dilution">#REF!</definedName>
    <definedName name="really_pess_value">#REF!</definedName>
    <definedName name="Really_Pessimistic_Case">#REF!</definedName>
    <definedName name="recap05">#REF!</definedName>
    <definedName name="Receivable_Payable_Party">#REF!</definedName>
    <definedName name="Receive">#REF!</definedName>
    <definedName name="recession">#REF!</definedName>
    <definedName name="Record">#REF!</definedName>
    <definedName name="Record1">#REF!</definedName>
    <definedName name="_xlnm.Recorder">#REF!</definedName>
    <definedName name="redwoodrent">#REF!</definedName>
    <definedName name="refin">LEFT(#REF!)="Y"</definedName>
    <definedName name="rentalCAGR">#REF!</definedName>
    <definedName name="RentGrowth">#REF!</definedName>
    <definedName name="rep">#REF!,#REF!,#REF!,#REF!</definedName>
    <definedName name="Report">#REF!</definedName>
    <definedName name="ReportedNetIncome">#REF!</definedName>
    <definedName name="ReportedPretaxIncome">#REF!</definedName>
    <definedName name="ReportedTaxes">#REF!</definedName>
    <definedName name="Reporting_Day_List">#REF!</definedName>
    <definedName name="Reports">#REF!</definedName>
    <definedName name="RESERVES">#N/A</definedName>
    <definedName name="Results">#REF!</definedName>
    <definedName name="RETURN">#REF!</definedName>
    <definedName name="Rev_96">#REF!</definedName>
    <definedName name="Rev_Mult_In_Sale">#REF!</definedName>
    <definedName name="Revenue">#REF!</definedName>
    <definedName name="Revenue_per_Client">#REF!</definedName>
    <definedName name="RevenuePFQ2">#REF!</definedName>
    <definedName name="REVENUES">#REF!</definedName>
    <definedName name="RevenuesPFQ2">#REF!</definedName>
    <definedName name="RevenueY2">#REF!</definedName>
    <definedName name="RevGrowth1">#REF!</definedName>
    <definedName name="RevGrowth2">#REF!</definedName>
    <definedName name="RevGrowth3">#REF!</definedName>
    <definedName name="RevGrowth4">#REF!</definedName>
    <definedName name="RFMD">#REF!</definedName>
    <definedName name="rfr">#REF!</definedName>
    <definedName name="ROA">#REF!</definedName>
    <definedName name="ROB">#REF!</definedName>
    <definedName name="robinsonrent">#REF!</definedName>
    <definedName name="ROE">#REF!</definedName>
    <definedName name="roll_T_options?">#REF!</definedName>
    <definedName name="round">#REF!</definedName>
    <definedName name="RSA">#REF!</definedName>
    <definedName name="rtg">#N/A</definedName>
    <definedName name="Sales">#REF!</definedName>
    <definedName name="sales_acct_exec">#REF!</definedName>
    <definedName name="sales_admin6">#REF!</definedName>
    <definedName name="sales_admin7">#REF!</definedName>
    <definedName name="sales_exec">#REF!</definedName>
    <definedName name="SALES_GROWTH">#REF!</definedName>
    <definedName name="SALES_SWITCH">#REF!</definedName>
    <definedName name="SALES90">#REF!</definedName>
    <definedName name="SALES91">#REF!</definedName>
    <definedName name="SALES92">#REF!</definedName>
    <definedName name="SavingsPlan?">#REF!</definedName>
    <definedName name="scancase">#REF!</definedName>
    <definedName name="SCEN">#REF!</definedName>
    <definedName name="Scenario">#REF!</definedName>
    <definedName name="Scenario_2">#REF!</definedName>
    <definedName name="Scenario_2b">#REF!</definedName>
    <definedName name="Scenario_2cont">#REF!</definedName>
    <definedName name="Scenario_3">#REF!</definedName>
    <definedName name="Scenario_4">#REF!</definedName>
    <definedName name="SCHED">#REF!</definedName>
    <definedName name="Script_Contracts">#REF!</definedName>
    <definedName name="sctrend">#REF!</definedName>
    <definedName name="second_tranche">#REF!</definedName>
    <definedName name="sector">#REF!</definedName>
    <definedName name="securities">#REF!</definedName>
    <definedName name="security">#REF!</definedName>
    <definedName name="seg">#REF!</definedName>
    <definedName name="segassum">#REF!</definedName>
    <definedName name="segassum1">#REF!</definedName>
    <definedName name="segmenta">#REF!</definedName>
    <definedName name="segmentb">#REF!</definedName>
    <definedName name="segmentc">#REF!</definedName>
    <definedName name="segmentd">#REF!</definedName>
    <definedName name="SELL90">#REF!</definedName>
    <definedName name="SELL91">#REF!</definedName>
    <definedName name="SELL92">#REF!</definedName>
    <definedName name="seller_note_sweep">#REF!</definedName>
    <definedName name="sencount" hidden="1">1</definedName>
    <definedName name="Send_X.400">#REF!</definedName>
    <definedName name="senint">#REF!</definedName>
    <definedName name="SeniorRating">#REF!</definedName>
    <definedName name="SENS">#REF!</definedName>
    <definedName name="September">#REF!</definedName>
    <definedName name="September2">#REF!</definedName>
    <definedName name="sfd">#REF!</definedName>
    <definedName name="SGandA">#REF!</definedName>
    <definedName name="SharePriceLTM">#REF!</definedName>
    <definedName name="SharePricePFY">#REF!</definedName>
    <definedName name="SharePricePFY1">#REF!</definedName>
    <definedName name="SHARES">#REF!</definedName>
    <definedName name="SHARESDILUTED">#REF!</definedName>
    <definedName name="shg" localSheetId="1" hidden="1">{#N/A,#N/A,FALSE,"Index";#N/A,#N/A,FALSE,"IncStmt";#N/A,#N/A,FALSE,"Ratios";#N/A,#N/A,FALSE,"CashFlows";#N/A,#N/A,FALSE,"Ins1";#N/A,#N/A,FALSE,"Ins2";#N/A,#N/A,FALSE,"SelfFund";#N/A,#N/A,FALSE,"SGA";#N/A,#N/A,FALSE,"Recon";#N/A,#N/A,FALSE,"Earnings";#N/A,#N/A,FALSE,"Earnings (2)";#N/A,#N/A,FALSE,"Stock";#N/A,#N/A,FALSE,"Stock (2)";#N/A,#N/A,FALSE,"PeerRatios";#N/A,#N/A,FALSE,"PeerRanks"}</definedName>
    <definedName name="shg" localSheetId="0" hidden="1">{#N/A,#N/A,FALSE,"Index";#N/A,#N/A,FALSE,"IncStmt";#N/A,#N/A,FALSE,"Ratios";#N/A,#N/A,FALSE,"CashFlows";#N/A,#N/A,FALSE,"Ins1";#N/A,#N/A,FALSE,"Ins2";#N/A,#N/A,FALSE,"SelfFund";#N/A,#N/A,FALSE,"SGA";#N/A,#N/A,FALSE,"Recon";#N/A,#N/A,FALSE,"Earnings";#N/A,#N/A,FALSE,"Earnings (2)";#N/A,#N/A,FALSE,"Stock";#N/A,#N/A,FALSE,"Stock (2)";#N/A,#N/A,FALSE,"PeerRatios";#N/A,#N/A,FALSE,"PeerRanks"}</definedName>
    <definedName name="shg" hidden="1">{#N/A,#N/A,FALSE,"Index";#N/A,#N/A,FALSE,"IncStmt";#N/A,#N/A,FALSE,"Ratios";#N/A,#N/A,FALSE,"CashFlows";#N/A,#N/A,FALSE,"Ins1";#N/A,#N/A,FALSE,"Ins2";#N/A,#N/A,FALSE,"SelfFund";#N/A,#N/A,FALSE,"SGA";#N/A,#N/A,FALSE,"Recon";#N/A,#N/A,FALSE,"Earnings";#N/A,#N/A,FALSE,"Earnings (2)";#N/A,#N/A,FALSE,"Stock";#N/A,#N/A,FALSE,"Stock (2)";#N/A,#N/A,FALSE,"PeerRatios";#N/A,#N/A,FALSE,"PeerRanks"}</definedName>
    <definedName name="shit">#REF!</definedName>
    <definedName name="shouta94">#REF!</definedName>
    <definedName name="shoutq194">#REF!</definedName>
    <definedName name="shoutq195">#REF!</definedName>
    <definedName name="shoutq294">#REF!</definedName>
    <definedName name="shoutq295">#REF!</definedName>
    <definedName name="shoutq394">#REF!</definedName>
    <definedName name="shoutq395">#REF!</definedName>
    <definedName name="shoutq494">#REF!</definedName>
    <definedName name="shoutq495">#REF!</definedName>
    <definedName name="SHS">#REF!</definedName>
    <definedName name="SICcode">#REF!</definedName>
    <definedName name="size">#REF!</definedName>
    <definedName name="size2adv">#REF!</definedName>
    <definedName name="SOGHI_00_01_02">#REF!</definedName>
    <definedName name="SOHI_00_01_02">#REF!</definedName>
    <definedName name="SOL_00_01_02">#REF!</definedName>
    <definedName name="SONS2">#REF!</definedName>
    <definedName name="Sort">#REF!</definedName>
    <definedName name="Sorting">#REF!</definedName>
    <definedName name="Sources_Uses">#REF!</definedName>
    <definedName name="sourcesanduses">#REF!</definedName>
    <definedName name="southernrent">#REF!</definedName>
    <definedName name="SP">#REF!</definedName>
    <definedName name="Spaces">"      "</definedName>
    <definedName name="Spec">#REF!</definedName>
    <definedName name="sponsorfee">#REF!</definedName>
    <definedName name="ss" hidden="1">#REF!</definedName>
    <definedName name="staff">#REF!</definedName>
    <definedName name="Start_Date">#REF!</definedName>
    <definedName name="StartDate">#REF!</definedName>
    <definedName name="Status">#REF!</definedName>
    <definedName name="Status2">#REF!</definedName>
    <definedName name="STD">#REF!</definedName>
    <definedName name="Std_Monthly_Fee">#REF!</definedName>
    <definedName name="stdalne_Scenario_1_List">#REF!</definedName>
    <definedName name="StdPreRec">#REF!</definedName>
    <definedName name="StdPreSnd">#REF!</definedName>
    <definedName name="StdRegRec">#REF!</definedName>
    <definedName name="StdRegSnd">#REF!</definedName>
    <definedName name="Step">#REF!</definedName>
    <definedName name="Stock_days_98_9">#REF!</definedName>
    <definedName name="Stock_split_by_category_97_8">#REF!</definedName>
    <definedName name="Stock_split_by_category_98_9">#REF!</definedName>
    <definedName name="Strategy">#REF!</definedName>
    <definedName name="Stub_Perc">#REF!</definedName>
    <definedName name="SUB">#REF!</definedName>
    <definedName name="SubordinatedRating">#REF!</definedName>
    <definedName name="sum">#REF!</definedName>
    <definedName name="sum_Capital_Committed">#REF!</definedName>
    <definedName name="sum_Distributions">#REF!</definedName>
    <definedName name="sum_Market_Value">#REF!</definedName>
    <definedName name="sum_Paid_In_Capital">#REF!</definedName>
    <definedName name="Summ_00_01_02">#REF!</definedName>
    <definedName name="Summary">#REF!</definedName>
    <definedName name="sunplus">#REF!</definedName>
    <definedName name="SUPP_Activities_CY_WithPermanentRestr">#REF!</definedName>
    <definedName name="SUPP_BalSht_PY">#REF!</definedName>
    <definedName name="Swag">#REF!</definedName>
    <definedName name="Swvu.Client._.Profile.">#REF!</definedName>
    <definedName name="Swvu.Rate._.Table.">#REF!</definedName>
    <definedName name="Swvu.Revenue.">#REF!</definedName>
    <definedName name="Synergies">#REF!</definedName>
    <definedName name="t">#REF!</definedName>
    <definedName name="TABLE">#REF!</definedName>
    <definedName name="Table1">#REF!</definedName>
    <definedName name="Table2">#REF!</definedName>
    <definedName name="TangibleBook">#REF!</definedName>
    <definedName name="TAR">#REF!</definedName>
    <definedName name="Taratec_Value">#REF!</definedName>
    <definedName name="Targ1">#REF!</definedName>
    <definedName name="Target">#REF!</definedName>
    <definedName name="TargetLboProjection">#REF!</definedName>
    <definedName name="TarTaxRate">#REF!</definedName>
    <definedName name="tax">#REF!</definedName>
    <definedName name="Tax_Rate">#REF!</definedName>
    <definedName name="taxr">#REF!</definedName>
    <definedName name="TaxRate">#REF!</definedName>
    <definedName name="tblMgmtFeeAnalysis">#REF!</definedName>
    <definedName name="Terminal">#REF!</definedName>
    <definedName name="TEST">#REF!</definedName>
    <definedName name="TestAdd">"Test RefersTo1"</definedName>
    <definedName name="TEV">#REF!</definedName>
    <definedName name="the">#REF!,#REF!,#REF!,#REF!</definedName>
    <definedName name="Ticker">#REF!</definedName>
    <definedName name="ticker2">#REF!</definedName>
    <definedName name="TickerCell">#REF!</definedName>
    <definedName name="TKR">#REF!</definedName>
    <definedName name="toc">#REF!</definedName>
    <definedName name="TODAY">#REF!</definedName>
    <definedName name="topcomp">#REF!</definedName>
    <definedName name="topcopy">#REF!</definedName>
    <definedName name="topfoot">#REF!</definedName>
    <definedName name="TopLeft">#REF!</definedName>
    <definedName name="TOPSEG">#REF!</definedName>
    <definedName name="Tot_Usage">#REF!</definedName>
    <definedName name="Tot_UseageY2">#REF!</definedName>
    <definedName name="TOTAL">#REF!</definedName>
    <definedName name="TOTAL_DUE">#REF!</definedName>
    <definedName name="total_net_debt">#REF!</definedName>
    <definedName name="TotalAssets">#REF!</definedName>
    <definedName name="TotalCap">#REF!</definedName>
    <definedName name="TotalCapitalization">#REF!</definedName>
    <definedName name="TotalDebt">#REF!</definedName>
    <definedName name="TotalSE">#REF!</definedName>
    <definedName name="Tow_00_01_02">#REF!</definedName>
    <definedName name="Tranche">#REF!</definedName>
    <definedName name="TRANS">#REF!</definedName>
    <definedName name="TransactionType">#REF!</definedName>
    <definedName name="TRANSFROM">#REF!</definedName>
    <definedName name="TRANSTO">#REF!</definedName>
    <definedName name="TransTypes">#REF!</definedName>
    <definedName name="TravelPerBDaPerYear">#REF!</definedName>
    <definedName name="TravelPerExecAPerYear">#REF!</definedName>
    <definedName name="TravelPerExecBPerYear">#REF!</definedName>
    <definedName name="TravelPerMDPerYear">#REF!</definedName>
    <definedName name="TravelPerPMPerYear">#REF!</definedName>
    <definedName name="trc_XLS_DATASHEET_ProtectDate">36881.5985416667</definedName>
    <definedName name="TRCA">#REF!</definedName>
    <definedName name="trigger">#REF!</definedName>
    <definedName name="try">#N/A</definedName>
    <definedName name="TWO_YRS_BY_MTH">#REF!</definedName>
    <definedName name="type">#REF!</definedName>
    <definedName name="UAG">#REF!</definedName>
    <definedName name="UnbilledRevenueDec03">#REF!</definedName>
    <definedName name="UnbilledRevenueDec04">#REF!</definedName>
    <definedName name="upside">#REF!</definedName>
    <definedName name="us_cpi">#REF!</definedName>
    <definedName name="usemcb">LEFT(#REF!)="Y"</definedName>
    <definedName name="UsrStdPreRec">#REF!</definedName>
    <definedName name="UsrStdPreSnd">#REF!</definedName>
    <definedName name="UsrStdRegRec">#REF!</definedName>
    <definedName name="UsrStdRegSnd">#REF!</definedName>
    <definedName name="VALUATION">#REF!</definedName>
    <definedName name="valuation_matrix">#REF!</definedName>
    <definedName name="ValuationDate">#REF!</definedName>
    <definedName name="value">#REF!</definedName>
    <definedName name="VALUECOMPARISON">#REF!</definedName>
    <definedName name="valuedcf">#REF!</definedName>
    <definedName name="VALUEDT">#REF!</definedName>
    <definedName name="VALUEMULT">#REF!</definedName>
    <definedName name="values">#REF!</definedName>
    <definedName name="VALUESUM">#REF!</definedName>
    <definedName name="VAT">#REF!</definedName>
    <definedName name="Viastar" localSheetId="1" hidden="1">{#N/A,#N/A,FALSE,"Assumptions";#N/A,#N/A,FALSE,"N-IS-Sum";#N/A,#N/A,FALSE,"N-St-Sum";#N/A,#N/A,FALSE,"Inc Stmt";#N/A,#N/A,FALSE,"Stats"}</definedName>
    <definedName name="Viastar" localSheetId="0" hidden="1">{#N/A,#N/A,FALSE,"Assumptions";#N/A,#N/A,FALSE,"N-IS-Sum";#N/A,#N/A,FALSE,"N-St-Sum";#N/A,#N/A,FALSE,"Inc Stmt";#N/A,#N/A,FALSE,"Stats"}</definedName>
    <definedName name="Viastar" hidden="1">{#N/A,#N/A,FALSE,"Assumptions";#N/A,#N/A,FALSE,"N-IS-Sum";#N/A,#N/A,FALSE,"N-St-Sum";#N/A,#N/A,FALSE,"Inc Stmt";#N/A,#N/A,FALSE,"Stats"}</definedName>
    <definedName name="vintage">#REF!</definedName>
    <definedName name="Vintage_Year">#REF!</definedName>
    <definedName name="volume_data">#REF!</definedName>
    <definedName name="wacc">#REF!</definedName>
    <definedName name="waep">#REF!</definedName>
    <definedName name="WASOfullyDiluted">#REF!</definedName>
    <definedName name="WASOprimary">#REF!</definedName>
    <definedName name="wcass4">#REF!</definedName>
    <definedName name="wcliab2">#REF!</definedName>
    <definedName name="WDay" localSheetId="1">WEEKDAY(FOM)</definedName>
    <definedName name="WDay" localSheetId="0">WEEKDAY(FOM)</definedName>
    <definedName name="WDay">WEEKDAY(FOM)</definedName>
    <definedName name="WDay_2" localSheetId="1">WEEKDAY(FONM)</definedName>
    <definedName name="WDay_2" localSheetId="0">WEEKDAY(FONM)</definedName>
    <definedName name="WDay_2">WEEKDAY(FONM)</definedName>
    <definedName name="WEST_REGION">#REF!</definedName>
    <definedName name="WORKINVEST">#REF!</definedName>
    <definedName name="worksheet">#REF!</definedName>
    <definedName name="wrn.abc" localSheetId="1" hidden="1">{#N/A,#N/A,FALSE,"Index";#N/A,#N/A,FALSE,"IncStmt";#N/A,#N/A,FALSE,"Ratios";#N/A,#N/A,FALSE,"CashFlows";#N/A,#N/A,FALSE,"Ins1";#N/A,#N/A,FALSE,"Ins2";#N/A,#N/A,FALSE,"SelfFund";#N/A,#N/A,FALSE,"SGA";#N/A,#N/A,FALSE,"Recon";#N/A,#N/A,FALSE,"Earnings";#N/A,#N/A,FALSE,"Earnings (2)";#N/A,#N/A,FALSE,"Stock";#N/A,#N/A,FALSE,"Stock (2)";#N/A,#N/A,FALSE,"PeerRatios";#N/A,#N/A,FALSE,"PeerRanks"}</definedName>
    <definedName name="wrn.abc" localSheetId="0" hidden="1">{#N/A,#N/A,FALSE,"Index";#N/A,#N/A,FALSE,"IncStmt";#N/A,#N/A,FALSE,"Ratios";#N/A,#N/A,FALSE,"CashFlows";#N/A,#N/A,FALSE,"Ins1";#N/A,#N/A,FALSE,"Ins2";#N/A,#N/A,FALSE,"SelfFund";#N/A,#N/A,FALSE,"SGA";#N/A,#N/A,FALSE,"Recon";#N/A,#N/A,FALSE,"Earnings";#N/A,#N/A,FALSE,"Earnings (2)";#N/A,#N/A,FALSE,"Stock";#N/A,#N/A,FALSE,"Stock (2)";#N/A,#N/A,FALSE,"PeerRatios";#N/A,#N/A,FALSE,"PeerRanks"}</definedName>
    <definedName name="wrn.abc" hidden="1">{#N/A,#N/A,FALSE,"Index";#N/A,#N/A,FALSE,"IncStmt";#N/A,#N/A,FALSE,"Ratios";#N/A,#N/A,FALSE,"CashFlows";#N/A,#N/A,FALSE,"Ins1";#N/A,#N/A,FALSE,"Ins2";#N/A,#N/A,FALSE,"SelfFund";#N/A,#N/A,FALSE,"SGA";#N/A,#N/A,FALSE,"Recon";#N/A,#N/A,FALSE,"Earnings";#N/A,#N/A,FALSE,"Earnings (2)";#N/A,#N/A,FALSE,"Stock";#N/A,#N/A,FALSE,"Stock (2)";#N/A,#N/A,FALSE,"PeerRatios";#N/A,#N/A,FALSE,"PeerRanks"}</definedName>
    <definedName name="wrn.ALL." localSheetId="1" hidden="1">{"YEAR1",#N/A,FALSE,"Sheet1";"5YEAR",#N/A,FALSE,"Sheet1";"IRR",#N/A,FALSE,"Sheet1"}</definedName>
    <definedName name="wrn.ALL." localSheetId="0" hidden="1">{"YEAR1",#N/A,FALSE,"Sheet1";"5YEAR",#N/A,FALSE,"Sheet1";"IRR",#N/A,FALSE,"Sheet1"}</definedName>
    <definedName name="wrn.ALL." hidden="1">{"YEAR1",#N/A,FALSE,"Sheet1";"5YEAR",#N/A,FALSE,"Sheet1";"IRR",#N/A,FALSE,"Sheet1"}</definedName>
    <definedName name="wrn.All._.First._.Pass._.Schedules." localSheetId="1" hidden="1">{#N/A,#N/A,FALSE,"Assumptions";#N/A,#N/A,FALSE,"Inc Stmt";#N/A,#N/A,FALSE,"Stats";#N/A,#N/A,FALSE,"Existing Business";#N/A,#N/A,FALSE,"New Business";#N/A,#N/A,FALSE,"Labor";#N/A,#N/A,FALSE,"Vehicles";#N/A,#N/A,FALSE,"Facilities";#N/A,#N/A,FALSE,"Indirect Costs";#N/A,#N/A,FALSE,"Capital";#N/A,#N/A,FALSE,"CABR Form";#N/A,#N/A,FALSE,"Corp Costs";#N/A,#N/A,FALSE,"YTD Upload"}</definedName>
    <definedName name="wrn.All._.First._.Pass._.Schedules." localSheetId="0" hidden="1">{#N/A,#N/A,FALSE,"Assumptions";#N/A,#N/A,FALSE,"Inc Stmt";#N/A,#N/A,FALSE,"Stats";#N/A,#N/A,FALSE,"Existing Business";#N/A,#N/A,FALSE,"New Business";#N/A,#N/A,FALSE,"Labor";#N/A,#N/A,FALSE,"Vehicles";#N/A,#N/A,FALSE,"Facilities";#N/A,#N/A,FALSE,"Indirect Costs";#N/A,#N/A,FALSE,"Capital";#N/A,#N/A,FALSE,"CABR Form";#N/A,#N/A,FALSE,"Corp Costs";#N/A,#N/A,FALSE,"YTD Upload"}</definedName>
    <definedName name="wrn.All._.First._.Pass._.Schedules." hidden="1">{#N/A,#N/A,FALSE,"Assumptions";#N/A,#N/A,FALSE,"Inc Stmt";#N/A,#N/A,FALSE,"Stats";#N/A,#N/A,FALSE,"Existing Business";#N/A,#N/A,FALSE,"New Business";#N/A,#N/A,FALSE,"Labor";#N/A,#N/A,FALSE,"Vehicles";#N/A,#N/A,FALSE,"Facilities";#N/A,#N/A,FALSE,"Indirect Costs";#N/A,#N/A,FALSE,"Capital";#N/A,#N/A,FALSE,"CABR Form";#N/A,#N/A,FALSE,"Corp Costs";#N/A,#N/A,FALSE,"YTD Upload"}</definedName>
    <definedName name="wrn.All._.Schedules." localSheetId="1" hidden="1">{#N/A,#N/A,FALSE,"Assumptions";#N/A,#N/A,FALSE,"Inc Stmt";#N/A,#N/A,FALSE,"Stats";#N/A,#N/A,FALSE,"Existing Business";#N/A,#N/A,FALSE,"New Business";#N/A,#N/A,FALSE,"Labor";#N/A,#N/A,FALSE,"Vehicles";#N/A,#N/A,FALSE,"Facilities";#N/A,#N/A,FALSE,"Indirect Costs";#N/A,#N/A,FALSE,"Capital";#N/A,#N/A,FALSE,"CABR Form";#N/A,#N/A,FALSE,"Corp Costs"}</definedName>
    <definedName name="wrn.All._.Schedules." localSheetId="0" hidden="1">{#N/A,#N/A,FALSE,"Assumptions";#N/A,#N/A,FALSE,"Inc Stmt";#N/A,#N/A,FALSE,"Stats";#N/A,#N/A,FALSE,"Existing Business";#N/A,#N/A,FALSE,"New Business";#N/A,#N/A,FALSE,"Labor";#N/A,#N/A,FALSE,"Vehicles";#N/A,#N/A,FALSE,"Facilities";#N/A,#N/A,FALSE,"Indirect Costs";#N/A,#N/A,FALSE,"Capital";#N/A,#N/A,FALSE,"CABR Form";#N/A,#N/A,FALSE,"Corp Costs"}</definedName>
    <definedName name="wrn.All._.Schedules." hidden="1">{#N/A,#N/A,FALSE,"Assumptions";#N/A,#N/A,FALSE,"Inc Stmt";#N/A,#N/A,FALSE,"Stats";#N/A,#N/A,FALSE,"Existing Business";#N/A,#N/A,FALSE,"New Business";#N/A,#N/A,FALSE,"Labor";#N/A,#N/A,FALSE,"Vehicles";#N/A,#N/A,FALSE,"Facilities";#N/A,#N/A,FALSE,"Indirect Costs";#N/A,#N/A,FALSE,"Capital";#N/A,#N/A,FALSE,"CABR Form";#N/A,#N/A,FALSE,"Corp Costs"}</definedName>
    <definedName name="wrn.Balance._.Sheet." localSheetId="1" hidden="1">{"Assets",#N/A,FALSE,"Balance Sheet";"Liabilities",#N/A,FALSE,"Balance Sheet"}</definedName>
    <definedName name="wrn.Balance._.Sheet." localSheetId="0" hidden="1">{"Assets",#N/A,FALSE,"Balance Sheet";"Liabilities",#N/A,FALSE,"Balance Sheet"}</definedName>
    <definedName name="wrn.Balance._.Sheet." hidden="1">{"Assets",#N/A,FALSE,"Balance Sheet";"Liabilities",#N/A,FALSE,"Balance Sheet"}</definedName>
    <definedName name="wrn.Breakout." localSheetId="1" hidden="1">{#N/A,#N/A,FALSE,"BreakoutFY95";#N/A,#N/A,FALSE,"BreakoutFY96";#N/A,#N/A,FALSE,"BreakoutFY97";#N/A,#N/A,FALSE,"BreakoutFY98"}</definedName>
    <definedName name="wrn.Breakout." localSheetId="0" hidden="1">{#N/A,#N/A,FALSE,"BreakoutFY95";#N/A,#N/A,FALSE,"BreakoutFY96";#N/A,#N/A,FALSE,"BreakoutFY97";#N/A,#N/A,FALSE,"BreakoutFY98"}</definedName>
    <definedName name="wrn.Breakout." hidden="1">{#N/A,#N/A,FALSE,"BreakoutFY95";#N/A,#N/A,FALSE,"BreakoutFY96";#N/A,#N/A,FALSE,"BreakoutFY97";#N/A,#N/A,FALSE,"BreakoutFY98"}</definedName>
    <definedName name="wrn.dcf." localSheetId="1" hidden="1">{"mgmt forecast",#N/A,FALSE,"Mgmt Forecast";"dcf table",#N/A,FALSE,"Mgmt Forecast";"sensitivity",#N/A,FALSE,"Mgmt Forecast";"table inputs",#N/A,FALSE,"Mgmt Forecast";"calculations",#N/A,FALSE,"Mgmt Forecast"}</definedName>
    <definedName name="wrn.dcf." localSheetId="0" hidden="1">{"mgmt forecast",#N/A,FALSE,"Mgmt Forecast";"dcf table",#N/A,FALSE,"Mgmt Forecast";"sensitivity",#N/A,FALSE,"Mgmt Forecast";"table inputs",#N/A,FALSE,"Mgmt Forecast";"calculations",#N/A,FALSE,"Mgmt Forecast"}</definedName>
    <definedName name="wrn.dcf." hidden="1">{"mgmt forecast",#N/A,FALSE,"Mgmt Forecast";"dcf table",#N/A,FALSE,"Mgmt Forecast";"sensitivity",#N/A,FALSE,"Mgmt Forecast";"table inputs",#N/A,FALSE,"Mgmt Forecast";"calculations",#N/A,FALSE,"Mgmt Forecast"}</definedName>
    <definedName name="wrn.Deltek._.Upload." localSheetId="1" hidden="1">{#N/A,#N/A,FALSE,"Delt Data"}</definedName>
    <definedName name="wrn.Deltek._.Upload." localSheetId="0" hidden="1">{#N/A,#N/A,FALSE,"Delt Data"}</definedName>
    <definedName name="wrn.Deltek._.Upload." hidden="1">{#N/A,#N/A,FALSE,"Delt Data"}</definedName>
    <definedName name="wrn.Income." localSheetId="1" hidden="1">{#N/A,#N/A,TRUE,"Income";#N/A,#N/A,TRUE,"IncomeDetail";#N/A,#N/A,TRUE,"Balance";#N/A,#N/A,TRUE,"BalDetail"}</definedName>
    <definedName name="wrn.Income." localSheetId="0" hidden="1">{#N/A,#N/A,TRUE,"Income";#N/A,#N/A,TRUE,"IncomeDetail";#N/A,#N/A,TRUE,"Balance";#N/A,#N/A,TRUE,"BalDetail"}</definedName>
    <definedName name="wrn.Income." hidden="1">{#N/A,#N/A,TRUE,"Income";#N/A,#N/A,TRUE,"IncomeDetail";#N/A,#N/A,TRUE,"Balance";#N/A,#N/A,TRUE,"BalDetail"}</definedName>
    <definedName name="wrn.Monthly._.Report." localSheetId="1" hidden="1">{#N/A,#N/A,FALSE,"Summary Page";#N/A,#N/A,FALSE,"Collections Listing";#N/A,#N/A,FALSE,"Lessee 60 days past due";#N/A,#N/A,FALSE,"Revenues--Lend Base JP Morgan";#N/A,#N/A,FALSE,"JP Morgan Debt Amort Schedule";#N/A,#N/A,FALSE,"Covenant Analysis"}</definedName>
    <definedName name="wrn.Monthly._.Report." localSheetId="0" hidden="1">{#N/A,#N/A,FALSE,"Summary Page";#N/A,#N/A,FALSE,"Collections Listing";#N/A,#N/A,FALSE,"Lessee 60 days past due";#N/A,#N/A,FALSE,"Revenues--Lend Base JP Morgan";#N/A,#N/A,FALSE,"JP Morgan Debt Amort Schedule";#N/A,#N/A,FALSE,"Covenant Analysis"}</definedName>
    <definedName name="wrn.Monthly._.Report." hidden="1">{#N/A,#N/A,FALSE,"Summary Page";#N/A,#N/A,FALSE,"Collections Listing";#N/A,#N/A,FALSE,"Lessee 60 days past due";#N/A,#N/A,FALSE,"Revenues--Lend Base JP Morgan";#N/A,#N/A,FALSE,"JP Morgan Debt Amort Schedule";#N/A,#N/A,FALSE,"Covenant Analysis"}</definedName>
    <definedName name="wrn.Munsell." localSheetId="1" hidden="1">{#N/A,#N/A,FALSE,"Index";#N/A,#N/A,FALSE,"IncStmt";#N/A,#N/A,FALSE,"Ratios";#N/A,#N/A,FALSE,"CashFlows";#N/A,#N/A,FALSE,"Ins1";#N/A,#N/A,FALSE,"Ins2";#N/A,#N/A,FALSE,"SelfFund";#N/A,#N/A,FALSE,"SGA";#N/A,#N/A,FALSE,"Recon";#N/A,#N/A,FALSE,"Earnings";#N/A,#N/A,FALSE,"Earnings (2)";#N/A,#N/A,FALSE,"Stock";#N/A,#N/A,FALSE,"Stock (2)";#N/A,#N/A,FALSE,"PeerRatios";#N/A,#N/A,FALSE,"PeerRanks"}</definedName>
    <definedName name="wrn.Munsell." localSheetId="0" hidden="1">{#N/A,#N/A,FALSE,"Index";#N/A,#N/A,FALSE,"IncStmt";#N/A,#N/A,FALSE,"Ratios";#N/A,#N/A,FALSE,"CashFlows";#N/A,#N/A,FALSE,"Ins1";#N/A,#N/A,FALSE,"Ins2";#N/A,#N/A,FALSE,"SelfFund";#N/A,#N/A,FALSE,"SGA";#N/A,#N/A,FALSE,"Recon";#N/A,#N/A,FALSE,"Earnings";#N/A,#N/A,FALSE,"Earnings (2)";#N/A,#N/A,FALSE,"Stock";#N/A,#N/A,FALSE,"Stock (2)";#N/A,#N/A,FALSE,"PeerRatios";#N/A,#N/A,FALSE,"PeerRanks"}</definedName>
    <definedName name="wrn.Munsell." hidden="1">{#N/A,#N/A,FALSE,"Index";#N/A,#N/A,FALSE,"IncStmt";#N/A,#N/A,FALSE,"Ratios";#N/A,#N/A,FALSE,"CashFlows";#N/A,#N/A,FALSE,"Ins1";#N/A,#N/A,FALSE,"Ins2";#N/A,#N/A,FALSE,"SelfFund";#N/A,#N/A,FALSE,"SGA";#N/A,#N/A,FALSE,"Recon";#N/A,#N/A,FALSE,"Earnings";#N/A,#N/A,FALSE,"Earnings (2)";#N/A,#N/A,FALSE,"Stock";#N/A,#N/A,FALSE,"Stock (2)";#N/A,#N/A,FALSE,"PeerRatios";#N/A,#N/A,FALSE,"PeerRanks"}</definedName>
    <definedName name="wrn.PCs." localSheetId="1" hidden="1">{#N/A,#N/A,FALSE,"Microsoft";#N/A,#N/A,FALSE,"Netscape";#N/A,#N/A,FALSE,"Adobe";#N/A,#N/A,FALSE,"Symantec";#N/A,#N/A,FALSE,"Novell"}</definedName>
    <definedName name="wrn.PCs." localSheetId="0" hidden="1">{#N/A,#N/A,FALSE,"Microsoft";#N/A,#N/A,FALSE,"Netscape";#N/A,#N/A,FALSE,"Adobe";#N/A,#N/A,FALSE,"Symantec";#N/A,#N/A,FALSE,"Novell"}</definedName>
    <definedName name="wrn.PCs." hidden="1">{#N/A,#N/A,FALSE,"Microsoft";#N/A,#N/A,FALSE,"Netscape";#N/A,#N/A,FALSE,"Adobe";#N/A,#N/A,FALSE,"Symantec";#N/A,#N/A,FALSE,"Novell"}</definedName>
    <definedName name="wrn.print." localSheetId="1" hidden="1">{#N/A,#N/A,FALSE,"Summary";#N/A,#N/A,FALSE,"10off&amp;co1,6,tstiplan";#N/A,#N/A,FALSE,"Systems";#N/A,#N/A,FALSE,"7offAct";#N/A,#N/A,FALSE,"3addAct"}</definedName>
    <definedName name="wrn.print." localSheetId="0" hidden="1">{#N/A,#N/A,FALSE,"Summary";#N/A,#N/A,FALSE,"10off&amp;co1,6,tstiplan";#N/A,#N/A,FALSE,"Systems";#N/A,#N/A,FALSE,"7offAct";#N/A,#N/A,FALSE,"3addAct"}</definedName>
    <definedName name="wrn.print." hidden="1">{#N/A,#N/A,FALSE,"Summary";#N/A,#N/A,FALSE,"10off&amp;co1,6,tstiplan";#N/A,#N/A,FALSE,"Systems";#N/A,#N/A,FALSE,"7offAct";#N/A,#N/A,FALSE,"3addAct"}</definedName>
    <definedName name="wrn.Reforcast._.Print." localSheetId="1" hidden="1">{#N/A,#N/A,FALSE,"RF Inc Stmt";#N/A,#N/A,FALSE,"RF-IS-1";#N/A,#N/A,FALSE,"RF-IS-2"}</definedName>
    <definedName name="wrn.Reforcast._.Print." localSheetId="0" hidden="1">{#N/A,#N/A,FALSE,"RF Inc Stmt";#N/A,#N/A,FALSE,"RF-IS-1";#N/A,#N/A,FALSE,"RF-IS-2"}</definedName>
    <definedName name="wrn.Reforcast._.Print." hidden="1">{#N/A,#N/A,FALSE,"RF Inc Stmt";#N/A,#N/A,FALSE,"RF-IS-1";#N/A,#N/A,FALSE,"RF-IS-2"}</definedName>
    <definedName name="wrn.Reforcast._.Print1" localSheetId="1" hidden="1">{#N/A,#N/A,FALSE,"RF Inc Stmt";#N/A,#N/A,FALSE,"RF-IS-1";#N/A,#N/A,FALSE,"RF-IS-2"}</definedName>
    <definedName name="wrn.Reforcast._.Print1" localSheetId="0" hidden="1">{#N/A,#N/A,FALSE,"RF Inc Stmt";#N/A,#N/A,FALSE,"RF-IS-1";#N/A,#N/A,FALSE,"RF-IS-2"}</definedName>
    <definedName name="wrn.Reforcast._.Print1" hidden="1">{#N/A,#N/A,FALSE,"RF Inc Stmt";#N/A,#N/A,FALSE,"RF-IS-1";#N/A,#N/A,FALSE,"RF-IS-2"}</definedName>
    <definedName name="wrn.Reforecast." localSheetId="1" hidden="1">{#N/A,#N/A,FALSE,"Assumptions";#N/A,#N/A,FALSE,"Reforecast";#N/A,#N/A,FALSE,"Inc Stmt";#N/A,#N/A,FALSE,"Stats";#N/A,#N/A,FALSE,"Existing Business";#N/A,#N/A,FALSE,"New Business";#N/A,#N/A,FALSE,"Labor";#N/A,#N/A,FALSE,"Vehicles";#N/A,#N/A,FALSE,"Facilities";#N/A,#N/A,FALSE,"Indirect Costs";#N/A,#N/A,FALSE,"Capital";#N/A,#N/A,FALSE,"CABR Form";#N/A,#N/A,FALSE,"Corp Costs";#N/A,#N/A,FALSE,"RF Actuals";#N/A,#N/A,FALSE,"Original Plan"}</definedName>
    <definedName name="wrn.Reforecast." localSheetId="0" hidden="1">{#N/A,#N/A,FALSE,"Assumptions";#N/A,#N/A,FALSE,"Reforecast";#N/A,#N/A,FALSE,"Inc Stmt";#N/A,#N/A,FALSE,"Stats";#N/A,#N/A,FALSE,"Existing Business";#N/A,#N/A,FALSE,"New Business";#N/A,#N/A,FALSE,"Labor";#N/A,#N/A,FALSE,"Vehicles";#N/A,#N/A,FALSE,"Facilities";#N/A,#N/A,FALSE,"Indirect Costs";#N/A,#N/A,FALSE,"Capital";#N/A,#N/A,FALSE,"CABR Form";#N/A,#N/A,FALSE,"Corp Costs";#N/A,#N/A,FALSE,"RF Actuals";#N/A,#N/A,FALSE,"Original Plan"}</definedName>
    <definedName name="wrn.Reforecast." hidden="1">{#N/A,#N/A,FALSE,"Assumptions";#N/A,#N/A,FALSE,"Reforecast";#N/A,#N/A,FALSE,"Inc Stmt";#N/A,#N/A,FALSE,"Stats";#N/A,#N/A,FALSE,"Existing Business";#N/A,#N/A,FALSE,"New Business";#N/A,#N/A,FALSE,"Labor";#N/A,#N/A,FALSE,"Vehicles";#N/A,#N/A,FALSE,"Facilities";#N/A,#N/A,FALSE,"Indirect Costs";#N/A,#N/A,FALSE,"Capital";#N/A,#N/A,FALSE,"CABR Form";#N/A,#N/A,FALSE,"Corp Costs";#N/A,#N/A,FALSE,"RF Actuals";#N/A,#N/A,FALSE,"Original Plan"}</definedName>
    <definedName name="wrn.RustyPresentation." localSheetId="1" hidden="1">{#N/A,#N/A,TRUE,"TransCore Summary";#N/A,#N/A,TRUE,"TransCore IS";#N/A,#N/A,TRUE,"TransCore Balance";#N/A,#N/A,TRUE,"TransCore Backlog";#N/A,#N/A,TRUE,"Syntonic IS";#N/A,#N/A,TRUE,"Syntonic Bal";#N/A,#N/A,TRUE,"Systems IS";#N/A,#N/A,TRUE,"Systems Bal"}</definedName>
    <definedName name="wrn.RustyPresentation." localSheetId="0" hidden="1">{#N/A,#N/A,TRUE,"TransCore Summary";#N/A,#N/A,TRUE,"TransCore IS";#N/A,#N/A,TRUE,"TransCore Balance";#N/A,#N/A,TRUE,"TransCore Backlog";#N/A,#N/A,TRUE,"Syntonic IS";#N/A,#N/A,TRUE,"Syntonic Bal";#N/A,#N/A,TRUE,"Systems IS";#N/A,#N/A,TRUE,"Systems Bal"}</definedName>
    <definedName name="wrn.RustyPresentation." hidden="1">{#N/A,#N/A,TRUE,"TransCore Summary";#N/A,#N/A,TRUE,"TransCore IS";#N/A,#N/A,TRUE,"TransCore Balance";#N/A,#N/A,TRUE,"TransCore Backlog";#N/A,#N/A,TRUE,"Syntonic IS";#N/A,#N/A,TRUE,"Syntonic Bal";#N/A,#N/A,TRUE,"Systems IS";#N/A,#N/A,TRUE,"Systems Bal"}</definedName>
    <definedName name="wrn.SUMMARY." localSheetId="1" hidden="1">{"BS",#N/A,FALSE,"USA"}</definedName>
    <definedName name="wrn.SUMMARY." localSheetId="0" hidden="1">{"BS",#N/A,FALSE,"USA"}</definedName>
    <definedName name="wrn.SUMMARY." hidden="1">{"BS",#N/A,FALSE,"USA"}</definedName>
    <definedName name="wrn.Total._.Company._.Reforecast._.Print." localSheetId="1" hidden="1">{#N/A,#N/A,FALSE,"RF Inc Stmt ";#N/A,#N/A,FALSE,"RFN-IS-SUM";#N/A,#N/A,FALSE,"RFN-IS-1";#N/A,#N/A,FALSE,"RFN-IS-2";#N/A,#N/A,FALSE,"RFN-IS-3";#N/A,#N/A,FALSE,"RFN-IS-4";#N/A,#N/A,FALSE,"RFN-IS-5";#N/A,#N/A,FALSE,"RFN-IS-6";#N/A,#N/A,FALSE,"RFN-IS-7";#N/A,#N/A,FALSE,"RFN-IS-8";#N/A,#N/A,FALSE,"RFN-IS-9";#N/A,#N/A,FALSE,"RFN-IS-10";#N/A,#N/A,FALSE,"RFN-IS-11";#N/A,#N/A,FALSE,"RFA-IS-SUM";#N/A,#N/A,FALSE,"RFA-IS-1";#N/A,#N/A,FALSE,"RFA-IS-2";#N/A,#N/A,FALSE,"RFA-IS-3";#N/A,#N/A,FALSE,"RFA-IS-4";#N/A,#N/A,FALSE,"RFA-IS-5";#N/A,#N/A,FALSE,"RFA-IS-6"}</definedName>
    <definedName name="wrn.Total._.Company._.Reforecast._.Print." localSheetId="0" hidden="1">{#N/A,#N/A,FALSE,"RF Inc Stmt ";#N/A,#N/A,FALSE,"RFN-IS-SUM";#N/A,#N/A,FALSE,"RFN-IS-1";#N/A,#N/A,FALSE,"RFN-IS-2";#N/A,#N/A,FALSE,"RFN-IS-3";#N/A,#N/A,FALSE,"RFN-IS-4";#N/A,#N/A,FALSE,"RFN-IS-5";#N/A,#N/A,FALSE,"RFN-IS-6";#N/A,#N/A,FALSE,"RFN-IS-7";#N/A,#N/A,FALSE,"RFN-IS-8";#N/A,#N/A,FALSE,"RFN-IS-9";#N/A,#N/A,FALSE,"RFN-IS-10";#N/A,#N/A,FALSE,"RFN-IS-11";#N/A,#N/A,FALSE,"RFA-IS-SUM";#N/A,#N/A,FALSE,"RFA-IS-1";#N/A,#N/A,FALSE,"RFA-IS-2";#N/A,#N/A,FALSE,"RFA-IS-3";#N/A,#N/A,FALSE,"RFA-IS-4";#N/A,#N/A,FALSE,"RFA-IS-5";#N/A,#N/A,FALSE,"RFA-IS-6"}</definedName>
    <definedName name="wrn.Total._.Company._.Reforecast._.Print." hidden="1">{#N/A,#N/A,FALSE,"RF Inc Stmt ";#N/A,#N/A,FALSE,"RFN-IS-SUM";#N/A,#N/A,FALSE,"RFN-IS-1";#N/A,#N/A,FALSE,"RFN-IS-2";#N/A,#N/A,FALSE,"RFN-IS-3";#N/A,#N/A,FALSE,"RFN-IS-4";#N/A,#N/A,FALSE,"RFN-IS-5";#N/A,#N/A,FALSE,"RFN-IS-6";#N/A,#N/A,FALSE,"RFN-IS-7";#N/A,#N/A,FALSE,"RFN-IS-8";#N/A,#N/A,FALSE,"RFN-IS-9";#N/A,#N/A,FALSE,"RFN-IS-10";#N/A,#N/A,FALSE,"RFN-IS-11";#N/A,#N/A,FALSE,"RFA-IS-SUM";#N/A,#N/A,FALSE,"RFA-IS-1";#N/A,#N/A,FALSE,"RFA-IS-2";#N/A,#N/A,FALSE,"RFA-IS-3";#N/A,#N/A,FALSE,"RFA-IS-4";#N/A,#N/A,FALSE,"RFA-IS-5";#N/A,#N/A,FALSE,"RFA-IS-6"}</definedName>
    <definedName name="wrn.Track." localSheetId="1" hidden="1">{#N/A,#N/A,FALSE,"Inc Stmt";#N/A,#N/A,FALSE,"Indirect Costs";#N/A,#N/A,FALSE,"Capital"}</definedName>
    <definedName name="wrn.Track." localSheetId="0" hidden="1">{#N/A,#N/A,FALSE,"Inc Stmt";#N/A,#N/A,FALSE,"Indirect Costs";#N/A,#N/A,FALSE,"Capital"}</definedName>
    <definedName name="wrn.Track." hidden="1">{#N/A,#N/A,FALSE,"Inc Stmt";#N/A,#N/A,FALSE,"Indirect Costs";#N/A,#N/A,FALSE,"Capital"}</definedName>
    <definedName name="WWsales">#N/A</definedName>
    <definedName name="xavg">#REF!</definedName>
    <definedName name="xcye">#REF!</definedName>
    <definedName name="xfor">#REF!</definedName>
    <definedName name="xforward">#REF!</definedName>
    <definedName name="xr">#REF!</definedName>
    <definedName name="XRatio">#REF!</definedName>
    <definedName name="xtoday">#REF!</definedName>
    <definedName name="y1active">#REF!</definedName>
    <definedName name="y1build">#REF!</definedName>
    <definedName name="y1build_alt">#REF!</definedName>
    <definedName name="y1sport">#REF!</definedName>
    <definedName name="y2active">#REF!</definedName>
    <definedName name="y2build">#REF!</definedName>
    <definedName name="y2build_alt">#REF!</definedName>
    <definedName name="y2sport">#REF!</definedName>
    <definedName name="y3active">#REF!</definedName>
    <definedName name="y3build">#REF!</definedName>
    <definedName name="y3build_alt">#REF!</definedName>
    <definedName name="y3sport">#REF!</definedName>
    <definedName name="y4active">#REF!</definedName>
    <definedName name="y4build">#REF!</definedName>
    <definedName name="y4build_alt">#REF!</definedName>
    <definedName name="y4sport">#REF!</definedName>
    <definedName name="y5active">#REF!</definedName>
    <definedName name="y5build">#REF!</definedName>
    <definedName name="y5build_alt">#REF!</definedName>
    <definedName name="y5sport">#REF!</definedName>
    <definedName name="y6active">#REF!</definedName>
    <definedName name="y6build">#REF!</definedName>
    <definedName name="y6build_alt">#REF!</definedName>
    <definedName name="y6sport">#REF!</definedName>
    <definedName name="Year">#REF!</definedName>
    <definedName name="YEAR_END">#REF!</definedName>
    <definedName name="YEARplus1">#REF!</definedName>
    <definedName name="YearPlus1PE">#REF!</definedName>
    <definedName name="Yearplus2">#REF!</definedName>
    <definedName name="YearPlus2PE">#REF!</definedName>
    <definedName name="YearPlus3">#REF!</definedName>
    <definedName name="Years_Projected">#REF!</definedName>
    <definedName name="YearStart1">#REF!</definedName>
    <definedName name="YearStart2">#REF!</definedName>
    <definedName name="YearStart3">#REF!</definedName>
    <definedName name="YearStart4">#REF!</definedName>
    <definedName name="YearStart5">#REF!</definedName>
    <definedName name="YearStart6">#REF!</definedName>
    <definedName name="YearStart7">#REF!</definedName>
    <definedName name="YNET">#REF!</definedName>
    <definedName name="yr05_EBIT">#REF!</definedName>
    <definedName name="YREV">#REF!</definedName>
    <definedName name="ZCM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X98" i="2" l="1"/>
  <c r="X97" i="2"/>
  <c r="X96" i="2"/>
  <c r="V86" i="2"/>
  <c r="V85" i="2"/>
  <c r="V84" i="2"/>
  <c r="V83" i="2"/>
  <c r="V82" i="2"/>
  <c r="V81" i="2"/>
  <c r="V80" i="2"/>
  <c r="V79" i="2"/>
  <c r="V78" i="2"/>
  <c r="V77" i="2"/>
  <c r="V76" i="2"/>
  <c r="V75" i="2"/>
  <c r="V74" i="2"/>
  <c r="V73" i="2"/>
  <c r="V72" i="2"/>
  <c r="V71" i="2"/>
  <c r="V70" i="2"/>
  <c r="V69" i="2"/>
  <c r="V68" i="2"/>
  <c r="V67" i="2"/>
  <c r="V66" i="2"/>
  <c r="V65" i="2"/>
  <c r="V64" i="2"/>
  <c r="V63" i="2"/>
  <c r="V62" i="2"/>
  <c r="V61" i="2"/>
  <c r="V60" i="2"/>
  <c r="V59" i="2"/>
  <c r="V58" i="2"/>
  <c r="V57" i="2"/>
  <c r="V56" i="2"/>
  <c r="V55" i="2"/>
  <c r="V54" i="2"/>
  <c r="V53" i="2"/>
  <c r="V52" i="2"/>
  <c r="V51" i="2"/>
  <c r="V50" i="2"/>
  <c r="V49" i="2"/>
  <c r="V48" i="2"/>
  <c r="V47" i="2"/>
  <c r="V46" i="2"/>
  <c r="V45" i="2"/>
  <c r="V44" i="2"/>
  <c r="V43" i="2"/>
  <c r="V42" i="2"/>
  <c r="V41" i="2"/>
  <c r="V40" i="2"/>
  <c r="V39" i="2"/>
  <c r="V38" i="2"/>
  <c r="V37" i="2"/>
  <c r="V36" i="2"/>
  <c r="V35" i="2"/>
  <c r="V34" i="2"/>
  <c r="V33" i="2"/>
  <c r="V32" i="2"/>
  <c r="V31" i="2"/>
  <c r="V30" i="2"/>
  <c r="V29" i="2"/>
  <c r="V28" i="2"/>
  <c r="V27" i="2"/>
  <c r="V26" i="2"/>
  <c r="V25" i="2"/>
  <c r="V24" i="2"/>
  <c r="V23" i="2"/>
  <c r="V22" i="2"/>
  <c r="V21" i="2"/>
  <c r="V20" i="2"/>
  <c r="V19" i="2"/>
  <c r="V18" i="2"/>
  <c r="V17" i="2"/>
  <c r="V16" i="2"/>
  <c r="V15" i="2"/>
  <c r="V14" i="2"/>
  <c r="V13" i="2"/>
  <c r="V12" i="2"/>
  <c r="V11" i="2"/>
  <c r="V10" i="2"/>
  <c r="V9" i="2"/>
  <c r="V8" i="2"/>
  <c r="V7" i="2"/>
  <c r="V6" i="2"/>
  <c r="V5" i="2"/>
  <c r="V4" i="2"/>
  <c r="C761" i="1"/>
  <c r="C760" i="1"/>
  <c r="C759" i="1"/>
  <c r="C758" i="1"/>
  <c r="C757" i="1"/>
  <c r="C756" i="1"/>
  <c r="C755" i="1"/>
  <c r="C754" i="1"/>
  <c r="C753" i="1"/>
  <c r="C752" i="1"/>
  <c r="C751" i="1"/>
  <c r="C750" i="1"/>
  <c r="C749" i="1"/>
  <c r="C748" i="1"/>
  <c r="C747" i="1"/>
  <c r="C746" i="1"/>
  <c r="C745" i="1"/>
  <c r="C744" i="1"/>
  <c r="C743" i="1"/>
  <c r="C742" i="1"/>
  <c r="C741" i="1"/>
  <c r="C740" i="1"/>
  <c r="C739" i="1"/>
  <c r="C738" i="1"/>
  <c r="C737" i="1"/>
  <c r="C736" i="1"/>
  <c r="C735" i="1"/>
  <c r="C734" i="1"/>
  <c r="C733" i="1"/>
  <c r="C732" i="1"/>
  <c r="C731" i="1"/>
  <c r="C730" i="1"/>
  <c r="C729" i="1"/>
  <c r="C728" i="1"/>
  <c r="C727" i="1"/>
  <c r="C726" i="1"/>
  <c r="C725" i="1"/>
  <c r="C724" i="1"/>
  <c r="C723" i="1"/>
  <c r="C722" i="1"/>
  <c r="C721" i="1"/>
  <c r="C720" i="1"/>
  <c r="C719" i="1"/>
  <c r="C718" i="1"/>
  <c r="C717" i="1"/>
  <c r="C716" i="1"/>
  <c r="C715" i="1"/>
  <c r="C714" i="1"/>
  <c r="C713" i="1"/>
  <c r="C712" i="1"/>
  <c r="C711" i="1"/>
  <c r="C710" i="1"/>
  <c r="C709" i="1"/>
  <c r="C708" i="1"/>
  <c r="C707" i="1"/>
  <c r="C706" i="1"/>
  <c r="C705" i="1"/>
  <c r="C704" i="1"/>
  <c r="C703" i="1"/>
  <c r="C702" i="1"/>
  <c r="C701" i="1"/>
  <c r="C700" i="1"/>
  <c r="C699" i="1"/>
  <c r="C698" i="1"/>
  <c r="C697" i="1"/>
  <c r="C696" i="1"/>
  <c r="C695" i="1"/>
  <c r="C694" i="1"/>
  <c r="C693" i="1"/>
  <c r="C692" i="1"/>
  <c r="C691" i="1"/>
  <c r="C690" i="1"/>
  <c r="C689" i="1"/>
  <c r="C688" i="1"/>
  <c r="C687" i="1"/>
  <c r="C686" i="1"/>
  <c r="C685" i="1"/>
  <c r="C684" i="1"/>
  <c r="C683" i="1"/>
  <c r="C682" i="1"/>
  <c r="C681" i="1"/>
  <c r="C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C600" i="1"/>
  <c r="C599" i="1"/>
  <c r="C598" i="1"/>
  <c r="C597" i="1"/>
  <c r="C596" i="1"/>
  <c r="C595" i="1"/>
  <c r="C594" i="1"/>
  <c r="C593" i="1"/>
  <c r="C592" i="1"/>
  <c r="C591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572" i="1"/>
  <c r="C571" i="1"/>
  <c r="C570" i="1"/>
  <c r="C569" i="1"/>
  <c r="C568" i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2" i="1"/>
  <c r="C541" i="1"/>
  <c r="C540" i="1"/>
  <c r="C539" i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H52" i="1" s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I68" i="1"/>
  <c r="C68" i="1"/>
  <c r="I67" i="1"/>
  <c r="C67" i="1"/>
  <c r="H66" i="1"/>
  <c r="C66" i="1"/>
  <c r="H65" i="1"/>
  <c r="C65" i="1"/>
  <c r="H64" i="1"/>
  <c r="C64" i="1"/>
  <c r="H63" i="1"/>
  <c r="C63" i="1"/>
  <c r="I62" i="1"/>
  <c r="H62" i="1"/>
  <c r="C62" i="1"/>
  <c r="I61" i="1"/>
  <c r="H61" i="1"/>
  <c r="C61" i="1"/>
  <c r="I60" i="1"/>
  <c r="H60" i="1"/>
  <c r="C60" i="1"/>
  <c r="I59" i="1"/>
  <c r="H59" i="1"/>
  <c r="C59" i="1"/>
  <c r="I58" i="1"/>
  <c r="H58" i="1"/>
  <c r="C58" i="1"/>
  <c r="I57" i="1"/>
  <c r="H57" i="1"/>
  <c r="C57" i="1"/>
  <c r="I56" i="1"/>
  <c r="H56" i="1"/>
  <c r="C56" i="1"/>
  <c r="I55" i="1"/>
  <c r="H55" i="1"/>
  <c r="C55" i="1"/>
  <c r="I54" i="1"/>
  <c r="H54" i="1"/>
  <c r="C54" i="1"/>
  <c r="I53" i="1"/>
  <c r="H53" i="1"/>
  <c r="C53" i="1"/>
  <c r="I52" i="1"/>
  <c r="C52" i="1"/>
  <c r="I51" i="1"/>
  <c r="H51" i="1"/>
  <c r="C51" i="1"/>
  <c r="C50" i="1"/>
  <c r="I50" i="1" s="1"/>
  <c r="I48" i="1" s="1"/>
  <c r="C45" i="1"/>
  <c r="C44" i="1"/>
  <c r="C43" i="1"/>
  <c r="C42" i="1"/>
  <c r="C41" i="1"/>
  <c r="C40" i="1"/>
  <c r="B46" i="1" s="1"/>
  <c r="C33" i="1"/>
  <c r="C32" i="1"/>
  <c r="C31" i="1"/>
  <c r="C30" i="1"/>
  <c r="C29" i="1"/>
  <c r="C28" i="1"/>
  <c r="B34" i="1" s="1"/>
  <c r="B22" i="1"/>
  <c r="B15" i="1"/>
  <c r="B13" i="1"/>
  <c r="B20" i="1" s="1"/>
  <c r="B12" i="1"/>
  <c r="E5" i="1"/>
  <c r="D5" i="1"/>
  <c r="C5" i="1"/>
  <c r="B5" i="1"/>
  <c r="F5" i="1" s="1"/>
  <c r="E4" i="1"/>
  <c r="E6" i="1" s="1"/>
  <c r="E9" i="1" s="1"/>
  <c r="D4" i="1"/>
  <c r="D6" i="1" s="1"/>
  <c r="D9" i="1" s="1"/>
  <c r="C4" i="1"/>
  <c r="C6" i="1" s="1"/>
  <c r="C9" i="1" s="1"/>
  <c r="B4" i="1"/>
  <c r="B19" i="1" l="1"/>
  <c r="B21" i="1" s="1"/>
  <c r="B23" i="1" s="1"/>
  <c r="B14" i="1"/>
  <c r="B16" i="1" s="1"/>
  <c r="B6" i="1"/>
  <c r="B9" i="1" s="1"/>
  <c r="F4" i="1"/>
  <c r="F6" i="1" s="1"/>
  <c r="H48" i="1"/>
  <c r="J48" i="1" s="1"/>
</calcChain>
</file>

<file path=xl/sharedStrings.xml><?xml version="1.0" encoding="utf-8"?>
<sst xmlns="http://schemas.openxmlformats.org/spreadsheetml/2006/main" count="2414" uniqueCount="185">
  <si>
    <t>Summary close details for Legacy Knight</t>
  </si>
  <si>
    <t>Partner Name</t>
  </si>
  <si>
    <t>Total Contribution - Investments</t>
  </si>
  <si>
    <t>Total Contributions - Management Fees</t>
  </si>
  <si>
    <t>Total Interest - Contributions (Investment)</t>
  </si>
  <si>
    <t>Total Interest - Contributions (Management Fees)</t>
  </si>
  <si>
    <t>Total Call</t>
  </si>
  <si>
    <t>Legacy Knight Strategic Opportunities Fund LLC - CL Rail Series</t>
  </si>
  <si>
    <t>James Bloomingdale</t>
  </si>
  <si>
    <t>Checking</t>
  </si>
  <si>
    <t>Difference from supporting workpapers (closing interest and management fee tabs)</t>
  </si>
  <si>
    <t>Legacy Knight</t>
  </si>
  <si>
    <t>Total contributed at rebalance date:</t>
  </si>
  <si>
    <t>Total management fee contributions - other investors</t>
  </si>
  <si>
    <t>Total Investment Contributions for rebalance</t>
  </si>
  <si>
    <t>Total Investment Contribution by Legacy Knight:</t>
  </si>
  <si>
    <t>Total Investment Contribution by James Bloomingdale</t>
  </si>
  <si>
    <t>JE# LC05282601</t>
  </si>
  <si>
    <t>Date</t>
  </si>
  <si>
    <t>Account#</t>
  </si>
  <si>
    <t>Debit</t>
  </si>
  <si>
    <t>Credit</t>
  </si>
  <si>
    <t>Memo</t>
  </si>
  <si>
    <t>Investor</t>
  </si>
  <si>
    <t>301200 Contributions:Contribution - Investment</t>
  </si>
  <si>
    <t>To record contribution - investment for Legacy Knight dtd 5/5/26</t>
  </si>
  <si>
    <t>301300 Contributions:Contribution - Mgmt Fees</t>
  </si>
  <si>
    <t>To record contribution - management fee for Legacy Knight dtd 5/5/26</t>
  </si>
  <si>
    <t>301800 Contributions:Contribution - Org Exp</t>
  </si>
  <si>
    <t>To record contribution - org exp for Legacy Knight dtd 5/5/26</t>
  </si>
  <si>
    <t>301100 Contributions:Contribution - General</t>
  </si>
  <si>
    <t>To record contribution - General for Legacy Knight dtd 5/5/26</t>
  </si>
  <si>
    <t>210700 Payable - Other</t>
  </si>
  <si>
    <t>To record payments re interest payable for Equalization distribution for Legacy Knight dtd 5/5/26</t>
  </si>
  <si>
    <t>To record payments re interest payable for management fee due to subsequent closing for Legacy Knight dtd 5/5/26</t>
  </si>
  <si>
    <t>12000 Accounts Receivable</t>
  </si>
  <si>
    <t>To record cash received from Legacy Knight dtd 5/5/26</t>
  </si>
  <si>
    <t>JE# LC05282602</t>
  </si>
  <si>
    <t>To record contribution - investment for James Bloomingdale dtd 5/5/26</t>
  </si>
  <si>
    <t>To record contribution - management fee for James Bloomingdale dtd 5/5/26</t>
  </si>
  <si>
    <t>To record contribution - org exp for James Bloomingdale dtd 5/5/26</t>
  </si>
  <si>
    <t>To record contribution - General for James Bloomingdale dtd 5/5/26</t>
  </si>
  <si>
    <t>To record payments re interest payable for Equalization distribution for James Bloomingdale dtd 5/5/26</t>
  </si>
  <si>
    <t>To record payments re interest payable for management fee due to subsequent closing for James Bloomingdale dtd 5/5/26</t>
  </si>
  <si>
    <t>To record cash recivable from James Bloomingdale dtd 5/5/26</t>
  </si>
  <si>
    <t>JE# LC05282603</t>
  </si>
  <si>
    <t>Summary of JE</t>
  </si>
  <si>
    <t>Acct#</t>
  </si>
  <si>
    <t>100200 Cash Checking</t>
  </si>
  <si>
    <t>To record total of equalization distribution per Legacy Knight Subsequent Closing in Q2'26.</t>
  </si>
  <si>
    <t>1999 Britta Biesecker Declaration of Trust DTD 5/12/99</t>
  </si>
  <si>
    <t>1999 Frederick N Biesecker II Declaration of Trust DTD 5/12/99</t>
  </si>
  <si>
    <t>To record changes in contribution due to Legacy Knight Subsequent Closing.</t>
  </si>
  <si>
    <t>1999 Lissa Biesecker Longacre Declaration of Trust DTD 5/12/99</t>
  </si>
  <si>
    <t>Abigail Levy</t>
  </si>
  <si>
    <t>AKWT LLC</t>
  </si>
  <si>
    <t>To record distribution interest payment for Legacy Knight Subsequent Closing</t>
  </si>
  <si>
    <t>Alexander S. Bloomingdale</t>
  </si>
  <si>
    <t>To record management interest payment for Legacy Knight Subsequent Closing</t>
  </si>
  <si>
    <t>Alexander Sharpe Moore</t>
  </si>
  <si>
    <t xml:space="preserve">To record true-up due to Odyssey commitment overstatement in Q1'26.  </t>
  </si>
  <si>
    <t>All Dogs Go To Heaven, LLC</t>
  </si>
  <si>
    <t>Alten Investments LLC</t>
  </si>
  <si>
    <t>Avery Ryan Klann</t>
  </si>
  <si>
    <t>To record capital call for 2 millions offsetting Legacy Knight Sub Close dtd 5/19/2026</t>
  </si>
  <si>
    <t>BBR Real Assets Fund 2024 LLC</t>
  </si>
  <si>
    <t>230100 Distributions Payable</t>
  </si>
  <si>
    <t>To record overpayment from Legacy Knight as distribution payable dtd 5/19/2026</t>
  </si>
  <si>
    <t>Belclaire Asset Management, LLC</t>
  </si>
  <si>
    <t>To record refund due to Overstatement for Odyssey commitment in Q2'26</t>
  </si>
  <si>
    <t>Benaiah Inc.</t>
  </si>
  <si>
    <t>To record capital call related to Legacy Knight Sub Close dtd 5/5/26</t>
  </si>
  <si>
    <t>Benjamin Johnson</t>
  </si>
  <si>
    <t>To record payment received from Legacy Knight related to Legacy Knight Sub Close dtd 5/5/26</t>
  </si>
  <si>
    <t>Bloomingdale Family Trust Share #3</t>
  </si>
  <si>
    <t xml:space="preserve">To record true-up for Odyssey due to Odyssey commitment overstatement in Q1'26.  </t>
  </si>
  <si>
    <t>Brian Carroll 2011 Long-Term Trust</t>
  </si>
  <si>
    <t>Bryan C. White LLC</t>
  </si>
  <si>
    <t>Cameron J. Tringale</t>
  </si>
  <si>
    <t>Uncategorized Expenses</t>
  </si>
  <si>
    <t>Charing Hatcherville LLC</t>
  </si>
  <si>
    <t>To record capital call receivable for James Bloomingdale dtd 5/19/2026.</t>
  </si>
  <si>
    <t>Charing Silsbee, LLC</t>
  </si>
  <si>
    <t>Chase F. Monroe</t>
  </si>
  <si>
    <t>Chase The Lion, Inc.</t>
  </si>
  <si>
    <t>Chris Schaaf</t>
  </si>
  <si>
    <t>Christopher J. Campbell</t>
  </si>
  <si>
    <t>Christopher Johnson</t>
  </si>
  <si>
    <t>CLIP Sponsor LLC</t>
  </si>
  <si>
    <t>CLR Silsbee Sponsor LLC</t>
  </si>
  <si>
    <t>Daniel Ross</t>
  </si>
  <si>
    <t>Endurance Companies LLC</t>
  </si>
  <si>
    <t>Forem Capital, LLC</t>
  </si>
  <si>
    <t>Francis Brawley</t>
  </si>
  <si>
    <t>Geoffrey and Elizabeth Bloomingdale Living Trust</t>
  </si>
  <si>
    <t>Greene 2000 Family Trust</t>
  </si>
  <si>
    <t>Greene Marital Trust</t>
  </si>
  <si>
    <t>Gregory Brent Wood</t>
  </si>
  <si>
    <t>Hundley Family Trust</t>
  </si>
  <si>
    <t>In God We Trust 2017 Living Trust</t>
  </si>
  <si>
    <t>James Campbell and Patricia Campbell</t>
  </si>
  <si>
    <t>James Kane</t>
  </si>
  <si>
    <t>James Thorp</t>
  </si>
  <si>
    <t>Jeffrey A. Lipsitz Revocable Trust</t>
  </si>
  <si>
    <t>Jeffrey D Furber Revocable Trust</t>
  </si>
  <si>
    <t>Jeremy M. Jacobs Trust U/A/D April 1, 1973 fbo Margaret L. Reichenback</t>
  </si>
  <si>
    <t>John Mark Comer</t>
  </si>
  <si>
    <t>Landscape I, LP</t>
  </si>
  <si>
    <t>Lisa Bell Trust, Elisabeth B. Bell, Trustee</t>
  </si>
  <si>
    <t>Madten Investments LLC</t>
  </si>
  <si>
    <t>Matt McCoy</t>
  </si>
  <si>
    <t>Matterhorn Holdings, LLC</t>
  </si>
  <si>
    <t>Max O. Reinbach III</t>
  </si>
  <si>
    <t>Meghann C. Robinson</t>
  </si>
  <si>
    <t>Nahas Investments II LLC</t>
  </si>
  <si>
    <t>Odyssey Holdings, LLC</t>
  </si>
  <si>
    <t>Pease River Holdings LLC</t>
  </si>
  <si>
    <t>PT Burros, LLC</t>
  </si>
  <si>
    <t>Robert D. Falese III</t>
  </si>
  <si>
    <t>Robert Parker Yates</t>
  </si>
  <si>
    <t>Robert S. Shafir &amp; Donna R. Shafir TEN/COM</t>
  </si>
  <si>
    <t>Robert S. Shafir 2011 Children's Trust</t>
  </si>
  <si>
    <t>Romar Partners, LP</t>
  </si>
  <si>
    <t>Steven and Chani Laufer 2012 Dynasty Trust</t>
  </si>
  <si>
    <t>Steven M. Laufer 2012 Trust</t>
  </si>
  <si>
    <t>Stewart Tate</t>
  </si>
  <si>
    <t>TC Wilson Family Trust</t>
  </si>
  <si>
    <t>The 2015 Pipe Reality Delaware Trust</t>
  </si>
  <si>
    <t>The David L. Schnadig 2017 Trust</t>
  </si>
  <si>
    <t>The Diane Rosen 2021 Irrevocable Family Trust</t>
  </si>
  <si>
    <t>The Mark T. Kirchdorfer 2015 Family Delaware Dynasty Trust</t>
  </si>
  <si>
    <t>University of Southern California</t>
  </si>
  <si>
    <t>Walker D. Zimmerman</t>
  </si>
  <si>
    <t>Wilson Family Trust DTD 3-6-1987</t>
  </si>
  <si>
    <t>Wilson GST Exempt Trust</t>
  </si>
  <si>
    <t>Texas Emerging Managers Private Markets Program, L.P. (2025-1 RE Investment Series)</t>
  </si>
  <si>
    <t>GCM Grosvenor NJ RE Emerging Managers Program, LP (2023-1 Investment Series)</t>
  </si>
  <si>
    <t>GCM Grosvenor - NYSTRS Real Estate Investment Partners, L.P. (2024-1 Series)</t>
  </si>
  <si>
    <t>CRPTF-GCM Middle-Market RE Partnership, L.P. (2025-01 Investment Series)</t>
  </si>
  <si>
    <t>Argos Holdings, LLC</t>
  </si>
  <si>
    <t>Palmatum HR Illiquid, LLC</t>
  </si>
  <si>
    <t>James and Natelie Bloomingdale</t>
  </si>
  <si>
    <t>Terminal Refrigerating &amp; Warehousing Corp.</t>
  </si>
  <si>
    <t>To record rounding related to Legacy Knight Sub Close JE dtd 5/19/26</t>
  </si>
  <si>
    <t>Totals</t>
  </si>
  <si>
    <t>Tied to GCM close WB</t>
  </si>
  <si>
    <t>Based on recalculated GCM close</t>
  </si>
  <si>
    <t>Tied to LK Close WB</t>
  </si>
  <si>
    <t>DISTRIBUTION - Subsequent Close</t>
  </si>
  <si>
    <t>Not part of distribution on capital</t>
  </si>
  <si>
    <t>MAY 2026 - Capital Call</t>
  </si>
  <si>
    <t>Investor Name</t>
  </si>
  <si>
    <t>Total Commitment / Contributed Capital @ GCM Close</t>
  </si>
  <si>
    <t>Distribution - GCM Equalization</t>
  </si>
  <si>
    <t>Correcting Distribution (Odyssey commitment overstatement)</t>
  </si>
  <si>
    <t>Distribution - Legacy Knight Equalization</t>
  </si>
  <si>
    <t>Distribution - James &amp; Natalie Bloomingdale Equalization</t>
  </si>
  <si>
    <t>May 2026 - Capital Call</t>
  </si>
  <si>
    <t>Ending Capital (Recalculated)</t>
  </si>
  <si>
    <t>Unfunded per books</t>
  </si>
  <si>
    <t>Ending Capital Per Sub Close WB</t>
  </si>
  <si>
    <t>Diff</t>
  </si>
  <si>
    <t>Call From Subsequent Close Investor</t>
  </si>
  <si>
    <t>Total GCM True-Up to Investor</t>
  </si>
  <si>
    <t>Total Investment Distribution to Investors</t>
  </si>
  <si>
    <t>Total Interest Distribution to Investors</t>
  </si>
  <si>
    <t>Total Distribution to Investor</t>
  </si>
  <si>
    <t>Management Fee Interest Distribution</t>
  </si>
  <si>
    <t>Call received as of 5.18.26</t>
  </si>
  <si>
    <t>Net to Investor</t>
  </si>
  <si>
    <t>Return of Capital Call re Sub Close</t>
  </si>
  <si>
    <t>Call - Investments</t>
  </si>
  <si>
    <t>Call - Management Fees</t>
  </si>
  <si>
    <t>Total Capital Call</t>
  </si>
  <si>
    <t>Net cash from/(to) investor</t>
  </si>
  <si>
    <t>Management fees - Legacy Knight</t>
  </si>
  <si>
    <t>Cash to balance sheet</t>
  </si>
  <si>
    <t>Management fees - James Bloomingdale</t>
  </si>
  <si>
    <t>Management fees</t>
  </si>
  <si>
    <t>Total</t>
  </si>
  <si>
    <t>Total cash retained by CLRF</t>
  </si>
  <si>
    <t>Difference</t>
  </si>
  <si>
    <t>Total Contribution to Q2'26</t>
  </si>
  <si>
    <t>Total Distribution to Q2'26</t>
  </si>
  <si>
    <t>Net Cash Impact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</si>
</sst>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_);[Red]\(&quot;$&quot;#,##0.00\)"/>
    <numFmt numFmtId="43" formatCode="_(* #,##0.00_);_(* \(#,##0.00\);_(* &quot;-&quot;??_);_(@_)"/>
    <numFmt numFmtId="164" formatCode="_(* #,##0_);_(* \(#,##0\);_(* &quot;-&quot;??_);_(@_)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sz val="11"/>
      <color rgb="FF0000FF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00FF"/>
      <name val="Calibri"/>
      <family val="2"/>
      <scheme val="minor"/>
    </font>
    <font>
      <sz val="8.5"/>
      <color theme="1"/>
      <name val="Times New Roman"/>
      <family val="1"/>
    </font>
    <font>
      <b/>
      <sz val="8.5"/>
      <color theme="1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" fillId="0" borderId="0"/>
  </cellStyleXfs>
  <cellXfs count="103">
    <xf numFmtId="0" fontId="0" fillId="0" borderId="0" xfId="0"/>
    <xf numFmtId="0" fontId="3" fillId="0" borderId="0" xfId="0" applyFont="1"/>
    <xf numFmtId="0" fontId="3" fillId="2" borderId="1" xfId="0" applyFont="1" applyFill="1" applyBorder="1" applyAlignment="1">
      <alignment vertical="top"/>
    </xf>
    <xf numFmtId="0" fontId="3" fillId="2" borderId="1" xfId="0" applyFont="1" applyFill="1" applyBorder="1" applyAlignment="1">
      <alignment horizontal="center" vertical="top" wrapText="1"/>
    </xf>
    <xf numFmtId="43" fontId="0" fillId="0" borderId="0" xfId="1" applyFont="1" applyFill="1"/>
    <xf numFmtId="43" fontId="0" fillId="0" borderId="0" xfId="1" applyFont="1" applyFill="1" applyBorder="1"/>
    <xf numFmtId="43" fontId="0" fillId="0" borderId="0" xfId="0" applyNumberFormat="1"/>
    <xf numFmtId="0" fontId="2" fillId="3" borderId="0" xfId="0" applyFont="1" applyFill="1" applyAlignment="1">
      <alignment horizontal="left" indent="1"/>
    </xf>
    <xf numFmtId="43" fontId="2" fillId="3" borderId="0" xfId="0" applyNumberFormat="1" applyFont="1" applyFill="1"/>
    <xf numFmtId="0" fontId="5" fillId="4" borderId="0" xfId="0" applyFont="1" applyFill="1"/>
    <xf numFmtId="0" fontId="0" fillId="4" borderId="0" xfId="0" applyFill="1"/>
    <xf numFmtId="0" fontId="6" fillId="4" borderId="0" xfId="0" applyFont="1" applyFill="1"/>
    <xf numFmtId="43" fontId="0" fillId="4" borderId="0" xfId="0" applyNumberFormat="1" applyFill="1"/>
    <xf numFmtId="0" fontId="3" fillId="2" borderId="0" xfId="0" applyFont="1" applyFill="1"/>
    <xf numFmtId="0" fontId="0" fillId="2" borderId="0" xfId="0" applyFill="1"/>
    <xf numFmtId="0" fontId="0" fillId="0" borderId="2" xfId="0" applyBorder="1"/>
    <xf numFmtId="164" fontId="0" fillId="0" borderId="3" xfId="1" applyNumberFormat="1" applyFont="1" applyFill="1" applyBorder="1"/>
    <xf numFmtId="0" fontId="0" fillId="0" borderId="4" xfId="0" applyBorder="1"/>
    <xf numFmtId="164" fontId="0" fillId="0" borderId="5" xfId="1" applyNumberFormat="1" applyFont="1" applyFill="1" applyBorder="1"/>
    <xf numFmtId="0" fontId="3" fillId="0" borderId="4" xfId="0" applyFont="1" applyBorder="1" applyAlignment="1">
      <alignment horizontal="left" indent="1"/>
    </xf>
    <xf numFmtId="164" fontId="0" fillId="0" borderId="5" xfId="0" applyNumberFormat="1" applyBorder="1"/>
    <xf numFmtId="10" fontId="0" fillId="0" borderId="5" xfId="0" applyNumberFormat="1" applyBorder="1"/>
    <xf numFmtId="0" fontId="0" fillId="0" borderId="6" xfId="0" applyBorder="1"/>
    <xf numFmtId="164" fontId="0" fillId="0" borderId="7" xfId="0" applyNumberFormat="1" applyBorder="1"/>
    <xf numFmtId="0" fontId="0" fillId="0" borderId="0" xfId="0" applyAlignment="1">
      <alignment horizontal="left" indent="1"/>
    </xf>
    <xf numFmtId="0" fontId="3" fillId="5" borderId="0" xfId="0" applyFont="1" applyFill="1"/>
    <xf numFmtId="14" fontId="3" fillId="5" borderId="0" xfId="0" applyNumberFormat="1" applyFont="1" applyFill="1"/>
    <xf numFmtId="0" fontId="3" fillId="0" borderId="8" xfId="0" applyFont="1" applyBorder="1"/>
    <xf numFmtId="0" fontId="3" fillId="0" borderId="9" xfId="0" applyFont="1" applyBorder="1"/>
    <xf numFmtId="0" fontId="3" fillId="0" borderId="10" xfId="0" applyFont="1" applyBorder="1"/>
    <xf numFmtId="49" fontId="7" fillId="0" borderId="11" xfId="2" applyNumberFormat="1" applyFont="1" applyBorder="1" applyAlignment="1" applyProtection="1">
      <alignment horizontal="left" vertical="center"/>
      <protection locked="0"/>
    </xf>
    <xf numFmtId="43" fontId="0" fillId="0" borderId="0" xfId="1" applyFont="1"/>
    <xf numFmtId="0" fontId="7" fillId="0" borderId="0" xfId="2" applyFont="1" applyAlignment="1" applyProtection="1">
      <alignment horizontal="left" vertical="center"/>
      <protection locked="0"/>
    </xf>
    <xf numFmtId="0" fontId="0" fillId="0" borderId="0" xfId="0" applyAlignment="1">
      <alignment horizontal="left"/>
    </xf>
    <xf numFmtId="43" fontId="3" fillId="0" borderId="9" xfId="1" applyFont="1" applyBorder="1"/>
    <xf numFmtId="43" fontId="0" fillId="0" borderId="0" xfId="1" applyFont="1" applyBorder="1"/>
    <xf numFmtId="0" fontId="0" fillId="0" borderId="12" xfId="0" applyBorder="1"/>
    <xf numFmtId="49" fontId="7" fillId="0" borderId="13" xfId="2" applyNumberFormat="1" applyFont="1" applyBorder="1" applyAlignment="1" applyProtection="1">
      <alignment horizontal="left" vertical="center"/>
      <protection locked="0"/>
    </xf>
    <xf numFmtId="0" fontId="0" fillId="0" borderId="1" xfId="0" applyBorder="1"/>
    <xf numFmtId="43" fontId="0" fillId="0" borderId="1" xfId="1" applyFont="1" applyFill="1" applyBorder="1"/>
    <xf numFmtId="0" fontId="0" fillId="0" borderId="14" xfId="0" applyBorder="1"/>
    <xf numFmtId="49" fontId="7" fillId="0" borderId="0" xfId="2" applyNumberFormat="1" applyFont="1" applyAlignment="1" applyProtection="1">
      <alignment horizontal="left" vertical="center"/>
      <protection locked="0"/>
    </xf>
    <xf numFmtId="0" fontId="0" fillId="6" borderId="0" xfId="0" applyFill="1" applyAlignment="1">
      <alignment horizontal="left"/>
    </xf>
    <xf numFmtId="0" fontId="0" fillId="7" borderId="0" xfId="0" applyFill="1" applyAlignment="1">
      <alignment horizontal="left"/>
    </xf>
    <xf numFmtId="0" fontId="0" fillId="5" borderId="0" xfId="0" applyFill="1" applyAlignment="1">
      <alignment horizontal="left"/>
    </xf>
    <xf numFmtId="0" fontId="0" fillId="8" borderId="0" xfId="0" applyFill="1" applyAlignment="1">
      <alignment horizontal="left"/>
    </xf>
    <xf numFmtId="0" fontId="0" fillId="9" borderId="0" xfId="0" applyFill="1" applyAlignment="1">
      <alignment horizontal="left"/>
    </xf>
    <xf numFmtId="0" fontId="3" fillId="0" borderId="0" xfId="0" applyFont="1" applyAlignment="1">
      <alignment horizontal="right"/>
    </xf>
    <xf numFmtId="164" fontId="0" fillId="0" borderId="0" xfId="0" applyNumberFormat="1"/>
    <xf numFmtId="0" fontId="0" fillId="10" borderId="0" xfId="0" applyFill="1"/>
    <xf numFmtId="0" fontId="8" fillId="0" borderId="0" xfId="0" applyFont="1"/>
    <xf numFmtId="0" fontId="5" fillId="0" borderId="0" xfId="0" applyFont="1" applyAlignment="1">
      <alignment horizontal="center" wrapText="1"/>
    </xf>
    <xf numFmtId="0" fontId="2" fillId="0" borderId="2" xfId="0" applyFont="1" applyBorder="1"/>
    <xf numFmtId="0" fontId="2" fillId="0" borderId="15" xfId="0" applyFont="1" applyBorder="1"/>
    <xf numFmtId="0" fontId="9" fillId="10" borderId="15" xfId="0" applyFont="1" applyFill="1" applyBorder="1" applyAlignment="1">
      <alignment wrapText="1"/>
    </xf>
    <xf numFmtId="0" fontId="4" fillId="0" borderId="15" xfId="0" applyFont="1" applyBorder="1"/>
    <xf numFmtId="0" fontId="9" fillId="10" borderId="15" xfId="0" applyFont="1" applyFill="1" applyBorder="1"/>
    <xf numFmtId="0" fontId="4" fillId="0" borderId="3" xfId="0" applyFont="1" applyBorder="1"/>
    <xf numFmtId="0" fontId="9" fillId="0" borderId="2" xfId="0" applyFont="1" applyBorder="1"/>
    <xf numFmtId="0" fontId="4" fillId="0" borderId="16" xfId="0" applyFont="1" applyBorder="1"/>
    <xf numFmtId="0" fontId="3" fillId="0" borderId="1" xfId="0" applyFont="1" applyBorder="1"/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10" borderId="0" xfId="0" applyFont="1" applyFill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164" fontId="0" fillId="0" borderId="0" xfId="1" applyNumberFormat="1" applyFont="1" applyFill="1"/>
    <xf numFmtId="164" fontId="0" fillId="0" borderId="4" xfId="0" applyNumberFormat="1" applyBorder="1"/>
    <xf numFmtId="164" fontId="0" fillId="10" borderId="0" xfId="0" applyNumberFormat="1" applyFill="1"/>
    <xf numFmtId="164" fontId="8" fillId="0" borderId="0" xfId="0" applyNumberFormat="1" applyFont="1"/>
    <xf numFmtId="43" fontId="0" fillId="0" borderId="17" xfId="0" applyNumberFormat="1" applyBorder="1"/>
    <xf numFmtId="8" fontId="11" fillId="0" borderId="0" xfId="0" applyNumberFormat="1" applyFont="1" applyAlignment="1">
      <alignment horizontal="right" vertical="center" wrapText="1"/>
    </xf>
    <xf numFmtId="43" fontId="0" fillId="0" borderId="4" xfId="0" applyNumberFormat="1" applyBorder="1"/>
    <xf numFmtId="43" fontId="0" fillId="0" borderId="0" xfId="1" applyFont="1" applyFill="1" applyAlignment="1">
      <alignment horizontal="left" indent="2"/>
    </xf>
    <xf numFmtId="43" fontId="0" fillId="0" borderId="6" xfId="0" applyNumberFormat="1" applyBorder="1"/>
    <xf numFmtId="164" fontId="0" fillId="0" borderId="18" xfId="0" applyNumberFormat="1" applyBorder="1"/>
    <xf numFmtId="43" fontId="0" fillId="0" borderId="18" xfId="0" applyNumberFormat="1" applyBorder="1"/>
    <xf numFmtId="43" fontId="0" fillId="10" borderId="18" xfId="0" applyNumberFormat="1" applyFill="1" applyBorder="1"/>
    <xf numFmtId="164" fontId="0" fillId="10" borderId="18" xfId="0" applyNumberFormat="1" applyFill="1" applyBorder="1"/>
    <xf numFmtId="43" fontId="0" fillId="0" borderId="19" xfId="0" applyNumberFormat="1" applyBorder="1"/>
    <xf numFmtId="164" fontId="3" fillId="11" borderId="0" xfId="0" applyNumberFormat="1" applyFont="1" applyFill="1"/>
    <xf numFmtId="164" fontId="3" fillId="0" borderId="0" xfId="0" applyNumberFormat="1" applyFont="1"/>
    <xf numFmtId="164" fontId="10" fillId="0" borderId="0" xfId="0" applyNumberFormat="1" applyFont="1"/>
    <xf numFmtId="164" fontId="0" fillId="10" borderId="0" xfId="0" applyNumberFormat="1" applyFill="1" applyAlignment="1">
      <alignment horizontal="right"/>
    </xf>
    <xf numFmtId="164" fontId="0" fillId="0" borderId="0" xfId="0" applyNumberFormat="1" applyAlignment="1">
      <alignment horizontal="right"/>
    </xf>
    <xf numFmtId="164" fontId="8" fillId="0" borderId="0" xfId="1" applyNumberFormat="1" applyFont="1" applyFill="1"/>
    <xf numFmtId="164" fontId="1" fillId="0" borderId="0" xfId="1" applyNumberFormat="1" applyFont="1" applyFill="1" applyBorder="1" applyAlignment="1">
      <alignment horizontal="right"/>
    </xf>
    <xf numFmtId="164" fontId="1" fillId="0" borderId="0" xfId="1" applyNumberFormat="1" applyFont="1" applyFill="1" applyBorder="1"/>
    <xf numFmtId="164" fontId="0" fillId="0" borderId="1" xfId="1" applyNumberFormat="1" applyFont="1" applyFill="1" applyBorder="1"/>
    <xf numFmtId="164" fontId="8" fillId="0" borderId="0" xfId="1" applyNumberFormat="1" applyFont="1" applyFill="1" applyBorder="1"/>
    <xf numFmtId="164" fontId="0" fillId="0" borderId="1" xfId="0" applyNumberFormat="1" applyBorder="1"/>
    <xf numFmtId="0" fontId="3" fillId="10" borderId="0" xfId="0" applyFont="1" applyFill="1" applyAlignment="1">
      <alignment horizontal="right"/>
    </xf>
    <xf numFmtId="43" fontId="8" fillId="0" borderId="0" xfId="1" applyFont="1" applyFill="1"/>
    <xf numFmtId="8" fontId="12" fillId="0" borderId="0" xfId="0" applyNumberFormat="1" applyFont="1" applyAlignment="1">
      <alignment horizontal="right" vertical="center" wrapText="1"/>
    </xf>
    <xf numFmtId="8" fontId="11" fillId="10" borderId="0" xfId="0" applyNumberFormat="1" applyFont="1" applyFill="1" applyAlignment="1">
      <alignment horizontal="right" vertical="center" wrapText="1"/>
    </xf>
    <xf numFmtId="164" fontId="0" fillId="0" borderId="0" xfId="1" applyNumberFormat="1" applyFont="1" applyFill="1" applyBorder="1"/>
    <xf numFmtId="0" fontId="10" fillId="0" borderId="0" xfId="0" applyFont="1"/>
    <xf numFmtId="4" fontId="11" fillId="10" borderId="0" xfId="0" applyNumberFormat="1" applyFont="1" applyFill="1" applyAlignment="1">
      <alignment horizontal="right" vertical="center" wrapText="1"/>
    </xf>
    <xf numFmtId="4" fontId="11" fillId="0" borderId="0" xfId="0" applyNumberFormat="1" applyFont="1" applyAlignment="1">
      <alignment horizontal="right" vertical="center" wrapText="1"/>
    </xf>
    <xf numFmtId="0" fontId="10" fillId="0" borderId="9" xfId="0" applyFont="1" applyBorder="1"/>
    <xf numFmtId="164" fontId="10" fillId="0" borderId="9" xfId="0" applyNumberFormat="1" applyFont="1" applyBorder="1"/>
  </cellXfs>
  <cellStyles count="3">
    <cellStyle name="Comma" xfId="1" builtinId="3"/>
    <cellStyle name="Normal" xfId="0" builtinId="0"/>
    <cellStyle name="Normal 2 14" xfId="2" xr:uid="{4D9DD2AC-5B26-41FC-96F7-47E23357F38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cen\Downloads\Q2'26%20CLRF%20Sub%20Close%20Recalc%20for%20Legacy%20Knight%20w%20Updated%20Odyssey%20Commitment%20-%204-30-26%20LC%20JE%20(4)%20(1).xlsx" TargetMode="External"/><Relationship Id="rId1" Type="http://schemas.openxmlformats.org/officeDocument/2006/relationships/externalLinkPath" Target="file:///C:\Users\lcen\Downloads\Q2'26%20CLRF%20Sub%20Close%20Recalc%20for%20Legacy%20Knight%20w%20Updated%20Odyssey%20Commitment%20-%204-30-26%20LC%20JE%20(4)%20(1)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banyanres-my.sharepoint.com/personal/jyun_banyanres_com/Documents/Desktop/Updates%20&amp;%20Testing/CLRF/CLRF%20-%20Q2%202026%20FS%20SCF%20Wksht_DRAFT%20to%20Jimmy.xlsx" TargetMode="External"/><Relationship Id="rId1" Type="http://schemas.openxmlformats.org/officeDocument/2006/relationships/externalLinkPath" Target="Updates%20&amp;%20Testing/CLRF/CLRF%20-%20Q2%202026%20FS%20SCF%20Wksht_DRAFT%20to%20Jimm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mmary"/>
      <sheetName val="May 26 Distribution Checking"/>
      <sheetName val="True-Up"/>
      <sheetName val="Subsequent Close"/>
      <sheetName val="Subsequent Close - OLD B4 25k"/>
      <sheetName val="Closing Interest"/>
      <sheetName val="Management Fees - New Investor"/>
      <sheetName val="LPA"/>
      <sheetName val="2.10.26 Sub Close Old"/>
      <sheetName val="2.10.26 Sub Close New"/>
      <sheetName val="Q2'26 Mgmt Fee"/>
      <sheetName val="Q1'26 Mgmt Fee"/>
      <sheetName val="AppFolio &gt;&gt;"/>
      <sheetName val="Contributions"/>
      <sheetName val="Commitment"/>
      <sheetName val="Allvue&gt;&gt;"/>
      <sheetName val="Investor GL"/>
      <sheetName val="Sheet29"/>
      <sheetName val="Sheet28"/>
      <sheetName val="Sheet27"/>
      <sheetName val="Sheet32"/>
      <sheetName val="PIVOT 2"/>
      <sheetName val="PIVOT"/>
      <sheetName val="PBC &gt;&gt;"/>
      <sheetName val="Mgmt Fee - AB"/>
      <sheetName val="Sub-Close Calculation - #3"/>
      <sheetName val="Subsequent Close - 3"/>
      <sheetName val="CLIP_Schedule B"/>
      <sheetName val="Silsbee_Schedule B"/>
      <sheetName val="Sub Close Interest 10.27.25"/>
      <sheetName val="Q2'26 Management Fee"/>
      <sheetName val="Preferred Return &gt;&gt;"/>
      <sheetName val="Unreturned Preferred Return"/>
      <sheetName val="Assumptions"/>
      <sheetName val="Capital_Activity"/>
      <sheetName val="Pref_Engine"/>
      <sheetName val="Investor_Summary"/>
      <sheetName val="DNU - James and Nat. Bloomginda"/>
      <sheetName val="Preferred Return Checking"/>
      <sheetName val="Cash flows ---&gt;"/>
      <sheetName val="Investment Contributions"/>
    </sheetNames>
    <sheetDataSet>
      <sheetData sheetId="0"/>
      <sheetData sheetId="1">
        <row r="1">
          <cell r="A1" t="str">
            <v>Totals</v>
          </cell>
        </row>
        <row r="3">
          <cell r="A3" t="str">
            <v>Investor Name</v>
          </cell>
          <cell r="Y3" t="str">
            <v>Total Capital Call</v>
          </cell>
          <cell r="AA3" t="str">
            <v>Net cash from/(to) investor</v>
          </cell>
        </row>
        <row r="4">
          <cell r="A4" t="str">
            <v>1999 Britta Biesecker Declaration of Trust DTD 5/12/99</v>
          </cell>
          <cell r="Y4">
            <v>5107.4950641817622</v>
          </cell>
          <cell r="AA4">
            <v>-8777.89574407283</v>
          </cell>
        </row>
        <row r="5">
          <cell r="A5" t="str">
            <v>1999 Frederick N Biesecker II Declaration of Trust DTD 5/12/99</v>
          </cell>
          <cell r="Y5">
            <v>7150.4930898544671</v>
          </cell>
          <cell r="AA5">
            <v>-12289.054041702129</v>
          </cell>
        </row>
        <row r="6">
          <cell r="A6" t="str">
            <v>1999 Lissa Biesecker Longacre Declaration of Trust DTD 5/12/99</v>
          </cell>
          <cell r="Y6">
            <v>6128.9940770181156</v>
          </cell>
          <cell r="AA6">
            <v>-10533.474892887363</v>
          </cell>
        </row>
        <row r="7">
          <cell r="A7" t="str">
            <v>Abigail Levy</v>
          </cell>
          <cell r="Y7">
            <v>7661.2425962726447</v>
          </cell>
          <cell r="AA7">
            <v>-13166.843616109363</v>
          </cell>
        </row>
        <row r="8">
          <cell r="A8" t="str">
            <v>AKWT LLC</v>
          </cell>
          <cell r="Y8">
            <v>799.83699584770511</v>
          </cell>
          <cell r="AA8">
            <v>-1374.6240913750789</v>
          </cell>
        </row>
        <row r="9">
          <cell r="A9" t="str">
            <v>Alexander S. Bloomingdale</v>
          </cell>
          <cell r="Y9">
            <v>1472.9807379301585</v>
          </cell>
          <cell r="AA9">
            <v>-2531.509318775984</v>
          </cell>
        </row>
        <row r="10">
          <cell r="A10" t="str">
            <v>Alexander Sharpe Moore</v>
          </cell>
          <cell r="Y10">
            <v>1599.6738895455092</v>
          </cell>
          <cell r="AA10">
            <v>-2749.2480071922473</v>
          </cell>
        </row>
        <row r="11">
          <cell r="A11" t="str">
            <v>All Dogs Go To Heaven, LLC</v>
          </cell>
          <cell r="Y11">
            <v>5345.4722591036298</v>
          </cell>
          <cell r="AA11">
            <v>-9186.8905605614418</v>
          </cell>
        </row>
        <row r="12">
          <cell r="A12" t="str">
            <v>Alten Investments LLC</v>
          </cell>
          <cell r="Y12">
            <v>10214.990128363524</v>
          </cell>
          <cell r="AA12">
            <v>-17555.791488145667</v>
          </cell>
        </row>
        <row r="13">
          <cell r="A13" t="str">
            <v>Avery Ryan Klann</v>
          </cell>
          <cell r="Y13">
            <v>3999.184774938723</v>
          </cell>
          <cell r="AA13">
            <v>-6873.1201057595154</v>
          </cell>
        </row>
        <row r="14">
          <cell r="A14" t="str">
            <v>BBR Real Assets Fund 2024 LLC</v>
          </cell>
          <cell r="Y14">
            <v>102149.90128363525</v>
          </cell>
          <cell r="AA14">
            <v>-175557.9148814567</v>
          </cell>
        </row>
        <row r="15">
          <cell r="A15" t="str">
            <v>Belclaire Asset Management, LLC</v>
          </cell>
          <cell r="Y15">
            <v>9344.6570340423514</v>
          </cell>
          <cell r="AA15">
            <v>-16060.01066632119</v>
          </cell>
        </row>
        <row r="16">
          <cell r="A16" t="str">
            <v>Benaiah Inc.</v>
          </cell>
          <cell r="Y16">
            <v>9344.6570340423514</v>
          </cell>
          <cell r="AA16">
            <v>-16060.01066632119</v>
          </cell>
        </row>
        <row r="17">
          <cell r="A17" t="str">
            <v>Benjamin Johnson</v>
          </cell>
          <cell r="Y17">
            <v>799.83699584770511</v>
          </cell>
          <cell r="AA17">
            <v>-1374.6240913750789</v>
          </cell>
        </row>
        <row r="18">
          <cell r="A18" t="str">
            <v>Bloomingdale Family Trust Share #3</v>
          </cell>
          <cell r="Y18">
            <v>2399.5108853932143</v>
          </cell>
          <cell r="AA18">
            <v>-4123.8720985673408</v>
          </cell>
        </row>
        <row r="19">
          <cell r="A19" t="str">
            <v>Brian Carroll 2011 Long-Term Trust</v>
          </cell>
          <cell r="Y19">
            <v>5107.4950641817622</v>
          </cell>
          <cell r="AA19">
            <v>-8777.8957440728336</v>
          </cell>
        </row>
        <row r="20">
          <cell r="A20" t="str">
            <v>Bryan C. White LLC</v>
          </cell>
          <cell r="Y20">
            <v>1999.5923874693615</v>
          </cell>
          <cell r="AA20">
            <v>-3436.5600528797577</v>
          </cell>
        </row>
        <row r="21">
          <cell r="A21" t="str">
            <v>Cameron J. Tringale</v>
          </cell>
          <cell r="Y21">
            <v>5107.4950641817622</v>
          </cell>
          <cell r="AA21">
            <v>-8777.8957440728336</v>
          </cell>
        </row>
        <row r="22">
          <cell r="A22" t="str">
            <v>Charing Hatcherville LLC</v>
          </cell>
          <cell r="Y22">
            <v>520598.24226363329</v>
          </cell>
          <cell r="AA22">
            <v>-894715.9101894924</v>
          </cell>
        </row>
        <row r="23">
          <cell r="A23" t="str">
            <v>Charing Silsbee, LLC</v>
          </cell>
          <cell r="Y23">
            <v>64621.798627016113</v>
          </cell>
          <cell r="AA23">
            <v>-111060.98077713742</v>
          </cell>
        </row>
        <row r="24">
          <cell r="A24" t="str">
            <v>Chase F. Monroe</v>
          </cell>
          <cell r="Y24">
            <v>1999.5923874693615</v>
          </cell>
          <cell r="AA24">
            <v>-3436.5600528797577</v>
          </cell>
        </row>
        <row r="25">
          <cell r="A25" t="str">
            <v>Chase The Lion, Inc.</v>
          </cell>
          <cell r="Y25">
            <v>12385.587273126066</v>
          </cell>
          <cell r="AA25">
            <v>-21286.245497338088</v>
          </cell>
        </row>
        <row r="26">
          <cell r="A26" t="str">
            <v>Chris Schaaf</v>
          </cell>
          <cell r="Y26">
            <v>1999.5923874693615</v>
          </cell>
          <cell r="AA26">
            <v>-3436.5600528797577</v>
          </cell>
        </row>
        <row r="27">
          <cell r="A27" t="str">
            <v>Christopher J. Campbell</v>
          </cell>
          <cell r="Y27">
            <v>5107.4950641817622</v>
          </cell>
          <cell r="AA27">
            <v>-8777.8957440728336</v>
          </cell>
        </row>
        <row r="28">
          <cell r="A28" t="str">
            <v>Christopher Johnson</v>
          </cell>
          <cell r="Y28">
            <v>1694.6427549188061</v>
          </cell>
          <cell r="AA28">
            <v>-2912.4643762154506</v>
          </cell>
        </row>
        <row r="29">
          <cell r="A29" t="str">
            <v>CLIP Sponsor LLC</v>
          </cell>
          <cell r="Y29">
            <v>49058.046808427825</v>
          </cell>
          <cell r="AA29">
            <v>-84312.645412456142</v>
          </cell>
        </row>
        <row r="30">
          <cell r="A30" t="str">
            <v>CLR Silsbee Sponsor LLC</v>
          </cell>
          <cell r="Y30">
            <v>3775.221831423662</v>
          </cell>
          <cell r="AA30">
            <v>-6488.2106062873954</v>
          </cell>
        </row>
        <row r="31">
          <cell r="A31" t="str">
            <v>Daniel Ross</v>
          </cell>
          <cell r="Y31">
            <v>1599.6738895455092</v>
          </cell>
          <cell r="AA31">
            <v>-2749.2480071922473</v>
          </cell>
        </row>
        <row r="32">
          <cell r="A32" t="str">
            <v>Endurance Companies LLC</v>
          </cell>
          <cell r="Y32">
            <v>8682.7416091089963</v>
          </cell>
          <cell r="AA32">
            <v>-14922.422764923956</v>
          </cell>
        </row>
        <row r="33">
          <cell r="A33" t="str">
            <v>Forem Capital, LLC</v>
          </cell>
          <cell r="Y33">
            <v>15322.485192545289</v>
          </cell>
          <cell r="AA33">
            <v>-26333.687232218726</v>
          </cell>
        </row>
        <row r="34">
          <cell r="A34" t="str">
            <v>Francis Brawley</v>
          </cell>
          <cell r="Y34">
            <v>3199.3477790910183</v>
          </cell>
          <cell r="AA34">
            <v>-5498.4960143844655</v>
          </cell>
        </row>
        <row r="35">
          <cell r="A35" t="str">
            <v>Geoffrey and Elizabeth Bloomingdale Living Trust</v>
          </cell>
          <cell r="Y35">
            <v>2399.5108853932143</v>
          </cell>
          <cell r="AA35">
            <v>-4123.8720985673408</v>
          </cell>
        </row>
        <row r="36">
          <cell r="A36" t="str">
            <v>Greene 2000 Family Trust</v>
          </cell>
          <cell r="Y36">
            <v>10214.990128363524</v>
          </cell>
          <cell r="AA36">
            <v>-17555.791488145667</v>
          </cell>
        </row>
        <row r="37">
          <cell r="A37" t="str">
            <v>Greene Marital Trust</v>
          </cell>
          <cell r="Y37">
            <v>10214.990128363524</v>
          </cell>
          <cell r="AA37">
            <v>-17555.791488145667</v>
          </cell>
        </row>
        <row r="38">
          <cell r="A38" t="str">
            <v>Gregory Brent Wood</v>
          </cell>
          <cell r="Y38">
            <v>1599.6738895455092</v>
          </cell>
          <cell r="AA38">
            <v>-2749.2480071922473</v>
          </cell>
        </row>
        <row r="39">
          <cell r="A39" t="str">
            <v>Hundley Family Trust</v>
          </cell>
          <cell r="Y39">
            <v>2042.9980256727051</v>
          </cell>
          <cell r="AA39">
            <v>-3511.158297629122</v>
          </cell>
        </row>
        <row r="40">
          <cell r="A40" t="str">
            <v>In God We Trust 2017 Living Trust</v>
          </cell>
          <cell r="Y40">
            <v>1021.4990128363526</v>
          </cell>
          <cell r="AA40">
            <v>-1755.579148814561</v>
          </cell>
        </row>
        <row r="41">
          <cell r="A41" t="str">
            <v>James and Natelie Bloomingdale</v>
          </cell>
          <cell r="Y41">
            <v>0</v>
          </cell>
          <cell r="AA41">
            <v>0</v>
          </cell>
        </row>
        <row r="42">
          <cell r="A42" t="str">
            <v>James Campbell and Patricia Campbell</v>
          </cell>
          <cell r="Y42">
            <v>1599.6738895455092</v>
          </cell>
          <cell r="AA42">
            <v>-2749.2480071922473</v>
          </cell>
        </row>
        <row r="43">
          <cell r="A43" t="str">
            <v>James Kane</v>
          </cell>
          <cell r="Y43">
            <v>1599.6738895455092</v>
          </cell>
          <cell r="AA43">
            <v>-2749.2480071922473</v>
          </cell>
        </row>
        <row r="44">
          <cell r="A44" t="str">
            <v>James Thorp</v>
          </cell>
          <cell r="Y44">
            <v>1999.5923874693615</v>
          </cell>
          <cell r="AA44">
            <v>-3436.5600528797577</v>
          </cell>
        </row>
        <row r="45">
          <cell r="A45" t="str">
            <v>Jeffrey A. Lipsitz Revocable Trust</v>
          </cell>
          <cell r="Y45">
            <v>10214.990128363524</v>
          </cell>
          <cell r="AA45">
            <v>-17555.791488145667</v>
          </cell>
        </row>
        <row r="46">
          <cell r="A46" t="str">
            <v>Jeffrey D Furber Revocable Trust</v>
          </cell>
          <cell r="Y46">
            <v>5107.4950641817622</v>
          </cell>
          <cell r="AA46">
            <v>-8777.8957440728336</v>
          </cell>
        </row>
        <row r="47">
          <cell r="A47" t="str">
            <v>Jeremy M. Jacobs Trust U/A/D April 1, 1973 fbo Margaret L. Reichenback</v>
          </cell>
          <cell r="Y47">
            <v>15322.485192545289</v>
          </cell>
          <cell r="AA47">
            <v>-26333.687232218726</v>
          </cell>
        </row>
        <row r="48">
          <cell r="A48" t="str">
            <v>John Mark Comer</v>
          </cell>
          <cell r="Y48">
            <v>1021.4990128363526</v>
          </cell>
          <cell r="AA48">
            <v>-1755.579148814561</v>
          </cell>
        </row>
        <row r="49">
          <cell r="A49" t="str">
            <v>Landscape I, LP</v>
          </cell>
          <cell r="Y49">
            <v>7661.2425962726447</v>
          </cell>
          <cell r="AA49">
            <v>-13166.843616109363</v>
          </cell>
        </row>
        <row r="50">
          <cell r="A50" t="str">
            <v>Lisa Bell Trust, Elisabeth B. Bell, Trustee</v>
          </cell>
          <cell r="Y50">
            <v>2399.5108853932143</v>
          </cell>
          <cell r="AA50">
            <v>-4123.8720985673408</v>
          </cell>
        </row>
        <row r="51">
          <cell r="A51" t="str">
            <v>Madten Investments LLC</v>
          </cell>
          <cell r="Y51">
            <v>10214.990128363524</v>
          </cell>
          <cell r="AA51">
            <v>-17555.791488145667</v>
          </cell>
        </row>
        <row r="52">
          <cell r="A52" t="str">
            <v>Matt McCoy</v>
          </cell>
          <cell r="Y52">
            <v>1199.7553916216564</v>
          </cell>
          <cell r="AA52">
            <v>-2061.9359615047224</v>
          </cell>
        </row>
        <row r="53">
          <cell r="A53" t="str">
            <v>Matterhorn Holdings, LLC</v>
          </cell>
          <cell r="Y53">
            <v>1021.4990128363526</v>
          </cell>
          <cell r="AA53">
            <v>-1755.579148814561</v>
          </cell>
        </row>
        <row r="54">
          <cell r="A54" t="str">
            <v>Max O. Reinbach III</v>
          </cell>
          <cell r="Y54">
            <v>799.83699584770511</v>
          </cell>
          <cell r="AA54">
            <v>-1374.6240913750789</v>
          </cell>
        </row>
        <row r="55">
          <cell r="A55" t="str">
            <v>Meghann C. Robinson</v>
          </cell>
          <cell r="Y55">
            <v>7998.3695498774459</v>
          </cell>
          <cell r="AA55">
            <v>-13746.240211519031</v>
          </cell>
        </row>
        <row r="56">
          <cell r="A56" t="str">
            <v>Nahas Investments II LLC</v>
          </cell>
          <cell r="Y56">
            <v>3999.184774938723</v>
          </cell>
          <cell r="AA56">
            <v>-6873.1201057595154</v>
          </cell>
        </row>
        <row r="57">
          <cell r="A57" t="str">
            <v>Odyssey Holdings, LLC</v>
          </cell>
          <cell r="Y57">
            <v>7182.812092821795</v>
          </cell>
          <cell r="AA57">
            <v>-21416.87535469537</v>
          </cell>
        </row>
        <row r="58">
          <cell r="A58" t="str">
            <v>Pease River Holdings LLC</v>
          </cell>
          <cell r="Y58">
            <v>799.83699584770511</v>
          </cell>
          <cell r="AA58">
            <v>-1374.6240913750789</v>
          </cell>
        </row>
        <row r="59">
          <cell r="A59" t="str">
            <v>PT Burros, LLC</v>
          </cell>
          <cell r="Y59">
            <v>3365.7187104122668</v>
          </cell>
          <cell r="AA59">
            <v>-5784.4261370044378</v>
          </cell>
        </row>
        <row r="60">
          <cell r="A60" t="str">
            <v>Robert D. Falese III</v>
          </cell>
          <cell r="Y60">
            <v>8964.5773748964984</v>
          </cell>
          <cell r="AA60">
            <v>-15406.794249956301</v>
          </cell>
        </row>
        <row r="61">
          <cell r="A61" t="str">
            <v>Robert Parker Yates</v>
          </cell>
          <cell r="Y61">
            <v>399.91849792385256</v>
          </cell>
          <cell r="AA61">
            <v>-687.31204568753947</v>
          </cell>
        </row>
        <row r="62">
          <cell r="A62" t="str">
            <v>Robert S. Shafir &amp; Donna R. Shafir TEN/COM</v>
          </cell>
          <cell r="Y62">
            <v>15322.485192545289</v>
          </cell>
          <cell r="AA62">
            <v>-26333.687232218726</v>
          </cell>
        </row>
        <row r="63">
          <cell r="A63" t="str">
            <v>Robert S. Shafir 2011 Children's Trust</v>
          </cell>
          <cell r="Y63">
            <v>10214.990128363524</v>
          </cell>
          <cell r="AA63">
            <v>-17555.791488145667</v>
          </cell>
        </row>
        <row r="64">
          <cell r="A64" t="str">
            <v>Romar Partners, LP</v>
          </cell>
          <cell r="Y64">
            <v>10214.990128363524</v>
          </cell>
          <cell r="AA64">
            <v>-17555.791488145667</v>
          </cell>
        </row>
        <row r="65">
          <cell r="A65" t="str">
            <v>Steven and Chani Laufer 2012 Dynasty Trust</v>
          </cell>
          <cell r="Y65">
            <v>20429.980256727049</v>
          </cell>
          <cell r="AA65">
            <v>-35111.582976291334</v>
          </cell>
        </row>
        <row r="66">
          <cell r="A66" t="str">
            <v>Steven M. Laufer 2012 Trust</v>
          </cell>
          <cell r="Y66">
            <v>10214.990128363524</v>
          </cell>
          <cell r="AA66">
            <v>-17555.791488145667</v>
          </cell>
        </row>
        <row r="67">
          <cell r="A67" t="str">
            <v>Stewart Tate</v>
          </cell>
          <cell r="Y67">
            <v>5345.4722591036298</v>
          </cell>
          <cell r="AA67">
            <v>-9186.8905605614418</v>
          </cell>
        </row>
        <row r="68">
          <cell r="A68" t="str">
            <v>TC Wilson Family Trust</v>
          </cell>
          <cell r="Y68">
            <v>1599.6738895455092</v>
          </cell>
          <cell r="AA68">
            <v>-2749.2480071922473</v>
          </cell>
        </row>
        <row r="69">
          <cell r="A69" t="str">
            <v>Terminal Refrigerating &amp; Warehousing Corp.</v>
          </cell>
          <cell r="Y69">
            <v>0</v>
          </cell>
          <cell r="AA69">
            <v>0</v>
          </cell>
        </row>
        <row r="70">
          <cell r="A70" t="str">
            <v>The 2015 Pipe Reality Delaware Trust</v>
          </cell>
          <cell r="Y70">
            <v>10214.990128363524</v>
          </cell>
          <cell r="AA70">
            <v>-17555.791488145667</v>
          </cell>
        </row>
        <row r="71">
          <cell r="A71" t="str">
            <v>The David L. Schnadig 2017 Trust</v>
          </cell>
          <cell r="Y71">
            <v>10214.990128363524</v>
          </cell>
          <cell r="AA71">
            <v>-17555.791488145667</v>
          </cell>
        </row>
        <row r="72">
          <cell r="A72" t="str">
            <v>The Diane Rosen 2021 Irrevocable Family Trust</v>
          </cell>
          <cell r="Y72">
            <v>6128.9940770181156</v>
          </cell>
          <cell r="AA72">
            <v>-10533.474892887363</v>
          </cell>
        </row>
        <row r="73">
          <cell r="A73" t="str">
            <v>The Mark T. Kirchdorfer 2015 Family Delaware Dynasty Trust</v>
          </cell>
          <cell r="Y73">
            <v>10214.990128363524</v>
          </cell>
          <cell r="AA73">
            <v>-17555.791488145667</v>
          </cell>
        </row>
        <row r="74">
          <cell r="A74" t="str">
            <v>University of Southern California</v>
          </cell>
          <cell r="Y74">
            <v>204299.8025672705</v>
          </cell>
          <cell r="AA74">
            <v>-351115.8297629134</v>
          </cell>
        </row>
        <row r="75">
          <cell r="A75" t="str">
            <v>Walker D. Zimmerman</v>
          </cell>
          <cell r="Y75">
            <v>2553.7475320908811</v>
          </cell>
          <cell r="AA75">
            <v>-4388.9478720364168</v>
          </cell>
        </row>
        <row r="76">
          <cell r="A76" t="str">
            <v>Wilson Family Trust DTD 3-6-1987</v>
          </cell>
          <cell r="Y76">
            <v>3199.3477790910183</v>
          </cell>
          <cell r="AA76">
            <v>-5498.4960143844655</v>
          </cell>
        </row>
        <row r="77">
          <cell r="A77" t="str">
            <v>Wilson GST Exempt Trust</v>
          </cell>
          <cell r="Y77">
            <v>3199.3477790910183</v>
          </cell>
          <cell r="AA77">
            <v>-5498.4960143844655</v>
          </cell>
        </row>
        <row r="78">
          <cell r="A78" t="str">
            <v>Texas Emerging Managers Private Markets Program, L.P. (2025-1 RE Investment Series)</v>
          </cell>
          <cell r="Y78">
            <v>51074.950641817624</v>
          </cell>
          <cell r="AA78">
            <v>-87778.957440728351</v>
          </cell>
        </row>
        <row r="79">
          <cell r="A79" t="str">
            <v>GCM Grosvenor NJ RE Emerging Managers Program, LP (2023-1 Investment Series)</v>
          </cell>
          <cell r="Y79">
            <v>76612.42596272644</v>
          </cell>
          <cell r="AA79">
            <v>-131668.43616109202</v>
          </cell>
        </row>
        <row r="80">
          <cell r="A80" t="str">
            <v>GCM Grosvenor - NYSTRS Real Estate Investment Partners, L.P. (2024-1 Series)</v>
          </cell>
          <cell r="Y80">
            <v>51074.950641817624</v>
          </cell>
          <cell r="AA80">
            <v>-87778.957440728351</v>
          </cell>
        </row>
        <row r="81">
          <cell r="A81" t="str">
            <v>CRPTF-GCM Middle-Market RE Partnership, L.P. (2025-01 Investment Series)</v>
          </cell>
          <cell r="Y81">
            <v>306449.70385090576</v>
          </cell>
          <cell r="AA81">
            <v>-526673.74464436807</v>
          </cell>
        </row>
        <row r="82">
          <cell r="A82" t="str">
            <v>Legacy Knight Strategic Opportunities Fund LLC - CL Rail Series</v>
          </cell>
          <cell r="Y82">
            <v>170590.33514367088</v>
          </cell>
          <cell r="AA82">
            <v>-6707.8225094438822</v>
          </cell>
        </row>
        <row r="83">
          <cell r="A83" t="str">
            <v>Argos Holdings, LLC</v>
          </cell>
          <cell r="Y83">
            <v>3999.184774938723</v>
          </cell>
          <cell r="AA83">
            <v>-6873.1201057595154</v>
          </cell>
        </row>
        <row r="84">
          <cell r="A84" t="str">
            <v>Palmatum HR Illiquid, LLC</v>
          </cell>
          <cell r="Y84">
            <v>20429.980256727049</v>
          </cell>
          <cell r="AA84">
            <v>-35111.582976291334</v>
          </cell>
        </row>
        <row r="85">
          <cell r="A85" t="str">
            <v>James Bloomingdale</v>
          </cell>
          <cell r="Y85">
            <v>255.37475320908814</v>
          </cell>
          <cell r="AA85">
            <v>19957.449562736889</v>
          </cell>
        </row>
        <row r="86">
          <cell r="Y86">
            <v>1999999.9999999995</v>
          </cell>
          <cell r="AA86">
            <v>-3139462.6253260719</v>
          </cell>
        </row>
        <row r="88">
          <cell r="AA88">
            <v>2000000</v>
          </cell>
        </row>
        <row r="89">
          <cell r="AA89">
            <v>148297.21467391256</v>
          </cell>
        </row>
        <row r="90">
          <cell r="AA90">
            <v>2148297.2146739126</v>
          </cell>
        </row>
      </sheetData>
      <sheetData sheetId="2">
        <row r="2">
          <cell r="S2" t="str">
            <v>Correction</v>
          </cell>
        </row>
        <row r="3">
          <cell r="A3" t="str">
            <v>Investor Name</v>
          </cell>
          <cell r="S3" t="str">
            <v>Contribution - Investment (Rebalanced)</v>
          </cell>
          <cell r="U3" t="str">
            <v>Contribution - Org Exp (Rebalanced)</v>
          </cell>
          <cell r="V3" t="str">
            <v>Contribution - General (Rebalanced)</v>
          </cell>
        </row>
        <row r="5">
          <cell r="A5" t="str">
            <v>1999 Britta Biesecker Declaration of Trust DTD 5/12/99</v>
          </cell>
          <cell r="S5">
            <v>851.80110446282197</v>
          </cell>
          <cell r="U5">
            <v>0.37919619190782328</v>
          </cell>
          <cell r="V5">
            <v>-1187.5717561388155</v>
          </cell>
        </row>
        <row r="6">
          <cell r="A6" t="str">
            <v>1999 Frederick N Biesecker II Declaration of Trust DTD 5/12/99</v>
          </cell>
          <cell r="S6">
            <v>1192.5215462478809</v>
          </cell>
          <cell r="U6">
            <v>0.53087466867091848</v>
          </cell>
          <cell r="V6">
            <v>-1662.6004585943519</v>
          </cell>
        </row>
        <row r="7">
          <cell r="A7" t="str">
            <v>1999 Lissa Biesecker Longacre Declaration of Trust DTD 5/12/99</v>
          </cell>
          <cell r="S7">
            <v>1022.1613253553514</v>
          </cell>
          <cell r="U7">
            <v>0.45503543028937088</v>
          </cell>
          <cell r="V7">
            <v>-1425.0861073665947</v>
          </cell>
        </row>
        <row r="8">
          <cell r="A8" t="str">
            <v>Abigail Levy</v>
          </cell>
          <cell r="S8">
            <v>1277.7016566941747</v>
          </cell>
          <cell r="U8">
            <v>0.5687942878617207</v>
          </cell>
          <cell r="V8">
            <v>-1781.3576342082379</v>
          </cell>
        </row>
        <row r="9">
          <cell r="A9" t="str">
            <v>AKWT LLC</v>
          </cell>
          <cell r="S9">
            <v>133.39259811158263</v>
          </cell>
          <cell r="U9">
            <v>5.9382366338326165E-2</v>
          </cell>
          <cell r="V9">
            <v>-185.97449705726376</v>
          </cell>
        </row>
        <row r="10">
          <cell r="A10" t="str">
            <v>Alexander S. Bloomingdale</v>
          </cell>
          <cell r="S10">
            <v>245.65596317857853</v>
          </cell>
          <cell r="U10">
            <v>0.10935863462575668</v>
          </cell>
          <cell r="V10">
            <v>-342.49084917766959</v>
          </cell>
        </row>
        <row r="11">
          <cell r="A11" t="str">
            <v>Alexander Sharpe Moore</v>
          </cell>
          <cell r="S11">
            <v>266.78517918715079</v>
          </cell>
          <cell r="U11">
            <v>0.11876472509273128</v>
          </cell>
          <cell r="V11">
            <v>-371.94897036309158</v>
          </cell>
        </row>
        <row r="12">
          <cell r="A12" t="str">
            <v>All Dogs Go To Heaven, LLC</v>
          </cell>
          <cell r="S12">
            <v>891.48968661983963</v>
          </cell>
          <cell r="U12">
            <v>0.39686435309860713</v>
          </cell>
          <cell r="V12">
            <v>-1242.9051420242686</v>
          </cell>
        </row>
        <row r="13">
          <cell r="A13" t="str">
            <v>Alten Investments LLC</v>
          </cell>
          <cell r="S13">
            <v>1703.6022089256439</v>
          </cell>
          <cell r="U13">
            <v>0.75839238381564655</v>
          </cell>
          <cell r="V13">
            <v>-2375.1435122776311</v>
          </cell>
        </row>
        <row r="14">
          <cell r="A14" t="str">
            <v>Avery Ryan Klann</v>
          </cell>
          <cell r="S14">
            <v>666.96295648586238</v>
          </cell>
          <cell r="U14">
            <v>0.29691181652377452</v>
          </cell>
          <cell r="V14">
            <v>-929.87243778344782</v>
          </cell>
        </row>
        <row r="15">
          <cell r="A15" t="str">
            <v>BBR Real Assets Fund 2024 LLC</v>
          </cell>
          <cell r="S15">
            <v>17036.022089256905</v>
          </cell>
          <cell r="U15">
            <v>7.5839238381568066</v>
          </cell>
          <cell r="V15">
            <v>-23751.435122776427</v>
          </cell>
        </row>
        <row r="16">
          <cell r="A16" t="str">
            <v>Belclaire Asset Management, LLC</v>
          </cell>
          <cell r="S16">
            <v>1558.4526431055274</v>
          </cell>
          <cell r="U16">
            <v>0.69377616962236743</v>
          </cell>
          <cell r="V16">
            <v>-2172.77757980772</v>
          </cell>
        </row>
        <row r="17">
          <cell r="A17" t="str">
            <v>Benaiah Inc.</v>
          </cell>
          <cell r="S17">
            <v>1558.4526431055274</v>
          </cell>
          <cell r="U17">
            <v>0.69377616962236743</v>
          </cell>
          <cell r="V17">
            <v>-2172.77757980772</v>
          </cell>
        </row>
        <row r="18">
          <cell r="A18" t="str">
            <v>Benjamin Johnson</v>
          </cell>
          <cell r="S18">
            <v>133.39259811158263</v>
          </cell>
          <cell r="U18">
            <v>5.9382366338326165E-2</v>
          </cell>
          <cell r="V18">
            <v>-185.97449705726376</v>
          </cell>
        </row>
        <row r="19">
          <cell r="A19" t="str">
            <v>Bloomingdale Family Trust Share #3</v>
          </cell>
          <cell r="S19">
            <v>400.17777729869704</v>
          </cell>
          <cell r="U19">
            <v>0.17814709143105745</v>
          </cell>
          <cell r="V19">
            <v>-557.92346742035807</v>
          </cell>
        </row>
        <row r="20">
          <cell r="A20" t="str">
            <v>Brian Carroll 2011 Long-Term Trust</v>
          </cell>
          <cell r="S20">
            <v>851.80110446282197</v>
          </cell>
          <cell r="U20">
            <v>0.37919619190782328</v>
          </cell>
          <cell r="V20">
            <v>-1187.5717561388155</v>
          </cell>
        </row>
        <row r="21">
          <cell r="A21" t="str">
            <v>Bryan C. White LLC</v>
          </cell>
          <cell r="S21">
            <v>333.48147824293119</v>
          </cell>
          <cell r="U21">
            <v>0.14845590826188726</v>
          </cell>
          <cell r="V21">
            <v>-464.93621889172391</v>
          </cell>
        </row>
        <row r="22">
          <cell r="A22" t="str">
            <v>Cameron J. Tringale</v>
          </cell>
          <cell r="S22">
            <v>851.80110446282197</v>
          </cell>
          <cell r="U22">
            <v>0.37919619190782328</v>
          </cell>
          <cell r="V22">
            <v>-1187.5717561388155</v>
          </cell>
        </row>
        <row r="23">
          <cell r="A23" t="str">
            <v>Charing Hatcherville LLC</v>
          </cell>
          <cell r="S23">
            <v>86822.630696482956</v>
          </cell>
          <cell r="U23">
            <v>38.650819726617556</v>
          </cell>
          <cell r="V23">
            <v>-121047.15932933614</v>
          </cell>
        </row>
        <row r="24">
          <cell r="A24" t="str">
            <v>Charing Silsbee, LLC</v>
          </cell>
          <cell r="S24">
            <v>10777.28294421453</v>
          </cell>
          <cell r="U24">
            <v>4.7977217100890357</v>
          </cell>
          <cell r="V24">
            <v>-15025.569661050569</v>
          </cell>
        </row>
        <row r="25">
          <cell r="A25" t="str">
            <v>Chase F. Monroe</v>
          </cell>
          <cell r="S25">
            <v>333.48147824293119</v>
          </cell>
          <cell r="U25">
            <v>0.14845590826188726</v>
          </cell>
          <cell r="V25">
            <v>-464.93621889172391</v>
          </cell>
        </row>
        <row r="26">
          <cell r="A26" t="str">
            <v>Chase The Lion, Inc.</v>
          </cell>
          <cell r="S26">
            <v>2065.6029591992265</v>
          </cell>
          <cell r="U26">
            <v>0.91954421286629895</v>
          </cell>
          <cell r="V26">
            <v>-2879.8409873966884</v>
          </cell>
        </row>
        <row r="27">
          <cell r="A27" t="str">
            <v>Chris Schaaf</v>
          </cell>
          <cell r="S27">
            <v>333.48147824293119</v>
          </cell>
          <cell r="U27">
            <v>0.14845590826188726</v>
          </cell>
          <cell r="V27">
            <v>-464.93621889172391</v>
          </cell>
        </row>
        <row r="28">
          <cell r="A28" t="str">
            <v>Christopher J. Campbell</v>
          </cell>
          <cell r="S28">
            <v>851.80110446282197</v>
          </cell>
          <cell r="U28">
            <v>0.37919619190782328</v>
          </cell>
          <cell r="V28">
            <v>-1187.5717561388155</v>
          </cell>
        </row>
        <row r="29">
          <cell r="A29" t="str">
            <v>Christopher Johnson</v>
          </cell>
          <cell r="S29">
            <v>282.6235859595472</v>
          </cell>
          <cell r="U29">
            <v>0.12581550666899233</v>
          </cell>
          <cell r="V29">
            <v>-394.0307033481713</v>
          </cell>
        </row>
        <row r="30">
          <cell r="A30" t="str">
            <v>CLIP Sponsor LLC</v>
          </cell>
          <cell r="S30">
            <v>8181.6424546856433</v>
          </cell>
          <cell r="U30">
            <v>3.6422207556595367</v>
          </cell>
          <cell r="V30">
            <v>-11406.756163034763</v>
          </cell>
        </row>
        <row r="31">
          <cell r="A31" t="str">
            <v>CLR Silsbee Sponsor LLC</v>
          </cell>
          <cell r="S31">
            <v>629.61159730731742</v>
          </cell>
          <cell r="U31">
            <v>0.28028411659609276</v>
          </cell>
          <cell r="V31">
            <v>-877.79758253680484</v>
          </cell>
        </row>
        <row r="32">
          <cell r="A32" t="str">
            <v>Daniel Ross</v>
          </cell>
          <cell r="S32">
            <v>266.78517918715079</v>
          </cell>
          <cell r="U32">
            <v>0.11876472509273128</v>
          </cell>
          <cell r="V32">
            <v>-371.94897036309158</v>
          </cell>
        </row>
        <row r="33">
          <cell r="A33" t="str">
            <v>Endurance Companies LLC</v>
          </cell>
          <cell r="S33">
            <v>1448.061877586646</v>
          </cell>
          <cell r="U33">
            <v>0.64463352624326831</v>
          </cell>
          <cell r="V33">
            <v>-2018.8719854360024</v>
          </cell>
        </row>
        <row r="34">
          <cell r="A34" t="str">
            <v>Forem Capital, LLC</v>
          </cell>
          <cell r="S34">
            <v>2555.4033133883495</v>
          </cell>
          <cell r="U34">
            <v>1.1375885757234414</v>
          </cell>
          <cell r="V34">
            <v>-3562.7152684164757</v>
          </cell>
        </row>
        <row r="35">
          <cell r="A35" t="str">
            <v>Francis Brawley</v>
          </cell>
          <cell r="S35">
            <v>533.57035837430158</v>
          </cell>
          <cell r="U35">
            <v>0.23752945018546257</v>
          </cell>
          <cell r="V35">
            <v>-743.89794072618315</v>
          </cell>
        </row>
        <row r="36">
          <cell r="A36" t="str">
            <v>Geoffrey and Elizabeth Bloomingdale Living Trust</v>
          </cell>
          <cell r="S36">
            <v>400.17777729869704</v>
          </cell>
          <cell r="U36">
            <v>0.17814709143105745</v>
          </cell>
          <cell r="V36">
            <v>-557.92346742035807</v>
          </cell>
        </row>
        <row r="37">
          <cell r="A37" t="str">
            <v>Greene 2000 Family Trust</v>
          </cell>
          <cell r="S37">
            <v>1703.6022089256439</v>
          </cell>
          <cell r="U37">
            <v>0.75839238381564655</v>
          </cell>
          <cell r="V37">
            <v>-2375.1435122776311</v>
          </cell>
        </row>
        <row r="38">
          <cell r="A38" t="str">
            <v>Greene Marital Trust</v>
          </cell>
          <cell r="S38">
            <v>1703.6022089256439</v>
          </cell>
          <cell r="U38">
            <v>0.75839238381564655</v>
          </cell>
          <cell r="V38">
            <v>-2375.1435122776311</v>
          </cell>
        </row>
        <row r="39">
          <cell r="A39" t="str">
            <v>Gregory Brent Wood</v>
          </cell>
          <cell r="S39">
            <v>266.78517918715079</v>
          </cell>
          <cell r="U39">
            <v>0.11876472509273128</v>
          </cell>
          <cell r="V39">
            <v>-371.94897036309158</v>
          </cell>
        </row>
        <row r="40">
          <cell r="A40" t="str">
            <v>Hundley Family Trust</v>
          </cell>
          <cell r="S40">
            <v>340.72044178514625</v>
          </cell>
          <cell r="U40">
            <v>0.15167847676313073</v>
          </cell>
          <cell r="V40">
            <v>-475.02870245552731</v>
          </cell>
        </row>
        <row r="41">
          <cell r="A41" t="str">
            <v>In God We Trust 2017 Living Trust</v>
          </cell>
          <cell r="S41">
            <v>170.36022089257312</v>
          </cell>
          <cell r="U41">
            <v>7.5839238381565366E-2</v>
          </cell>
          <cell r="V41">
            <v>-237.51435122776365</v>
          </cell>
        </row>
        <row r="42">
          <cell r="A42" t="str">
            <v>James and Natelie Bloomingdale</v>
          </cell>
          <cell r="S42">
            <v>0</v>
          </cell>
          <cell r="U42">
            <v>0</v>
          </cell>
          <cell r="V42">
            <v>0</v>
          </cell>
        </row>
        <row r="43">
          <cell r="A43" t="str">
            <v>James Campbell and Patricia Campbell</v>
          </cell>
          <cell r="S43">
            <v>266.78517918715079</v>
          </cell>
          <cell r="U43">
            <v>0.11876472509273128</v>
          </cell>
          <cell r="V43">
            <v>-371.94897036309158</v>
          </cell>
        </row>
        <row r="44">
          <cell r="A44" t="str">
            <v>James Kane</v>
          </cell>
          <cell r="S44">
            <v>266.78517918715079</v>
          </cell>
          <cell r="U44">
            <v>0.11876472509273128</v>
          </cell>
          <cell r="V44">
            <v>-371.94897036309158</v>
          </cell>
        </row>
        <row r="45">
          <cell r="A45" t="str">
            <v>James Thorp</v>
          </cell>
          <cell r="S45">
            <v>333.48147824293119</v>
          </cell>
          <cell r="U45">
            <v>0.14845590826188726</v>
          </cell>
          <cell r="V45">
            <v>-464.93621889172391</v>
          </cell>
        </row>
        <row r="46">
          <cell r="A46" t="str">
            <v>Jeffrey A. Lipsitz Revocable Trust</v>
          </cell>
          <cell r="S46">
            <v>1703.6022089256439</v>
          </cell>
          <cell r="U46">
            <v>0.75839238381564655</v>
          </cell>
          <cell r="V46">
            <v>-2375.1435122776311</v>
          </cell>
        </row>
        <row r="47">
          <cell r="A47" t="str">
            <v>Jeffrey D Furber Revocable Trust</v>
          </cell>
          <cell r="S47">
            <v>851.80110446282197</v>
          </cell>
          <cell r="U47">
            <v>0.37919619190782328</v>
          </cell>
          <cell r="V47">
            <v>-1187.5717561388155</v>
          </cell>
        </row>
        <row r="48">
          <cell r="A48" t="str">
            <v>Jeremy M. Jacobs Trust U/A/D April 1, 1973 fbo Margaret L. Reichenback</v>
          </cell>
          <cell r="S48">
            <v>2555.4033133883495</v>
          </cell>
          <cell r="U48">
            <v>1.1375885757234414</v>
          </cell>
          <cell r="V48">
            <v>-3562.7152684164757</v>
          </cell>
        </row>
        <row r="49">
          <cell r="A49" t="str">
            <v>John Mark Comer</v>
          </cell>
          <cell r="S49">
            <v>170.36022089257312</v>
          </cell>
          <cell r="U49">
            <v>7.5839238381565366E-2</v>
          </cell>
          <cell r="V49">
            <v>-237.51435122776365</v>
          </cell>
        </row>
        <row r="50">
          <cell r="A50" t="str">
            <v>Landscape I, LP</v>
          </cell>
          <cell r="S50">
            <v>1277.7016566941747</v>
          </cell>
          <cell r="U50">
            <v>0.5687942878617207</v>
          </cell>
          <cell r="V50">
            <v>-1781.3576342082379</v>
          </cell>
        </row>
        <row r="51">
          <cell r="A51" t="str">
            <v>Lisa Bell Trust, Elisabeth B. Bell, Trustee</v>
          </cell>
          <cell r="S51">
            <v>400.17777729869704</v>
          </cell>
          <cell r="U51">
            <v>0.17814709143105745</v>
          </cell>
          <cell r="V51">
            <v>-557.92346742035807</v>
          </cell>
        </row>
        <row r="52">
          <cell r="A52" t="str">
            <v>Madten Investments LLC</v>
          </cell>
          <cell r="S52">
            <v>1703.6022089256439</v>
          </cell>
          <cell r="U52">
            <v>0.75839238381564655</v>
          </cell>
          <cell r="V52">
            <v>-2375.1435122776311</v>
          </cell>
        </row>
        <row r="53">
          <cell r="A53" t="str">
            <v>Matt McCoy</v>
          </cell>
          <cell r="S53">
            <v>200.08888013134128</v>
          </cell>
          <cell r="U53">
            <v>8.9073541923561095E-2</v>
          </cell>
          <cell r="V53">
            <v>-278.96172183446106</v>
          </cell>
        </row>
        <row r="54">
          <cell r="A54" t="str">
            <v>Matterhorn Holdings, LLC</v>
          </cell>
          <cell r="S54">
            <v>170.36022089257312</v>
          </cell>
          <cell r="U54">
            <v>7.5839238381565366E-2</v>
          </cell>
          <cell r="V54">
            <v>-237.51435122776365</v>
          </cell>
        </row>
        <row r="55">
          <cell r="A55" t="str">
            <v>Max O. Reinbach III</v>
          </cell>
          <cell r="S55">
            <v>133.39259811158263</v>
          </cell>
          <cell r="U55">
            <v>5.9382366338326165E-2</v>
          </cell>
          <cell r="V55">
            <v>-185.97449705726376</v>
          </cell>
        </row>
        <row r="56">
          <cell r="A56" t="str">
            <v>Meghann C. Robinson</v>
          </cell>
          <cell r="S56">
            <v>1333.9259129717248</v>
          </cell>
          <cell r="U56">
            <v>0.59382363304754904</v>
          </cell>
          <cell r="V56">
            <v>-1859.7448755668956</v>
          </cell>
        </row>
        <row r="57">
          <cell r="A57" t="str">
            <v>Nahas Investments II LLC</v>
          </cell>
          <cell r="S57">
            <v>666.96295648586238</v>
          </cell>
          <cell r="U57">
            <v>0.29691181652377452</v>
          </cell>
          <cell r="V57">
            <v>-929.87243778344782</v>
          </cell>
        </row>
        <row r="58">
          <cell r="A58" t="str">
            <v>Odyssey Holdings, LLC</v>
          </cell>
          <cell r="S58">
            <v>-320894.82131795539</v>
          </cell>
          <cell r="U58">
            <v>-142.85270776145302</v>
          </cell>
          <cell r="V58">
            <v>-38696.334568815277</v>
          </cell>
        </row>
        <row r="59">
          <cell r="A59" t="str">
            <v>Pease River Holdings LLC</v>
          </cell>
          <cell r="S59">
            <v>133.39259811158263</v>
          </cell>
          <cell r="U59">
            <v>5.9382366338326165E-2</v>
          </cell>
          <cell r="V59">
            <v>-185.97449705726376</v>
          </cell>
        </row>
        <row r="60">
          <cell r="A60" t="str">
            <v>PT Burros, LLC</v>
          </cell>
          <cell r="S60">
            <v>561.31682533491403</v>
          </cell>
          <cell r="U60">
            <v>0.24988134143713125</v>
          </cell>
          <cell r="V60">
            <v>-782.58176060203914</v>
          </cell>
        </row>
        <row r="61">
          <cell r="A61" t="str">
            <v>Robert D. Falese III</v>
          </cell>
          <cell r="S61">
            <v>1495.0649610079126</v>
          </cell>
          <cell r="U61">
            <v>0.66555788305367969</v>
          </cell>
          <cell r="V61">
            <v>-2084.4031687485767</v>
          </cell>
        </row>
        <row r="62">
          <cell r="A62" t="str">
            <v>Robert Parker Yates</v>
          </cell>
          <cell r="S62">
            <v>66.696299055791314</v>
          </cell>
          <cell r="U62">
            <v>2.9691183169163082E-2</v>
          </cell>
          <cell r="V62">
            <v>-92.987248528631881</v>
          </cell>
        </row>
        <row r="63">
          <cell r="A63" t="str">
            <v>Robert S. Shafir &amp; Donna R. Shafir TEN/COM</v>
          </cell>
          <cell r="S63">
            <v>2555.4033133883495</v>
          </cell>
          <cell r="U63">
            <v>1.1375885757234414</v>
          </cell>
          <cell r="V63">
            <v>-3562.7152684164757</v>
          </cell>
        </row>
        <row r="64">
          <cell r="A64" t="str">
            <v>Robert S. Shafir 2011 Children's Trust</v>
          </cell>
          <cell r="S64">
            <v>1703.6022089256439</v>
          </cell>
          <cell r="U64">
            <v>0.75839238381564655</v>
          </cell>
          <cell r="V64">
            <v>-2375.1435122776311</v>
          </cell>
        </row>
        <row r="65">
          <cell r="A65" t="str">
            <v>Romar Partners, LP</v>
          </cell>
          <cell r="S65">
            <v>1703.6022089256439</v>
          </cell>
          <cell r="U65">
            <v>0.75839238381564655</v>
          </cell>
          <cell r="V65">
            <v>-2375.1435122776311</v>
          </cell>
        </row>
        <row r="66">
          <cell r="A66" t="str">
            <v>Steven and Chani Laufer 2012 Dynasty Trust</v>
          </cell>
          <cell r="S66">
            <v>3407.2044178512879</v>
          </cell>
          <cell r="U66">
            <v>1.5167847676312931</v>
          </cell>
          <cell r="V66">
            <v>-4750.2870245552622</v>
          </cell>
        </row>
        <row r="67">
          <cell r="A67" t="str">
            <v>Steven M. Laufer 2012 Trust</v>
          </cell>
          <cell r="S67">
            <v>1703.6022089256439</v>
          </cell>
          <cell r="U67">
            <v>0.75839238381564655</v>
          </cell>
          <cell r="V67">
            <v>-2375.1435122776311</v>
          </cell>
        </row>
        <row r="68">
          <cell r="A68" t="str">
            <v>Stewart Tate</v>
          </cell>
          <cell r="S68">
            <v>891.48968661983963</v>
          </cell>
          <cell r="U68">
            <v>0.39686435309860713</v>
          </cell>
          <cell r="V68">
            <v>-1242.9051420242686</v>
          </cell>
        </row>
        <row r="69">
          <cell r="A69" t="str">
            <v>TC Wilson Family Trust</v>
          </cell>
          <cell r="S69">
            <v>266.78517918715079</v>
          </cell>
          <cell r="U69">
            <v>0.11876472509273128</v>
          </cell>
          <cell r="V69">
            <v>-371.94897036309158</v>
          </cell>
        </row>
        <row r="70">
          <cell r="A70" t="str">
            <v>Terminal Refrigerating &amp; Warehousing Corp.</v>
          </cell>
          <cell r="S70">
            <v>3407.2044178512879</v>
          </cell>
          <cell r="U70">
            <v>1.5167847676312931</v>
          </cell>
          <cell r="V70">
            <v>-4750.2870245552622</v>
          </cell>
        </row>
        <row r="71">
          <cell r="A71" t="str">
            <v>The 2015 Pipe Reality Delaware Trust</v>
          </cell>
          <cell r="S71">
            <v>1703.6022089256439</v>
          </cell>
          <cell r="U71">
            <v>0.75839238381564655</v>
          </cell>
          <cell r="V71">
            <v>-2375.1435122776311</v>
          </cell>
        </row>
        <row r="72">
          <cell r="A72" t="str">
            <v>The David L. Schnadig 2017 Trust</v>
          </cell>
          <cell r="S72">
            <v>1703.6022089256439</v>
          </cell>
          <cell r="U72">
            <v>0.75839238381564655</v>
          </cell>
          <cell r="V72">
            <v>-2375.1435122776311</v>
          </cell>
        </row>
        <row r="73">
          <cell r="A73" t="str">
            <v>The Diane Rosen 2021 Irrevocable Family Trust</v>
          </cell>
          <cell r="S73">
            <v>1022.1613253553514</v>
          </cell>
          <cell r="U73">
            <v>0.45503543028937088</v>
          </cell>
          <cell r="V73">
            <v>-1425.0861073665947</v>
          </cell>
        </row>
        <row r="74">
          <cell r="A74" t="str">
            <v>The Mark T. Kirchdorfer 2015 Family Delaware Dynasty Trust</v>
          </cell>
          <cell r="S74">
            <v>1703.6022089256439</v>
          </cell>
          <cell r="U74">
            <v>0.75839238381564655</v>
          </cell>
          <cell r="V74">
            <v>-2375.1435122776311</v>
          </cell>
        </row>
        <row r="75">
          <cell r="A75" t="str">
            <v>University of Southern California</v>
          </cell>
          <cell r="S75">
            <v>34072.04417851381</v>
          </cell>
          <cell r="U75">
            <v>15.167847676313613</v>
          </cell>
          <cell r="V75">
            <v>-47502.870245552855</v>
          </cell>
        </row>
        <row r="76">
          <cell r="A76" t="str">
            <v>Walker D. Zimmerman</v>
          </cell>
          <cell r="S76">
            <v>425.90055223141098</v>
          </cell>
          <cell r="U76">
            <v>0.18959809595391164</v>
          </cell>
          <cell r="V76">
            <v>-593.78587806940777</v>
          </cell>
        </row>
        <row r="77">
          <cell r="A77" t="str">
            <v>Wilson Family Trust DTD 3-6-1987</v>
          </cell>
          <cell r="S77">
            <v>533.57035837430158</v>
          </cell>
          <cell r="U77">
            <v>0.23752945018546257</v>
          </cell>
          <cell r="V77">
            <v>-743.89794072618315</v>
          </cell>
        </row>
        <row r="78">
          <cell r="A78" t="str">
            <v>Wilson GST Exempt Trust</v>
          </cell>
          <cell r="S78">
            <v>533.57035837430158</v>
          </cell>
          <cell r="U78">
            <v>0.23752945018546257</v>
          </cell>
          <cell r="V78">
            <v>-743.89794072618315</v>
          </cell>
        </row>
        <row r="79">
          <cell r="A79" t="str">
            <v>Texas Emerging Managers Private Markets Program, L.P. (2025-1 RE Investment Series)</v>
          </cell>
          <cell r="S79">
            <v>8518.0110446284525</v>
          </cell>
          <cell r="U79">
            <v>3.7919619190784033</v>
          </cell>
          <cell r="V79">
            <v>-11875.717561388214</v>
          </cell>
        </row>
        <row r="80">
          <cell r="A80" t="str">
            <v>GCM Grosvenor NJ RE Emerging Managers Program, LP (2023-1 Investment Series)</v>
          </cell>
          <cell r="S80">
            <v>12777.016566942446</v>
          </cell>
          <cell r="U80">
            <v>5.6879428786173776</v>
          </cell>
          <cell r="V80">
            <v>-17813.57634208235</v>
          </cell>
        </row>
        <row r="81">
          <cell r="A81" t="str">
            <v>GCM Grosvenor - NYSTRS Real Estate Investment Partners, L.P. (2024-1 Series)</v>
          </cell>
          <cell r="S81">
            <v>8518.0110446284525</v>
          </cell>
          <cell r="U81">
            <v>3.7919619190784033</v>
          </cell>
          <cell r="V81">
            <v>-11875.717561388214</v>
          </cell>
        </row>
        <row r="82">
          <cell r="A82" t="str">
            <v>CRPTF-GCM Middle-Market RE Partnership, L.P. (2025-01 Investment Series)</v>
          </cell>
          <cell r="S82">
            <v>51108.066267769784</v>
          </cell>
          <cell r="U82">
            <v>22.75177151446951</v>
          </cell>
          <cell r="V82">
            <v>-71254.305368329398</v>
          </cell>
        </row>
        <row r="83">
          <cell r="A83" t="str">
            <v>Legacy Knight Strategic Opportunities Fund LLC - CL Rail Series</v>
          </cell>
          <cell r="S83">
            <v>17036.022089256905</v>
          </cell>
          <cell r="U83">
            <v>7.5839238381568066</v>
          </cell>
          <cell r="V83">
            <v>-23751.435122776427</v>
          </cell>
        </row>
        <row r="84">
          <cell r="A84" t="str">
            <v>Argos Holdings, LLC</v>
          </cell>
          <cell r="S84">
            <v>666.96295648586238</v>
          </cell>
          <cell r="U84">
            <v>0.29691181652377452</v>
          </cell>
          <cell r="V84">
            <v>-929.87243778344782</v>
          </cell>
        </row>
      </sheetData>
      <sheetData sheetId="3">
        <row r="1">
          <cell r="A1" t="str">
            <v>County Line Rail Subsequent Close Workbook - Legacy Knight</v>
          </cell>
          <cell r="M1" t="str">
            <v>Amount before Rebalance</v>
          </cell>
          <cell r="T1" t="str">
            <v>Rebalance</v>
          </cell>
        </row>
        <row r="2">
          <cell r="A2" t="str">
            <v xml:space="preserve"> </v>
          </cell>
          <cell r="M2" t="str">
            <v>Contribution - Investment</v>
          </cell>
          <cell r="P2" t="str">
            <v>Contribution - Org Exp</v>
          </cell>
          <cell r="Q2" t="str">
            <v>Contribution - General</v>
          </cell>
          <cell r="T2" t="str">
            <v>Contribution - Investment (Rebalanced)</v>
          </cell>
          <cell r="W2" t="str">
            <v>Contribution - Org Exp (Rebalanced)</v>
          </cell>
          <cell r="X2" t="str">
            <v>Contribution - General (Rebalanced)</v>
          </cell>
          <cell r="AT2" t="str">
            <v xml:space="preserve">Distribution to LPs </v>
          </cell>
        </row>
        <row r="3">
          <cell r="A3" t="str">
            <v>Investor Name</v>
          </cell>
          <cell r="M3">
            <v>-125602254.41</v>
          </cell>
          <cell r="P3">
            <v>-55914.34</v>
          </cell>
          <cell r="Q3">
            <v>-13952542.020000009</v>
          </cell>
          <cell r="T3">
            <v>-125602254.41</v>
          </cell>
          <cell r="W3">
            <v>-55914.34</v>
          </cell>
          <cell r="X3">
            <v>-13952542.020000009</v>
          </cell>
          <cell r="AT3">
            <v>-328344.71188172756</v>
          </cell>
        </row>
        <row r="4">
          <cell r="A4" t="str">
            <v>1999 Britta Biesecker Declaration of Trust DTD 5/12/99</v>
          </cell>
          <cell r="M4">
            <v>-332165.64087117976</v>
          </cell>
          <cell r="P4">
            <v>-147.87013710249406</v>
          </cell>
          <cell r="Q4">
            <v>-36898.661442229481</v>
          </cell>
          <cell r="T4">
            <v>-320756.44722458854</v>
          </cell>
          <cell r="W4">
            <v>-142.79110778349045</v>
          </cell>
          <cell r="X4">
            <v>-35631.269749969346</v>
          </cell>
          <cell r="AT4">
            <v>-868.33498460019325</v>
          </cell>
        </row>
        <row r="5">
          <cell r="A5" t="str">
            <v>1999 Frederick N Biesecker II Declaration of Trust DTD 5/12/99</v>
          </cell>
          <cell r="M5">
            <v>-465031.89721965161</v>
          </cell>
          <cell r="P5">
            <v>-207.01819194349167</v>
          </cell>
          <cell r="Q5">
            <v>-51658.126019121271</v>
          </cell>
          <cell r="T5">
            <v>-449059.02611442399</v>
          </cell>
          <cell r="W5">
            <v>-199.90755089688665</v>
          </cell>
          <cell r="X5">
            <v>-49883.77764995709</v>
          </cell>
          <cell r="AT5">
            <v>-1215.6689784402704</v>
          </cell>
        </row>
        <row r="6">
          <cell r="A6" t="str">
            <v>1999 Lissa Biesecker Longacre Declaration of Trust DTD 5/12/99</v>
          </cell>
          <cell r="M6">
            <v>-398598.76904541568</v>
          </cell>
          <cell r="P6">
            <v>-177.44416452299288</v>
          </cell>
          <cell r="Q6">
            <v>-44278.393730675372</v>
          </cell>
          <cell r="T6">
            <v>-384907.7366695063</v>
          </cell>
          <cell r="W6">
            <v>-171.34932934018855</v>
          </cell>
          <cell r="X6">
            <v>-42757.523699963218</v>
          </cell>
          <cell r="AT6">
            <v>-1042.0019815202318</v>
          </cell>
        </row>
        <row r="7">
          <cell r="A7" t="str">
            <v>Abigail Levy</v>
          </cell>
          <cell r="M7">
            <v>-498248.46130676963</v>
          </cell>
          <cell r="P7">
            <v>-221.8052056537411</v>
          </cell>
          <cell r="Q7">
            <v>-55347.992163344221</v>
          </cell>
          <cell r="T7">
            <v>-481134.67083688284</v>
          </cell>
          <cell r="W7">
            <v>-214.18666167523571</v>
          </cell>
          <cell r="X7">
            <v>-53446.904624954026</v>
          </cell>
          <cell r="AT7">
            <v>-1302.5024769002898</v>
          </cell>
        </row>
        <row r="8">
          <cell r="A8" t="str">
            <v>AKWT LLC</v>
          </cell>
          <cell r="M8">
            <v>-52017.351946436909</v>
          </cell>
          <cell r="P8">
            <v>-23.156558107138316</v>
          </cell>
          <cell r="Q8">
            <v>-5778.3539969964604</v>
          </cell>
          <cell r="T8">
            <v>-50230.664919496798</v>
          </cell>
          <cell r="W8">
            <v>-22.361178865203591</v>
          </cell>
          <cell r="X8">
            <v>-5579.8796468578412</v>
          </cell>
          <cell r="AT8">
            <v>-135.98181432278042</v>
          </cell>
        </row>
        <row r="9">
          <cell r="A9" t="str">
            <v>Alexander S. Bloomingdale</v>
          </cell>
          <cell r="M9">
            <v>-95795.215591433487</v>
          </cell>
          <cell r="P9">
            <v>-42.645144230199911</v>
          </cell>
          <cell r="Q9">
            <v>-10641.423413400298</v>
          </cell>
          <cell r="T9">
            <v>-92504.850693266664</v>
          </cell>
          <cell r="W9">
            <v>-41.180372897038893</v>
          </cell>
          <cell r="X9">
            <v>-10275.912820310579</v>
          </cell>
          <cell r="AT9">
            <v>-250.42426675195856</v>
          </cell>
        </row>
        <row r="10">
          <cell r="A10" t="str">
            <v>Alexander Sharpe Moore</v>
          </cell>
          <cell r="M10">
            <v>-104034.697249561</v>
          </cell>
          <cell r="P10">
            <v>-46.313113256873891</v>
          </cell>
          <cell r="Q10">
            <v>-11556.70725601969</v>
          </cell>
          <cell r="T10">
            <v>-100461.32342386465</v>
          </cell>
          <cell r="W10">
            <v>-44.722354874585022</v>
          </cell>
          <cell r="X10">
            <v>-11159.758581090286</v>
          </cell>
          <cell r="AT10">
            <v>-271.96361127886109</v>
          </cell>
        </row>
        <row r="11">
          <cell r="A11" t="str">
            <v>All Dogs Go To Heaven, LLC</v>
          </cell>
          <cell r="M11">
            <v>-347642.47373555205</v>
          </cell>
          <cell r="P11">
            <v>-154.75995686700927</v>
          </cell>
          <cell r="Q11">
            <v>-38617.907341843515</v>
          </cell>
          <cell r="T11">
            <v>-335701.6833147658</v>
          </cell>
          <cell r="W11">
            <v>-149.44427667804425</v>
          </cell>
          <cell r="X11">
            <v>-37291.463155943893</v>
          </cell>
          <cell r="AT11">
            <v>-908.79394173885885</v>
          </cell>
        </row>
        <row r="12">
          <cell r="A12" t="str">
            <v>Alten Investments LLC</v>
          </cell>
          <cell r="M12">
            <v>-664331.28174235951</v>
          </cell>
          <cell r="P12">
            <v>-295.74027420498811</v>
          </cell>
          <cell r="Q12">
            <v>-73797.322884458961</v>
          </cell>
          <cell r="T12">
            <v>-641512.89444917708</v>
          </cell>
          <cell r="W12">
            <v>-285.58221556698089</v>
          </cell>
          <cell r="X12">
            <v>-71262.539499938692</v>
          </cell>
          <cell r="AT12">
            <v>-1736.6699692003865</v>
          </cell>
        </row>
        <row r="13">
          <cell r="A13" t="str">
            <v>Avery Ryan Klann</v>
          </cell>
          <cell r="M13">
            <v>-260086.74644555888</v>
          </cell>
          <cell r="P13">
            <v>-115.78278462088609</v>
          </cell>
          <cell r="Q13">
            <v>-28891.768509035839</v>
          </cell>
          <cell r="T13">
            <v>-251153.31176722609</v>
          </cell>
          <cell r="W13">
            <v>-111.80588861437363</v>
          </cell>
          <cell r="X13">
            <v>-27899.396809038411</v>
          </cell>
          <cell r="AT13">
            <v>-679.90903688050264</v>
          </cell>
        </row>
        <row r="14">
          <cell r="A14" t="str">
            <v>BBR Real Assets Fund 2024 LLC</v>
          </cell>
          <cell r="M14">
            <v>-6643312.8174235951</v>
          </cell>
          <cell r="P14">
            <v>-2957.4027420498815</v>
          </cell>
          <cell r="Q14">
            <v>-737973.22884458955</v>
          </cell>
          <cell r="T14">
            <v>-6415128.944491771</v>
          </cell>
          <cell r="W14">
            <v>-2855.8221556698095</v>
          </cell>
          <cell r="X14">
            <v>-712625.39499938698</v>
          </cell>
          <cell r="AT14">
            <v>-17366.699692003865</v>
          </cell>
        </row>
        <row r="15">
          <cell r="A15" t="str">
            <v>Belclaire Asset Management, LLC</v>
          </cell>
          <cell r="M15">
            <v>-607729.22018111078</v>
          </cell>
          <cell r="P15">
            <v>-270.54274148789534</v>
          </cell>
          <cell r="Q15">
            <v>-67509.675850879343</v>
          </cell>
          <cell r="T15">
            <v>-586854.99508199177</v>
          </cell>
          <cell r="W15">
            <v>-261.25016529241782</v>
          </cell>
          <cell r="X15">
            <v>-65190.859964982294</v>
          </cell>
          <cell r="AT15">
            <v>-1588.7029786193614</v>
          </cell>
        </row>
        <row r="16">
          <cell r="A16" t="str">
            <v>Benaiah Inc.</v>
          </cell>
          <cell r="M16">
            <v>-607729.22018111078</v>
          </cell>
          <cell r="P16">
            <v>-270.54274148789534</v>
          </cell>
          <cell r="Q16">
            <v>-67509.675850879343</v>
          </cell>
          <cell r="T16">
            <v>-586854.99508199177</v>
          </cell>
          <cell r="W16">
            <v>-261.25016529241782</v>
          </cell>
          <cell r="X16">
            <v>-65190.859964982294</v>
          </cell>
          <cell r="AT16">
            <v>-1588.7029786193614</v>
          </cell>
        </row>
        <row r="17">
          <cell r="A17" t="str">
            <v>Benjamin Johnson</v>
          </cell>
          <cell r="M17">
            <v>-52017.351946436909</v>
          </cell>
          <cell r="P17">
            <v>-23.156558107138316</v>
          </cell>
          <cell r="Q17">
            <v>-5778.3539969964604</v>
          </cell>
          <cell r="T17">
            <v>-50230.664919496798</v>
          </cell>
          <cell r="W17">
            <v>-22.361178865203591</v>
          </cell>
          <cell r="X17">
            <v>-5579.8796468578412</v>
          </cell>
          <cell r="AT17">
            <v>-135.98181432278042</v>
          </cell>
        </row>
        <row r="18">
          <cell r="A18" t="str">
            <v>Bloomingdale Family Trust Share #3</v>
          </cell>
          <cell r="M18">
            <v>-156052.04919599788</v>
          </cell>
          <cell r="P18">
            <v>-69.4696713640122</v>
          </cell>
          <cell r="Q18">
            <v>-17335.061253016149</v>
          </cell>
          <cell r="T18">
            <v>-150691.98834336145</v>
          </cell>
          <cell r="W18">
            <v>-67.083533739788606</v>
          </cell>
          <cell r="X18">
            <v>-16739.638227948126</v>
          </cell>
          <cell r="AT18">
            <v>-407.94542560164149</v>
          </cell>
        </row>
        <row r="19">
          <cell r="A19" t="str">
            <v>Brian Carroll 2011 Long-Term Trust</v>
          </cell>
          <cell r="M19">
            <v>-332165.64087117976</v>
          </cell>
          <cell r="P19">
            <v>-147.87013710249406</v>
          </cell>
          <cell r="Q19">
            <v>-36898.661442229481</v>
          </cell>
          <cell r="T19">
            <v>-320756.44722458854</v>
          </cell>
          <cell r="W19">
            <v>-142.79110778349045</v>
          </cell>
          <cell r="X19">
            <v>-35631.269749969346</v>
          </cell>
          <cell r="AT19">
            <v>-868.33498460019325</v>
          </cell>
        </row>
        <row r="20">
          <cell r="A20" t="str">
            <v>Bryan C. White LLC</v>
          </cell>
          <cell r="M20">
            <v>-130043.37322277944</v>
          </cell>
          <cell r="P20">
            <v>-57.891392310443045</v>
          </cell>
          <cell r="Q20">
            <v>-14445.88425451792</v>
          </cell>
          <cell r="T20">
            <v>-125576.65588361304</v>
          </cell>
          <cell r="W20">
            <v>-55.902944307186814</v>
          </cell>
          <cell r="X20">
            <v>-13949.698404519206</v>
          </cell>
          <cell r="AT20">
            <v>-339.95451844025132</v>
          </cell>
        </row>
        <row r="21">
          <cell r="A21" t="str">
            <v>Cameron J. Tringale</v>
          </cell>
          <cell r="M21">
            <v>-332165.64087117976</v>
          </cell>
          <cell r="P21">
            <v>-147.87013710249406</v>
          </cell>
          <cell r="Q21">
            <v>-36898.661442229481</v>
          </cell>
          <cell r="T21">
            <v>-320756.44722458854</v>
          </cell>
          <cell r="W21">
            <v>-142.79110778349045</v>
          </cell>
          <cell r="X21">
            <v>-35631.269749969346</v>
          </cell>
          <cell r="AT21">
            <v>-868.33498460019325</v>
          </cell>
        </row>
        <row r="22">
          <cell r="A22" t="str">
            <v>Charing Hatcherville LLC</v>
          </cell>
          <cell r="M22">
            <v>-33857076.04312928</v>
          </cell>
          <cell r="P22">
            <v>-15072.150338176285</v>
          </cell>
          <cell r="Q22">
            <v>-3761017.4943522862</v>
          </cell>
          <cell r="T22">
            <v>-32694156.43509784</v>
          </cell>
          <cell r="W22">
            <v>-14554.453560665579</v>
          </cell>
          <cell r="X22">
            <v>-3631834.4253607439</v>
          </cell>
          <cell r="AT22">
            <v>-88507.9008395087</v>
          </cell>
        </row>
        <row r="23">
          <cell r="A23" t="str">
            <v>Charing Silsbee, LLC</v>
          </cell>
          <cell r="M23">
            <v>-4202674.8700597947</v>
          </cell>
          <cell r="P23">
            <v>-1870.9042500694964</v>
          </cell>
          <cell r="Q23">
            <v>-466854.65954692906</v>
          </cell>
          <cell r="T23">
            <v>-4058321.7957911342</v>
          </cell>
          <cell r="W23">
            <v>-1806.6426099212563</v>
          </cell>
          <cell r="X23">
            <v>-450819.18037571071</v>
          </cell>
          <cell r="AT23">
            <v>-10986.475329000905</v>
          </cell>
        </row>
        <row r="24">
          <cell r="A24" t="str">
            <v>Chase F. Monroe</v>
          </cell>
          <cell r="M24">
            <v>-130043.37322277944</v>
          </cell>
          <cell r="P24">
            <v>-57.891392310443045</v>
          </cell>
          <cell r="Q24">
            <v>-14445.88425451792</v>
          </cell>
          <cell r="T24">
            <v>-125576.65588361304</v>
          </cell>
          <cell r="W24">
            <v>-55.902944307186814</v>
          </cell>
          <cell r="X24">
            <v>-13949.698404519206</v>
          </cell>
          <cell r="AT24">
            <v>-339.95451844025132</v>
          </cell>
        </row>
        <row r="25">
          <cell r="A25" t="str">
            <v>Chase The Lion, Inc.</v>
          </cell>
          <cell r="M25">
            <v>-805495.93929033668</v>
          </cell>
          <cell r="P25">
            <v>-358.582527277579</v>
          </cell>
          <cell r="Q25">
            <v>-89478.616388536771</v>
          </cell>
          <cell r="T25">
            <v>-777828.84184821928</v>
          </cell>
          <cell r="W25">
            <v>-346.26596894462193</v>
          </cell>
          <cell r="X25">
            <v>-86405.213435334401</v>
          </cell>
          <cell r="AT25">
            <v>-2105.6973328269351</v>
          </cell>
        </row>
        <row r="26">
          <cell r="A26" t="str">
            <v>Chris Schaaf</v>
          </cell>
          <cell r="M26">
            <v>-130043.37322277944</v>
          </cell>
          <cell r="P26">
            <v>-57.891392310443045</v>
          </cell>
          <cell r="Q26">
            <v>-14445.88425451792</v>
          </cell>
          <cell r="T26">
            <v>-125576.65588361304</v>
          </cell>
          <cell r="W26">
            <v>-55.902944307186814</v>
          </cell>
          <cell r="X26">
            <v>-13949.698404519206</v>
          </cell>
          <cell r="AT26">
            <v>-339.95451844025132</v>
          </cell>
        </row>
        <row r="27">
          <cell r="A27" t="str">
            <v>Christopher J. Campbell</v>
          </cell>
          <cell r="M27">
            <v>-332165.64087117976</v>
          </cell>
          <cell r="P27">
            <v>-147.87013710249406</v>
          </cell>
          <cell r="Q27">
            <v>-36898.661442229481</v>
          </cell>
          <cell r="T27">
            <v>-320756.44722458854</v>
          </cell>
          <cell r="W27">
            <v>-142.79110778349045</v>
          </cell>
          <cell r="X27">
            <v>-35631.269749969346</v>
          </cell>
          <cell r="AT27">
            <v>-868.33498460019325</v>
          </cell>
        </row>
        <row r="28">
          <cell r="A28" t="str">
            <v>Christopher Johnson</v>
          </cell>
          <cell r="M28">
            <v>-110210.99181923253</v>
          </cell>
          <cell r="P28">
            <v>-49.06261354356041</v>
          </cell>
          <cell r="Q28">
            <v>-12242.801704849735</v>
          </cell>
          <cell r="T28">
            <v>-106425.4752186876</v>
          </cell>
          <cell r="W28">
            <v>-47.377415588533403</v>
          </cell>
          <cell r="X28">
            <v>-11822.287123446611</v>
          </cell>
          <cell r="AT28">
            <v>-288.10944934921679</v>
          </cell>
        </row>
        <row r="29">
          <cell r="A29" t="str">
            <v>CLIP Sponsor LLC</v>
          </cell>
          <cell r="M29">
            <v>-3190487.1866225363</v>
          </cell>
          <cell r="P29">
            <v>-1420.3087847143997</v>
          </cell>
          <cell r="Q29">
            <v>-354415.66510671139</v>
          </cell>
          <cell r="T29">
            <v>-3080900.6380449203</v>
          </cell>
          <cell r="W29">
            <v>-1371.5241544911742</v>
          </cell>
          <cell r="X29">
            <v>-342242.22975685832</v>
          </cell>
          <cell r="AT29">
            <v>-8340.4521755981768</v>
          </cell>
        </row>
        <row r="30">
          <cell r="A30" t="str">
            <v>CLR Silsbee Sponsor LLC</v>
          </cell>
          <cell r="M30">
            <v>-245521.32959654738</v>
          </cell>
          <cell r="P30">
            <v>-109.29869981076094</v>
          </cell>
          <cell r="Q30">
            <v>-27273.767370606682</v>
          </cell>
          <cell r="T30">
            <v>-237088.18646233049</v>
          </cell>
          <cell r="W30">
            <v>-105.54451852882266</v>
          </cell>
          <cell r="X30">
            <v>-26336.970618880023</v>
          </cell>
          <cell r="AT30">
            <v>-641.83266937268206</v>
          </cell>
        </row>
        <row r="31">
          <cell r="A31" t="str">
            <v>Daniel Ross</v>
          </cell>
          <cell r="M31">
            <v>-104034.697249561</v>
          </cell>
          <cell r="P31">
            <v>-46.313113256873891</v>
          </cell>
          <cell r="Q31">
            <v>-11556.70725601969</v>
          </cell>
          <cell r="T31">
            <v>-100461.32342386465</v>
          </cell>
          <cell r="W31">
            <v>-44.722354874585022</v>
          </cell>
          <cell r="X31">
            <v>-11159.758581090286</v>
          </cell>
          <cell r="AT31">
            <v>-271.96361127886109</v>
          </cell>
        </row>
        <row r="32">
          <cell r="A32" t="str">
            <v>Endurance Companies LLC</v>
          </cell>
          <cell r="M32">
            <v>-564681.58948100545</v>
          </cell>
          <cell r="P32">
            <v>-251.37923307423989</v>
          </cell>
          <cell r="Q32">
            <v>-62727.724451790113</v>
          </cell>
          <cell r="T32">
            <v>-545285.9602818006</v>
          </cell>
          <cell r="W32">
            <v>-242.74488323193381</v>
          </cell>
          <cell r="X32">
            <v>-60573.158574947898</v>
          </cell>
          <cell r="AT32">
            <v>-1476.1694738203284</v>
          </cell>
        </row>
        <row r="33">
          <cell r="A33" t="str">
            <v>Forem Capital, LLC</v>
          </cell>
          <cell r="M33">
            <v>-996496.92261353927</v>
          </cell>
          <cell r="P33">
            <v>-443.6104113074822</v>
          </cell>
          <cell r="Q33">
            <v>-110695.98432668844</v>
          </cell>
          <cell r="T33">
            <v>-962269.34167376568</v>
          </cell>
          <cell r="W33">
            <v>-428.37332335047142</v>
          </cell>
          <cell r="X33">
            <v>-106893.80924990805</v>
          </cell>
          <cell r="AT33">
            <v>-2605.0049538005796</v>
          </cell>
        </row>
        <row r="34">
          <cell r="A34" t="str">
            <v>Francis Brawley</v>
          </cell>
          <cell r="M34">
            <v>-208069.39449912199</v>
          </cell>
          <cell r="P34">
            <v>-92.626226513747781</v>
          </cell>
          <cell r="Q34">
            <v>-23113.41451203938</v>
          </cell>
          <cell r="T34">
            <v>-200922.64684772931</v>
          </cell>
          <cell r="W34">
            <v>-89.444709749170045</v>
          </cell>
          <cell r="X34">
            <v>-22319.517162180571</v>
          </cell>
          <cell r="AT34">
            <v>-543.92722255772219</v>
          </cell>
        </row>
        <row r="35">
          <cell r="A35" t="str">
            <v>Geoffrey and Elizabeth Bloomingdale Living Trust</v>
          </cell>
          <cell r="M35">
            <v>-156052.04919599788</v>
          </cell>
          <cell r="P35">
            <v>-69.4696713640122</v>
          </cell>
          <cell r="Q35">
            <v>-17335.061253016149</v>
          </cell>
          <cell r="T35">
            <v>-150691.98834336145</v>
          </cell>
          <cell r="W35">
            <v>-67.083533739788606</v>
          </cell>
          <cell r="X35">
            <v>-16739.638227948126</v>
          </cell>
          <cell r="AT35">
            <v>-407.94542560164149</v>
          </cell>
        </row>
        <row r="36">
          <cell r="A36" t="str">
            <v>Greene 2000 Family Trust</v>
          </cell>
          <cell r="M36">
            <v>-664331.28174235951</v>
          </cell>
          <cell r="P36">
            <v>-295.74027420498811</v>
          </cell>
          <cell r="Q36">
            <v>-73797.322884458961</v>
          </cell>
          <cell r="T36">
            <v>-641512.89444917708</v>
          </cell>
          <cell r="W36">
            <v>-285.58221556698089</v>
          </cell>
          <cell r="X36">
            <v>-71262.539499938692</v>
          </cell>
          <cell r="AT36">
            <v>-1736.6699692003865</v>
          </cell>
        </row>
        <row r="37">
          <cell r="A37" t="str">
            <v>Greene Marital Trust</v>
          </cell>
          <cell r="M37">
            <v>-664331.28174235951</v>
          </cell>
          <cell r="P37">
            <v>-295.74027420498811</v>
          </cell>
          <cell r="Q37">
            <v>-73797.322884458961</v>
          </cell>
          <cell r="T37">
            <v>-641512.89444917708</v>
          </cell>
          <cell r="W37">
            <v>-285.58221556698089</v>
          </cell>
          <cell r="X37">
            <v>-71262.539499938692</v>
          </cell>
          <cell r="AT37">
            <v>-1736.6699692003865</v>
          </cell>
        </row>
        <row r="38">
          <cell r="A38" t="str">
            <v>Gregory Brent Wood</v>
          </cell>
          <cell r="M38">
            <v>-104034.697249561</v>
          </cell>
          <cell r="P38">
            <v>-46.313113256873891</v>
          </cell>
          <cell r="Q38">
            <v>-11556.70725601969</v>
          </cell>
          <cell r="T38">
            <v>-100461.32342386465</v>
          </cell>
          <cell r="W38">
            <v>-44.722354874585022</v>
          </cell>
          <cell r="X38">
            <v>-11159.758581090286</v>
          </cell>
          <cell r="AT38">
            <v>-271.96361127886109</v>
          </cell>
        </row>
        <row r="39">
          <cell r="A39" t="str">
            <v>Hundley Family Trust</v>
          </cell>
          <cell r="M39">
            <v>-132866.25634847191</v>
          </cell>
          <cell r="P39">
            <v>-59.148054840997631</v>
          </cell>
          <cell r="Q39">
            <v>-14759.464576891793</v>
          </cell>
          <cell r="T39">
            <v>-128302.57888983544</v>
          </cell>
          <cell r="W39">
            <v>-57.116443113396194</v>
          </cell>
          <cell r="X39">
            <v>-14252.507899987741</v>
          </cell>
          <cell r="AT39">
            <v>-347.33399384007731</v>
          </cell>
        </row>
        <row r="40">
          <cell r="A40" t="str">
            <v>In God We Trust 2017 Living Trust</v>
          </cell>
          <cell r="M40">
            <v>-66433.128174235957</v>
          </cell>
          <cell r="P40">
            <v>-29.574027420498815</v>
          </cell>
          <cell r="Q40">
            <v>-7379.7322884458963</v>
          </cell>
          <cell r="T40">
            <v>-64151.289444917718</v>
          </cell>
          <cell r="W40">
            <v>-28.558221556698097</v>
          </cell>
          <cell r="X40">
            <v>-7126.2539499938703</v>
          </cell>
          <cell r="AT40">
            <v>-173.66699692003866</v>
          </cell>
        </row>
        <row r="41">
          <cell r="A41" t="str">
            <v>James and Natelie Bloomingdale</v>
          </cell>
          <cell r="Q41">
            <v>0</v>
          </cell>
          <cell r="AT41">
            <v>0</v>
          </cell>
        </row>
        <row r="42">
          <cell r="A42" t="str">
            <v>James Campbell and Patricia Campbell</v>
          </cell>
          <cell r="M42">
            <v>-104034.697249561</v>
          </cell>
          <cell r="P42">
            <v>-46.313113256873891</v>
          </cell>
          <cell r="Q42">
            <v>-11556.70725601969</v>
          </cell>
          <cell r="T42">
            <v>-100461.32342386465</v>
          </cell>
          <cell r="W42">
            <v>-44.722354874585022</v>
          </cell>
          <cell r="X42">
            <v>-11159.758581090286</v>
          </cell>
          <cell r="AT42">
            <v>-271.96361127886109</v>
          </cell>
        </row>
        <row r="43">
          <cell r="A43" t="str">
            <v>James Kane</v>
          </cell>
          <cell r="M43">
            <v>-104034.697249561</v>
          </cell>
          <cell r="P43">
            <v>-46.313113256873891</v>
          </cell>
          <cell r="Q43">
            <v>-11556.70725601969</v>
          </cell>
          <cell r="T43">
            <v>-100461.32342386465</v>
          </cell>
          <cell r="W43">
            <v>-44.722354874585022</v>
          </cell>
          <cell r="X43">
            <v>-11159.758581090286</v>
          </cell>
          <cell r="AT43">
            <v>-271.96361127886109</v>
          </cell>
        </row>
        <row r="44">
          <cell r="A44" t="str">
            <v>James Thorp</v>
          </cell>
          <cell r="M44">
            <v>-130043.37322277944</v>
          </cell>
          <cell r="P44">
            <v>-57.891392310443045</v>
          </cell>
          <cell r="Q44">
            <v>-14445.88425451792</v>
          </cell>
          <cell r="T44">
            <v>-125576.65588361304</v>
          </cell>
          <cell r="W44">
            <v>-55.902944307186814</v>
          </cell>
          <cell r="X44">
            <v>-13949.698404519206</v>
          </cell>
          <cell r="AT44">
            <v>-339.95451844025132</v>
          </cell>
        </row>
        <row r="45">
          <cell r="A45" t="str">
            <v>Jeffrey A. Lipsitz Revocable Trust</v>
          </cell>
          <cell r="M45">
            <v>-664331.28174235951</v>
          </cell>
          <cell r="P45">
            <v>-295.74027420498811</v>
          </cell>
          <cell r="Q45">
            <v>-73797.322884458961</v>
          </cell>
          <cell r="T45">
            <v>-641512.89444917708</v>
          </cell>
          <cell r="W45">
            <v>-285.58221556698089</v>
          </cell>
          <cell r="X45">
            <v>-71262.539499938692</v>
          </cell>
          <cell r="AT45">
            <v>-1736.6699692003865</v>
          </cell>
        </row>
        <row r="46">
          <cell r="A46" t="str">
            <v>Jeffrey D Furber Revocable Trust</v>
          </cell>
          <cell r="M46">
            <v>-332165.64087117976</v>
          </cell>
          <cell r="P46">
            <v>-147.87013710249406</v>
          </cell>
          <cell r="Q46">
            <v>-36898.661442229481</v>
          </cell>
          <cell r="T46">
            <v>-320756.44722458854</v>
          </cell>
          <cell r="W46">
            <v>-142.79110778349045</v>
          </cell>
          <cell r="X46">
            <v>-35631.269749969346</v>
          </cell>
          <cell r="AT46">
            <v>-868.33498460019325</v>
          </cell>
        </row>
        <row r="47">
          <cell r="A47" t="str">
            <v>Jeremy M. Jacobs Trust U/A/D April 1, 1973 fbo Margaret L. Reichenback</v>
          </cell>
          <cell r="M47">
            <v>-996496.92261353927</v>
          </cell>
          <cell r="P47">
            <v>-443.6104113074822</v>
          </cell>
          <cell r="Q47">
            <v>-110695.98432668844</v>
          </cell>
          <cell r="T47">
            <v>-962269.34167376568</v>
          </cell>
          <cell r="W47">
            <v>-428.37332335047142</v>
          </cell>
          <cell r="X47">
            <v>-106893.80924990805</v>
          </cell>
          <cell r="AT47">
            <v>-2605.0049538005796</v>
          </cell>
        </row>
        <row r="48">
          <cell r="A48" t="str">
            <v>John Mark Comer</v>
          </cell>
          <cell r="M48">
            <v>-66433.128174235957</v>
          </cell>
          <cell r="P48">
            <v>-29.574027420498815</v>
          </cell>
          <cell r="Q48">
            <v>-7379.7322884458963</v>
          </cell>
          <cell r="T48">
            <v>-64151.289444917718</v>
          </cell>
          <cell r="W48">
            <v>-28.558221556698097</v>
          </cell>
          <cell r="X48">
            <v>-7126.2539499938703</v>
          </cell>
          <cell r="AT48">
            <v>-173.66699692003866</v>
          </cell>
        </row>
        <row r="49">
          <cell r="A49" t="str">
            <v>Landscape I, LP</v>
          </cell>
          <cell r="M49">
            <v>-498248.46130676963</v>
          </cell>
          <cell r="P49">
            <v>-221.8052056537411</v>
          </cell>
          <cell r="Q49">
            <v>-55347.992163344221</v>
          </cell>
          <cell r="T49">
            <v>-481134.67083688284</v>
          </cell>
          <cell r="W49">
            <v>-214.18666167523571</v>
          </cell>
          <cell r="X49">
            <v>-53446.904624954026</v>
          </cell>
          <cell r="AT49">
            <v>-1302.5024769002898</v>
          </cell>
        </row>
        <row r="50">
          <cell r="A50" t="str">
            <v>Lisa Bell Trust, Elisabeth B. Bell, Trustee</v>
          </cell>
          <cell r="M50">
            <v>-156052.04919599788</v>
          </cell>
          <cell r="P50">
            <v>-69.4696713640122</v>
          </cell>
          <cell r="Q50">
            <v>-17335.061253016149</v>
          </cell>
          <cell r="T50">
            <v>-150691.98834336145</v>
          </cell>
          <cell r="W50">
            <v>-67.083533739788606</v>
          </cell>
          <cell r="X50">
            <v>-16739.638227948126</v>
          </cell>
          <cell r="AT50">
            <v>-407.94542560164149</v>
          </cell>
        </row>
        <row r="51">
          <cell r="A51" t="str">
            <v>Madten Investments LLC</v>
          </cell>
          <cell r="M51">
            <v>-664331.28174235951</v>
          </cell>
          <cell r="P51">
            <v>-295.74027420498811</v>
          </cell>
          <cell r="Q51">
            <v>-73797.322884458961</v>
          </cell>
          <cell r="T51">
            <v>-641512.89444917708</v>
          </cell>
          <cell r="W51">
            <v>-285.58221556698089</v>
          </cell>
          <cell r="X51">
            <v>-71262.539499938692</v>
          </cell>
          <cell r="AT51">
            <v>-1736.6699692003865</v>
          </cell>
        </row>
        <row r="52">
          <cell r="A52" t="str">
            <v>Matt McCoy</v>
          </cell>
          <cell r="M52">
            <v>-78026.021276342537</v>
          </cell>
          <cell r="P52">
            <v>-34.734834203304729</v>
          </cell>
          <cell r="Q52">
            <v>-8667.5302575214591</v>
          </cell>
          <cell r="T52">
            <v>-75345.990964116238</v>
          </cell>
          <cell r="W52">
            <v>-33.54176544198323</v>
          </cell>
          <cell r="X52">
            <v>-8369.8187576613655</v>
          </cell>
          <cell r="AT52">
            <v>-203.9727041174709</v>
          </cell>
        </row>
        <row r="53">
          <cell r="A53" t="str">
            <v>Matterhorn Holdings, LLC</v>
          </cell>
          <cell r="M53">
            <v>-66433.128174235957</v>
          </cell>
          <cell r="P53">
            <v>-29.574027420498815</v>
          </cell>
          <cell r="Q53">
            <v>-7379.7322884458963</v>
          </cell>
          <cell r="T53">
            <v>-64151.289444917718</v>
          </cell>
          <cell r="W53">
            <v>-28.558221556698097</v>
          </cell>
          <cell r="X53">
            <v>-7126.2539499938703</v>
          </cell>
          <cell r="AT53">
            <v>-173.66699692003866</v>
          </cell>
        </row>
        <row r="54">
          <cell r="A54" t="str">
            <v>Max O. Reinbach III</v>
          </cell>
          <cell r="M54">
            <v>-52017.351946436909</v>
          </cell>
          <cell r="P54">
            <v>-23.156558107138316</v>
          </cell>
          <cell r="Q54">
            <v>-5778.3539969964604</v>
          </cell>
          <cell r="T54">
            <v>-50230.664919496798</v>
          </cell>
          <cell r="W54">
            <v>-22.361178865203591</v>
          </cell>
          <cell r="X54">
            <v>-5579.8796468578412</v>
          </cell>
          <cell r="AT54">
            <v>-135.98181432278042</v>
          </cell>
        </row>
        <row r="55">
          <cell r="A55" t="str">
            <v>Meghann C. Robinson</v>
          </cell>
          <cell r="M55">
            <v>-520173.49289111776</v>
          </cell>
          <cell r="P55">
            <v>-231.56556924177218</v>
          </cell>
          <cell r="Q55">
            <v>-57783.537018071678</v>
          </cell>
          <cell r="T55">
            <v>-502306.62353445217</v>
          </cell>
          <cell r="W55">
            <v>-223.61177722874726</v>
          </cell>
          <cell r="X55">
            <v>-55798.793618076823</v>
          </cell>
          <cell r="AT55">
            <v>-1359.8180737610053</v>
          </cell>
        </row>
        <row r="56">
          <cell r="A56" t="str">
            <v>Nahas Investments II LLC</v>
          </cell>
          <cell r="M56">
            <v>-260086.74644555888</v>
          </cell>
          <cell r="P56">
            <v>-115.78278462088609</v>
          </cell>
          <cell r="Q56">
            <v>-28891.768509035839</v>
          </cell>
          <cell r="T56">
            <v>-251153.31176722609</v>
          </cell>
          <cell r="W56">
            <v>-111.80588861437363</v>
          </cell>
          <cell r="X56">
            <v>-27899.396809038411</v>
          </cell>
          <cell r="AT56">
            <v>-679.90903688050264</v>
          </cell>
        </row>
        <row r="57">
          <cell r="A57" t="str">
            <v>Odyssey Holdings, LLC</v>
          </cell>
          <cell r="M57">
            <v>-467133.76167533064</v>
          </cell>
          <cell r="P57">
            <v>-207.95387868224336</v>
          </cell>
          <cell r="Q57">
            <v>-51891.611893048947</v>
          </cell>
          <cell r="T57">
            <v>-451088.69593091385</v>
          </cell>
          <cell r="W57">
            <v>-200.81109875707472</v>
          </cell>
          <cell r="X57">
            <v>-50109.243773430157</v>
          </cell>
          <cell r="AT57">
            <v>-1221.1635938224242</v>
          </cell>
          <cell r="BB57">
            <v>-9544.3130583680759</v>
          </cell>
        </row>
        <row r="58">
          <cell r="A58" t="str">
            <v>Pease River Holdings LLC</v>
          </cell>
          <cell r="M58">
            <v>-52017.351946436909</v>
          </cell>
          <cell r="P58">
            <v>-23.156558107138316</v>
          </cell>
          <cell r="Q58">
            <v>-5778.3539969964604</v>
          </cell>
          <cell r="T58">
            <v>-50230.664919496798</v>
          </cell>
          <cell r="W58">
            <v>-22.361178865203591</v>
          </cell>
          <cell r="X58">
            <v>-5579.8796468578412</v>
          </cell>
          <cell r="AT58">
            <v>-135.98181432278042</v>
          </cell>
        </row>
        <row r="59">
          <cell r="A59" t="str">
            <v>PT Burros, LLC</v>
          </cell>
          <cell r="M59">
            <v>-218889.31822498288</v>
          </cell>
          <cell r="P59">
            <v>-97.442930615307972</v>
          </cell>
          <cell r="Q59">
            <v>-24315.347082019191</v>
          </cell>
          <cell r="T59">
            <v>-211370.92886884935</v>
          </cell>
          <cell r="W59">
            <v>-94.095970159176517</v>
          </cell>
          <cell r="X59">
            <v>-23480.165867263702</v>
          </cell>
          <cell r="AT59">
            <v>-572.2122621458908</v>
          </cell>
        </row>
        <row r="60">
          <cell r="A60" t="str">
            <v>Robert D. Falese III</v>
          </cell>
          <cell r="M60">
            <v>-583010.76192010276</v>
          </cell>
          <cell r="P60">
            <v>-259.53882849306797</v>
          </cell>
          <cell r="Q60">
            <v>-64763.82284707472</v>
          </cell>
          <cell r="T60">
            <v>-562985.56405994005</v>
          </cell>
          <cell r="W60">
            <v>-250.6242136481352</v>
          </cell>
          <cell r="X60">
            <v>-62539.321257392396</v>
          </cell>
          <cell r="AT60">
            <v>-1524.0849103052544</v>
          </cell>
        </row>
        <row r="61">
          <cell r="A61" t="str">
            <v>Robert Parker Yates</v>
          </cell>
          <cell r="M61">
            <v>-26008.675973218455</v>
          </cell>
          <cell r="P61">
            <v>-11.578279053569158</v>
          </cell>
          <cell r="Q61">
            <v>-2889.1769984982302</v>
          </cell>
          <cell r="T61">
            <v>-25115.332459748399</v>
          </cell>
          <cell r="W61">
            <v>-11.180589432601796</v>
          </cell>
          <cell r="X61">
            <v>-2789.9398234289206</v>
          </cell>
          <cell r="AT61">
            <v>-67.990907161390211</v>
          </cell>
        </row>
        <row r="62">
          <cell r="A62" t="str">
            <v>Robert S. Shafir &amp; Donna R. Shafir TEN/COM</v>
          </cell>
          <cell r="M62">
            <v>-996496.92261353927</v>
          </cell>
          <cell r="P62">
            <v>-443.6104113074822</v>
          </cell>
          <cell r="Q62">
            <v>-110695.98432668844</v>
          </cell>
          <cell r="T62">
            <v>-962269.34167376568</v>
          </cell>
          <cell r="W62">
            <v>-428.37332335047142</v>
          </cell>
          <cell r="X62">
            <v>-106893.80924990805</v>
          </cell>
          <cell r="AT62">
            <v>-2605.0049538005796</v>
          </cell>
        </row>
        <row r="63">
          <cell r="A63" t="str">
            <v>Robert S. Shafir 2011 Children's Trust</v>
          </cell>
          <cell r="M63">
            <v>-664331.28174235951</v>
          </cell>
          <cell r="P63">
            <v>-295.74027420498811</v>
          </cell>
          <cell r="Q63">
            <v>-73797.322884458961</v>
          </cell>
          <cell r="T63">
            <v>-641512.89444917708</v>
          </cell>
          <cell r="W63">
            <v>-285.58221556698089</v>
          </cell>
          <cell r="X63">
            <v>-71262.539499938692</v>
          </cell>
          <cell r="AT63">
            <v>-1736.6699692003865</v>
          </cell>
        </row>
        <row r="64">
          <cell r="A64" t="str">
            <v>Romar Partners, LP</v>
          </cell>
          <cell r="M64">
            <v>-664331.28174235951</v>
          </cell>
          <cell r="P64">
            <v>-295.74027420498811</v>
          </cell>
          <cell r="Q64">
            <v>-73797.322884458961</v>
          </cell>
          <cell r="T64">
            <v>-641512.89444917708</v>
          </cell>
          <cell r="W64">
            <v>-285.58221556698089</v>
          </cell>
          <cell r="X64">
            <v>-71262.539499938692</v>
          </cell>
          <cell r="AT64">
            <v>-1736.6699692003865</v>
          </cell>
        </row>
        <row r="65">
          <cell r="A65" t="str">
            <v>Steven and Chani Laufer 2012 Dynasty Trust</v>
          </cell>
          <cell r="M65">
            <v>-1328662.563484719</v>
          </cell>
          <cell r="P65">
            <v>-591.48054840997622</v>
          </cell>
          <cell r="Q65">
            <v>-147594.64576891792</v>
          </cell>
          <cell r="T65">
            <v>-1283025.7888983542</v>
          </cell>
          <cell r="W65">
            <v>-571.16443113396178</v>
          </cell>
          <cell r="X65">
            <v>-142525.07899987738</v>
          </cell>
          <cell r="AT65">
            <v>-3473.339938400773</v>
          </cell>
        </row>
        <row r="66">
          <cell r="A66" t="str">
            <v>Steven M. Laufer 2012 Trust</v>
          </cell>
          <cell r="M66">
            <v>-664331.28174235951</v>
          </cell>
          <cell r="P66">
            <v>-295.74027420498811</v>
          </cell>
          <cell r="Q66">
            <v>-73797.322884458961</v>
          </cell>
          <cell r="T66">
            <v>-641512.89444917708</v>
          </cell>
          <cell r="W66">
            <v>-285.58221556698089</v>
          </cell>
          <cell r="X66">
            <v>-71262.539499938692</v>
          </cell>
          <cell r="AT66">
            <v>-1736.6699692003865</v>
          </cell>
        </row>
        <row r="67">
          <cell r="A67" t="str">
            <v>Stewart Tate</v>
          </cell>
          <cell r="M67">
            <v>-347642.47373555205</v>
          </cell>
          <cell r="P67">
            <v>-154.75995686700927</v>
          </cell>
          <cell r="Q67">
            <v>-38617.907341843515</v>
          </cell>
          <cell r="T67">
            <v>-335701.6833147658</v>
          </cell>
          <cell r="W67">
            <v>-149.44427667804425</v>
          </cell>
          <cell r="X67">
            <v>-37291.463155943893</v>
          </cell>
          <cell r="AT67">
            <v>-908.79394173885885</v>
          </cell>
        </row>
        <row r="68">
          <cell r="A68" t="str">
            <v>TC Wilson Family Trust</v>
          </cell>
          <cell r="M68">
            <v>-104034.697249561</v>
          </cell>
          <cell r="P68">
            <v>-46.313113256873891</v>
          </cell>
          <cell r="Q68">
            <v>-11556.70725601969</v>
          </cell>
          <cell r="T68">
            <v>-100461.32342386465</v>
          </cell>
          <cell r="W68">
            <v>-44.722354874585022</v>
          </cell>
          <cell r="X68">
            <v>-11159.758581090286</v>
          </cell>
          <cell r="AT68">
            <v>-271.96361127886109</v>
          </cell>
        </row>
        <row r="69">
          <cell r="A69" t="str">
            <v>Terminal Refrigerating &amp; Warehousing Corp.</v>
          </cell>
          <cell r="M69">
            <v>0</v>
          </cell>
          <cell r="P69">
            <v>0</v>
          </cell>
          <cell r="Q69">
            <v>0</v>
          </cell>
          <cell r="T69">
            <v>0</v>
          </cell>
          <cell r="W69">
            <v>0</v>
          </cell>
          <cell r="X69">
            <v>0</v>
          </cell>
          <cell r="AT69">
            <v>0</v>
          </cell>
        </row>
        <row r="70">
          <cell r="A70" t="str">
            <v>The 2015 Pipe Reality Delaware Trust</v>
          </cell>
          <cell r="M70">
            <v>-664331.28174235951</v>
          </cell>
          <cell r="P70">
            <v>-295.74027420498811</v>
          </cell>
          <cell r="Q70">
            <v>-73797.322884458961</v>
          </cell>
          <cell r="T70">
            <v>-641512.89444917708</v>
          </cell>
          <cell r="W70">
            <v>-285.58221556698089</v>
          </cell>
          <cell r="X70">
            <v>-71262.539499938692</v>
          </cell>
          <cell r="AT70">
            <v>-1736.6699692003865</v>
          </cell>
        </row>
        <row r="71">
          <cell r="A71" t="str">
            <v>The David L. Schnadig 2017 Trust</v>
          </cell>
          <cell r="M71">
            <v>-664331.28174235951</v>
          </cell>
          <cell r="P71">
            <v>-295.74027420498811</v>
          </cell>
          <cell r="Q71">
            <v>-73797.322884458961</v>
          </cell>
          <cell r="T71">
            <v>-641512.89444917708</v>
          </cell>
          <cell r="W71">
            <v>-285.58221556698089</v>
          </cell>
          <cell r="X71">
            <v>-71262.539499938692</v>
          </cell>
          <cell r="AT71">
            <v>-1736.6699692003865</v>
          </cell>
        </row>
        <row r="72">
          <cell r="A72" t="str">
            <v>The Diane Rosen 2021 Irrevocable Family Trust</v>
          </cell>
          <cell r="M72">
            <v>-398598.76904541568</v>
          </cell>
          <cell r="P72">
            <v>-177.44416452299288</v>
          </cell>
          <cell r="Q72">
            <v>-44278.393730675372</v>
          </cell>
          <cell r="T72">
            <v>-384907.7366695063</v>
          </cell>
          <cell r="W72">
            <v>-171.34932934018855</v>
          </cell>
          <cell r="X72">
            <v>-42757.523699963218</v>
          </cell>
          <cell r="AT72">
            <v>-1042.0019815202318</v>
          </cell>
        </row>
        <row r="73">
          <cell r="A73" t="str">
            <v>The Mark T. Kirchdorfer 2015 Family Delaware Dynasty Trust</v>
          </cell>
          <cell r="M73">
            <v>-664331.28174235951</v>
          </cell>
          <cell r="P73">
            <v>-295.74027420498811</v>
          </cell>
          <cell r="Q73">
            <v>-73797.322884458961</v>
          </cell>
          <cell r="T73">
            <v>-641512.89444917708</v>
          </cell>
          <cell r="W73">
            <v>-285.58221556698089</v>
          </cell>
          <cell r="X73">
            <v>-71262.539499938692</v>
          </cell>
          <cell r="AT73">
            <v>-1736.6699692003865</v>
          </cell>
        </row>
        <row r="74">
          <cell r="A74" t="str">
            <v>University of Southern California</v>
          </cell>
          <cell r="M74">
            <v>-13286625.63484719</v>
          </cell>
          <cell r="P74">
            <v>-5914.8054840997629</v>
          </cell>
          <cell r="Q74">
            <v>-1475946.4576891791</v>
          </cell>
          <cell r="T74">
            <v>-12830257.888983542</v>
          </cell>
          <cell r="W74">
            <v>-5711.644311339619</v>
          </cell>
          <cell r="X74">
            <v>-1425250.789998774</v>
          </cell>
          <cell r="AT74">
            <v>-34733.399384007731</v>
          </cell>
        </row>
        <row r="75">
          <cell r="A75" t="str">
            <v>Walker D. Zimmerman</v>
          </cell>
          <cell r="M75">
            <v>-166082.82043558988</v>
          </cell>
          <cell r="P75">
            <v>-73.935068551247028</v>
          </cell>
          <cell r="Q75">
            <v>-18449.33072111474</v>
          </cell>
          <cell r="T75">
            <v>-160378.22361229427</v>
          </cell>
          <cell r="W75">
            <v>-71.395553891745223</v>
          </cell>
          <cell r="X75">
            <v>-17815.634874984673</v>
          </cell>
          <cell r="AT75">
            <v>-434.16749230009663</v>
          </cell>
        </row>
        <row r="76">
          <cell r="A76" t="str">
            <v>Wilson Family Trust DTD 3-6-1987</v>
          </cell>
          <cell r="M76">
            <v>-208069.39449912199</v>
          </cell>
          <cell r="P76">
            <v>-92.626226513747781</v>
          </cell>
          <cell r="Q76">
            <v>-23113.41451203938</v>
          </cell>
          <cell r="T76">
            <v>-200922.64684772931</v>
          </cell>
          <cell r="W76">
            <v>-89.444709749170045</v>
          </cell>
          <cell r="X76">
            <v>-22319.517162180571</v>
          </cell>
          <cell r="AT76">
            <v>-543.92722255772219</v>
          </cell>
        </row>
        <row r="77">
          <cell r="A77" t="str">
            <v>Wilson GST Exempt Trust</v>
          </cell>
          <cell r="M77">
            <v>-208069.39449912199</v>
          </cell>
          <cell r="P77">
            <v>-92.626226513747781</v>
          </cell>
          <cell r="Q77">
            <v>-23113.41451203938</v>
          </cell>
          <cell r="T77">
            <v>-200922.64684772931</v>
          </cell>
          <cell r="W77">
            <v>-89.444709749170045</v>
          </cell>
          <cell r="X77">
            <v>-22319.517162180571</v>
          </cell>
          <cell r="AT77">
            <v>-543.92722255772219</v>
          </cell>
        </row>
        <row r="78">
          <cell r="A78" t="str">
            <v>Texas Emerging Managers Private Markets Program, L.P. (2025-1 RE Investment Series)</v>
          </cell>
          <cell r="M78">
            <v>-3321656.4087117976</v>
          </cell>
          <cell r="P78">
            <v>-1478.7013710249407</v>
          </cell>
          <cell r="Q78">
            <v>-368986.61442229478</v>
          </cell>
          <cell r="T78">
            <v>-3207564.4722458855</v>
          </cell>
          <cell r="W78">
            <v>-1427.9110778349047</v>
          </cell>
          <cell r="X78">
            <v>-356312.69749969349</v>
          </cell>
          <cell r="AT78">
            <v>-8683.3498460019327</v>
          </cell>
        </row>
        <row r="79">
          <cell r="A79" t="str">
            <v>GCM Grosvenor NJ RE Emerging Managers Program, LP (2023-1 Investment Series)</v>
          </cell>
          <cell r="M79">
            <v>-4982484.6130676959</v>
          </cell>
          <cell r="P79">
            <v>-2218.0520565374109</v>
          </cell>
          <cell r="Q79">
            <v>-553479.92163344217</v>
          </cell>
          <cell r="T79">
            <v>-4811346.7083688285</v>
          </cell>
          <cell r="W79">
            <v>-2141.866616752357</v>
          </cell>
          <cell r="X79">
            <v>-534469.04624954017</v>
          </cell>
          <cell r="AT79">
            <v>-13025.024769002897</v>
          </cell>
        </row>
        <row r="80">
          <cell r="A80" t="str">
            <v>GCM Grosvenor - NYSTRS Real Estate Investment Partners, L.P. (2024-1 Series)</v>
          </cell>
          <cell r="M80">
            <v>-3321656.4087117976</v>
          </cell>
          <cell r="P80">
            <v>-1478.7013710249407</v>
          </cell>
          <cell r="Q80">
            <v>-368986.61442229478</v>
          </cell>
          <cell r="T80">
            <v>-3207564.4722458855</v>
          </cell>
          <cell r="W80">
            <v>-1427.9110778349047</v>
          </cell>
          <cell r="X80">
            <v>-356312.69749969349</v>
          </cell>
          <cell r="AT80">
            <v>-8683.3498460019327</v>
          </cell>
        </row>
        <row r="81">
          <cell r="A81" t="str">
            <v>CRPTF-GCM Middle-Market RE Partnership, L.P. (2025-01 Investment Series)</v>
          </cell>
          <cell r="M81">
            <v>-19929938.452270783</v>
          </cell>
          <cell r="P81">
            <v>-8872.2082261496435</v>
          </cell>
          <cell r="Q81">
            <v>-2213919.6865337687</v>
          </cell>
          <cell r="T81">
            <v>-19245386.833475314</v>
          </cell>
          <cell r="W81">
            <v>-8567.466467009428</v>
          </cell>
          <cell r="X81">
            <v>-2137876.1849981607</v>
          </cell>
          <cell r="AT81">
            <v>-52100.099076011589</v>
          </cell>
        </row>
        <row r="82">
          <cell r="A82" t="str">
            <v>Legacy Knight Strategic Opportunities Fund LLC - CL Rail Series</v>
          </cell>
          <cell r="H82">
            <v>5.2891668613988495E-2</v>
          </cell>
          <cell r="I82">
            <v>8.5295167571835445E-2</v>
          </cell>
          <cell r="M82">
            <v>-6643312.8174235951</v>
          </cell>
          <cell r="N82">
            <v>-220516.3</v>
          </cell>
          <cell r="P82">
            <v>-2957.4027420498815</v>
          </cell>
          <cell r="Q82">
            <v>-737973.22884458955</v>
          </cell>
          <cell r="T82">
            <v>-10713265.337301258</v>
          </cell>
          <cell r="U82">
            <v>-147745.92391304349</v>
          </cell>
          <cell r="V82">
            <v>-220516.3</v>
          </cell>
          <cell r="W82">
            <v>-4769.2229999685815</v>
          </cell>
          <cell r="X82">
            <v>-1190084.4096489763</v>
          </cell>
          <cell r="AS82">
            <v>327055.93395487551</v>
          </cell>
          <cell r="AT82">
            <v>-17366.699692003865</v>
          </cell>
          <cell r="BA82">
            <v>9508.832340678975</v>
          </cell>
        </row>
        <row r="83">
          <cell r="A83" t="str">
            <v>Argos Holdings, LLC</v>
          </cell>
          <cell r="M83">
            <v>-260086.74644555888</v>
          </cell>
          <cell r="P83">
            <v>-115.78278462088609</v>
          </cell>
          <cell r="Q83">
            <v>-28891.768509035839</v>
          </cell>
          <cell r="T83">
            <v>-251153.31176722609</v>
          </cell>
          <cell r="W83">
            <v>-111.80588861437363</v>
          </cell>
          <cell r="X83">
            <v>-27899.396809038411</v>
          </cell>
          <cell r="AT83">
            <v>-679.90903688050264</v>
          </cell>
        </row>
        <row r="84">
          <cell r="A84" t="str">
            <v>Palmatum HR Illiquid, LLC</v>
          </cell>
          <cell r="M84">
            <v>-1328662.563484719</v>
          </cell>
          <cell r="P84">
            <v>-591.48054840997622</v>
          </cell>
          <cell r="Q84">
            <v>-147594.64576891792</v>
          </cell>
          <cell r="T84">
            <v>-1283025.7888983542</v>
          </cell>
          <cell r="W84">
            <v>-571.16443113396178</v>
          </cell>
          <cell r="X84">
            <v>-142525.07899987738</v>
          </cell>
          <cell r="AT84">
            <v>-3473.339938400773</v>
          </cell>
        </row>
        <row r="85">
          <cell r="A85" t="str">
            <v>James Bloomingdale</v>
          </cell>
          <cell r="I85">
            <v>1.276873766045441E-4</v>
          </cell>
          <cell r="M85">
            <v>0</v>
          </cell>
          <cell r="P85">
            <v>0</v>
          </cell>
          <cell r="Q85">
            <v>0</v>
          </cell>
          <cell r="T85">
            <v>-16037.82236122943</v>
          </cell>
          <cell r="U85">
            <v>-551.29076086956525</v>
          </cell>
          <cell r="W85">
            <v>-7.1395553891745243</v>
          </cell>
          <cell r="X85">
            <v>-1781.5634874984676</v>
          </cell>
          <cell r="AS85">
            <v>1288.7779268520665</v>
          </cell>
          <cell r="AT85">
            <v>0</v>
          </cell>
          <cell r="BA85">
            <v>35.480717689100658</v>
          </cell>
        </row>
        <row r="86">
          <cell r="M86">
            <v>-125602254.40999998</v>
          </cell>
          <cell r="N86">
            <v>-2653283.8859915757</v>
          </cell>
          <cell r="P86">
            <v>-55914.340000000026</v>
          </cell>
          <cell r="Q86">
            <v>-13952542.020000009</v>
          </cell>
          <cell r="R86">
            <v>-142263994.65599158</v>
          </cell>
          <cell r="T86">
            <v>-125602254.40999997</v>
          </cell>
          <cell r="U86">
            <v>-148297.21467391305</v>
          </cell>
          <cell r="W86">
            <v>-55914.340000000018</v>
          </cell>
          <cell r="X86">
            <v>-13952542.020000009</v>
          </cell>
          <cell r="AT86">
            <v>-328344.71188172756</v>
          </cell>
        </row>
        <row r="87">
          <cell r="M87">
            <v>0</v>
          </cell>
          <cell r="P87">
            <v>0</v>
          </cell>
          <cell r="T87">
            <v>0</v>
          </cell>
        </row>
        <row r="89">
          <cell r="A89" t="str">
            <v>GP Commitment</v>
          </cell>
          <cell r="X89" t="str">
            <v>Increase in contributions</v>
          </cell>
        </row>
        <row r="90">
          <cell r="A90" t="str">
            <v>LP Commitment (After Terminal transfer)</v>
          </cell>
        </row>
        <row r="93">
          <cell r="X93" t="str">
            <v>Total non-management fee contributions</v>
          </cell>
        </row>
        <row r="94">
          <cell r="X94" t="str">
            <v>ITD management fees</v>
          </cell>
        </row>
        <row r="95">
          <cell r="X95" t="str">
            <v>Legacy Knight manamgenet fees</v>
          </cell>
        </row>
        <row r="96">
          <cell r="X96" t="str">
            <v>Total invested capital post close</v>
          </cell>
        </row>
        <row r="99">
          <cell r="Q99">
            <v>-139610710.76999998</v>
          </cell>
        </row>
        <row r="100">
          <cell r="Q100">
            <v>139610710.44675547</v>
          </cell>
        </row>
        <row r="101">
          <cell r="Q101">
            <v>-0.32324451208114624</v>
          </cell>
        </row>
        <row r="104">
          <cell r="Q104">
            <v>-4523875.5209399704</v>
          </cell>
        </row>
        <row r="105">
          <cell r="Q105">
            <v>-17826.525362842818</v>
          </cell>
        </row>
        <row r="106">
          <cell r="Q106">
            <v>-4541702.0463028131</v>
          </cell>
        </row>
        <row r="107">
          <cell r="Q107">
            <v>4541702.0358285559</v>
          </cell>
        </row>
        <row r="108">
          <cell r="Q108">
            <v>-1.0474257171154022E-2</v>
          </cell>
        </row>
      </sheetData>
      <sheetData sheetId="4">
        <row r="82">
          <cell r="U82">
            <v>-147745.92391304349</v>
          </cell>
        </row>
      </sheetData>
      <sheetData sheetId="5">
        <row r="18">
          <cell r="O18">
            <v>4541702.0358285559</v>
          </cell>
        </row>
        <row r="25">
          <cell r="O25">
            <v>327055.93395487551</v>
          </cell>
        </row>
        <row r="26">
          <cell r="O26">
            <v>1288.7779268520665</v>
          </cell>
        </row>
        <row r="29">
          <cell r="O29">
            <v>328344.71188172756</v>
          </cell>
        </row>
      </sheetData>
      <sheetData sheetId="6">
        <row r="20">
          <cell r="M20">
            <v>9508.832340678975</v>
          </cell>
        </row>
        <row r="34">
          <cell r="M34">
            <v>35.480717689100658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o print &gt;&gt;"/>
      <sheetName val="Cover &amp; TOC"/>
      <sheetName val="Balance Sheet"/>
      <sheetName val="SOI"/>
      <sheetName val="SOP"/>
      <sheetName val="SCPC"/>
      <sheetName val="SOCF"/>
      <sheetName val="Supplementary Schedules"/>
      <sheetName val="Partners Cap"/>
      <sheetName val="Summary of Fees"/>
      <sheetName val="Summary of Carried Interest"/>
      <sheetName val="Do not Print &gt;&gt;"/>
      <sheetName val="Selected Info"/>
      <sheetName val="Support &gt;&gt;"/>
      <sheetName val="Preferred Return"/>
      <sheetName val="SOCF Worksheet"/>
      <sheetName val="Q2'26 BS"/>
      <sheetName val="Q2'26 PL"/>
      <sheetName val="Sub Close Summary"/>
      <sheetName val="Sub Close Calcu"/>
      <sheetName val="Mgmt Fee Calc Q3 26"/>
      <sheetName val="Mgmt Fee Calc Q2 26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DD6D-D03F-4304-A64E-5155A0886A1E}">
  <sheetPr>
    <tabColor theme="9" tint="0.39997558519241921"/>
  </sheetPr>
  <dimension ref="A1:K770"/>
  <sheetViews>
    <sheetView tabSelected="1" workbookViewId="0">
      <selection activeCell="D18" sqref="D18"/>
    </sheetView>
  </sheetViews>
  <sheetFormatPr defaultRowHeight="14.5" x14ac:dyDescent="0.35"/>
  <cols>
    <col min="1" max="1" width="78.81640625" bestFit="1" customWidth="1"/>
    <col min="2" max="3" width="26.54296875" customWidth="1"/>
    <col min="4" max="4" width="55.54296875" bestFit="1" customWidth="1"/>
    <col min="5" max="5" width="75.7265625" bestFit="1" customWidth="1"/>
    <col min="6" max="6" width="26.54296875" customWidth="1"/>
    <col min="7" max="7" width="39.54296875" bestFit="1" customWidth="1"/>
    <col min="8" max="9" width="14.7265625" bestFit="1" customWidth="1"/>
    <col min="10" max="10" width="83.26953125" bestFit="1" customWidth="1"/>
    <col min="11" max="11" width="11.54296875" bestFit="1" customWidth="1"/>
  </cols>
  <sheetData>
    <row r="1" spans="1:6" x14ac:dyDescent="0.35">
      <c r="A1" s="1" t="s">
        <v>0</v>
      </c>
    </row>
    <row r="2" spans="1:6" x14ac:dyDescent="0.35">
      <c r="A2" s="1"/>
    </row>
    <row r="3" spans="1:6" ht="29" x14ac:dyDescent="0.35">
      <c r="A3" s="2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</row>
    <row r="4" spans="1:6" x14ac:dyDescent="0.35">
      <c r="A4" t="s">
        <v>7</v>
      </c>
      <c r="B4" s="4">
        <f>'[1]Subsequent Close'!T82-'[1]Subsequent Close'!M82+'[1]Subsequent Close'!W82-'[1]Subsequent Close'!P82+'[1]Subsequent Close'!X82-'[1]Subsequent Close'!Q82</f>
        <v>-4523875.5209399685</v>
      </c>
      <c r="C4" s="4">
        <f>'[1]Subsequent Close - OLD B4 25k'!U82</f>
        <v>-147745.92391304349</v>
      </c>
      <c r="D4" s="4">
        <f>-'[1]Closing Interest'!O25</f>
        <v>-327055.93395487551</v>
      </c>
      <c r="E4" s="5">
        <f>-'[1]Management Fees - New Investor'!M20</f>
        <v>-9508.832340678975</v>
      </c>
      <c r="F4" s="6">
        <f>SUM(B4:E4)</f>
        <v>-5008186.2111485675</v>
      </c>
    </row>
    <row r="5" spans="1:6" x14ac:dyDescent="0.35">
      <c r="A5" t="s">
        <v>8</v>
      </c>
      <c r="B5" s="4">
        <f>'[1]Subsequent Close'!T85+'[1]Subsequent Close'!W85+'[1]Subsequent Close'!X85</f>
        <v>-17826.52540411707</v>
      </c>
      <c r="C5" s="4">
        <f>'[1]Subsequent Close'!U85</f>
        <v>-551.29076086956525</v>
      </c>
      <c r="D5" s="4">
        <f>-'[1]Closing Interest'!O26</f>
        <v>-1288.7779268520665</v>
      </c>
      <c r="E5" s="5">
        <f>-'[1]Management Fees - New Investor'!M34</f>
        <v>-35.480717689100658</v>
      </c>
      <c r="F5" s="6">
        <f>SUM(B5:E5)</f>
        <v>-19702.074809527803</v>
      </c>
    </row>
    <row r="6" spans="1:6" x14ac:dyDescent="0.35">
      <c r="A6" s="7" t="s">
        <v>6</v>
      </c>
      <c r="B6" s="8">
        <f>SUM(B4:B5)</f>
        <v>-4541702.0463440856</v>
      </c>
      <c r="C6" s="8">
        <f>SUM(C4:C5)</f>
        <v>-148297.21467391305</v>
      </c>
      <c r="D6" s="8">
        <f>SUM(D4:D5)</f>
        <v>-328344.71188172756</v>
      </c>
      <c r="E6" s="8">
        <f>SUM(E4:E5)</f>
        <v>-9544.3130583680759</v>
      </c>
      <c r="F6" s="8">
        <f>SUM(F4:F5)</f>
        <v>-5027888.2859580955</v>
      </c>
    </row>
    <row r="8" spans="1:6" x14ac:dyDescent="0.35">
      <c r="A8" s="9" t="s">
        <v>9</v>
      </c>
      <c r="B8" s="10"/>
      <c r="C8" s="10"/>
      <c r="D8" s="10"/>
      <c r="E8" s="10"/>
    </row>
    <row r="9" spans="1:6" x14ac:dyDescent="0.35">
      <c r="A9" s="11" t="s">
        <v>10</v>
      </c>
      <c r="B9" s="12">
        <f>B6+'[1]Closing Interest'!O18</f>
        <v>-1.0515529662370682E-2</v>
      </c>
      <c r="C9" s="12">
        <f>C6-'[1]Subsequent Close'!U86</f>
        <v>0</v>
      </c>
      <c r="D9" s="12">
        <f>D6+'[1]Closing Interest'!O29</f>
        <v>0</v>
      </c>
      <c r="E9" s="12">
        <f>E6+'[1]Management Fees - New Investor'!M20+'[1]Management Fees - New Investor'!M34</f>
        <v>-1.9895196601282805E-13</v>
      </c>
    </row>
    <row r="11" spans="1:6" ht="15" thickBot="1" x14ac:dyDescent="0.4">
      <c r="A11" s="13" t="s">
        <v>11</v>
      </c>
      <c r="B11" s="14"/>
    </row>
    <row r="12" spans="1:6" x14ac:dyDescent="0.35">
      <c r="A12" s="15" t="s">
        <v>12</v>
      </c>
      <c r="B12" s="16">
        <f>'[1]Subsequent Close'!R86</f>
        <v>-142263994.65599158</v>
      </c>
    </row>
    <row r="13" spans="1:6" x14ac:dyDescent="0.35">
      <c r="A13" s="17" t="s">
        <v>13</v>
      </c>
      <c r="B13" s="18">
        <f>-'[1]Subsequent Close'!N86</f>
        <v>2653283.8859915757</v>
      </c>
    </row>
    <row r="14" spans="1:6" x14ac:dyDescent="0.35">
      <c r="A14" s="19" t="s">
        <v>14</v>
      </c>
      <c r="B14" s="20">
        <f>SUM(B12:B13)</f>
        <v>-139610710.77000001</v>
      </c>
    </row>
    <row r="15" spans="1:6" x14ac:dyDescent="0.35">
      <c r="A15" s="17"/>
      <c r="B15" s="21">
        <f>'[1]Subsequent Close'!I82-'[1]Subsequent Close'!H82</f>
        <v>3.240349895784695E-2</v>
      </c>
    </row>
    <row r="16" spans="1:6" ht="15" thickBot="1" x14ac:dyDescent="0.4">
      <c r="A16" s="22" t="s">
        <v>15</v>
      </c>
      <c r="B16" s="23">
        <f>B15*B14</f>
        <v>-4523875.5209399676</v>
      </c>
    </row>
    <row r="18" spans="1:5" ht="15" thickBot="1" x14ac:dyDescent="0.4">
      <c r="A18" s="13" t="s">
        <v>8</v>
      </c>
      <c r="B18" s="14"/>
    </row>
    <row r="19" spans="1:5" x14ac:dyDescent="0.35">
      <c r="A19" s="15" t="s">
        <v>12</v>
      </c>
      <c r="B19" s="16">
        <f>B12</f>
        <v>-142263994.65599158</v>
      </c>
    </row>
    <row r="20" spans="1:5" x14ac:dyDescent="0.35">
      <c r="A20" s="17" t="s">
        <v>13</v>
      </c>
      <c r="B20" s="18">
        <f>B13</f>
        <v>2653283.8859915757</v>
      </c>
    </row>
    <row r="21" spans="1:5" x14ac:dyDescent="0.35">
      <c r="A21" s="19" t="s">
        <v>14</v>
      </c>
      <c r="B21" s="20">
        <f>SUM(B19:B20)</f>
        <v>-139610710.77000001</v>
      </c>
    </row>
    <row r="22" spans="1:5" x14ac:dyDescent="0.35">
      <c r="A22" s="17"/>
      <c r="B22" s="21">
        <f>'[1]Subsequent Close'!I85</f>
        <v>1.276873766045441E-4</v>
      </c>
    </row>
    <row r="23" spans="1:5" ht="15" thickBot="1" x14ac:dyDescent="0.4">
      <c r="A23" s="22" t="s">
        <v>16</v>
      </c>
      <c r="B23" s="23">
        <f>B22*B21</f>
        <v>-17826.525404117074</v>
      </c>
      <c r="C23" s="24"/>
    </row>
    <row r="24" spans="1:5" x14ac:dyDescent="0.35">
      <c r="B24" s="6"/>
    </row>
    <row r="26" spans="1:5" x14ac:dyDescent="0.35">
      <c r="A26" s="25" t="s">
        <v>17</v>
      </c>
      <c r="B26" s="25" t="s">
        <v>18</v>
      </c>
      <c r="C26" s="26">
        <v>46147</v>
      </c>
    </row>
    <row r="27" spans="1:5" ht="15" thickBot="1" x14ac:dyDescent="0.4">
      <c r="A27" s="27" t="s">
        <v>19</v>
      </c>
      <c r="B27" s="28" t="s">
        <v>20</v>
      </c>
      <c r="C27" s="28" t="s">
        <v>21</v>
      </c>
      <c r="D27" s="28" t="s">
        <v>22</v>
      </c>
      <c r="E27" s="29" t="s">
        <v>23</v>
      </c>
    </row>
    <row r="28" spans="1:5" x14ac:dyDescent="0.35">
      <c r="A28" s="30" t="s">
        <v>24</v>
      </c>
      <c r="B28" s="31"/>
      <c r="C28" s="31">
        <f>ROUND(-'[1]Subsequent Close'!T82+'[1]Subsequent Close'!M82,2)</f>
        <v>4069952.52</v>
      </c>
      <c r="D28" s="32" t="s">
        <v>25</v>
      </c>
      <c r="E28" s="33" t="s">
        <v>7</v>
      </c>
    </row>
    <row r="29" spans="1:5" x14ac:dyDescent="0.35">
      <c r="A29" s="30" t="s">
        <v>26</v>
      </c>
      <c r="B29" s="31"/>
      <c r="C29" s="31">
        <f>ROUND(+'[1]Subsequent Close'!N82-'[1]Subsequent Close'!U82-'[1]Subsequent Close'!V82,2)</f>
        <v>147745.92000000001</v>
      </c>
      <c r="D29" s="32" t="s">
        <v>27</v>
      </c>
      <c r="E29" s="33" t="s">
        <v>7</v>
      </c>
    </row>
    <row r="30" spans="1:5" x14ac:dyDescent="0.35">
      <c r="A30" s="30" t="s">
        <v>28</v>
      </c>
      <c r="B30" s="31"/>
      <c r="C30" s="31">
        <f>ROUND(+'[1]Subsequent Close'!P82-'[1]Subsequent Close'!W82,2)</f>
        <v>1811.82</v>
      </c>
      <c r="D30" s="32" t="s">
        <v>29</v>
      </c>
      <c r="E30" s="33" t="s">
        <v>7</v>
      </c>
    </row>
    <row r="31" spans="1:5" x14ac:dyDescent="0.35">
      <c r="A31" s="30" t="s">
        <v>30</v>
      </c>
      <c r="B31" s="31"/>
      <c r="C31" s="31">
        <f>ROUND(+'[1]Subsequent Close'!Q82-'[1]Subsequent Close'!X82,2)</f>
        <v>452111.18</v>
      </c>
      <c r="D31" s="32" t="s">
        <v>31</v>
      </c>
      <c r="E31" s="33" t="s">
        <v>7</v>
      </c>
    </row>
    <row r="32" spans="1:5" x14ac:dyDescent="0.35">
      <c r="A32" s="30" t="s">
        <v>32</v>
      </c>
      <c r="B32" s="31"/>
      <c r="C32" s="31">
        <f>ROUND(+'[1]Subsequent Close'!AS82,2)</f>
        <v>327055.93</v>
      </c>
      <c r="D32" s="32" t="s">
        <v>33</v>
      </c>
      <c r="E32" s="33" t="s">
        <v>7</v>
      </c>
    </row>
    <row r="33" spans="1:10" x14ac:dyDescent="0.35">
      <c r="A33" s="30" t="s">
        <v>32</v>
      </c>
      <c r="B33" s="31"/>
      <c r="C33" s="31">
        <f>ROUND(+'[1]Subsequent Close'!BA82,2)</f>
        <v>9508.83</v>
      </c>
      <c r="D33" s="32" t="s">
        <v>34</v>
      </c>
      <c r="E33" s="33" t="s">
        <v>7</v>
      </c>
    </row>
    <row r="34" spans="1:10" x14ac:dyDescent="0.35">
      <c r="A34" s="30" t="s">
        <v>35</v>
      </c>
      <c r="B34" s="31">
        <f>SUM(C28:C33)</f>
        <v>5008186.2</v>
      </c>
      <c r="C34" s="31"/>
      <c r="D34" s="32" t="s">
        <v>36</v>
      </c>
      <c r="E34" s="33" t="s">
        <v>7</v>
      </c>
    </row>
    <row r="36" spans="1:10" x14ac:dyDescent="0.35">
      <c r="B36" s="6"/>
      <c r="C36" s="6"/>
    </row>
    <row r="37" spans="1:10" x14ac:dyDescent="0.35">
      <c r="B37" s="6"/>
      <c r="C37" s="6"/>
    </row>
    <row r="38" spans="1:10" x14ac:dyDescent="0.35">
      <c r="A38" s="25" t="s">
        <v>37</v>
      </c>
      <c r="B38" s="25" t="s">
        <v>18</v>
      </c>
      <c r="C38" s="26">
        <v>46147</v>
      </c>
    </row>
    <row r="39" spans="1:10" ht="15" thickBot="1" x14ac:dyDescent="0.4">
      <c r="A39" s="27" t="s">
        <v>19</v>
      </c>
      <c r="B39" s="28" t="s">
        <v>20</v>
      </c>
      <c r="C39" s="28" t="s">
        <v>21</v>
      </c>
      <c r="D39" s="28" t="s">
        <v>22</v>
      </c>
      <c r="E39" s="29" t="s">
        <v>23</v>
      </c>
    </row>
    <row r="40" spans="1:10" x14ac:dyDescent="0.35">
      <c r="A40" s="30" t="s">
        <v>24</v>
      </c>
      <c r="B40" s="31"/>
      <c r="C40" s="31">
        <f>ROUND(-'[1]Subsequent Close'!T85,2)</f>
        <v>16037.82</v>
      </c>
      <c r="D40" s="32" t="s">
        <v>38</v>
      </c>
      <c r="E40" s="33" t="s">
        <v>8</v>
      </c>
    </row>
    <row r="41" spans="1:10" x14ac:dyDescent="0.35">
      <c r="A41" s="30" t="s">
        <v>26</v>
      </c>
      <c r="B41" s="31"/>
      <c r="C41" s="31">
        <f>ROUND(-'[1]Subsequent Close'!U85,2)</f>
        <v>551.29</v>
      </c>
      <c r="D41" s="32" t="s">
        <v>39</v>
      </c>
      <c r="E41" s="33" t="s">
        <v>8</v>
      </c>
    </row>
    <row r="42" spans="1:10" x14ac:dyDescent="0.35">
      <c r="A42" s="30" t="s">
        <v>28</v>
      </c>
      <c r="B42" s="31"/>
      <c r="C42" s="31">
        <f>ROUND(-'[1]Subsequent Close'!W85,2)</f>
        <v>7.14</v>
      </c>
      <c r="D42" s="32" t="s">
        <v>40</v>
      </c>
      <c r="E42" s="33" t="s">
        <v>8</v>
      </c>
    </row>
    <row r="43" spans="1:10" x14ac:dyDescent="0.35">
      <c r="A43" s="30" t="s">
        <v>30</v>
      </c>
      <c r="B43" s="31"/>
      <c r="C43" s="31">
        <f>ROUND(-'[1]Subsequent Close'!X85,2)</f>
        <v>1781.56</v>
      </c>
      <c r="D43" s="32" t="s">
        <v>41</v>
      </c>
      <c r="E43" s="33" t="s">
        <v>8</v>
      </c>
    </row>
    <row r="44" spans="1:10" x14ac:dyDescent="0.35">
      <c r="A44" s="30" t="s">
        <v>32</v>
      </c>
      <c r="B44" s="31"/>
      <c r="C44" s="31">
        <f>ROUND(+'[1]Subsequent Close'!AS85,2)</f>
        <v>1288.78</v>
      </c>
      <c r="D44" s="32" t="s">
        <v>42</v>
      </c>
      <c r="E44" s="33" t="s">
        <v>8</v>
      </c>
    </row>
    <row r="45" spans="1:10" x14ac:dyDescent="0.35">
      <c r="A45" s="30" t="s">
        <v>32</v>
      </c>
      <c r="B45" s="31"/>
      <c r="C45" s="31">
        <f>ROUND(+'[1]Subsequent Close'!BA85,2)</f>
        <v>35.479999999999997</v>
      </c>
      <c r="D45" s="32" t="s">
        <v>43</v>
      </c>
      <c r="E45" s="33" t="s">
        <v>8</v>
      </c>
    </row>
    <row r="46" spans="1:10" x14ac:dyDescent="0.35">
      <c r="A46" s="30" t="s">
        <v>35</v>
      </c>
      <c r="B46" s="4">
        <f>SUM(C40:C45)</f>
        <v>19702.07</v>
      </c>
      <c r="C46" s="31"/>
      <c r="D46" s="32" t="s">
        <v>44</v>
      </c>
      <c r="E46" s="33" t="s">
        <v>8</v>
      </c>
    </row>
    <row r="48" spans="1:10" x14ac:dyDescent="0.35">
      <c r="A48" s="25" t="s">
        <v>45</v>
      </c>
      <c r="B48" s="25" t="s">
        <v>18</v>
      </c>
      <c r="C48" s="26">
        <v>46161</v>
      </c>
      <c r="G48" t="s">
        <v>46</v>
      </c>
      <c r="H48" s="31">
        <f>SUM(H50:H68)</f>
        <v>10974728.110000001</v>
      </c>
      <c r="I48" s="31">
        <f>SUM(I50:I68)</f>
        <v>10974728.110000001</v>
      </c>
      <c r="J48" s="6">
        <f>+H48-I48</f>
        <v>0</v>
      </c>
    </row>
    <row r="49" spans="1:11" ht="15" thickBot="1" x14ac:dyDescent="0.4">
      <c r="A49" s="27" t="s">
        <v>19</v>
      </c>
      <c r="B49" s="28" t="s">
        <v>20</v>
      </c>
      <c r="C49" s="28" t="s">
        <v>21</v>
      </c>
      <c r="D49" s="28" t="s">
        <v>22</v>
      </c>
      <c r="E49" s="29" t="s">
        <v>23</v>
      </c>
      <c r="G49" s="27" t="s">
        <v>47</v>
      </c>
      <c r="H49" s="34" t="s">
        <v>20</v>
      </c>
      <c r="I49" s="34" t="s">
        <v>21</v>
      </c>
      <c r="J49" s="29"/>
    </row>
    <row r="50" spans="1:11" x14ac:dyDescent="0.35">
      <c r="A50" s="30" t="s">
        <v>48</v>
      </c>
      <c r="C50" s="31">
        <f>-ROUND(_xlfn.XLOOKUP(E50,'[1]May 26 Distribution Checking'!A:A,'[1]May 26 Distribution Checking'!AA:AA),2)</f>
        <v>8777.9</v>
      </c>
      <c r="D50" t="s">
        <v>49</v>
      </c>
      <c r="E50" t="s">
        <v>50</v>
      </c>
      <c r="G50" s="30" t="s">
        <v>48</v>
      </c>
      <c r="H50" s="35"/>
      <c r="I50" s="5">
        <f t="shared" ref="I50:I62" si="0">SUMIFS(C:C,A:A,G50,D:D,J50)</f>
        <v>3152712.2500000009</v>
      </c>
      <c r="J50" s="36" t="s">
        <v>49</v>
      </c>
    </row>
    <row r="51" spans="1:11" x14ac:dyDescent="0.35">
      <c r="A51" s="30" t="s">
        <v>48</v>
      </c>
      <c r="C51" s="31">
        <f>-ROUND(_xlfn.XLOOKUP(E51,'[1]May 26 Distribution Checking'!A:A,'[1]May 26 Distribution Checking'!AA:AA),2)</f>
        <v>12289.05</v>
      </c>
      <c r="D51" t="s">
        <v>49</v>
      </c>
      <c r="E51" t="s">
        <v>51</v>
      </c>
      <c r="G51" s="30" t="s">
        <v>24</v>
      </c>
      <c r="H51" s="5">
        <f t="shared" ref="H51:H66" si="1">SUMIFS(B:B,A:A,G51,D:D,J51)</f>
        <v>4085990.350000001</v>
      </c>
      <c r="I51" s="5">
        <f t="shared" si="0"/>
        <v>0</v>
      </c>
      <c r="J51" s="36" t="s">
        <v>52</v>
      </c>
    </row>
    <row r="52" spans="1:11" x14ac:dyDescent="0.35">
      <c r="A52" s="30" t="s">
        <v>48</v>
      </c>
      <c r="C52" s="31">
        <f>-ROUND(_xlfn.XLOOKUP(E52,'[1]May 26 Distribution Checking'!A:A,'[1]May 26 Distribution Checking'!AA:AA),2)</f>
        <v>10533.47</v>
      </c>
      <c r="D52" t="s">
        <v>49</v>
      </c>
      <c r="E52" t="s">
        <v>53</v>
      </c>
      <c r="G52" s="30" t="s">
        <v>28</v>
      </c>
      <c r="H52" s="5">
        <f t="shared" si="1"/>
        <v>1819.0300000000002</v>
      </c>
      <c r="I52" s="5">
        <f t="shared" si="0"/>
        <v>0</v>
      </c>
      <c r="J52" s="36" t="s">
        <v>52</v>
      </c>
    </row>
    <row r="53" spans="1:11" x14ac:dyDescent="0.35">
      <c r="A53" s="30" t="s">
        <v>48</v>
      </c>
      <c r="C53" s="31">
        <f>-ROUND(_xlfn.XLOOKUP(E53,'[1]May 26 Distribution Checking'!A:A,'[1]May 26 Distribution Checking'!AA:AA),2)</f>
        <v>13166.84</v>
      </c>
      <c r="D53" t="s">
        <v>49</v>
      </c>
      <c r="E53" t="s">
        <v>54</v>
      </c>
      <c r="G53" s="30" t="s">
        <v>30</v>
      </c>
      <c r="H53" s="5">
        <f t="shared" si="1"/>
        <v>453892.75000000017</v>
      </c>
      <c r="I53" s="5">
        <f t="shared" si="0"/>
        <v>0</v>
      </c>
      <c r="J53" s="36" t="s">
        <v>52</v>
      </c>
    </row>
    <row r="54" spans="1:11" x14ac:dyDescent="0.35">
      <c r="A54" s="30" t="s">
        <v>48</v>
      </c>
      <c r="C54" s="31">
        <f>-ROUND(_xlfn.XLOOKUP(E54,'[1]May 26 Distribution Checking'!A:A,'[1]May 26 Distribution Checking'!AA:AA),2)</f>
        <v>1374.62</v>
      </c>
      <c r="D54" t="s">
        <v>49</v>
      </c>
      <c r="E54" t="s">
        <v>55</v>
      </c>
      <c r="G54" s="30" t="s">
        <v>32</v>
      </c>
      <c r="H54" s="5">
        <f t="shared" si="1"/>
        <v>328344.62000000017</v>
      </c>
      <c r="I54" s="5">
        <f t="shared" si="0"/>
        <v>0</v>
      </c>
      <c r="J54" s="36" t="s">
        <v>56</v>
      </c>
    </row>
    <row r="55" spans="1:11" x14ac:dyDescent="0.35">
      <c r="A55" s="30" t="s">
        <v>48</v>
      </c>
      <c r="C55" s="31">
        <f>-ROUND(_xlfn.XLOOKUP(E55,'[1]May 26 Distribution Checking'!A:A,'[1]May 26 Distribution Checking'!AA:AA),2)</f>
        <v>2531.5100000000002</v>
      </c>
      <c r="D55" t="s">
        <v>49</v>
      </c>
      <c r="E55" t="s">
        <v>57</v>
      </c>
      <c r="G55" s="30" t="s">
        <v>32</v>
      </c>
      <c r="H55" s="5">
        <f t="shared" si="1"/>
        <v>9544.31</v>
      </c>
      <c r="I55" s="5">
        <f t="shared" si="0"/>
        <v>0</v>
      </c>
      <c r="J55" s="36" t="s">
        <v>58</v>
      </c>
    </row>
    <row r="56" spans="1:11" x14ac:dyDescent="0.35">
      <c r="A56" s="30" t="s">
        <v>48</v>
      </c>
      <c r="C56" s="31">
        <f>-ROUND(_xlfn.XLOOKUP(E56,'[1]May 26 Distribution Checking'!A:A,'[1]May 26 Distribution Checking'!AA:AA),2)</f>
        <v>2749.25</v>
      </c>
      <c r="D56" t="s">
        <v>49</v>
      </c>
      <c r="E56" t="s">
        <v>59</v>
      </c>
      <c r="G56" s="30" t="s">
        <v>24</v>
      </c>
      <c r="H56" s="5">
        <f t="shared" si="1"/>
        <v>0</v>
      </c>
      <c r="I56" s="5">
        <f t="shared" si="0"/>
        <v>320894.76000000013</v>
      </c>
      <c r="J56" s="36" t="s">
        <v>60</v>
      </c>
    </row>
    <row r="57" spans="1:11" x14ac:dyDescent="0.35">
      <c r="A57" s="30" t="s">
        <v>48</v>
      </c>
      <c r="C57" s="31">
        <f>-ROUND(_xlfn.XLOOKUP(E57,'[1]May 26 Distribution Checking'!A:A,'[1]May 26 Distribution Checking'!AA:AA),2)</f>
        <v>9186.89</v>
      </c>
      <c r="D57" t="s">
        <v>49</v>
      </c>
      <c r="E57" t="s">
        <v>61</v>
      </c>
      <c r="G57" s="30" t="s">
        <v>28</v>
      </c>
      <c r="H57" s="5">
        <f t="shared" si="1"/>
        <v>0</v>
      </c>
      <c r="I57" s="5">
        <f t="shared" si="0"/>
        <v>142.94000000000008</v>
      </c>
      <c r="J57" s="36" t="s">
        <v>60</v>
      </c>
    </row>
    <row r="58" spans="1:11" x14ac:dyDescent="0.35">
      <c r="A58" s="30" t="s">
        <v>48</v>
      </c>
      <c r="C58" s="31">
        <f>-ROUND(_xlfn.XLOOKUP(E58,'[1]May 26 Distribution Checking'!A:A,'[1]May 26 Distribution Checking'!AA:AA),2)</f>
        <v>17555.79</v>
      </c>
      <c r="D58" t="s">
        <v>49</v>
      </c>
      <c r="E58" t="s">
        <v>62</v>
      </c>
      <c r="G58" s="30" t="s">
        <v>30</v>
      </c>
      <c r="H58" s="5">
        <f t="shared" si="1"/>
        <v>447388.04000000021</v>
      </c>
      <c r="I58" s="5">
        <f t="shared" si="0"/>
        <v>0</v>
      </c>
      <c r="J58" s="36" t="s">
        <v>60</v>
      </c>
    </row>
    <row r="59" spans="1:11" x14ac:dyDescent="0.35">
      <c r="A59" s="30" t="s">
        <v>48</v>
      </c>
      <c r="C59" s="31">
        <f>-ROUND(_xlfn.XLOOKUP(E59,'[1]May 26 Distribution Checking'!A:A,'[1]May 26 Distribution Checking'!AA:AA),2)</f>
        <v>6873.12</v>
      </c>
      <c r="D59" t="s">
        <v>49</v>
      </c>
      <c r="E59" t="s">
        <v>63</v>
      </c>
      <c r="G59" s="30" t="s">
        <v>24</v>
      </c>
      <c r="H59" s="5">
        <f t="shared" si="1"/>
        <v>0</v>
      </c>
      <c r="I59" s="5">
        <f t="shared" si="0"/>
        <v>2000000</v>
      </c>
      <c r="J59" s="36" t="s">
        <v>64</v>
      </c>
    </row>
    <row r="60" spans="1:11" x14ac:dyDescent="0.35">
      <c r="A60" s="30" t="s">
        <v>48</v>
      </c>
      <c r="C60" s="31">
        <f>-ROUND(_xlfn.XLOOKUP(E60,'[1]May 26 Distribution Checking'!A:A,'[1]May 26 Distribution Checking'!AA:AA),2)</f>
        <v>175557.91</v>
      </c>
      <c r="D60" t="s">
        <v>49</v>
      </c>
      <c r="E60" t="s">
        <v>65</v>
      </c>
      <c r="G60" s="30" t="s">
        <v>66</v>
      </c>
      <c r="H60" s="5">
        <f t="shared" si="1"/>
        <v>0</v>
      </c>
      <c r="I60" s="5">
        <f t="shared" si="0"/>
        <v>6707.82</v>
      </c>
      <c r="J60" s="36" t="s">
        <v>67</v>
      </c>
    </row>
    <row r="61" spans="1:11" x14ac:dyDescent="0.35">
      <c r="A61" s="30" t="s">
        <v>48</v>
      </c>
      <c r="C61" s="31">
        <f>-ROUND(_xlfn.XLOOKUP(E61,'[1]May 26 Distribution Checking'!A:A,'[1]May 26 Distribution Checking'!AA:AA),2)</f>
        <v>16060.01</v>
      </c>
      <c r="D61" t="s">
        <v>49</v>
      </c>
      <c r="E61" t="s">
        <v>68</v>
      </c>
      <c r="G61" s="30" t="s">
        <v>48</v>
      </c>
      <c r="H61" s="5">
        <f t="shared" si="1"/>
        <v>126350</v>
      </c>
      <c r="I61" s="5">
        <f t="shared" si="0"/>
        <v>0</v>
      </c>
      <c r="J61" s="36" t="s">
        <v>69</v>
      </c>
    </row>
    <row r="62" spans="1:11" x14ac:dyDescent="0.35">
      <c r="A62" s="30" t="s">
        <v>48</v>
      </c>
      <c r="C62" s="31">
        <f>-ROUND(_xlfn.XLOOKUP(E62,'[1]May 26 Distribution Checking'!A:A,'[1]May 26 Distribution Checking'!AA:AA),2)</f>
        <v>16060.01</v>
      </c>
      <c r="D62" t="s">
        <v>49</v>
      </c>
      <c r="E62" t="s">
        <v>70</v>
      </c>
      <c r="G62" s="30" t="s">
        <v>35</v>
      </c>
      <c r="H62" s="5">
        <f t="shared" si="1"/>
        <v>0</v>
      </c>
      <c r="I62" s="5">
        <f t="shared" si="0"/>
        <v>5008186</v>
      </c>
      <c r="J62" s="36" t="s">
        <v>71</v>
      </c>
    </row>
    <row r="63" spans="1:11" x14ac:dyDescent="0.35">
      <c r="A63" s="30" t="s">
        <v>48</v>
      </c>
      <c r="C63" s="31">
        <f>-ROUND(_xlfn.XLOOKUP(E63,'[1]May 26 Distribution Checking'!A:A,'[1]May 26 Distribution Checking'!AA:AA),2)</f>
        <v>1374.62</v>
      </c>
      <c r="D63" t="s">
        <v>49</v>
      </c>
      <c r="E63" t="s">
        <v>72</v>
      </c>
      <c r="G63" s="30" t="s">
        <v>48</v>
      </c>
      <c r="H63" s="5">
        <f t="shared" si="1"/>
        <v>5161409.84</v>
      </c>
      <c r="I63" s="5"/>
      <c r="J63" s="36" t="s">
        <v>73</v>
      </c>
      <c r="K63" s="6"/>
    </row>
    <row r="64" spans="1:11" x14ac:dyDescent="0.35">
      <c r="A64" s="30" t="s">
        <v>48</v>
      </c>
      <c r="C64" s="31">
        <f>-ROUND(_xlfn.XLOOKUP(E64,'[1]May 26 Distribution Checking'!A:A,'[1]May 26 Distribution Checking'!AA:AA),2)</f>
        <v>4123.87</v>
      </c>
      <c r="D64" t="s">
        <v>49</v>
      </c>
      <c r="E64" t="s">
        <v>74</v>
      </c>
      <c r="G64" s="30" t="s">
        <v>24</v>
      </c>
      <c r="H64" s="5">
        <f t="shared" si="1"/>
        <v>320894.82</v>
      </c>
      <c r="I64" s="5"/>
      <c r="J64" s="36" t="s">
        <v>75</v>
      </c>
    </row>
    <row r="65" spans="1:10" x14ac:dyDescent="0.35">
      <c r="A65" s="30" t="s">
        <v>48</v>
      </c>
      <c r="C65" s="31">
        <f>-ROUND(_xlfn.XLOOKUP(E65,'[1]May 26 Distribution Checking'!A:A,'[1]May 26 Distribution Checking'!AA:AA),2)</f>
        <v>8777.9</v>
      </c>
      <c r="D65" t="s">
        <v>49</v>
      </c>
      <c r="E65" t="s">
        <v>76</v>
      </c>
      <c r="G65" s="30" t="s">
        <v>28</v>
      </c>
      <c r="H65" s="5">
        <f t="shared" si="1"/>
        <v>142.85</v>
      </c>
      <c r="I65" s="5"/>
      <c r="J65" s="36" t="s">
        <v>75</v>
      </c>
    </row>
    <row r="66" spans="1:10" x14ac:dyDescent="0.35">
      <c r="A66" s="30" t="s">
        <v>48</v>
      </c>
      <c r="C66" s="31">
        <f>-ROUND(_xlfn.XLOOKUP(E66,'[1]May 26 Distribution Checking'!A:A,'[1]May 26 Distribution Checking'!AA:AA),2)</f>
        <v>3436.56</v>
      </c>
      <c r="D66" t="s">
        <v>49</v>
      </c>
      <c r="E66" t="s">
        <v>77</v>
      </c>
      <c r="G66" s="30" t="s">
        <v>30</v>
      </c>
      <c r="H66" s="5">
        <f t="shared" si="1"/>
        <v>38696.33</v>
      </c>
      <c r="I66" s="5"/>
      <c r="J66" s="36" t="s">
        <v>75</v>
      </c>
    </row>
    <row r="67" spans="1:10" x14ac:dyDescent="0.35">
      <c r="A67" s="30" t="s">
        <v>48</v>
      </c>
      <c r="C67" s="31">
        <f>-ROUND(_xlfn.XLOOKUP(E67,'[1]May 26 Distribution Checking'!A:A,'[1]May 26 Distribution Checking'!AA:AA),2)</f>
        <v>8777.9</v>
      </c>
      <c r="D67" t="s">
        <v>49</v>
      </c>
      <c r="E67" t="s">
        <v>78</v>
      </c>
      <c r="G67" s="30" t="s">
        <v>79</v>
      </c>
      <c r="H67" s="5"/>
      <c r="I67" s="5">
        <f>SUMIFS(C:C,A:A,G67,D:D,J67)</f>
        <v>486084.34</v>
      </c>
      <c r="J67" s="36" t="s">
        <v>75</v>
      </c>
    </row>
    <row r="68" spans="1:10" x14ac:dyDescent="0.35">
      <c r="A68" s="30" t="s">
        <v>48</v>
      </c>
      <c r="C68" s="31">
        <f>-ROUND(_xlfn.XLOOKUP(E68,'[1]May 26 Distribution Checking'!A:A,'[1]May 26 Distribution Checking'!AA:AA),2)</f>
        <v>894715.91</v>
      </c>
      <c r="D68" t="s">
        <v>49</v>
      </c>
      <c r="E68" t="s">
        <v>80</v>
      </c>
      <c r="G68" s="37" t="s">
        <v>35</v>
      </c>
      <c r="H68" s="38">
        <v>255.17</v>
      </c>
      <c r="I68" s="39">
        <f>SUMIFS(C:C,A:A,G68,D:D,J68)</f>
        <v>0</v>
      </c>
      <c r="J68" s="40" t="s">
        <v>81</v>
      </c>
    </row>
    <row r="69" spans="1:10" x14ac:dyDescent="0.35">
      <c r="A69" s="30" t="s">
        <v>48</v>
      </c>
      <c r="C69" s="31">
        <f>-ROUND(_xlfn.XLOOKUP(E69,'[1]May 26 Distribution Checking'!A:A,'[1]May 26 Distribution Checking'!AA:AA),2)</f>
        <v>111060.98</v>
      </c>
      <c r="D69" t="s">
        <v>49</v>
      </c>
      <c r="E69" t="s">
        <v>82</v>
      </c>
    </row>
    <row r="70" spans="1:10" x14ac:dyDescent="0.35">
      <c r="A70" s="30" t="s">
        <v>48</v>
      </c>
      <c r="C70" s="31">
        <f>-ROUND(_xlfn.XLOOKUP(E70,'[1]May 26 Distribution Checking'!A:A,'[1]May 26 Distribution Checking'!AA:AA),2)</f>
        <v>3436.56</v>
      </c>
      <c r="D70" t="s">
        <v>49</v>
      </c>
      <c r="E70" t="s">
        <v>83</v>
      </c>
    </row>
    <row r="71" spans="1:10" x14ac:dyDescent="0.35">
      <c r="A71" s="30" t="s">
        <v>48</v>
      </c>
      <c r="C71" s="31">
        <f>-ROUND(_xlfn.XLOOKUP(E71,'[1]May 26 Distribution Checking'!A:A,'[1]May 26 Distribution Checking'!AA:AA),2)</f>
        <v>21286.25</v>
      </c>
      <c r="D71" t="s">
        <v>49</v>
      </c>
      <c r="E71" t="s">
        <v>84</v>
      </c>
      <c r="H71" s="6"/>
      <c r="I71" s="6"/>
      <c r="J71" s="6"/>
    </row>
    <row r="72" spans="1:10" x14ac:dyDescent="0.35">
      <c r="A72" s="30" t="s">
        <v>48</v>
      </c>
      <c r="C72" s="31">
        <f>-ROUND(_xlfn.XLOOKUP(E72,'[1]May 26 Distribution Checking'!A:A,'[1]May 26 Distribution Checking'!AA:AA),2)</f>
        <v>3436.56</v>
      </c>
      <c r="D72" t="s">
        <v>49</v>
      </c>
      <c r="E72" t="s">
        <v>85</v>
      </c>
    </row>
    <row r="73" spans="1:10" x14ac:dyDescent="0.35">
      <c r="A73" s="30" t="s">
        <v>48</v>
      </c>
      <c r="C73" s="31">
        <f>-ROUND(_xlfn.XLOOKUP(E73,'[1]May 26 Distribution Checking'!A:A,'[1]May 26 Distribution Checking'!AA:AA),2)</f>
        <v>8777.9</v>
      </c>
      <c r="D73" t="s">
        <v>49</v>
      </c>
      <c r="E73" t="s">
        <v>86</v>
      </c>
      <c r="H73" s="6"/>
      <c r="I73" s="6"/>
      <c r="J73" s="6"/>
    </row>
    <row r="74" spans="1:10" x14ac:dyDescent="0.35">
      <c r="A74" s="30" t="s">
        <v>48</v>
      </c>
      <c r="C74" s="31">
        <f>-ROUND(_xlfn.XLOOKUP(E74,'[1]May 26 Distribution Checking'!A:A,'[1]May 26 Distribution Checking'!AA:AA),2)</f>
        <v>2912.46</v>
      </c>
      <c r="D74" t="s">
        <v>49</v>
      </c>
      <c r="E74" t="s">
        <v>87</v>
      </c>
      <c r="H74" s="6"/>
      <c r="I74" s="6"/>
      <c r="J74" s="6"/>
    </row>
    <row r="75" spans="1:10" x14ac:dyDescent="0.35">
      <c r="A75" s="30" t="s">
        <v>48</v>
      </c>
      <c r="C75" s="31">
        <f>-ROUND(_xlfn.XLOOKUP(E75,'[1]May 26 Distribution Checking'!A:A,'[1]May 26 Distribution Checking'!AA:AA),2)</f>
        <v>84312.65</v>
      </c>
      <c r="D75" t="s">
        <v>49</v>
      </c>
      <c r="E75" t="s">
        <v>88</v>
      </c>
      <c r="G75" s="41"/>
    </row>
    <row r="76" spans="1:10" x14ac:dyDescent="0.35">
      <c r="A76" s="30" t="s">
        <v>48</v>
      </c>
      <c r="C76" s="31">
        <f>-ROUND(_xlfn.XLOOKUP(E76,'[1]May 26 Distribution Checking'!A:A,'[1]May 26 Distribution Checking'!AA:AA),2)</f>
        <v>6488.21</v>
      </c>
      <c r="D76" t="s">
        <v>49</v>
      </c>
      <c r="E76" t="s">
        <v>89</v>
      </c>
      <c r="G76" s="41"/>
      <c r="H76" s="6"/>
      <c r="J76" s="4"/>
    </row>
    <row r="77" spans="1:10" x14ac:dyDescent="0.35">
      <c r="A77" s="30" t="s">
        <v>48</v>
      </c>
      <c r="C77" s="31">
        <f>-ROUND(_xlfn.XLOOKUP(E77,'[1]May 26 Distribution Checking'!A:A,'[1]May 26 Distribution Checking'!AA:AA),2)</f>
        <v>2749.25</v>
      </c>
      <c r="D77" t="s">
        <v>49</v>
      </c>
      <c r="E77" t="s">
        <v>90</v>
      </c>
    </row>
    <row r="78" spans="1:10" x14ac:dyDescent="0.35">
      <c r="A78" s="30" t="s">
        <v>48</v>
      </c>
      <c r="C78" s="31">
        <f>-ROUND(_xlfn.XLOOKUP(E78,'[1]May 26 Distribution Checking'!A:A,'[1]May 26 Distribution Checking'!AA:AA),2)</f>
        <v>14922.42</v>
      </c>
      <c r="D78" t="s">
        <v>49</v>
      </c>
      <c r="E78" t="s">
        <v>91</v>
      </c>
    </row>
    <row r="79" spans="1:10" x14ac:dyDescent="0.35">
      <c r="A79" s="30" t="s">
        <v>48</v>
      </c>
      <c r="C79" s="31">
        <f>-ROUND(_xlfn.XLOOKUP(E79,'[1]May 26 Distribution Checking'!A:A,'[1]May 26 Distribution Checking'!AA:AA),2)</f>
        <v>26333.69</v>
      </c>
      <c r="D79" t="s">
        <v>49</v>
      </c>
      <c r="E79" t="s">
        <v>92</v>
      </c>
    </row>
    <row r="80" spans="1:10" x14ac:dyDescent="0.35">
      <c r="A80" s="30" t="s">
        <v>48</v>
      </c>
      <c r="C80" s="31">
        <f>-ROUND(_xlfn.XLOOKUP(E80,'[1]May 26 Distribution Checking'!A:A,'[1]May 26 Distribution Checking'!AA:AA),2)</f>
        <v>5498.5</v>
      </c>
      <c r="D80" t="s">
        <v>49</v>
      </c>
      <c r="E80" t="s">
        <v>93</v>
      </c>
    </row>
    <row r="81" spans="1:5" x14ac:dyDescent="0.35">
      <c r="A81" s="30" t="s">
        <v>48</v>
      </c>
      <c r="C81" s="31">
        <f>-ROUND(_xlfn.XLOOKUP(E81,'[1]May 26 Distribution Checking'!A:A,'[1]May 26 Distribution Checking'!AA:AA),2)</f>
        <v>4123.87</v>
      </c>
      <c r="D81" t="s">
        <v>49</v>
      </c>
      <c r="E81" t="s">
        <v>94</v>
      </c>
    </row>
    <row r="82" spans="1:5" x14ac:dyDescent="0.35">
      <c r="A82" s="30" t="s">
        <v>48</v>
      </c>
      <c r="C82" s="31">
        <f>-ROUND(_xlfn.XLOOKUP(E82,'[1]May 26 Distribution Checking'!A:A,'[1]May 26 Distribution Checking'!AA:AA),2)</f>
        <v>17555.79</v>
      </c>
      <c r="D82" t="s">
        <v>49</v>
      </c>
      <c r="E82" t="s">
        <v>95</v>
      </c>
    </row>
    <row r="83" spans="1:5" x14ac:dyDescent="0.35">
      <c r="A83" s="30" t="s">
        <v>48</v>
      </c>
      <c r="C83" s="31">
        <f>-ROUND(_xlfn.XLOOKUP(E83,'[1]May 26 Distribution Checking'!A:A,'[1]May 26 Distribution Checking'!AA:AA),2)</f>
        <v>17555.79</v>
      </c>
      <c r="D83" t="s">
        <v>49</v>
      </c>
      <c r="E83" t="s">
        <v>96</v>
      </c>
    </row>
    <row r="84" spans="1:5" x14ac:dyDescent="0.35">
      <c r="A84" s="30" t="s">
        <v>48</v>
      </c>
      <c r="C84" s="31">
        <f>-ROUND(_xlfn.XLOOKUP(E84,'[1]May 26 Distribution Checking'!A:A,'[1]May 26 Distribution Checking'!AA:AA),2)</f>
        <v>2749.25</v>
      </c>
      <c r="D84" t="s">
        <v>49</v>
      </c>
      <c r="E84" t="s">
        <v>97</v>
      </c>
    </row>
    <row r="85" spans="1:5" x14ac:dyDescent="0.35">
      <c r="A85" s="30" t="s">
        <v>48</v>
      </c>
      <c r="C85" s="31">
        <f>-ROUND(_xlfn.XLOOKUP(E85,'[1]May 26 Distribution Checking'!A:A,'[1]May 26 Distribution Checking'!AA:AA),2)</f>
        <v>3511.16</v>
      </c>
      <c r="D85" t="s">
        <v>49</v>
      </c>
      <c r="E85" t="s">
        <v>98</v>
      </c>
    </row>
    <row r="86" spans="1:5" x14ac:dyDescent="0.35">
      <c r="A86" s="30" t="s">
        <v>48</v>
      </c>
      <c r="C86" s="31">
        <f>-ROUND(_xlfn.XLOOKUP(E86,'[1]May 26 Distribution Checking'!A:A,'[1]May 26 Distribution Checking'!AA:AA),2)</f>
        <v>1755.58</v>
      </c>
      <c r="D86" t="s">
        <v>49</v>
      </c>
      <c r="E86" t="s">
        <v>99</v>
      </c>
    </row>
    <row r="87" spans="1:5" x14ac:dyDescent="0.35">
      <c r="A87" s="30" t="s">
        <v>48</v>
      </c>
      <c r="C87" s="31">
        <f>-ROUND(_xlfn.XLOOKUP(E87,'[1]May 26 Distribution Checking'!A:A,'[1]May 26 Distribution Checking'!AA:AA),2)</f>
        <v>2749.25</v>
      </c>
      <c r="D87" t="s">
        <v>49</v>
      </c>
      <c r="E87" t="s">
        <v>100</v>
      </c>
    </row>
    <row r="88" spans="1:5" x14ac:dyDescent="0.35">
      <c r="A88" s="30" t="s">
        <v>48</v>
      </c>
      <c r="C88" s="31">
        <f>-ROUND(_xlfn.XLOOKUP(E88,'[1]May 26 Distribution Checking'!A:A,'[1]May 26 Distribution Checking'!AA:AA),2)</f>
        <v>2749.25</v>
      </c>
      <c r="D88" t="s">
        <v>49</v>
      </c>
      <c r="E88" t="s">
        <v>101</v>
      </c>
    </row>
    <row r="89" spans="1:5" x14ac:dyDescent="0.35">
      <c r="A89" s="30" t="s">
        <v>48</v>
      </c>
      <c r="C89" s="31">
        <f>-ROUND(_xlfn.XLOOKUP(E89,'[1]May 26 Distribution Checking'!A:A,'[1]May 26 Distribution Checking'!AA:AA),2)</f>
        <v>3436.56</v>
      </c>
      <c r="D89" t="s">
        <v>49</v>
      </c>
      <c r="E89" t="s">
        <v>102</v>
      </c>
    </row>
    <row r="90" spans="1:5" x14ac:dyDescent="0.35">
      <c r="A90" s="30" t="s">
        <v>48</v>
      </c>
      <c r="C90" s="31">
        <f>-ROUND(_xlfn.XLOOKUP(E90,'[1]May 26 Distribution Checking'!A:A,'[1]May 26 Distribution Checking'!AA:AA),2)</f>
        <v>17555.79</v>
      </c>
      <c r="D90" t="s">
        <v>49</v>
      </c>
      <c r="E90" t="s">
        <v>103</v>
      </c>
    </row>
    <row r="91" spans="1:5" x14ac:dyDescent="0.35">
      <c r="A91" s="30" t="s">
        <v>48</v>
      </c>
      <c r="C91" s="31">
        <f>-ROUND(_xlfn.XLOOKUP(E91,'[1]May 26 Distribution Checking'!A:A,'[1]May 26 Distribution Checking'!AA:AA),2)</f>
        <v>8777.9</v>
      </c>
      <c r="D91" t="s">
        <v>49</v>
      </c>
      <c r="E91" t="s">
        <v>104</v>
      </c>
    </row>
    <row r="92" spans="1:5" x14ac:dyDescent="0.35">
      <c r="A92" s="30" t="s">
        <v>48</v>
      </c>
      <c r="C92" s="31">
        <f>-ROUND(_xlfn.XLOOKUP(E92,'[1]May 26 Distribution Checking'!A:A,'[1]May 26 Distribution Checking'!AA:AA),2)</f>
        <v>26333.69</v>
      </c>
      <c r="D92" t="s">
        <v>49</v>
      </c>
      <c r="E92" t="s">
        <v>105</v>
      </c>
    </row>
    <row r="93" spans="1:5" x14ac:dyDescent="0.35">
      <c r="A93" s="30" t="s">
        <v>48</v>
      </c>
      <c r="C93" s="31">
        <f>-ROUND(_xlfn.XLOOKUP(E93,'[1]May 26 Distribution Checking'!A:A,'[1]May 26 Distribution Checking'!AA:AA),2)</f>
        <v>1755.58</v>
      </c>
      <c r="D93" t="s">
        <v>49</v>
      </c>
      <c r="E93" t="s">
        <v>106</v>
      </c>
    </row>
    <row r="94" spans="1:5" x14ac:dyDescent="0.35">
      <c r="A94" s="30" t="s">
        <v>48</v>
      </c>
      <c r="C94" s="31">
        <f>-ROUND(_xlfn.XLOOKUP(E94,'[1]May 26 Distribution Checking'!A:A,'[1]May 26 Distribution Checking'!AA:AA),2)</f>
        <v>13166.84</v>
      </c>
      <c r="D94" t="s">
        <v>49</v>
      </c>
      <c r="E94" t="s">
        <v>107</v>
      </c>
    </row>
    <row r="95" spans="1:5" x14ac:dyDescent="0.35">
      <c r="A95" s="30" t="s">
        <v>48</v>
      </c>
      <c r="C95" s="31">
        <f>-ROUND(_xlfn.XLOOKUP(E95,'[1]May 26 Distribution Checking'!A:A,'[1]May 26 Distribution Checking'!AA:AA),2)</f>
        <v>4123.87</v>
      </c>
      <c r="D95" t="s">
        <v>49</v>
      </c>
      <c r="E95" t="s">
        <v>108</v>
      </c>
    </row>
    <row r="96" spans="1:5" x14ac:dyDescent="0.35">
      <c r="A96" s="30" t="s">
        <v>48</v>
      </c>
      <c r="C96" s="31">
        <f>-ROUND(_xlfn.XLOOKUP(E96,'[1]May 26 Distribution Checking'!A:A,'[1]May 26 Distribution Checking'!AA:AA),2)</f>
        <v>17555.79</v>
      </c>
      <c r="D96" t="s">
        <v>49</v>
      </c>
      <c r="E96" t="s">
        <v>109</v>
      </c>
    </row>
    <row r="97" spans="1:5" x14ac:dyDescent="0.35">
      <c r="A97" s="30" t="s">
        <v>48</v>
      </c>
      <c r="C97" s="31">
        <f>-ROUND(_xlfn.XLOOKUP(E97,'[1]May 26 Distribution Checking'!A:A,'[1]May 26 Distribution Checking'!AA:AA),2)</f>
        <v>2061.94</v>
      </c>
      <c r="D97" t="s">
        <v>49</v>
      </c>
      <c r="E97" t="s">
        <v>110</v>
      </c>
    </row>
    <row r="98" spans="1:5" x14ac:dyDescent="0.35">
      <c r="A98" s="30" t="s">
        <v>48</v>
      </c>
      <c r="C98" s="31">
        <f>-ROUND(_xlfn.XLOOKUP(E98,'[1]May 26 Distribution Checking'!A:A,'[1]May 26 Distribution Checking'!AA:AA),2)</f>
        <v>1755.58</v>
      </c>
      <c r="D98" t="s">
        <v>49</v>
      </c>
      <c r="E98" t="s">
        <v>111</v>
      </c>
    </row>
    <row r="99" spans="1:5" x14ac:dyDescent="0.35">
      <c r="A99" s="30" t="s">
        <v>48</v>
      </c>
      <c r="C99" s="31">
        <f>-ROUND(_xlfn.XLOOKUP(E99,'[1]May 26 Distribution Checking'!A:A,'[1]May 26 Distribution Checking'!AA:AA),2)</f>
        <v>1374.62</v>
      </c>
      <c r="D99" t="s">
        <v>49</v>
      </c>
      <c r="E99" t="s">
        <v>112</v>
      </c>
    </row>
    <row r="100" spans="1:5" x14ac:dyDescent="0.35">
      <c r="A100" s="30" t="s">
        <v>48</v>
      </c>
      <c r="C100" s="31">
        <f>-ROUND(_xlfn.XLOOKUP(E100,'[1]May 26 Distribution Checking'!A:A,'[1]May 26 Distribution Checking'!AA:AA),2)</f>
        <v>13746.24</v>
      </c>
      <c r="D100" t="s">
        <v>49</v>
      </c>
      <c r="E100" t="s">
        <v>113</v>
      </c>
    </row>
    <row r="101" spans="1:5" x14ac:dyDescent="0.35">
      <c r="A101" s="30" t="s">
        <v>48</v>
      </c>
      <c r="C101" s="31">
        <f>-ROUND(_xlfn.XLOOKUP(E101,'[1]May 26 Distribution Checking'!A:A,'[1]May 26 Distribution Checking'!AA:AA),2)</f>
        <v>6873.12</v>
      </c>
      <c r="D101" t="s">
        <v>49</v>
      </c>
      <c r="E101" t="s">
        <v>114</v>
      </c>
    </row>
    <row r="102" spans="1:5" x14ac:dyDescent="0.35">
      <c r="A102" s="30" t="s">
        <v>48</v>
      </c>
      <c r="C102" s="31">
        <f>-ROUND(_xlfn.XLOOKUP(E102,'[1]May 26 Distribution Checking'!A:A,'[1]May 26 Distribution Checking'!AA:AA),2)</f>
        <v>21416.880000000001</v>
      </c>
      <c r="D102" t="s">
        <v>49</v>
      </c>
      <c r="E102" t="s">
        <v>115</v>
      </c>
    </row>
    <row r="103" spans="1:5" x14ac:dyDescent="0.35">
      <c r="A103" s="30" t="s">
        <v>48</v>
      </c>
      <c r="C103" s="31">
        <f>-ROUND(_xlfn.XLOOKUP(E103,'[1]May 26 Distribution Checking'!A:A,'[1]May 26 Distribution Checking'!AA:AA),2)</f>
        <v>1374.62</v>
      </c>
      <c r="D103" t="s">
        <v>49</v>
      </c>
      <c r="E103" t="s">
        <v>116</v>
      </c>
    </row>
    <row r="104" spans="1:5" x14ac:dyDescent="0.35">
      <c r="A104" s="30" t="s">
        <v>48</v>
      </c>
      <c r="C104" s="31">
        <f>-ROUND(_xlfn.XLOOKUP(E104,'[1]May 26 Distribution Checking'!A:A,'[1]May 26 Distribution Checking'!AA:AA),2)</f>
        <v>5784.43</v>
      </c>
      <c r="D104" t="s">
        <v>49</v>
      </c>
      <c r="E104" t="s">
        <v>117</v>
      </c>
    </row>
    <row r="105" spans="1:5" x14ac:dyDescent="0.35">
      <c r="A105" s="30" t="s">
        <v>48</v>
      </c>
      <c r="C105" s="31">
        <f>-ROUND(_xlfn.XLOOKUP(E105,'[1]May 26 Distribution Checking'!A:A,'[1]May 26 Distribution Checking'!AA:AA),2)</f>
        <v>15406.79</v>
      </c>
      <c r="D105" t="s">
        <v>49</v>
      </c>
      <c r="E105" t="s">
        <v>118</v>
      </c>
    </row>
    <row r="106" spans="1:5" x14ac:dyDescent="0.35">
      <c r="A106" s="30" t="s">
        <v>48</v>
      </c>
      <c r="C106" s="31">
        <f>-ROUND(_xlfn.XLOOKUP(E106,'[1]May 26 Distribution Checking'!A:A,'[1]May 26 Distribution Checking'!AA:AA),2)</f>
        <v>687.31</v>
      </c>
      <c r="D106" t="s">
        <v>49</v>
      </c>
      <c r="E106" t="s">
        <v>119</v>
      </c>
    </row>
    <row r="107" spans="1:5" x14ac:dyDescent="0.35">
      <c r="A107" s="30" t="s">
        <v>48</v>
      </c>
      <c r="C107" s="31">
        <f>-ROUND(_xlfn.XLOOKUP(E107,'[1]May 26 Distribution Checking'!A:A,'[1]May 26 Distribution Checking'!AA:AA),2)</f>
        <v>26333.69</v>
      </c>
      <c r="D107" t="s">
        <v>49</v>
      </c>
      <c r="E107" t="s">
        <v>120</v>
      </c>
    </row>
    <row r="108" spans="1:5" x14ac:dyDescent="0.35">
      <c r="A108" s="30" t="s">
        <v>48</v>
      </c>
      <c r="C108" s="31">
        <f>-ROUND(_xlfn.XLOOKUP(E108,'[1]May 26 Distribution Checking'!A:A,'[1]May 26 Distribution Checking'!AA:AA),2)</f>
        <v>17555.79</v>
      </c>
      <c r="D108" t="s">
        <v>49</v>
      </c>
      <c r="E108" t="s">
        <v>121</v>
      </c>
    </row>
    <row r="109" spans="1:5" x14ac:dyDescent="0.35">
      <c r="A109" s="30" t="s">
        <v>48</v>
      </c>
      <c r="C109" s="31">
        <f>-ROUND(_xlfn.XLOOKUP(E109,'[1]May 26 Distribution Checking'!A:A,'[1]May 26 Distribution Checking'!AA:AA),2)</f>
        <v>17555.79</v>
      </c>
      <c r="D109" t="s">
        <v>49</v>
      </c>
      <c r="E109" t="s">
        <v>122</v>
      </c>
    </row>
    <row r="110" spans="1:5" x14ac:dyDescent="0.35">
      <c r="A110" s="30" t="s">
        <v>48</v>
      </c>
      <c r="C110" s="31">
        <f>-ROUND(_xlfn.XLOOKUP(E110,'[1]May 26 Distribution Checking'!A:A,'[1]May 26 Distribution Checking'!AA:AA),2)</f>
        <v>35111.58</v>
      </c>
      <c r="D110" t="s">
        <v>49</v>
      </c>
      <c r="E110" t="s">
        <v>123</v>
      </c>
    </row>
    <row r="111" spans="1:5" x14ac:dyDescent="0.35">
      <c r="A111" s="30" t="s">
        <v>48</v>
      </c>
      <c r="C111" s="31">
        <f>-ROUND(_xlfn.XLOOKUP(E111,'[1]May 26 Distribution Checking'!A:A,'[1]May 26 Distribution Checking'!AA:AA),2)</f>
        <v>17555.79</v>
      </c>
      <c r="D111" t="s">
        <v>49</v>
      </c>
      <c r="E111" t="s">
        <v>124</v>
      </c>
    </row>
    <row r="112" spans="1:5" x14ac:dyDescent="0.35">
      <c r="A112" s="30" t="s">
        <v>48</v>
      </c>
      <c r="C112" s="31">
        <f>-ROUND(_xlfn.XLOOKUP(E112,'[1]May 26 Distribution Checking'!A:A,'[1]May 26 Distribution Checking'!AA:AA),2)</f>
        <v>9186.89</v>
      </c>
      <c r="D112" t="s">
        <v>49</v>
      </c>
      <c r="E112" t="s">
        <v>125</v>
      </c>
    </row>
    <row r="113" spans="1:5" x14ac:dyDescent="0.35">
      <c r="A113" s="30" t="s">
        <v>48</v>
      </c>
      <c r="C113" s="31">
        <f>-ROUND(_xlfn.XLOOKUP(E113,'[1]May 26 Distribution Checking'!A:A,'[1]May 26 Distribution Checking'!AA:AA),2)</f>
        <v>2749.25</v>
      </c>
      <c r="D113" t="s">
        <v>49</v>
      </c>
      <c r="E113" t="s">
        <v>126</v>
      </c>
    </row>
    <row r="114" spans="1:5" x14ac:dyDescent="0.35">
      <c r="A114" s="30" t="s">
        <v>48</v>
      </c>
      <c r="C114" s="31">
        <f>-ROUND(_xlfn.XLOOKUP(E114,'[1]May 26 Distribution Checking'!A:A,'[1]May 26 Distribution Checking'!AA:AA),2)</f>
        <v>17555.79</v>
      </c>
      <c r="D114" t="s">
        <v>49</v>
      </c>
      <c r="E114" t="s">
        <v>127</v>
      </c>
    </row>
    <row r="115" spans="1:5" x14ac:dyDescent="0.35">
      <c r="A115" s="30" t="s">
        <v>48</v>
      </c>
      <c r="C115" s="31">
        <f>-ROUND(_xlfn.XLOOKUP(E115,'[1]May 26 Distribution Checking'!A:A,'[1]May 26 Distribution Checking'!AA:AA),2)</f>
        <v>17555.79</v>
      </c>
      <c r="D115" t="s">
        <v>49</v>
      </c>
      <c r="E115" t="s">
        <v>128</v>
      </c>
    </row>
    <row r="116" spans="1:5" x14ac:dyDescent="0.35">
      <c r="A116" s="30" t="s">
        <v>48</v>
      </c>
      <c r="C116" s="31">
        <f>-ROUND(_xlfn.XLOOKUP(E116,'[1]May 26 Distribution Checking'!A:A,'[1]May 26 Distribution Checking'!AA:AA),2)</f>
        <v>10533.47</v>
      </c>
      <c r="D116" t="s">
        <v>49</v>
      </c>
      <c r="E116" t="s">
        <v>129</v>
      </c>
    </row>
    <row r="117" spans="1:5" x14ac:dyDescent="0.35">
      <c r="A117" s="30" t="s">
        <v>48</v>
      </c>
      <c r="C117" s="31">
        <f>-ROUND(_xlfn.XLOOKUP(E117,'[1]May 26 Distribution Checking'!A:A,'[1]May 26 Distribution Checking'!AA:AA),2)</f>
        <v>17555.79</v>
      </c>
      <c r="D117" t="s">
        <v>49</v>
      </c>
      <c r="E117" t="s">
        <v>130</v>
      </c>
    </row>
    <row r="118" spans="1:5" x14ac:dyDescent="0.35">
      <c r="A118" s="30" t="s">
        <v>48</v>
      </c>
      <c r="C118" s="31">
        <f>-ROUND(_xlfn.XLOOKUP(E118,'[1]May 26 Distribution Checking'!A:A,'[1]May 26 Distribution Checking'!AA:AA),2)</f>
        <v>351115.83</v>
      </c>
      <c r="D118" t="s">
        <v>49</v>
      </c>
      <c r="E118" t="s">
        <v>131</v>
      </c>
    </row>
    <row r="119" spans="1:5" x14ac:dyDescent="0.35">
      <c r="A119" s="30" t="s">
        <v>48</v>
      </c>
      <c r="C119" s="31">
        <f>-ROUND(_xlfn.XLOOKUP(E119,'[1]May 26 Distribution Checking'!A:A,'[1]May 26 Distribution Checking'!AA:AA),2)</f>
        <v>4388.95</v>
      </c>
      <c r="D119" t="s">
        <v>49</v>
      </c>
      <c r="E119" t="s">
        <v>132</v>
      </c>
    </row>
    <row r="120" spans="1:5" x14ac:dyDescent="0.35">
      <c r="A120" s="30" t="s">
        <v>48</v>
      </c>
      <c r="C120" s="31">
        <f>-ROUND(_xlfn.XLOOKUP(E120,'[1]May 26 Distribution Checking'!A:A,'[1]May 26 Distribution Checking'!AA:AA),2)</f>
        <v>5498.5</v>
      </c>
      <c r="D120" t="s">
        <v>49</v>
      </c>
      <c r="E120" t="s">
        <v>133</v>
      </c>
    </row>
    <row r="121" spans="1:5" x14ac:dyDescent="0.35">
      <c r="A121" s="30" t="s">
        <v>48</v>
      </c>
      <c r="C121" s="31">
        <f>-ROUND(_xlfn.XLOOKUP(E121,'[1]May 26 Distribution Checking'!A:A,'[1]May 26 Distribution Checking'!AA:AA),2)</f>
        <v>5498.5</v>
      </c>
      <c r="D121" t="s">
        <v>49</v>
      </c>
      <c r="E121" t="s">
        <v>134</v>
      </c>
    </row>
    <row r="122" spans="1:5" x14ac:dyDescent="0.35">
      <c r="A122" s="30" t="s">
        <v>48</v>
      </c>
      <c r="C122" s="31">
        <f>-ROUND(_xlfn.XLOOKUP(E122,'[1]May 26 Distribution Checking'!A:A,'[1]May 26 Distribution Checking'!AA:AA),2)</f>
        <v>87778.96</v>
      </c>
      <c r="D122" t="s">
        <v>49</v>
      </c>
      <c r="E122" t="s">
        <v>135</v>
      </c>
    </row>
    <row r="123" spans="1:5" x14ac:dyDescent="0.35">
      <c r="A123" s="30" t="s">
        <v>48</v>
      </c>
      <c r="C123" s="31">
        <f>-ROUND(_xlfn.XLOOKUP(E123,'[1]May 26 Distribution Checking'!A:A,'[1]May 26 Distribution Checking'!AA:AA),2)</f>
        <v>131668.44</v>
      </c>
      <c r="D123" t="s">
        <v>49</v>
      </c>
      <c r="E123" t="s">
        <v>136</v>
      </c>
    </row>
    <row r="124" spans="1:5" x14ac:dyDescent="0.35">
      <c r="A124" s="30" t="s">
        <v>48</v>
      </c>
      <c r="C124" s="31">
        <f>-ROUND(_xlfn.XLOOKUP(E124,'[1]May 26 Distribution Checking'!A:A,'[1]May 26 Distribution Checking'!AA:AA),2)</f>
        <v>87778.96</v>
      </c>
      <c r="D124" t="s">
        <v>49</v>
      </c>
      <c r="E124" t="s">
        <v>137</v>
      </c>
    </row>
    <row r="125" spans="1:5" x14ac:dyDescent="0.35">
      <c r="A125" s="30" t="s">
        <v>48</v>
      </c>
      <c r="C125" s="31">
        <f>-ROUND(_xlfn.XLOOKUP(E125,'[1]May 26 Distribution Checking'!A:A,'[1]May 26 Distribution Checking'!AA:AA),2)</f>
        <v>526673.74</v>
      </c>
      <c r="D125" t="s">
        <v>49</v>
      </c>
      <c r="E125" t="s">
        <v>138</v>
      </c>
    </row>
    <row r="126" spans="1:5" x14ac:dyDescent="0.35">
      <c r="A126" s="30" t="s">
        <v>48</v>
      </c>
      <c r="C126" s="31">
        <f>-ROUND(_xlfn.XLOOKUP(E126,'[1]May 26 Distribution Checking'!A:A,'[1]May 26 Distribution Checking'!AA:AA),2)</f>
        <v>6873.12</v>
      </c>
      <c r="D126" t="s">
        <v>49</v>
      </c>
      <c r="E126" t="s">
        <v>139</v>
      </c>
    </row>
    <row r="127" spans="1:5" x14ac:dyDescent="0.35">
      <c r="A127" s="30" t="s">
        <v>48</v>
      </c>
      <c r="C127" s="31">
        <f>-ROUND(_xlfn.XLOOKUP(E127,'[1]May 26 Distribution Checking'!A:A,'[1]May 26 Distribution Checking'!AA:AA),2)</f>
        <v>35111.58</v>
      </c>
      <c r="D127" t="s">
        <v>49</v>
      </c>
      <c r="E127" t="s">
        <v>140</v>
      </c>
    </row>
    <row r="128" spans="1:5" x14ac:dyDescent="0.35">
      <c r="A128" s="30" t="s">
        <v>66</v>
      </c>
      <c r="C128" s="31">
        <v>6707.82</v>
      </c>
      <c r="D128" t="s">
        <v>67</v>
      </c>
      <c r="E128" t="s">
        <v>7</v>
      </c>
    </row>
    <row r="129" spans="1:5" x14ac:dyDescent="0.35">
      <c r="A129" s="30" t="s">
        <v>24</v>
      </c>
      <c r="B129">
        <f>ROUND(-_xlfn.XLOOKUP('Sub Close Summary'!E129,'[1]Subsequent Close'!A:A,'[1]Subsequent Close'!M:M)+_xlfn.XLOOKUP('Sub Close Summary'!E129,'[1]Subsequent Close'!A:A,'[1]Subsequent Close'!T:T),2)</f>
        <v>11409.19</v>
      </c>
      <c r="D129" t="s">
        <v>52</v>
      </c>
      <c r="E129" t="s">
        <v>50</v>
      </c>
    </row>
    <row r="130" spans="1:5" x14ac:dyDescent="0.35">
      <c r="A130" s="30" t="s">
        <v>24</v>
      </c>
      <c r="B130">
        <f>ROUND(-_xlfn.XLOOKUP('Sub Close Summary'!E130,'[1]Subsequent Close'!A:A,'[1]Subsequent Close'!M:M)+_xlfn.XLOOKUP('Sub Close Summary'!E130,'[1]Subsequent Close'!A:A,'[1]Subsequent Close'!T:T),2)</f>
        <v>15972.87</v>
      </c>
      <c r="D130" t="s">
        <v>52</v>
      </c>
      <c r="E130" t="s">
        <v>51</v>
      </c>
    </row>
    <row r="131" spans="1:5" x14ac:dyDescent="0.35">
      <c r="A131" s="30" t="s">
        <v>24</v>
      </c>
      <c r="B131">
        <f>ROUND(-_xlfn.XLOOKUP('Sub Close Summary'!E131,'[1]Subsequent Close'!A:A,'[1]Subsequent Close'!M:M)+_xlfn.XLOOKUP('Sub Close Summary'!E131,'[1]Subsequent Close'!A:A,'[1]Subsequent Close'!T:T),2)</f>
        <v>13691.03</v>
      </c>
      <c r="D131" t="s">
        <v>52</v>
      </c>
      <c r="E131" t="s">
        <v>53</v>
      </c>
    </row>
    <row r="132" spans="1:5" x14ac:dyDescent="0.35">
      <c r="A132" s="30" t="s">
        <v>24</v>
      </c>
      <c r="B132">
        <f>ROUND(-_xlfn.XLOOKUP('Sub Close Summary'!E132,'[1]Subsequent Close'!A:A,'[1]Subsequent Close'!M:M)+_xlfn.XLOOKUP('Sub Close Summary'!E132,'[1]Subsequent Close'!A:A,'[1]Subsequent Close'!T:T),2)</f>
        <v>17113.79</v>
      </c>
      <c r="D132" t="s">
        <v>52</v>
      </c>
      <c r="E132" t="s">
        <v>54</v>
      </c>
    </row>
    <row r="133" spans="1:5" x14ac:dyDescent="0.35">
      <c r="A133" s="30" t="s">
        <v>24</v>
      </c>
      <c r="B133">
        <f>ROUND(-_xlfn.XLOOKUP('Sub Close Summary'!E133,'[1]Subsequent Close'!A:A,'[1]Subsequent Close'!M:M)+_xlfn.XLOOKUP('Sub Close Summary'!E133,'[1]Subsequent Close'!A:A,'[1]Subsequent Close'!T:T),2)</f>
        <v>1786.69</v>
      </c>
      <c r="D133" t="s">
        <v>52</v>
      </c>
      <c r="E133" t="s">
        <v>55</v>
      </c>
    </row>
    <row r="134" spans="1:5" x14ac:dyDescent="0.35">
      <c r="A134" s="30" t="s">
        <v>24</v>
      </c>
      <c r="B134">
        <f>ROUND(-_xlfn.XLOOKUP('Sub Close Summary'!E134,'[1]Subsequent Close'!A:A,'[1]Subsequent Close'!M:M)+_xlfn.XLOOKUP('Sub Close Summary'!E134,'[1]Subsequent Close'!A:A,'[1]Subsequent Close'!T:T),2)</f>
        <v>3290.36</v>
      </c>
      <c r="D134" t="s">
        <v>52</v>
      </c>
      <c r="E134" t="s">
        <v>57</v>
      </c>
    </row>
    <row r="135" spans="1:5" x14ac:dyDescent="0.35">
      <c r="A135" s="30" t="s">
        <v>24</v>
      </c>
      <c r="B135">
        <f>ROUND(-_xlfn.XLOOKUP('Sub Close Summary'!E135,'[1]Subsequent Close'!A:A,'[1]Subsequent Close'!M:M)+_xlfn.XLOOKUP('Sub Close Summary'!E135,'[1]Subsequent Close'!A:A,'[1]Subsequent Close'!T:T),2)</f>
        <v>3573.37</v>
      </c>
      <c r="D135" t="s">
        <v>52</v>
      </c>
      <c r="E135" t="s">
        <v>59</v>
      </c>
    </row>
    <row r="136" spans="1:5" x14ac:dyDescent="0.35">
      <c r="A136" s="30" t="s">
        <v>24</v>
      </c>
      <c r="B136">
        <f>ROUND(-_xlfn.XLOOKUP('Sub Close Summary'!E136,'[1]Subsequent Close'!A:A,'[1]Subsequent Close'!M:M)+_xlfn.XLOOKUP('Sub Close Summary'!E136,'[1]Subsequent Close'!A:A,'[1]Subsequent Close'!T:T),2)</f>
        <v>11940.79</v>
      </c>
      <c r="D136" t="s">
        <v>52</v>
      </c>
      <c r="E136" t="s">
        <v>61</v>
      </c>
    </row>
    <row r="137" spans="1:5" x14ac:dyDescent="0.35">
      <c r="A137" s="30" t="s">
        <v>24</v>
      </c>
      <c r="B137">
        <f>ROUND(-_xlfn.XLOOKUP('Sub Close Summary'!E137,'[1]Subsequent Close'!A:A,'[1]Subsequent Close'!M:M)+_xlfn.XLOOKUP('Sub Close Summary'!E137,'[1]Subsequent Close'!A:A,'[1]Subsequent Close'!T:T),2)</f>
        <v>22818.39</v>
      </c>
      <c r="D137" t="s">
        <v>52</v>
      </c>
      <c r="E137" t="s">
        <v>62</v>
      </c>
    </row>
    <row r="138" spans="1:5" x14ac:dyDescent="0.35">
      <c r="A138" s="30" t="s">
        <v>24</v>
      </c>
      <c r="B138">
        <f>ROUND(-_xlfn.XLOOKUP('Sub Close Summary'!E138,'[1]Subsequent Close'!A:A,'[1]Subsequent Close'!M:M)+_xlfn.XLOOKUP('Sub Close Summary'!E138,'[1]Subsequent Close'!A:A,'[1]Subsequent Close'!T:T),2)</f>
        <v>8933.43</v>
      </c>
      <c r="D138" t="s">
        <v>52</v>
      </c>
      <c r="E138" t="s">
        <v>63</v>
      </c>
    </row>
    <row r="139" spans="1:5" x14ac:dyDescent="0.35">
      <c r="A139" s="30" t="s">
        <v>24</v>
      </c>
      <c r="B139">
        <f>ROUND(-_xlfn.XLOOKUP('Sub Close Summary'!E139,'[1]Subsequent Close'!A:A,'[1]Subsequent Close'!M:M)+_xlfn.XLOOKUP('Sub Close Summary'!E139,'[1]Subsequent Close'!A:A,'[1]Subsequent Close'!T:T),2)</f>
        <v>228183.87</v>
      </c>
      <c r="D139" t="s">
        <v>52</v>
      </c>
      <c r="E139" t="s">
        <v>65</v>
      </c>
    </row>
    <row r="140" spans="1:5" x14ac:dyDescent="0.35">
      <c r="A140" s="30" t="s">
        <v>24</v>
      </c>
      <c r="B140">
        <f>ROUND(-_xlfn.XLOOKUP('Sub Close Summary'!E140,'[1]Subsequent Close'!A:A,'[1]Subsequent Close'!M:M)+_xlfn.XLOOKUP('Sub Close Summary'!E140,'[1]Subsequent Close'!A:A,'[1]Subsequent Close'!T:T),2)</f>
        <v>20874.23</v>
      </c>
      <c r="D140" t="s">
        <v>52</v>
      </c>
      <c r="E140" t="s">
        <v>68</v>
      </c>
    </row>
    <row r="141" spans="1:5" x14ac:dyDescent="0.35">
      <c r="A141" s="30" t="s">
        <v>24</v>
      </c>
      <c r="B141">
        <f>ROUND(-_xlfn.XLOOKUP('Sub Close Summary'!E141,'[1]Subsequent Close'!A:A,'[1]Subsequent Close'!M:M)+_xlfn.XLOOKUP('Sub Close Summary'!E141,'[1]Subsequent Close'!A:A,'[1]Subsequent Close'!T:T),2)</f>
        <v>20874.23</v>
      </c>
      <c r="D141" t="s">
        <v>52</v>
      </c>
      <c r="E141" t="s">
        <v>70</v>
      </c>
    </row>
    <row r="142" spans="1:5" x14ac:dyDescent="0.35">
      <c r="A142" s="30" t="s">
        <v>24</v>
      </c>
      <c r="B142">
        <f>ROUND(-_xlfn.XLOOKUP('Sub Close Summary'!E142,'[1]Subsequent Close'!A:A,'[1]Subsequent Close'!M:M)+_xlfn.XLOOKUP('Sub Close Summary'!E142,'[1]Subsequent Close'!A:A,'[1]Subsequent Close'!T:T),2)</f>
        <v>1786.69</v>
      </c>
      <c r="D142" t="s">
        <v>52</v>
      </c>
      <c r="E142" t="s">
        <v>72</v>
      </c>
    </row>
    <row r="143" spans="1:5" x14ac:dyDescent="0.35">
      <c r="A143" s="30" t="s">
        <v>24</v>
      </c>
      <c r="B143">
        <f>ROUND(-_xlfn.XLOOKUP('Sub Close Summary'!E143,'[1]Subsequent Close'!A:A,'[1]Subsequent Close'!M:M)+_xlfn.XLOOKUP('Sub Close Summary'!E143,'[1]Subsequent Close'!A:A,'[1]Subsequent Close'!T:T),2)</f>
        <v>5360.06</v>
      </c>
      <c r="D143" t="s">
        <v>52</v>
      </c>
      <c r="E143" t="s">
        <v>74</v>
      </c>
    </row>
    <row r="144" spans="1:5" x14ac:dyDescent="0.35">
      <c r="A144" s="30" t="s">
        <v>24</v>
      </c>
      <c r="B144">
        <f>ROUND(-_xlfn.XLOOKUP('Sub Close Summary'!E144,'[1]Subsequent Close'!A:A,'[1]Subsequent Close'!M:M)+_xlfn.XLOOKUP('Sub Close Summary'!E144,'[1]Subsequent Close'!A:A,'[1]Subsequent Close'!T:T),2)</f>
        <v>11409.19</v>
      </c>
      <c r="D144" t="s">
        <v>52</v>
      </c>
      <c r="E144" t="s">
        <v>76</v>
      </c>
    </row>
    <row r="145" spans="1:5" x14ac:dyDescent="0.35">
      <c r="A145" s="30" t="s">
        <v>24</v>
      </c>
      <c r="B145">
        <f>ROUND(-_xlfn.XLOOKUP('Sub Close Summary'!E145,'[1]Subsequent Close'!A:A,'[1]Subsequent Close'!M:M)+_xlfn.XLOOKUP('Sub Close Summary'!E145,'[1]Subsequent Close'!A:A,'[1]Subsequent Close'!T:T),2)</f>
        <v>4466.72</v>
      </c>
      <c r="D145" t="s">
        <v>52</v>
      </c>
      <c r="E145" t="s">
        <v>77</v>
      </c>
    </row>
    <row r="146" spans="1:5" x14ac:dyDescent="0.35">
      <c r="A146" s="30" t="s">
        <v>24</v>
      </c>
      <c r="B146">
        <f>ROUND(-_xlfn.XLOOKUP('Sub Close Summary'!E146,'[1]Subsequent Close'!A:A,'[1]Subsequent Close'!M:M)+_xlfn.XLOOKUP('Sub Close Summary'!E146,'[1]Subsequent Close'!A:A,'[1]Subsequent Close'!T:T),2)</f>
        <v>11409.19</v>
      </c>
      <c r="D146" t="s">
        <v>52</v>
      </c>
      <c r="E146" t="s">
        <v>78</v>
      </c>
    </row>
    <row r="147" spans="1:5" x14ac:dyDescent="0.35">
      <c r="A147" s="30" t="s">
        <v>24</v>
      </c>
      <c r="B147">
        <f>ROUND(-_xlfn.XLOOKUP('Sub Close Summary'!E147,'[1]Subsequent Close'!A:A,'[1]Subsequent Close'!M:M)+_xlfn.XLOOKUP('Sub Close Summary'!E147,'[1]Subsequent Close'!A:A,'[1]Subsequent Close'!T:T),2)</f>
        <v>1162919.6100000001</v>
      </c>
      <c r="D147" t="s">
        <v>52</v>
      </c>
      <c r="E147" t="s">
        <v>80</v>
      </c>
    </row>
    <row r="148" spans="1:5" x14ac:dyDescent="0.35">
      <c r="A148" s="30" t="s">
        <v>24</v>
      </c>
      <c r="B148">
        <f>ROUND(-_xlfn.XLOOKUP('Sub Close Summary'!E148,'[1]Subsequent Close'!A:A,'[1]Subsequent Close'!M:M)+_xlfn.XLOOKUP('Sub Close Summary'!E148,'[1]Subsequent Close'!A:A,'[1]Subsequent Close'!T:T),2)</f>
        <v>144353.07</v>
      </c>
      <c r="D148" t="s">
        <v>52</v>
      </c>
      <c r="E148" t="s">
        <v>82</v>
      </c>
    </row>
    <row r="149" spans="1:5" x14ac:dyDescent="0.35">
      <c r="A149" s="30" t="s">
        <v>24</v>
      </c>
      <c r="B149">
        <f>ROUND(-_xlfn.XLOOKUP('Sub Close Summary'!E149,'[1]Subsequent Close'!A:A,'[1]Subsequent Close'!M:M)+_xlfn.XLOOKUP('Sub Close Summary'!E149,'[1]Subsequent Close'!A:A,'[1]Subsequent Close'!T:T),2)</f>
        <v>4466.72</v>
      </c>
      <c r="D149" t="s">
        <v>52</v>
      </c>
      <c r="E149" t="s">
        <v>83</v>
      </c>
    </row>
    <row r="150" spans="1:5" x14ac:dyDescent="0.35">
      <c r="A150" s="30" t="s">
        <v>24</v>
      </c>
      <c r="B150">
        <f>ROUND(-_xlfn.XLOOKUP('Sub Close Summary'!E150,'[1]Subsequent Close'!A:A,'[1]Subsequent Close'!M:M)+_xlfn.XLOOKUP('Sub Close Summary'!E150,'[1]Subsequent Close'!A:A,'[1]Subsequent Close'!T:T),2)</f>
        <v>27667.1</v>
      </c>
      <c r="D150" t="s">
        <v>52</v>
      </c>
      <c r="E150" t="s">
        <v>84</v>
      </c>
    </row>
    <row r="151" spans="1:5" x14ac:dyDescent="0.35">
      <c r="A151" s="30" t="s">
        <v>24</v>
      </c>
      <c r="B151">
        <f>ROUND(-_xlfn.XLOOKUP('Sub Close Summary'!E151,'[1]Subsequent Close'!A:A,'[1]Subsequent Close'!M:M)+_xlfn.XLOOKUP('Sub Close Summary'!E151,'[1]Subsequent Close'!A:A,'[1]Subsequent Close'!T:T),2)</f>
        <v>4466.72</v>
      </c>
      <c r="D151" t="s">
        <v>52</v>
      </c>
      <c r="E151" t="s">
        <v>85</v>
      </c>
    </row>
    <row r="152" spans="1:5" x14ac:dyDescent="0.35">
      <c r="A152" s="30" t="s">
        <v>24</v>
      </c>
      <c r="B152">
        <f>ROUND(-_xlfn.XLOOKUP('Sub Close Summary'!E152,'[1]Subsequent Close'!A:A,'[1]Subsequent Close'!M:M)+_xlfn.XLOOKUP('Sub Close Summary'!E152,'[1]Subsequent Close'!A:A,'[1]Subsequent Close'!T:T),2)</f>
        <v>11409.19</v>
      </c>
      <c r="D152" t="s">
        <v>52</v>
      </c>
      <c r="E152" t="s">
        <v>86</v>
      </c>
    </row>
    <row r="153" spans="1:5" x14ac:dyDescent="0.35">
      <c r="A153" s="30" t="s">
        <v>24</v>
      </c>
      <c r="B153">
        <f>ROUND(-_xlfn.XLOOKUP('Sub Close Summary'!E153,'[1]Subsequent Close'!A:A,'[1]Subsequent Close'!M:M)+_xlfn.XLOOKUP('Sub Close Summary'!E153,'[1]Subsequent Close'!A:A,'[1]Subsequent Close'!T:T),2)</f>
        <v>3785.52</v>
      </c>
      <c r="D153" t="s">
        <v>52</v>
      </c>
      <c r="E153" t="s">
        <v>87</v>
      </c>
    </row>
    <row r="154" spans="1:5" x14ac:dyDescent="0.35">
      <c r="A154" s="30" t="s">
        <v>24</v>
      </c>
      <c r="B154">
        <f>ROUND(-_xlfn.XLOOKUP('Sub Close Summary'!E154,'[1]Subsequent Close'!A:A,'[1]Subsequent Close'!M:M)+_xlfn.XLOOKUP('Sub Close Summary'!E154,'[1]Subsequent Close'!A:A,'[1]Subsequent Close'!T:T),2)</f>
        <v>109586.55</v>
      </c>
      <c r="D154" t="s">
        <v>52</v>
      </c>
      <c r="E154" t="s">
        <v>88</v>
      </c>
    </row>
    <row r="155" spans="1:5" x14ac:dyDescent="0.35">
      <c r="A155" s="30" t="s">
        <v>24</v>
      </c>
      <c r="B155">
        <f>ROUND(-_xlfn.XLOOKUP('Sub Close Summary'!E155,'[1]Subsequent Close'!A:A,'[1]Subsequent Close'!M:M)+_xlfn.XLOOKUP('Sub Close Summary'!E155,'[1]Subsequent Close'!A:A,'[1]Subsequent Close'!T:T),2)</f>
        <v>8433.14</v>
      </c>
      <c r="D155" t="s">
        <v>52</v>
      </c>
      <c r="E155" t="s">
        <v>89</v>
      </c>
    </row>
    <row r="156" spans="1:5" x14ac:dyDescent="0.35">
      <c r="A156" s="30" t="s">
        <v>24</v>
      </c>
      <c r="B156">
        <f>ROUND(-_xlfn.XLOOKUP('Sub Close Summary'!E156,'[1]Subsequent Close'!A:A,'[1]Subsequent Close'!M:M)+_xlfn.XLOOKUP('Sub Close Summary'!E156,'[1]Subsequent Close'!A:A,'[1]Subsequent Close'!T:T),2)</f>
        <v>3573.37</v>
      </c>
      <c r="D156" t="s">
        <v>52</v>
      </c>
      <c r="E156" t="s">
        <v>90</v>
      </c>
    </row>
    <row r="157" spans="1:5" x14ac:dyDescent="0.35">
      <c r="A157" s="30" t="s">
        <v>24</v>
      </c>
      <c r="B157">
        <f>ROUND(-_xlfn.XLOOKUP('Sub Close Summary'!E157,'[1]Subsequent Close'!A:A,'[1]Subsequent Close'!M:M)+_xlfn.XLOOKUP('Sub Close Summary'!E157,'[1]Subsequent Close'!A:A,'[1]Subsequent Close'!T:T),2)</f>
        <v>19395.63</v>
      </c>
      <c r="D157" t="s">
        <v>52</v>
      </c>
      <c r="E157" t="s">
        <v>91</v>
      </c>
    </row>
    <row r="158" spans="1:5" x14ac:dyDescent="0.35">
      <c r="A158" s="30" t="s">
        <v>24</v>
      </c>
      <c r="B158">
        <f>ROUND(-_xlfn.XLOOKUP('Sub Close Summary'!E158,'[1]Subsequent Close'!A:A,'[1]Subsequent Close'!M:M)+_xlfn.XLOOKUP('Sub Close Summary'!E158,'[1]Subsequent Close'!A:A,'[1]Subsequent Close'!T:T),2)</f>
        <v>34227.58</v>
      </c>
      <c r="D158" t="s">
        <v>52</v>
      </c>
      <c r="E158" t="s">
        <v>92</v>
      </c>
    </row>
    <row r="159" spans="1:5" x14ac:dyDescent="0.35">
      <c r="A159" s="30" t="s">
        <v>24</v>
      </c>
      <c r="B159">
        <f>ROUND(-_xlfn.XLOOKUP('Sub Close Summary'!E159,'[1]Subsequent Close'!A:A,'[1]Subsequent Close'!M:M)+_xlfn.XLOOKUP('Sub Close Summary'!E159,'[1]Subsequent Close'!A:A,'[1]Subsequent Close'!T:T),2)</f>
        <v>7146.75</v>
      </c>
      <c r="D159" t="s">
        <v>52</v>
      </c>
      <c r="E159" t="s">
        <v>93</v>
      </c>
    </row>
    <row r="160" spans="1:5" x14ac:dyDescent="0.35">
      <c r="A160" s="30" t="s">
        <v>24</v>
      </c>
      <c r="B160">
        <f>ROUND(-_xlfn.XLOOKUP('Sub Close Summary'!E160,'[1]Subsequent Close'!A:A,'[1]Subsequent Close'!M:M)+_xlfn.XLOOKUP('Sub Close Summary'!E160,'[1]Subsequent Close'!A:A,'[1]Subsequent Close'!T:T),2)</f>
        <v>5360.06</v>
      </c>
      <c r="D160" t="s">
        <v>52</v>
      </c>
      <c r="E160" t="s">
        <v>94</v>
      </c>
    </row>
    <row r="161" spans="1:5" x14ac:dyDescent="0.35">
      <c r="A161" s="30" t="s">
        <v>24</v>
      </c>
      <c r="B161">
        <f>ROUND(-_xlfn.XLOOKUP('Sub Close Summary'!E161,'[1]Subsequent Close'!A:A,'[1]Subsequent Close'!M:M)+_xlfn.XLOOKUP('Sub Close Summary'!E161,'[1]Subsequent Close'!A:A,'[1]Subsequent Close'!T:T),2)</f>
        <v>22818.39</v>
      </c>
      <c r="D161" t="s">
        <v>52</v>
      </c>
      <c r="E161" t="s">
        <v>95</v>
      </c>
    </row>
    <row r="162" spans="1:5" x14ac:dyDescent="0.35">
      <c r="A162" s="30" t="s">
        <v>24</v>
      </c>
      <c r="B162">
        <f>ROUND(-_xlfn.XLOOKUP('Sub Close Summary'!E162,'[1]Subsequent Close'!A:A,'[1]Subsequent Close'!M:M)+_xlfn.XLOOKUP('Sub Close Summary'!E162,'[1]Subsequent Close'!A:A,'[1]Subsequent Close'!T:T),2)</f>
        <v>22818.39</v>
      </c>
      <c r="D162" t="s">
        <v>52</v>
      </c>
      <c r="E162" t="s">
        <v>96</v>
      </c>
    </row>
    <row r="163" spans="1:5" x14ac:dyDescent="0.35">
      <c r="A163" s="30" t="s">
        <v>24</v>
      </c>
      <c r="B163">
        <f>ROUND(-_xlfn.XLOOKUP('Sub Close Summary'!E163,'[1]Subsequent Close'!A:A,'[1]Subsequent Close'!M:M)+_xlfn.XLOOKUP('Sub Close Summary'!E163,'[1]Subsequent Close'!A:A,'[1]Subsequent Close'!T:T),2)</f>
        <v>3573.37</v>
      </c>
      <c r="D163" t="s">
        <v>52</v>
      </c>
      <c r="E163" t="s">
        <v>97</v>
      </c>
    </row>
    <row r="164" spans="1:5" x14ac:dyDescent="0.35">
      <c r="A164" s="30" t="s">
        <v>24</v>
      </c>
      <c r="B164">
        <f>ROUND(-_xlfn.XLOOKUP('Sub Close Summary'!E164,'[1]Subsequent Close'!A:A,'[1]Subsequent Close'!M:M)+_xlfn.XLOOKUP('Sub Close Summary'!E164,'[1]Subsequent Close'!A:A,'[1]Subsequent Close'!T:T),2)</f>
        <v>4563.68</v>
      </c>
      <c r="D164" t="s">
        <v>52</v>
      </c>
      <c r="E164" t="s">
        <v>98</v>
      </c>
    </row>
    <row r="165" spans="1:5" x14ac:dyDescent="0.35">
      <c r="A165" s="30" t="s">
        <v>24</v>
      </c>
      <c r="B165">
        <f>ROUND(-_xlfn.XLOOKUP('Sub Close Summary'!E165,'[1]Subsequent Close'!A:A,'[1]Subsequent Close'!M:M)+_xlfn.XLOOKUP('Sub Close Summary'!E165,'[1]Subsequent Close'!A:A,'[1]Subsequent Close'!T:T),2)</f>
        <v>2281.84</v>
      </c>
      <c r="D165" t="s">
        <v>52</v>
      </c>
      <c r="E165" t="s">
        <v>99</v>
      </c>
    </row>
    <row r="166" spans="1:5" x14ac:dyDescent="0.35">
      <c r="A166" s="30" t="s">
        <v>24</v>
      </c>
      <c r="B166">
        <f>ROUND(-_xlfn.XLOOKUP('Sub Close Summary'!E166,'[1]Subsequent Close'!A:A,'[1]Subsequent Close'!M:M)+_xlfn.XLOOKUP('Sub Close Summary'!E166,'[1]Subsequent Close'!A:A,'[1]Subsequent Close'!T:T),2)</f>
        <v>3573.37</v>
      </c>
      <c r="D166" t="s">
        <v>52</v>
      </c>
      <c r="E166" t="s">
        <v>100</v>
      </c>
    </row>
    <row r="167" spans="1:5" x14ac:dyDescent="0.35">
      <c r="A167" s="30" t="s">
        <v>24</v>
      </c>
      <c r="B167">
        <f>ROUND(-_xlfn.XLOOKUP('Sub Close Summary'!E167,'[1]Subsequent Close'!A:A,'[1]Subsequent Close'!M:M)+_xlfn.XLOOKUP('Sub Close Summary'!E167,'[1]Subsequent Close'!A:A,'[1]Subsequent Close'!T:T),2)</f>
        <v>3573.37</v>
      </c>
      <c r="D167" t="s">
        <v>52</v>
      </c>
      <c r="E167" t="s">
        <v>101</v>
      </c>
    </row>
    <row r="168" spans="1:5" x14ac:dyDescent="0.35">
      <c r="A168" s="30" t="s">
        <v>24</v>
      </c>
      <c r="B168">
        <f>ROUND(-_xlfn.XLOOKUP('Sub Close Summary'!E168,'[1]Subsequent Close'!A:A,'[1]Subsequent Close'!M:M)+_xlfn.XLOOKUP('Sub Close Summary'!E168,'[1]Subsequent Close'!A:A,'[1]Subsequent Close'!T:T),2)</f>
        <v>4466.72</v>
      </c>
      <c r="D168" t="s">
        <v>52</v>
      </c>
      <c r="E168" t="s">
        <v>102</v>
      </c>
    </row>
    <row r="169" spans="1:5" x14ac:dyDescent="0.35">
      <c r="A169" s="30" t="s">
        <v>24</v>
      </c>
      <c r="B169">
        <f>ROUND(-_xlfn.XLOOKUP('Sub Close Summary'!E169,'[1]Subsequent Close'!A:A,'[1]Subsequent Close'!M:M)+_xlfn.XLOOKUP('Sub Close Summary'!E169,'[1]Subsequent Close'!A:A,'[1]Subsequent Close'!T:T),2)</f>
        <v>22818.39</v>
      </c>
      <c r="D169" t="s">
        <v>52</v>
      </c>
      <c r="E169" t="s">
        <v>103</v>
      </c>
    </row>
    <row r="170" spans="1:5" x14ac:dyDescent="0.35">
      <c r="A170" s="30" t="s">
        <v>24</v>
      </c>
      <c r="B170">
        <f>ROUND(-_xlfn.XLOOKUP('Sub Close Summary'!E170,'[1]Subsequent Close'!A:A,'[1]Subsequent Close'!M:M)+_xlfn.XLOOKUP('Sub Close Summary'!E170,'[1]Subsequent Close'!A:A,'[1]Subsequent Close'!T:T),2)</f>
        <v>11409.19</v>
      </c>
      <c r="D170" t="s">
        <v>52</v>
      </c>
      <c r="E170" t="s">
        <v>104</v>
      </c>
    </row>
    <row r="171" spans="1:5" x14ac:dyDescent="0.35">
      <c r="A171" s="30" t="s">
        <v>24</v>
      </c>
      <c r="B171">
        <f>ROUND(-_xlfn.XLOOKUP('Sub Close Summary'!E171,'[1]Subsequent Close'!A:A,'[1]Subsequent Close'!M:M)+_xlfn.XLOOKUP('Sub Close Summary'!E171,'[1]Subsequent Close'!A:A,'[1]Subsequent Close'!T:T),2)</f>
        <v>34227.58</v>
      </c>
      <c r="D171" t="s">
        <v>52</v>
      </c>
      <c r="E171" t="s">
        <v>105</v>
      </c>
    </row>
    <row r="172" spans="1:5" x14ac:dyDescent="0.35">
      <c r="A172" s="30" t="s">
        <v>24</v>
      </c>
      <c r="B172">
        <f>ROUND(-_xlfn.XLOOKUP('Sub Close Summary'!E172,'[1]Subsequent Close'!A:A,'[1]Subsequent Close'!M:M)+_xlfn.XLOOKUP('Sub Close Summary'!E172,'[1]Subsequent Close'!A:A,'[1]Subsequent Close'!T:T),2)</f>
        <v>2281.84</v>
      </c>
      <c r="D172" t="s">
        <v>52</v>
      </c>
      <c r="E172" t="s">
        <v>106</v>
      </c>
    </row>
    <row r="173" spans="1:5" x14ac:dyDescent="0.35">
      <c r="A173" s="30" t="s">
        <v>24</v>
      </c>
      <c r="B173">
        <f>ROUND(-_xlfn.XLOOKUP('Sub Close Summary'!E173,'[1]Subsequent Close'!A:A,'[1]Subsequent Close'!M:M)+_xlfn.XLOOKUP('Sub Close Summary'!E173,'[1]Subsequent Close'!A:A,'[1]Subsequent Close'!T:T),2)</f>
        <v>17113.79</v>
      </c>
      <c r="D173" t="s">
        <v>52</v>
      </c>
      <c r="E173" t="s">
        <v>107</v>
      </c>
    </row>
    <row r="174" spans="1:5" x14ac:dyDescent="0.35">
      <c r="A174" s="30" t="s">
        <v>24</v>
      </c>
      <c r="B174">
        <f>ROUND(-_xlfn.XLOOKUP('Sub Close Summary'!E174,'[1]Subsequent Close'!A:A,'[1]Subsequent Close'!M:M)+_xlfn.XLOOKUP('Sub Close Summary'!E174,'[1]Subsequent Close'!A:A,'[1]Subsequent Close'!T:T),2)</f>
        <v>5360.06</v>
      </c>
      <c r="D174" t="s">
        <v>52</v>
      </c>
      <c r="E174" t="s">
        <v>108</v>
      </c>
    </row>
    <row r="175" spans="1:5" x14ac:dyDescent="0.35">
      <c r="A175" s="30" t="s">
        <v>24</v>
      </c>
      <c r="B175">
        <f>ROUND(-_xlfn.XLOOKUP('Sub Close Summary'!E175,'[1]Subsequent Close'!A:A,'[1]Subsequent Close'!M:M)+_xlfn.XLOOKUP('Sub Close Summary'!E175,'[1]Subsequent Close'!A:A,'[1]Subsequent Close'!T:T),2)</f>
        <v>22818.39</v>
      </c>
      <c r="D175" t="s">
        <v>52</v>
      </c>
      <c r="E175" t="s">
        <v>109</v>
      </c>
    </row>
    <row r="176" spans="1:5" x14ac:dyDescent="0.35">
      <c r="A176" s="30" t="s">
        <v>24</v>
      </c>
      <c r="B176">
        <f>ROUND(-_xlfn.XLOOKUP('Sub Close Summary'!E176,'[1]Subsequent Close'!A:A,'[1]Subsequent Close'!M:M)+_xlfn.XLOOKUP('Sub Close Summary'!E176,'[1]Subsequent Close'!A:A,'[1]Subsequent Close'!T:T),2)</f>
        <v>2680.03</v>
      </c>
      <c r="D176" t="s">
        <v>52</v>
      </c>
      <c r="E176" t="s">
        <v>110</v>
      </c>
    </row>
    <row r="177" spans="1:5" x14ac:dyDescent="0.35">
      <c r="A177" s="30" t="s">
        <v>24</v>
      </c>
      <c r="B177">
        <f>ROUND(-_xlfn.XLOOKUP('Sub Close Summary'!E177,'[1]Subsequent Close'!A:A,'[1]Subsequent Close'!M:M)+_xlfn.XLOOKUP('Sub Close Summary'!E177,'[1]Subsequent Close'!A:A,'[1]Subsequent Close'!T:T),2)</f>
        <v>2281.84</v>
      </c>
      <c r="D177" t="s">
        <v>52</v>
      </c>
      <c r="E177" t="s">
        <v>111</v>
      </c>
    </row>
    <row r="178" spans="1:5" x14ac:dyDescent="0.35">
      <c r="A178" s="30" t="s">
        <v>24</v>
      </c>
      <c r="B178">
        <f>ROUND(-_xlfn.XLOOKUP('Sub Close Summary'!E178,'[1]Subsequent Close'!A:A,'[1]Subsequent Close'!M:M)+_xlfn.XLOOKUP('Sub Close Summary'!E178,'[1]Subsequent Close'!A:A,'[1]Subsequent Close'!T:T),2)</f>
        <v>1786.69</v>
      </c>
      <c r="D178" t="s">
        <v>52</v>
      </c>
      <c r="E178" t="s">
        <v>112</v>
      </c>
    </row>
    <row r="179" spans="1:5" x14ac:dyDescent="0.35">
      <c r="A179" s="30" t="s">
        <v>24</v>
      </c>
      <c r="B179">
        <f>ROUND(-_xlfn.XLOOKUP('Sub Close Summary'!E179,'[1]Subsequent Close'!A:A,'[1]Subsequent Close'!M:M)+_xlfn.XLOOKUP('Sub Close Summary'!E179,'[1]Subsequent Close'!A:A,'[1]Subsequent Close'!T:T),2)</f>
        <v>17866.87</v>
      </c>
      <c r="D179" t="s">
        <v>52</v>
      </c>
      <c r="E179" t="s">
        <v>113</v>
      </c>
    </row>
    <row r="180" spans="1:5" x14ac:dyDescent="0.35">
      <c r="A180" s="30" t="s">
        <v>24</v>
      </c>
      <c r="B180">
        <f>ROUND(-_xlfn.XLOOKUP('Sub Close Summary'!E180,'[1]Subsequent Close'!A:A,'[1]Subsequent Close'!M:M)+_xlfn.XLOOKUP('Sub Close Summary'!E180,'[1]Subsequent Close'!A:A,'[1]Subsequent Close'!T:T),2)</f>
        <v>8933.43</v>
      </c>
      <c r="D180" t="s">
        <v>52</v>
      </c>
      <c r="E180" t="s">
        <v>114</v>
      </c>
    </row>
    <row r="181" spans="1:5" x14ac:dyDescent="0.35">
      <c r="A181" s="30" t="s">
        <v>24</v>
      </c>
      <c r="B181">
        <f>ROUND(-_xlfn.XLOOKUP('Sub Close Summary'!E181,'[1]Subsequent Close'!A:A,'[1]Subsequent Close'!M:M)+_xlfn.XLOOKUP('Sub Close Summary'!E181,'[1]Subsequent Close'!A:A,'[1]Subsequent Close'!T:T),2)</f>
        <v>16045.07</v>
      </c>
      <c r="D181" t="s">
        <v>52</v>
      </c>
      <c r="E181" t="s">
        <v>115</v>
      </c>
    </row>
    <row r="182" spans="1:5" x14ac:dyDescent="0.35">
      <c r="A182" s="30" t="s">
        <v>24</v>
      </c>
      <c r="B182">
        <f>ROUND(-_xlfn.XLOOKUP('Sub Close Summary'!E182,'[1]Subsequent Close'!A:A,'[1]Subsequent Close'!M:M)+_xlfn.XLOOKUP('Sub Close Summary'!E182,'[1]Subsequent Close'!A:A,'[1]Subsequent Close'!T:T),2)</f>
        <v>1786.69</v>
      </c>
      <c r="D182" t="s">
        <v>52</v>
      </c>
      <c r="E182" t="s">
        <v>116</v>
      </c>
    </row>
    <row r="183" spans="1:5" x14ac:dyDescent="0.35">
      <c r="A183" s="30" t="s">
        <v>24</v>
      </c>
      <c r="B183">
        <f>ROUND(-_xlfn.XLOOKUP('Sub Close Summary'!E183,'[1]Subsequent Close'!A:A,'[1]Subsequent Close'!M:M)+_xlfn.XLOOKUP('Sub Close Summary'!E183,'[1]Subsequent Close'!A:A,'[1]Subsequent Close'!T:T),2)</f>
        <v>7518.39</v>
      </c>
      <c r="D183" t="s">
        <v>52</v>
      </c>
      <c r="E183" t="s">
        <v>117</v>
      </c>
    </row>
    <row r="184" spans="1:5" x14ac:dyDescent="0.35">
      <c r="A184" s="30" t="s">
        <v>24</v>
      </c>
      <c r="B184">
        <f>ROUND(-_xlfn.XLOOKUP('Sub Close Summary'!E184,'[1]Subsequent Close'!A:A,'[1]Subsequent Close'!M:M)+_xlfn.XLOOKUP('Sub Close Summary'!E184,'[1]Subsequent Close'!A:A,'[1]Subsequent Close'!T:T),2)</f>
        <v>20025.2</v>
      </c>
      <c r="D184" t="s">
        <v>52</v>
      </c>
      <c r="E184" t="s">
        <v>118</v>
      </c>
    </row>
    <row r="185" spans="1:5" x14ac:dyDescent="0.35">
      <c r="A185" s="30" t="s">
        <v>24</v>
      </c>
      <c r="B185">
        <f>ROUND(-_xlfn.XLOOKUP('Sub Close Summary'!E185,'[1]Subsequent Close'!A:A,'[1]Subsequent Close'!M:M)+_xlfn.XLOOKUP('Sub Close Summary'!E185,'[1]Subsequent Close'!A:A,'[1]Subsequent Close'!T:T),2)</f>
        <v>893.34</v>
      </c>
      <c r="D185" t="s">
        <v>52</v>
      </c>
      <c r="E185" t="s">
        <v>119</v>
      </c>
    </row>
    <row r="186" spans="1:5" x14ac:dyDescent="0.35">
      <c r="A186" s="30" t="s">
        <v>24</v>
      </c>
      <c r="B186">
        <f>ROUND(-_xlfn.XLOOKUP('Sub Close Summary'!E186,'[1]Subsequent Close'!A:A,'[1]Subsequent Close'!M:M)+_xlfn.XLOOKUP('Sub Close Summary'!E186,'[1]Subsequent Close'!A:A,'[1]Subsequent Close'!T:T),2)</f>
        <v>34227.58</v>
      </c>
      <c r="D186" t="s">
        <v>52</v>
      </c>
      <c r="E186" t="s">
        <v>120</v>
      </c>
    </row>
    <row r="187" spans="1:5" x14ac:dyDescent="0.35">
      <c r="A187" s="30" t="s">
        <v>24</v>
      </c>
      <c r="B187">
        <f>ROUND(-_xlfn.XLOOKUP('Sub Close Summary'!E187,'[1]Subsequent Close'!A:A,'[1]Subsequent Close'!M:M)+_xlfn.XLOOKUP('Sub Close Summary'!E187,'[1]Subsequent Close'!A:A,'[1]Subsequent Close'!T:T),2)</f>
        <v>22818.39</v>
      </c>
      <c r="D187" t="s">
        <v>52</v>
      </c>
      <c r="E187" t="s">
        <v>121</v>
      </c>
    </row>
    <row r="188" spans="1:5" x14ac:dyDescent="0.35">
      <c r="A188" s="30" t="s">
        <v>24</v>
      </c>
      <c r="B188">
        <f>ROUND(-_xlfn.XLOOKUP('Sub Close Summary'!E188,'[1]Subsequent Close'!A:A,'[1]Subsequent Close'!M:M)+_xlfn.XLOOKUP('Sub Close Summary'!E188,'[1]Subsequent Close'!A:A,'[1]Subsequent Close'!T:T),2)</f>
        <v>22818.39</v>
      </c>
      <c r="D188" t="s">
        <v>52</v>
      </c>
      <c r="E188" t="s">
        <v>122</v>
      </c>
    </row>
    <row r="189" spans="1:5" x14ac:dyDescent="0.35">
      <c r="A189" s="30" t="s">
        <v>24</v>
      </c>
      <c r="B189">
        <f>ROUND(-_xlfn.XLOOKUP('Sub Close Summary'!E189,'[1]Subsequent Close'!A:A,'[1]Subsequent Close'!M:M)+_xlfn.XLOOKUP('Sub Close Summary'!E189,'[1]Subsequent Close'!A:A,'[1]Subsequent Close'!T:T),2)</f>
        <v>45636.77</v>
      </c>
      <c r="D189" t="s">
        <v>52</v>
      </c>
      <c r="E189" t="s">
        <v>123</v>
      </c>
    </row>
    <row r="190" spans="1:5" x14ac:dyDescent="0.35">
      <c r="A190" s="30" t="s">
        <v>24</v>
      </c>
      <c r="B190">
        <f>ROUND(-_xlfn.XLOOKUP('Sub Close Summary'!E190,'[1]Subsequent Close'!A:A,'[1]Subsequent Close'!M:M)+_xlfn.XLOOKUP('Sub Close Summary'!E190,'[1]Subsequent Close'!A:A,'[1]Subsequent Close'!T:T),2)</f>
        <v>22818.39</v>
      </c>
      <c r="D190" t="s">
        <v>52</v>
      </c>
      <c r="E190" t="s">
        <v>124</v>
      </c>
    </row>
    <row r="191" spans="1:5" x14ac:dyDescent="0.35">
      <c r="A191" s="30" t="s">
        <v>24</v>
      </c>
      <c r="B191">
        <f>ROUND(-_xlfn.XLOOKUP('Sub Close Summary'!E191,'[1]Subsequent Close'!A:A,'[1]Subsequent Close'!M:M)+_xlfn.XLOOKUP('Sub Close Summary'!E191,'[1]Subsequent Close'!A:A,'[1]Subsequent Close'!T:T),2)</f>
        <v>11940.79</v>
      </c>
      <c r="D191" t="s">
        <v>52</v>
      </c>
      <c r="E191" t="s">
        <v>125</v>
      </c>
    </row>
    <row r="192" spans="1:5" x14ac:dyDescent="0.35">
      <c r="A192" s="30" t="s">
        <v>24</v>
      </c>
      <c r="B192">
        <f>ROUND(-_xlfn.XLOOKUP('Sub Close Summary'!E192,'[1]Subsequent Close'!A:A,'[1]Subsequent Close'!M:M)+_xlfn.XLOOKUP('Sub Close Summary'!E192,'[1]Subsequent Close'!A:A,'[1]Subsequent Close'!T:T),2)</f>
        <v>3573.37</v>
      </c>
      <c r="D192" t="s">
        <v>52</v>
      </c>
      <c r="E192" t="s">
        <v>126</v>
      </c>
    </row>
    <row r="193" spans="1:5" x14ac:dyDescent="0.35">
      <c r="A193" s="30" t="s">
        <v>24</v>
      </c>
      <c r="B193">
        <f>ROUND(-_xlfn.XLOOKUP('Sub Close Summary'!E193,'[1]Subsequent Close'!A:A,'[1]Subsequent Close'!M:M)+_xlfn.XLOOKUP('Sub Close Summary'!E193,'[1]Subsequent Close'!A:A,'[1]Subsequent Close'!T:T),2)</f>
        <v>22818.39</v>
      </c>
      <c r="D193" t="s">
        <v>52</v>
      </c>
      <c r="E193" t="s">
        <v>127</v>
      </c>
    </row>
    <row r="194" spans="1:5" x14ac:dyDescent="0.35">
      <c r="A194" s="30" t="s">
        <v>24</v>
      </c>
      <c r="B194">
        <f>ROUND(-_xlfn.XLOOKUP('Sub Close Summary'!E194,'[1]Subsequent Close'!A:A,'[1]Subsequent Close'!M:M)+_xlfn.XLOOKUP('Sub Close Summary'!E194,'[1]Subsequent Close'!A:A,'[1]Subsequent Close'!T:T),2)</f>
        <v>22818.39</v>
      </c>
      <c r="D194" t="s">
        <v>52</v>
      </c>
      <c r="E194" t="s">
        <v>128</v>
      </c>
    </row>
    <row r="195" spans="1:5" x14ac:dyDescent="0.35">
      <c r="A195" s="30" t="s">
        <v>24</v>
      </c>
      <c r="B195">
        <f>ROUND(-_xlfn.XLOOKUP('Sub Close Summary'!E195,'[1]Subsequent Close'!A:A,'[1]Subsequent Close'!M:M)+_xlfn.XLOOKUP('Sub Close Summary'!E195,'[1]Subsequent Close'!A:A,'[1]Subsequent Close'!T:T),2)</f>
        <v>13691.03</v>
      </c>
      <c r="D195" t="s">
        <v>52</v>
      </c>
      <c r="E195" t="s">
        <v>129</v>
      </c>
    </row>
    <row r="196" spans="1:5" x14ac:dyDescent="0.35">
      <c r="A196" s="30" t="s">
        <v>24</v>
      </c>
      <c r="B196">
        <f>ROUND(-_xlfn.XLOOKUP('Sub Close Summary'!E196,'[1]Subsequent Close'!A:A,'[1]Subsequent Close'!M:M)+_xlfn.XLOOKUP('Sub Close Summary'!E196,'[1]Subsequent Close'!A:A,'[1]Subsequent Close'!T:T),2)</f>
        <v>22818.39</v>
      </c>
      <c r="D196" t="s">
        <v>52</v>
      </c>
      <c r="E196" t="s">
        <v>130</v>
      </c>
    </row>
    <row r="197" spans="1:5" x14ac:dyDescent="0.35">
      <c r="A197" s="30" t="s">
        <v>24</v>
      </c>
      <c r="B197">
        <f>ROUND(-_xlfn.XLOOKUP('Sub Close Summary'!E197,'[1]Subsequent Close'!A:A,'[1]Subsequent Close'!M:M)+_xlfn.XLOOKUP('Sub Close Summary'!E197,'[1]Subsequent Close'!A:A,'[1]Subsequent Close'!T:T),2)</f>
        <v>456367.75</v>
      </c>
      <c r="D197" t="s">
        <v>52</v>
      </c>
      <c r="E197" t="s">
        <v>131</v>
      </c>
    </row>
    <row r="198" spans="1:5" x14ac:dyDescent="0.35">
      <c r="A198" s="30" t="s">
        <v>24</v>
      </c>
      <c r="B198">
        <f>ROUND(-_xlfn.XLOOKUP('Sub Close Summary'!E198,'[1]Subsequent Close'!A:A,'[1]Subsequent Close'!M:M)+_xlfn.XLOOKUP('Sub Close Summary'!E198,'[1]Subsequent Close'!A:A,'[1]Subsequent Close'!T:T),2)</f>
        <v>5704.6</v>
      </c>
      <c r="D198" t="s">
        <v>52</v>
      </c>
      <c r="E198" t="s">
        <v>132</v>
      </c>
    </row>
    <row r="199" spans="1:5" x14ac:dyDescent="0.35">
      <c r="A199" s="30" t="s">
        <v>24</v>
      </c>
      <c r="B199">
        <f>ROUND(-_xlfn.XLOOKUP('Sub Close Summary'!E199,'[1]Subsequent Close'!A:A,'[1]Subsequent Close'!M:M)+_xlfn.XLOOKUP('Sub Close Summary'!E199,'[1]Subsequent Close'!A:A,'[1]Subsequent Close'!T:T),2)</f>
        <v>7146.75</v>
      </c>
      <c r="D199" t="s">
        <v>52</v>
      </c>
      <c r="E199" t="s">
        <v>133</v>
      </c>
    </row>
    <row r="200" spans="1:5" x14ac:dyDescent="0.35">
      <c r="A200" s="30" t="s">
        <v>24</v>
      </c>
      <c r="B200">
        <f>ROUND(-_xlfn.XLOOKUP('Sub Close Summary'!E200,'[1]Subsequent Close'!A:A,'[1]Subsequent Close'!M:M)+_xlfn.XLOOKUP('Sub Close Summary'!E200,'[1]Subsequent Close'!A:A,'[1]Subsequent Close'!T:T),2)</f>
        <v>7146.75</v>
      </c>
      <c r="D200" t="s">
        <v>52</v>
      </c>
      <c r="E200" t="s">
        <v>134</v>
      </c>
    </row>
    <row r="201" spans="1:5" x14ac:dyDescent="0.35">
      <c r="A201" s="30" t="s">
        <v>24</v>
      </c>
      <c r="B201">
        <f>ROUND(-_xlfn.XLOOKUP('Sub Close Summary'!E201,'[1]Subsequent Close'!A:A,'[1]Subsequent Close'!M:M)+_xlfn.XLOOKUP('Sub Close Summary'!E201,'[1]Subsequent Close'!A:A,'[1]Subsequent Close'!T:T),2)</f>
        <v>114091.94</v>
      </c>
      <c r="D201" t="s">
        <v>52</v>
      </c>
      <c r="E201" t="s">
        <v>135</v>
      </c>
    </row>
    <row r="202" spans="1:5" x14ac:dyDescent="0.35">
      <c r="A202" s="30" t="s">
        <v>24</v>
      </c>
      <c r="B202">
        <f>ROUND(-_xlfn.XLOOKUP('Sub Close Summary'!E202,'[1]Subsequent Close'!A:A,'[1]Subsequent Close'!M:M)+_xlfn.XLOOKUP('Sub Close Summary'!E202,'[1]Subsequent Close'!A:A,'[1]Subsequent Close'!T:T),2)</f>
        <v>171137.9</v>
      </c>
      <c r="D202" t="s">
        <v>52</v>
      </c>
      <c r="E202" t="s">
        <v>136</v>
      </c>
    </row>
    <row r="203" spans="1:5" x14ac:dyDescent="0.35">
      <c r="A203" s="30" t="s">
        <v>24</v>
      </c>
      <c r="B203">
        <f>ROUND(-_xlfn.XLOOKUP('Sub Close Summary'!E203,'[1]Subsequent Close'!A:A,'[1]Subsequent Close'!M:M)+_xlfn.XLOOKUP('Sub Close Summary'!E203,'[1]Subsequent Close'!A:A,'[1]Subsequent Close'!T:T),2)</f>
        <v>114091.94</v>
      </c>
      <c r="D203" t="s">
        <v>52</v>
      </c>
      <c r="E203" t="s">
        <v>137</v>
      </c>
    </row>
    <row r="204" spans="1:5" x14ac:dyDescent="0.35">
      <c r="A204" s="30" t="s">
        <v>24</v>
      </c>
      <c r="B204">
        <f>ROUND(-_xlfn.XLOOKUP('Sub Close Summary'!E204,'[1]Subsequent Close'!A:A,'[1]Subsequent Close'!M:M)+_xlfn.XLOOKUP('Sub Close Summary'!E204,'[1]Subsequent Close'!A:A,'[1]Subsequent Close'!T:T),2)</f>
        <v>684551.62</v>
      </c>
      <c r="D204" t="s">
        <v>52</v>
      </c>
      <c r="E204" t="s">
        <v>138</v>
      </c>
    </row>
    <row r="205" spans="1:5" x14ac:dyDescent="0.35">
      <c r="A205" s="30" t="s">
        <v>24</v>
      </c>
      <c r="B205">
        <f>ROUND(-_xlfn.XLOOKUP('Sub Close Summary'!E205,'[1]Subsequent Close'!A:A,'[1]Subsequent Close'!M:M)+_xlfn.XLOOKUP('Sub Close Summary'!E205,'[1]Subsequent Close'!A:A,'[1]Subsequent Close'!T:T),2)</f>
        <v>8933.43</v>
      </c>
      <c r="D205" t="s">
        <v>52</v>
      </c>
      <c r="E205" t="s">
        <v>139</v>
      </c>
    </row>
    <row r="206" spans="1:5" x14ac:dyDescent="0.35">
      <c r="A206" s="30" t="s">
        <v>24</v>
      </c>
      <c r="B206">
        <f>ROUND(-_xlfn.XLOOKUP('Sub Close Summary'!E206,'[1]Subsequent Close'!A:A,'[1]Subsequent Close'!M:M)+_xlfn.XLOOKUP('Sub Close Summary'!E206,'[1]Subsequent Close'!A:A,'[1]Subsequent Close'!T:T),2)</f>
        <v>45636.77</v>
      </c>
      <c r="D206" t="s">
        <v>52</v>
      </c>
      <c r="E206" t="s">
        <v>140</v>
      </c>
    </row>
    <row r="207" spans="1:5" x14ac:dyDescent="0.35">
      <c r="A207" s="30" t="s">
        <v>28</v>
      </c>
      <c r="B207">
        <f>ROUND(_xlfn.XLOOKUP(E207,'[1]Subsequent Close'!A:A,'[1]Subsequent Close'!W:W)-_xlfn.XLOOKUP('Sub Close Summary'!E207,'[1]Subsequent Close'!A:A,'[1]Subsequent Close'!P:P),2)</f>
        <v>5.08</v>
      </c>
      <c r="D207" t="s">
        <v>52</v>
      </c>
      <c r="E207" t="s">
        <v>50</v>
      </c>
    </row>
    <row r="208" spans="1:5" x14ac:dyDescent="0.35">
      <c r="A208" s="30" t="s">
        <v>28</v>
      </c>
      <c r="B208">
        <f>ROUND(_xlfn.XLOOKUP(E208,'[1]Subsequent Close'!A:A,'[1]Subsequent Close'!W:W)-_xlfn.XLOOKUP('Sub Close Summary'!E208,'[1]Subsequent Close'!A:A,'[1]Subsequent Close'!P:P),2)</f>
        <v>7.11</v>
      </c>
      <c r="D208" t="s">
        <v>52</v>
      </c>
      <c r="E208" t="s">
        <v>51</v>
      </c>
    </row>
    <row r="209" spans="1:5" x14ac:dyDescent="0.35">
      <c r="A209" s="30" t="s">
        <v>28</v>
      </c>
      <c r="B209">
        <f>ROUND(_xlfn.XLOOKUP(E209,'[1]Subsequent Close'!A:A,'[1]Subsequent Close'!W:W)-_xlfn.XLOOKUP('Sub Close Summary'!E209,'[1]Subsequent Close'!A:A,'[1]Subsequent Close'!P:P),2)</f>
        <v>6.09</v>
      </c>
      <c r="D209" t="s">
        <v>52</v>
      </c>
      <c r="E209" t="s">
        <v>53</v>
      </c>
    </row>
    <row r="210" spans="1:5" x14ac:dyDescent="0.35">
      <c r="A210" s="30" t="s">
        <v>28</v>
      </c>
      <c r="B210">
        <f>ROUND(_xlfn.XLOOKUP(E210,'[1]Subsequent Close'!A:A,'[1]Subsequent Close'!W:W)-_xlfn.XLOOKUP('Sub Close Summary'!E210,'[1]Subsequent Close'!A:A,'[1]Subsequent Close'!P:P),2)</f>
        <v>7.62</v>
      </c>
      <c r="D210" t="s">
        <v>52</v>
      </c>
      <c r="E210" t="s">
        <v>54</v>
      </c>
    </row>
    <row r="211" spans="1:5" x14ac:dyDescent="0.35">
      <c r="A211" s="30" t="s">
        <v>28</v>
      </c>
      <c r="B211">
        <f>ROUND(_xlfn.XLOOKUP(E211,'[1]Subsequent Close'!A:A,'[1]Subsequent Close'!W:W)-_xlfn.XLOOKUP('Sub Close Summary'!E211,'[1]Subsequent Close'!A:A,'[1]Subsequent Close'!P:P),2)</f>
        <v>0.8</v>
      </c>
      <c r="D211" t="s">
        <v>52</v>
      </c>
      <c r="E211" t="s">
        <v>55</v>
      </c>
    </row>
    <row r="212" spans="1:5" x14ac:dyDescent="0.35">
      <c r="A212" s="30" t="s">
        <v>28</v>
      </c>
      <c r="B212">
        <f>ROUND(_xlfn.XLOOKUP(E212,'[1]Subsequent Close'!A:A,'[1]Subsequent Close'!W:W)-_xlfn.XLOOKUP('Sub Close Summary'!E212,'[1]Subsequent Close'!A:A,'[1]Subsequent Close'!P:P),2)</f>
        <v>1.46</v>
      </c>
      <c r="D212" t="s">
        <v>52</v>
      </c>
      <c r="E212" t="s">
        <v>57</v>
      </c>
    </row>
    <row r="213" spans="1:5" x14ac:dyDescent="0.35">
      <c r="A213" s="30" t="s">
        <v>28</v>
      </c>
      <c r="B213">
        <f>ROUND(_xlfn.XLOOKUP(E213,'[1]Subsequent Close'!A:A,'[1]Subsequent Close'!W:W)-_xlfn.XLOOKUP('Sub Close Summary'!E213,'[1]Subsequent Close'!A:A,'[1]Subsequent Close'!P:P),2)</f>
        <v>1.59</v>
      </c>
      <c r="D213" t="s">
        <v>52</v>
      </c>
      <c r="E213" t="s">
        <v>59</v>
      </c>
    </row>
    <row r="214" spans="1:5" x14ac:dyDescent="0.35">
      <c r="A214" s="30" t="s">
        <v>28</v>
      </c>
      <c r="B214">
        <f>ROUND(_xlfn.XLOOKUP(E214,'[1]Subsequent Close'!A:A,'[1]Subsequent Close'!W:W)-_xlfn.XLOOKUP('Sub Close Summary'!E214,'[1]Subsequent Close'!A:A,'[1]Subsequent Close'!P:P),2)</f>
        <v>5.32</v>
      </c>
      <c r="D214" t="s">
        <v>52</v>
      </c>
      <c r="E214" t="s">
        <v>61</v>
      </c>
    </row>
    <row r="215" spans="1:5" x14ac:dyDescent="0.35">
      <c r="A215" s="30" t="s">
        <v>28</v>
      </c>
      <c r="B215">
        <f>ROUND(_xlfn.XLOOKUP(E215,'[1]Subsequent Close'!A:A,'[1]Subsequent Close'!W:W)-_xlfn.XLOOKUP('Sub Close Summary'!E215,'[1]Subsequent Close'!A:A,'[1]Subsequent Close'!P:P),2)</f>
        <v>10.16</v>
      </c>
      <c r="D215" t="s">
        <v>52</v>
      </c>
      <c r="E215" t="s">
        <v>62</v>
      </c>
    </row>
    <row r="216" spans="1:5" x14ac:dyDescent="0.35">
      <c r="A216" s="30" t="s">
        <v>28</v>
      </c>
      <c r="B216">
        <f>ROUND(_xlfn.XLOOKUP(E216,'[1]Subsequent Close'!A:A,'[1]Subsequent Close'!W:W)-_xlfn.XLOOKUP('Sub Close Summary'!E216,'[1]Subsequent Close'!A:A,'[1]Subsequent Close'!P:P),2)</f>
        <v>3.98</v>
      </c>
      <c r="D216" t="s">
        <v>52</v>
      </c>
      <c r="E216" t="s">
        <v>63</v>
      </c>
    </row>
    <row r="217" spans="1:5" x14ac:dyDescent="0.35">
      <c r="A217" s="30" t="s">
        <v>28</v>
      </c>
      <c r="B217">
        <f>ROUND(_xlfn.XLOOKUP(E217,'[1]Subsequent Close'!A:A,'[1]Subsequent Close'!W:W)-_xlfn.XLOOKUP('Sub Close Summary'!E217,'[1]Subsequent Close'!A:A,'[1]Subsequent Close'!P:P),2)</f>
        <v>101.58</v>
      </c>
      <c r="D217" t="s">
        <v>52</v>
      </c>
      <c r="E217" t="s">
        <v>65</v>
      </c>
    </row>
    <row r="218" spans="1:5" x14ac:dyDescent="0.35">
      <c r="A218" s="30" t="s">
        <v>28</v>
      </c>
      <c r="B218">
        <f>ROUND(_xlfn.XLOOKUP(E218,'[1]Subsequent Close'!A:A,'[1]Subsequent Close'!W:W)-_xlfn.XLOOKUP('Sub Close Summary'!E218,'[1]Subsequent Close'!A:A,'[1]Subsequent Close'!P:P),2)</f>
        <v>9.2899999999999991</v>
      </c>
      <c r="D218" t="s">
        <v>52</v>
      </c>
      <c r="E218" t="s">
        <v>68</v>
      </c>
    </row>
    <row r="219" spans="1:5" x14ac:dyDescent="0.35">
      <c r="A219" s="30" t="s">
        <v>28</v>
      </c>
      <c r="B219">
        <f>ROUND(_xlfn.XLOOKUP(E219,'[1]Subsequent Close'!A:A,'[1]Subsequent Close'!W:W)-_xlfn.XLOOKUP('Sub Close Summary'!E219,'[1]Subsequent Close'!A:A,'[1]Subsequent Close'!P:P),2)</f>
        <v>9.2899999999999991</v>
      </c>
      <c r="D219" t="s">
        <v>52</v>
      </c>
      <c r="E219" t="s">
        <v>70</v>
      </c>
    </row>
    <row r="220" spans="1:5" x14ac:dyDescent="0.35">
      <c r="A220" s="30" t="s">
        <v>28</v>
      </c>
      <c r="B220">
        <f>ROUND(_xlfn.XLOOKUP(E220,'[1]Subsequent Close'!A:A,'[1]Subsequent Close'!W:W)-_xlfn.XLOOKUP('Sub Close Summary'!E220,'[1]Subsequent Close'!A:A,'[1]Subsequent Close'!P:P),2)</f>
        <v>0.8</v>
      </c>
      <c r="D220" t="s">
        <v>52</v>
      </c>
      <c r="E220" t="s">
        <v>72</v>
      </c>
    </row>
    <row r="221" spans="1:5" x14ac:dyDescent="0.35">
      <c r="A221" s="30" t="s">
        <v>28</v>
      </c>
      <c r="B221">
        <f>ROUND(_xlfn.XLOOKUP(E221,'[1]Subsequent Close'!A:A,'[1]Subsequent Close'!W:W)-_xlfn.XLOOKUP('Sub Close Summary'!E221,'[1]Subsequent Close'!A:A,'[1]Subsequent Close'!P:P),2)</f>
        <v>2.39</v>
      </c>
      <c r="D221" t="s">
        <v>52</v>
      </c>
      <c r="E221" t="s">
        <v>74</v>
      </c>
    </row>
    <row r="222" spans="1:5" x14ac:dyDescent="0.35">
      <c r="A222" s="30" t="s">
        <v>28</v>
      </c>
      <c r="B222">
        <f>ROUND(_xlfn.XLOOKUP(E222,'[1]Subsequent Close'!A:A,'[1]Subsequent Close'!W:W)-_xlfn.XLOOKUP('Sub Close Summary'!E222,'[1]Subsequent Close'!A:A,'[1]Subsequent Close'!P:P),2)</f>
        <v>5.08</v>
      </c>
      <c r="D222" t="s">
        <v>52</v>
      </c>
      <c r="E222" t="s">
        <v>76</v>
      </c>
    </row>
    <row r="223" spans="1:5" x14ac:dyDescent="0.35">
      <c r="A223" s="30" t="s">
        <v>28</v>
      </c>
      <c r="B223">
        <f>ROUND(_xlfn.XLOOKUP(E223,'[1]Subsequent Close'!A:A,'[1]Subsequent Close'!W:W)-_xlfn.XLOOKUP('Sub Close Summary'!E223,'[1]Subsequent Close'!A:A,'[1]Subsequent Close'!P:P),2)</f>
        <v>1.99</v>
      </c>
      <c r="D223" t="s">
        <v>52</v>
      </c>
      <c r="E223" t="s">
        <v>77</v>
      </c>
    </row>
    <row r="224" spans="1:5" x14ac:dyDescent="0.35">
      <c r="A224" s="30" t="s">
        <v>28</v>
      </c>
      <c r="B224">
        <f>ROUND(_xlfn.XLOOKUP(E224,'[1]Subsequent Close'!A:A,'[1]Subsequent Close'!W:W)-_xlfn.XLOOKUP('Sub Close Summary'!E224,'[1]Subsequent Close'!A:A,'[1]Subsequent Close'!P:P),2)</f>
        <v>5.08</v>
      </c>
      <c r="D224" t="s">
        <v>52</v>
      </c>
      <c r="E224" t="s">
        <v>78</v>
      </c>
    </row>
    <row r="225" spans="1:5" x14ac:dyDescent="0.35">
      <c r="A225" s="30" t="s">
        <v>28</v>
      </c>
      <c r="B225">
        <f>ROUND(_xlfn.XLOOKUP(E225,'[1]Subsequent Close'!A:A,'[1]Subsequent Close'!W:W)-_xlfn.XLOOKUP('Sub Close Summary'!E225,'[1]Subsequent Close'!A:A,'[1]Subsequent Close'!P:P),2)</f>
        <v>517.70000000000005</v>
      </c>
      <c r="D225" t="s">
        <v>52</v>
      </c>
      <c r="E225" t="s">
        <v>80</v>
      </c>
    </row>
    <row r="226" spans="1:5" x14ac:dyDescent="0.35">
      <c r="A226" s="30" t="s">
        <v>28</v>
      </c>
      <c r="B226">
        <f>ROUND(_xlfn.XLOOKUP(E226,'[1]Subsequent Close'!A:A,'[1]Subsequent Close'!W:W)-_xlfn.XLOOKUP('Sub Close Summary'!E226,'[1]Subsequent Close'!A:A,'[1]Subsequent Close'!P:P),2)</f>
        <v>64.260000000000005</v>
      </c>
      <c r="D226" t="s">
        <v>52</v>
      </c>
      <c r="E226" t="s">
        <v>82</v>
      </c>
    </row>
    <row r="227" spans="1:5" x14ac:dyDescent="0.35">
      <c r="A227" s="30" t="s">
        <v>28</v>
      </c>
      <c r="B227">
        <f>ROUND(_xlfn.XLOOKUP(E227,'[1]Subsequent Close'!A:A,'[1]Subsequent Close'!W:W)-_xlfn.XLOOKUP('Sub Close Summary'!E227,'[1]Subsequent Close'!A:A,'[1]Subsequent Close'!P:P),2)</f>
        <v>1.99</v>
      </c>
      <c r="D227" t="s">
        <v>52</v>
      </c>
      <c r="E227" t="s">
        <v>83</v>
      </c>
    </row>
    <row r="228" spans="1:5" x14ac:dyDescent="0.35">
      <c r="A228" s="30" t="s">
        <v>28</v>
      </c>
      <c r="B228">
        <f>ROUND(_xlfn.XLOOKUP(E228,'[1]Subsequent Close'!A:A,'[1]Subsequent Close'!W:W)-_xlfn.XLOOKUP('Sub Close Summary'!E228,'[1]Subsequent Close'!A:A,'[1]Subsequent Close'!P:P),2)</f>
        <v>12.32</v>
      </c>
      <c r="D228" t="s">
        <v>52</v>
      </c>
      <c r="E228" t="s">
        <v>84</v>
      </c>
    </row>
    <row r="229" spans="1:5" x14ac:dyDescent="0.35">
      <c r="A229" s="30" t="s">
        <v>28</v>
      </c>
      <c r="B229">
        <f>ROUND(_xlfn.XLOOKUP(E229,'[1]Subsequent Close'!A:A,'[1]Subsequent Close'!W:W)-_xlfn.XLOOKUP('Sub Close Summary'!E229,'[1]Subsequent Close'!A:A,'[1]Subsequent Close'!P:P),2)</f>
        <v>1.99</v>
      </c>
      <c r="D229" t="s">
        <v>52</v>
      </c>
      <c r="E229" t="s">
        <v>85</v>
      </c>
    </row>
    <row r="230" spans="1:5" x14ac:dyDescent="0.35">
      <c r="A230" s="30" t="s">
        <v>28</v>
      </c>
      <c r="B230">
        <f>ROUND(_xlfn.XLOOKUP(E230,'[1]Subsequent Close'!A:A,'[1]Subsequent Close'!W:W)-_xlfn.XLOOKUP('Sub Close Summary'!E230,'[1]Subsequent Close'!A:A,'[1]Subsequent Close'!P:P),2)</f>
        <v>5.08</v>
      </c>
      <c r="D230" t="s">
        <v>52</v>
      </c>
      <c r="E230" t="s">
        <v>86</v>
      </c>
    </row>
    <row r="231" spans="1:5" x14ac:dyDescent="0.35">
      <c r="A231" s="30" t="s">
        <v>28</v>
      </c>
      <c r="B231">
        <f>ROUND(_xlfn.XLOOKUP(E231,'[1]Subsequent Close'!A:A,'[1]Subsequent Close'!W:W)-_xlfn.XLOOKUP('Sub Close Summary'!E231,'[1]Subsequent Close'!A:A,'[1]Subsequent Close'!P:P),2)</f>
        <v>1.69</v>
      </c>
      <c r="D231" t="s">
        <v>52</v>
      </c>
      <c r="E231" t="s">
        <v>87</v>
      </c>
    </row>
    <row r="232" spans="1:5" x14ac:dyDescent="0.35">
      <c r="A232" s="30" t="s">
        <v>28</v>
      </c>
      <c r="B232">
        <f>ROUND(_xlfn.XLOOKUP(E232,'[1]Subsequent Close'!A:A,'[1]Subsequent Close'!W:W)-_xlfn.XLOOKUP('Sub Close Summary'!E232,'[1]Subsequent Close'!A:A,'[1]Subsequent Close'!P:P),2)</f>
        <v>48.78</v>
      </c>
      <c r="D232" t="s">
        <v>52</v>
      </c>
      <c r="E232" t="s">
        <v>88</v>
      </c>
    </row>
    <row r="233" spans="1:5" x14ac:dyDescent="0.35">
      <c r="A233" s="30" t="s">
        <v>28</v>
      </c>
      <c r="B233">
        <f>ROUND(_xlfn.XLOOKUP(E233,'[1]Subsequent Close'!A:A,'[1]Subsequent Close'!W:W)-_xlfn.XLOOKUP('Sub Close Summary'!E233,'[1]Subsequent Close'!A:A,'[1]Subsequent Close'!P:P),2)</f>
        <v>3.75</v>
      </c>
      <c r="D233" t="s">
        <v>52</v>
      </c>
      <c r="E233" t="s">
        <v>89</v>
      </c>
    </row>
    <row r="234" spans="1:5" x14ac:dyDescent="0.35">
      <c r="A234" s="30" t="s">
        <v>28</v>
      </c>
      <c r="B234">
        <f>ROUND(_xlfn.XLOOKUP(E234,'[1]Subsequent Close'!A:A,'[1]Subsequent Close'!W:W)-_xlfn.XLOOKUP('Sub Close Summary'!E234,'[1]Subsequent Close'!A:A,'[1]Subsequent Close'!P:P),2)</f>
        <v>1.59</v>
      </c>
      <c r="D234" t="s">
        <v>52</v>
      </c>
      <c r="E234" t="s">
        <v>90</v>
      </c>
    </row>
    <row r="235" spans="1:5" x14ac:dyDescent="0.35">
      <c r="A235" s="30" t="s">
        <v>28</v>
      </c>
      <c r="B235">
        <f>ROUND(_xlfn.XLOOKUP(E235,'[1]Subsequent Close'!A:A,'[1]Subsequent Close'!W:W)-_xlfn.XLOOKUP('Sub Close Summary'!E235,'[1]Subsequent Close'!A:A,'[1]Subsequent Close'!P:P),2)</f>
        <v>8.6300000000000008</v>
      </c>
      <c r="D235" t="s">
        <v>52</v>
      </c>
      <c r="E235" t="s">
        <v>91</v>
      </c>
    </row>
    <row r="236" spans="1:5" x14ac:dyDescent="0.35">
      <c r="A236" s="30" t="s">
        <v>28</v>
      </c>
      <c r="B236">
        <f>ROUND(_xlfn.XLOOKUP(E236,'[1]Subsequent Close'!A:A,'[1]Subsequent Close'!W:W)-_xlfn.XLOOKUP('Sub Close Summary'!E236,'[1]Subsequent Close'!A:A,'[1]Subsequent Close'!P:P),2)</f>
        <v>15.24</v>
      </c>
      <c r="D236" t="s">
        <v>52</v>
      </c>
      <c r="E236" t="s">
        <v>92</v>
      </c>
    </row>
    <row r="237" spans="1:5" x14ac:dyDescent="0.35">
      <c r="A237" s="30" t="s">
        <v>28</v>
      </c>
      <c r="B237">
        <f>ROUND(_xlfn.XLOOKUP(E237,'[1]Subsequent Close'!A:A,'[1]Subsequent Close'!W:W)-_xlfn.XLOOKUP('Sub Close Summary'!E237,'[1]Subsequent Close'!A:A,'[1]Subsequent Close'!P:P),2)</f>
        <v>3.18</v>
      </c>
      <c r="D237" t="s">
        <v>52</v>
      </c>
      <c r="E237" t="s">
        <v>93</v>
      </c>
    </row>
    <row r="238" spans="1:5" x14ac:dyDescent="0.35">
      <c r="A238" s="30" t="s">
        <v>28</v>
      </c>
      <c r="B238">
        <f>ROUND(_xlfn.XLOOKUP(E238,'[1]Subsequent Close'!A:A,'[1]Subsequent Close'!W:W)-_xlfn.XLOOKUP('Sub Close Summary'!E238,'[1]Subsequent Close'!A:A,'[1]Subsequent Close'!P:P),2)</f>
        <v>2.39</v>
      </c>
      <c r="D238" t="s">
        <v>52</v>
      </c>
      <c r="E238" t="s">
        <v>94</v>
      </c>
    </row>
    <row r="239" spans="1:5" x14ac:dyDescent="0.35">
      <c r="A239" s="30" t="s">
        <v>28</v>
      </c>
      <c r="B239">
        <f>ROUND(_xlfn.XLOOKUP(E239,'[1]Subsequent Close'!A:A,'[1]Subsequent Close'!W:W)-_xlfn.XLOOKUP('Sub Close Summary'!E239,'[1]Subsequent Close'!A:A,'[1]Subsequent Close'!P:P),2)</f>
        <v>10.16</v>
      </c>
      <c r="D239" t="s">
        <v>52</v>
      </c>
      <c r="E239" t="s">
        <v>95</v>
      </c>
    </row>
    <row r="240" spans="1:5" x14ac:dyDescent="0.35">
      <c r="A240" s="30" t="s">
        <v>28</v>
      </c>
      <c r="B240">
        <f>ROUND(_xlfn.XLOOKUP(E240,'[1]Subsequent Close'!A:A,'[1]Subsequent Close'!W:W)-_xlfn.XLOOKUP('Sub Close Summary'!E240,'[1]Subsequent Close'!A:A,'[1]Subsequent Close'!P:P),2)</f>
        <v>10.16</v>
      </c>
      <c r="D240" t="s">
        <v>52</v>
      </c>
      <c r="E240" t="s">
        <v>96</v>
      </c>
    </row>
    <row r="241" spans="1:5" x14ac:dyDescent="0.35">
      <c r="A241" s="30" t="s">
        <v>28</v>
      </c>
      <c r="B241">
        <f>ROUND(_xlfn.XLOOKUP(E241,'[1]Subsequent Close'!A:A,'[1]Subsequent Close'!W:W)-_xlfn.XLOOKUP('Sub Close Summary'!E241,'[1]Subsequent Close'!A:A,'[1]Subsequent Close'!P:P),2)</f>
        <v>1.59</v>
      </c>
      <c r="D241" t="s">
        <v>52</v>
      </c>
      <c r="E241" t="s">
        <v>97</v>
      </c>
    </row>
    <row r="242" spans="1:5" x14ac:dyDescent="0.35">
      <c r="A242" s="30" t="s">
        <v>28</v>
      </c>
      <c r="B242">
        <f>ROUND(_xlfn.XLOOKUP(E242,'[1]Subsequent Close'!A:A,'[1]Subsequent Close'!W:W)-_xlfn.XLOOKUP('Sub Close Summary'!E242,'[1]Subsequent Close'!A:A,'[1]Subsequent Close'!P:P),2)</f>
        <v>2.0299999999999998</v>
      </c>
      <c r="D242" t="s">
        <v>52</v>
      </c>
      <c r="E242" t="s">
        <v>98</v>
      </c>
    </row>
    <row r="243" spans="1:5" x14ac:dyDescent="0.35">
      <c r="A243" s="30" t="s">
        <v>28</v>
      </c>
      <c r="B243">
        <f>ROUND(_xlfn.XLOOKUP(E243,'[1]Subsequent Close'!A:A,'[1]Subsequent Close'!W:W)-_xlfn.XLOOKUP('Sub Close Summary'!E243,'[1]Subsequent Close'!A:A,'[1]Subsequent Close'!P:P),2)</f>
        <v>1.02</v>
      </c>
      <c r="D243" t="s">
        <v>52</v>
      </c>
      <c r="E243" t="s">
        <v>99</v>
      </c>
    </row>
    <row r="244" spans="1:5" x14ac:dyDescent="0.35">
      <c r="A244" s="30" t="s">
        <v>28</v>
      </c>
      <c r="B244">
        <f>ROUND(_xlfn.XLOOKUP(E244,'[1]Subsequent Close'!A:A,'[1]Subsequent Close'!W:W)-_xlfn.XLOOKUP('Sub Close Summary'!E244,'[1]Subsequent Close'!A:A,'[1]Subsequent Close'!P:P),2)</f>
        <v>1.59</v>
      </c>
      <c r="D244" t="s">
        <v>52</v>
      </c>
      <c r="E244" t="s">
        <v>100</v>
      </c>
    </row>
    <row r="245" spans="1:5" x14ac:dyDescent="0.35">
      <c r="A245" s="30" t="s">
        <v>28</v>
      </c>
      <c r="B245">
        <f>ROUND(_xlfn.XLOOKUP(E245,'[1]Subsequent Close'!A:A,'[1]Subsequent Close'!W:W)-_xlfn.XLOOKUP('Sub Close Summary'!E245,'[1]Subsequent Close'!A:A,'[1]Subsequent Close'!P:P),2)</f>
        <v>1.59</v>
      </c>
      <c r="D245" t="s">
        <v>52</v>
      </c>
      <c r="E245" t="s">
        <v>101</v>
      </c>
    </row>
    <row r="246" spans="1:5" x14ac:dyDescent="0.35">
      <c r="A246" s="30" t="s">
        <v>28</v>
      </c>
      <c r="B246">
        <f>ROUND(_xlfn.XLOOKUP(E246,'[1]Subsequent Close'!A:A,'[1]Subsequent Close'!W:W)-_xlfn.XLOOKUP('Sub Close Summary'!E246,'[1]Subsequent Close'!A:A,'[1]Subsequent Close'!P:P),2)</f>
        <v>1.99</v>
      </c>
      <c r="D246" t="s">
        <v>52</v>
      </c>
      <c r="E246" t="s">
        <v>102</v>
      </c>
    </row>
    <row r="247" spans="1:5" x14ac:dyDescent="0.35">
      <c r="A247" s="30" t="s">
        <v>28</v>
      </c>
      <c r="B247">
        <f>ROUND(_xlfn.XLOOKUP(E247,'[1]Subsequent Close'!A:A,'[1]Subsequent Close'!W:W)-_xlfn.XLOOKUP('Sub Close Summary'!E247,'[1]Subsequent Close'!A:A,'[1]Subsequent Close'!P:P),2)</f>
        <v>10.16</v>
      </c>
      <c r="D247" t="s">
        <v>52</v>
      </c>
      <c r="E247" t="s">
        <v>103</v>
      </c>
    </row>
    <row r="248" spans="1:5" x14ac:dyDescent="0.35">
      <c r="A248" s="30" t="s">
        <v>28</v>
      </c>
      <c r="B248">
        <f>ROUND(_xlfn.XLOOKUP(E248,'[1]Subsequent Close'!A:A,'[1]Subsequent Close'!W:W)-_xlfn.XLOOKUP('Sub Close Summary'!E248,'[1]Subsequent Close'!A:A,'[1]Subsequent Close'!P:P),2)</f>
        <v>5.08</v>
      </c>
      <c r="D248" t="s">
        <v>52</v>
      </c>
      <c r="E248" t="s">
        <v>104</v>
      </c>
    </row>
    <row r="249" spans="1:5" x14ac:dyDescent="0.35">
      <c r="A249" s="30" t="s">
        <v>28</v>
      </c>
      <c r="B249">
        <f>ROUND(_xlfn.XLOOKUP(E249,'[1]Subsequent Close'!A:A,'[1]Subsequent Close'!W:W)-_xlfn.XLOOKUP('Sub Close Summary'!E249,'[1]Subsequent Close'!A:A,'[1]Subsequent Close'!P:P),2)</f>
        <v>15.24</v>
      </c>
      <c r="D249" t="s">
        <v>52</v>
      </c>
      <c r="E249" t="s">
        <v>105</v>
      </c>
    </row>
    <row r="250" spans="1:5" x14ac:dyDescent="0.35">
      <c r="A250" s="30" t="s">
        <v>28</v>
      </c>
      <c r="B250">
        <f>ROUND(_xlfn.XLOOKUP(E250,'[1]Subsequent Close'!A:A,'[1]Subsequent Close'!W:W)-_xlfn.XLOOKUP('Sub Close Summary'!E250,'[1]Subsequent Close'!A:A,'[1]Subsequent Close'!P:P),2)</f>
        <v>1.02</v>
      </c>
      <c r="D250" t="s">
        <v>52</v>
      </c>
      <c r="E250" t="s">
        <v>106</v>
      </c>
    </row>
    <row r="251" spans="1:5" x14ac:dyDescent="0.35">
      <c r="A251" s="30" t="s">
        <v>28</v>
      </c>
      <c r="B251">
        <f>ROUND(_xlfn.XLOOKUP(E251,'[1]Subsequent Close'!A:A,'[1]Subsequent Close'!W:W)-_xlfn.XLOOKUP('Sub Close Summary'!E251,'[1]Subsequent Close'!A:A,'[1]Subsequent Close'!P:P),2)</f>
        <v>7.62</v>
      </c>
      <c r="D251" t="s">
        <v>52</v>
      </c>
      <c r="E251" t="s">
        <v>107</v>
      </c>
    </row>
    <row r="252" spans="1:5" x14ac:dyDescent="0.35">
      <c r="A252" s="30" t="s">
        <v>28</v>
      </c>
      <c r="B252">
        <f>ROUND(_xlfn.XLOOKUP(E252,'[1]Subsequent Close'!A:A,'[1]Subsequent Close'!W:W)-_xlfn.XLOOKUP('Sub Close Summary'!E252,'[1]Subsequent Close'!A:A,'[1]Subsequent Close'!P:P),2)</f>
        <v>2.39</v>
      </c>
      <c r="D252" t="s">
        <v>52</v>
      </c>
      <c r="E252" t="s">
        <v>108</v>
      </c>
    </row>
    <row r="253" spans="1:5" x14ac:dyDescent="0.35">
      <c r="A253" s="30" t="s">
        <v>28</v>
      </c>
      <c r="B253">
        <f>ROUND(_xlfn.XLOOKUP(E253,'[1]Subsequent Close'!A:A,'[1]Subsequent Close'!W:W)-_xlfn.XLOOKUP('Sub Close Summary'!E253,'[1]Subsequent Close'!A:A,'[1]Subsequent Close'!P:P),2)</f>
        <v>10.16</v>
      </c>
      <c r="D253" t="s">
        <v>52</v>
      </c>
      <c r="E253" t="s">
        <v>109</v>
      </c>
    </row>
    <row r="254" spans="1:5" x14ac:dyDescent="0.35">
      <c r="A254" s="30" t="s">
        <v>28</v>
      </c>
      <c r="B254">
        <f>ROUND(_xlfn.XLOOKUP(E254,'[1]Subsequent Close'!A:A,'[1]Subsequent Close'!W:W)-_xlfn.XLOOKUP('Sub Close Summary'!E254,'[1]Subsequent Close'!A:A,'[1]Subsequent Close'!P:P),2)</f>
        <v>1.19</v>
      </c>
      <c r="D254" t="s">
        <v>52</v>
      </c>
      <c r="E254" t="s">
        <v>110</v>
      </c>
    </row>
    <row r="255" spans="1:5" x14ac:dyDescent="0.35">
      <c r="A255" s="30" t="s">
        <v>28</v>
      </c>
      <c r="B255">
        <f>ROUND(_xlfn.XLOOKUP(E255,'[1]Subsequent Close'!A:A,'[1]Subsequent Close'!W:W)-_xlfn.XLOOKUP('Sub Close Summary'!E255,'[1]Subsequent Close'!A:A,'[1]Subsequent Close'!P:P),2)</f>
        <v>1.02</v>
      </c>
      <c r="D255" t="s">
        <v>52</v>
      </c>
      <c r="E255" t="s">
        <v>111</v>
      </c>
    </row>
    <row r="256" spans="1:5" x14ac:dyDescent="0.35">
      <c r="A256" s="30" t="s">
        <v>28</v>
      </c>
      <c r="B256">
        <f>ROUND(_xlfn.XLOOKUP(E256,'[1]Subsequent Close'!A:A,'[1]Subsequent Close'!W:W)-_xlfn.XLOOKUP('Sub Close Summary'!E256,'[1]Subsequent Close'!A:A,'[1]Subsequent Close'!P:P),2)</f>
        <v>0.8</v>
      </c>
      <c r="D256" t="s">
        <v>52</v>
      </c>
      <c r="E256" t="s">
        <v>112</v>
      </c>
    </row>
    <row r="257" spans="1:5" x14ac:dyDescent="0.35">
      <c r="A257" s="30" t="s">
        <v>28</v>
      </c>
      <c r="B257">
        <f>ROUND(_xlfn.XLOOKUP(E257,'[1]Subsequent Close'!A:A,'[1]Subsequent Close'!W:W)-_xlfn.XLOOKUP('Sub Close Summary'!E257,'[1]Subsequent Close'!A:A,'[1]Subsequent Close'!P:P),2)</f>
        <v>7.95</v>
      </c>
      <c r="D257" t="s">
        <v>52</v>
      </c>
      <c r="E257" t="s">
        <v>113</v>
      </c>
    </row>
    <row r="258" spans="1:5" x14ac:dyDescent="0.35">
      <c r="A258" s="30" t="s">
        <v>28</v>
      </c>
      <c r="B258">
        <f>ROUND(_xlfn.XLOOKUP(E258,'[1]Subsequent Close'!A:A,'[1]Subsequent Close'!W:W)-_xlfn.XLOOKUP('Sub Close Summary'!E258,'[1]Subsequent Close'!A:A,'[1]Subsequent Close'!P:P),2)</f>
        <v>3.98</v>
      </c>
      <c r="D258" t="s">
        <v>52</v>
      </c>
      <c r="E258" t="s">
        <v>114</v>
      </c>
    </row>
    <row r="259" spans="1:5" x14ac:dyDescent="0.35">
      <c r="A259" s="30" t="s">
        <v>28</v>
      </c>
      <c r="B259">
        <f>ROUND(_xlfn.XLOOKUP(E259,'[1]Subsequent Close'!A:A,'[1]Subsequent Close'!W:W)-_xlfn.XLOOKUP('Sub Close Summary'!E259,'[1]Subsequent Close'!A:A,'[1]Subsequent Close'!P:P),2)</f>
        <v>7.14</v>
      </c>
      <c r="D259" t="s">
        <v>52</v>
      </c>
      <c r="E259" t="s">
        <v>115</v>
      </c>
    </row>
    <row r="260" spans="1:5" x14ac:dyDescent="0.35">
      <c r="A260" s="30" t="s">
        <v>28</v>
      </c>
      <c r="B260">
        <f>ROUND(_xlfn.XLOOKUP(E260,'[1]Subsequent Close'!A:A,'[1]Subsequent Close'!W:W)-_xlfn.XLOOKUP('Sub Close Summary'!E260,'[1]Subsequent Close'!A:A,'[1]Subsequent Close'!P:P),2)</f>
        <v>0.8</v>
      </c>
      <c r="D260" t="s">
        <v>52</v>
      </c>
      <c r="E260" t="s">
        <v>116</v>
      </c>
    </row>
    <row r="261" spans="1:5" x14ac:dyDescent="0.35">
      <c r="A261" s="30" t="s">
        <v>28</v>
      </c>
      <c r="B261">
        <f>ROUND(_xlfn.XLOOKUP(E261,'[1]Subsequent Close'!A:A,'[1]Subsequent Close'!W:W)-_xlfn.XLOOKUP('Sub Close Summary'!E261,'[1]Subsequent Close'!A:A,'[1]Subsequent Close'!P:P),2)</f>
        <v>3.35</v>
      </c>
      <c r="D261" t="s">
        <v>52</v>
      </c>
      <c r="E261" t="s">
        <v>117</v>
      </c>
    </row>
    <row r="262" spans="1:5" x14ac:dyDescent="0.35">
      <c r="A262" s="30" t="s">
        <v>28</v>
      </c>
      <c r="B262">
        <f>ROUND(_xlfn.XLOOKUP(E262,'[1]Subsequent Close'!A:A,'[1]Subsequent Close'!W:W)-_xlfn.XLOOKUP('Sub Close Summary'!E262,'[1]Subsequent Close'!A:A,'[1]Subsequent Close'!P:P),2)</f>
        <v>8.91</v>
      </c>
      <c r="D262" t="s">
        <v>52</v>
      </c>
      <c r="E262" t="s">
        <v>118</v>
      </c>
    </row>
    <row r="263" spans="1:5" x14ac:dyDescent="0.35">
      <c r="A263" s="30" t="s">
        <v>28</v>
      </c>
      <c r="B263">
        <f>ROUND(_xlfn.XLOOKUP(E263,'[1]Subsequent Close'!A:A,'[1]Subsequent Close'!W:W)-_xlfn.XLOOKUP('Sub Close Summary'!E263,'[1]Subsequent Close'!A:A,'[1]Subsequent Close'!P:P),2)</f>
        <v>0.4</v>
      </c>
      <c r="D263" t="s">
        <v>52</v>
      </c>
      <c r="E263" t="s">
        <v>119</v>
      </c>
    </row>
    <row r="264" spans="1:5" x14ac:dyDescent="0.35">
      <c r="A264" s="30" t="s">
        <v>28</v>
      </c>
      <c r="B264">
        <f>ROUND(_xlfn.XLOOKUP(E264,'[1]Subsequent Close'!A:A,'[1]Subsequent Close'!W:W)-_xlfn.XLOOKUP('Sub Close Summary'!E264,'[1]Subsequent Close'!A:A,'[1]Subsequent Close'!P:P),2)</f>
        <v>15.24</v>
      </c>
      <c r="D264" t="s">
        <v>52</v>
      </c>
      <c r="E264" t="s">
        <v>120</v>
      </c>
    </row>
    <row r="265" spans="1:5" x14ac:dyDescent="0.35">
      <c r="A265" s="30" t="s">
        <v>28</v>
      </c>
      <c r="B265">
        <f>ROUND(_xlfn.XLOOKUP(E265,'[1]Subsequent Close'!A:A,'[1]Subsequent Close'!W:W)-_xlfn.XLOOKUP('Sub Close Summary'!E265,'[1]Subsequent Close'!A:A,'[1]Subsequent Close'!P:P),2)</f>
        <v>10.16</v>
      </c>
      <c r="D265" t="s">
        <v>52</v>
      </c>
      <c r="E265" t="s">
        <v>121</v>
      </c>
    </row>
    <row r="266" spans="1:5" x14ac:dyDescent="0.35">
      <c r="A266" s="30" t="s">
        <v>28</v>
      </c>
      <c r="B266">
        <f>ROUND(_xlfn.XLOOKUP(E266,'[1]Subsequent Close'!A:A,'[1]Subsequent Close'!W:W)-_xlfn.XLOOKUP('Sub Close Summary'!E266,'[1]Subsequent Close'!A:A,'[1]Subsequent Close'!P:P),2)</f>
        <v>10.16</v>
      </c>
      <c r="D266" t="s">
        <v>52</v>
      </c>
      <c r="E266" t="s">
        <v>122</v>
      </c>
    </row>
    <row r="267" spans="1:5" x14ac:dyDescent="0.35">
      <c r="A267" s="30" t="s">
        <v>28</v>
      </c>
      <c r="B267">
        <f>ROUND(_xlfn.XLOOKUP(E267,'[1]Subsequent Close'!A:A,'[1]Subsequent Close'!W:W)-_xlfn.XLOOKUP('Sub Close Summary'!E267,'[1]Subsequent Close'!A:A,'[1]Subsequent Close'!P:P),2)</f>
        <v>20.32</v>
      </c>
      <c r="D267" t="s">
        <v>52</v>
      </c>
      <c r="E267" t="s">
        <v>123</v>
      </c>
    </row>
    <row r="268" spans="1:5" x14ac:dyDescent="0.35">
      <c r="A268" s="30" t="s">
        <v>28</v>
      </c>
      <c r="B268">
        <f>ROUND(_xlfn.XLOOKUP(E268,'[1]Subsequent Close'!A:A,'[1]Subsequent Close'!W:W)-_xlfn.XLOOKUP('Sub Close Summary'!E268,'[1]Subsequent Close'!A:A,'[1]Subsequent Close'!P:P),2)</f>
        <v>10.16</v>
      </c>
      <c r="D268" t="s">
        <v>52</v>
      </c>
      <c r="E268" t="s">
        <v>124</v>
      </c>
    </row>
    <row r="269" spans="1:5" x14ac:dyDescent="0.35">
      <c r="A269" s="30" t="s">
        <v>28</v>
      </c>
      <c r="B269">
        <f>ROUND(_xlfn.XLOOKUP(E269,'[1]Subsequent Close'!A:A,'[1]Subsequent Close'!W:W)-_xlfn.XLOOKUP('Sub Close Summary'!E269,'[1]Subsequent Close'!A:A,'[1]Subsequent Close'!P:P),2)</f>
        <v>5.32</v>
      </c>
      <c r="D269" t="s">
        <v>52</v>
      </c>
      <c r="E269" t="s">
        <v>125</v>
      </c>
    </row>
    <row r="270" spans="1:5" x14ac:dyDescent="0.35">
      <c r="A270" s="30" t="s">
        <v>28</v>
      </c>
      <c r="B270">
        <f>ROUND(_xlfn.XLOOKUP(E270,'[1]Subsequent Close'!A:A,'[1]Subsequent Close'!W:W)-_xlfn.XLOOKUP('Sub Close Summary'!E270,'[1]Subsequent Close'!A:A,'[1]Subsequent Close'!P:P),2)</f>
        <v>1.59</v>
      </c>
      <c r="D270" t="s">
        <v>52</v>
      </c>
      <c r="E270" t="s">
        <v>126</v>
      </c>
    </row>
    <row r="271" spans="1:5" x14ac:dyDescent="0.35">
      <c r="A271" s="30" t="s">
        <v>28</v>
      </c>
      <c r="B271">
        <f>ROUND(_xlfn.XLOOKUP(E271,'[1]Subsequent Close'!A:A,'[1]Subsequent Close'!W:W)-_xlfn.XLOOKUP('Sub Close Summary'!E271,'[1]Subsequent Close'!A:A,'[1]Subsequent Close'!P:P),2)</f>
        <v>10.16</v>
      </c>
      <c r="D271" t="s">
        <v>52</v>
      </c>
      <c r="E271" t="s">
        <v>127</v>
      </c>
    </row>
    <row r="272" spans="1:5" x14ac:dyDescent="0.35">
      <c r="A272" s="30" t="s">
        <v>28</v>
      </c>
      <c r="B272">
        <f>ROUND(_xlfn.XLOOKUP(E272,'[1]Subsequent Close'!A:A,'[1]Subsequent Close'!W:W)-_xlfn.XLOOKUP('Sub Close Summary'!E272,'[1]Subsequent Close'!A:A,'[1]Subsequent Close'!P:P),2)</f>
        <v>10.16</v>
      </c>
      <c r="D272" t="s">
        <v>52</v>
      </c>
      <c r="E272" t="s">
        <v>128</v>
      </c>
    </row>
    <row r="273" spans="1:5" x14ac:dyDescent="0.35">
      <c r="A273" s="30" t="s">
        <v>28</v>
      </c>
      <c r="B273">
        <f>ROUND(_xlfn.XLOOKUP(E273,'[1]Subsequent Close'!A:A,'[1]Subsequent Close'!W:W)-_xlfn.XLOOKUP('Sub Close Summary'!E273,'[1]Subsequent Close'!A:A,'[1]Subsequent Close'!P:P),2)</f>
        <v>6.09</v>
      </c>
      <c r="D273" t="s">
        <v>52</v>
      </c>
      <c r="E273" t="s">
        <v>129</v>
      </c>
    </row>
    <row r="274" spans="1:5" x14ac:dyDescent="0.35">
      <c r="A274" s="30" t="s">
        <v>28</v>
      </c>
      <c r="B274">
        <f>ROUND(_xlfn.XLOOKUP(E274,'[1]Subsequent Close'!A:A,'[1]Subsequent Close'!W:W)-_xlfn.XLOOKUP('Sub Close Summary'!E274,'[1]Subsequent Close'!A:A,'[1]Subsequent Close'!P:P),2)</f>
        <v>10.16</v>
      </c>
      <c r="D274" t="s">
        <v>52</v>
      </c>
      <c r="E274" t="s">
        <v>130</v>
      </c>
    </row>
    <row r="275" spans="1:5" x14ac:dyDescent="0.35">
      <c r="A275" s="30" t="s">
        <v>28</v>
      </c>
      <c r="B275">
        <f>ROUND(_xlfn.XLOOKUP(E275,'[1]Subsequent Close'!A:A,'[1]Subsequent Close'!W:W)-_xlfn.XLOOKUP('Sub Close Summary'!E275,'[1]Subsequent Close'!A:A,'[1]Subsequent Close'!P:P),2)</f>
        <v>203.16</v>
      </c>
      <c r="D275" t="s">
        <v>52</v>
      </c>
      <c r="E275" t="s">
        <v>131</v>
      </c>
    </row>
    <row r="276" spans="1:5" x14ac:dyDescent="0.35">
      <c r="A276" s="30" t="s">
        <v>28</v>
      </c>
      <c r="B276">
        <f>ROUND(_xlfn.XLOOKUP(E276,'[1]Subsequent Close'!A:A,'[1]Subsequent Close'!W:W)-_xlfn.XLOOKUP('Sub Close Summary'!E276,'[1]Subsequent Close'!A:A,'[1]Subsequent Close'!P:P),2)</f>
        <v>2.54</v>
      </c>
      <c r="D276" t="s">
        <v>52</v>
      </c>
      <c r="E276" t="s">
        <v>132</v>
      </c>
    </row>
    <row r="277" spans="1:5" x14ac:dyDescent="0.35">
      <c r="A277" s="30" t="s">
        <v>28</v>
      </c>
      <c r="B277">
        <f>ROUND(_xlfn.XLOOKUP(E277,'[1]Subsequent Close'!A:A,'[1]Subsequent Close'!W:W)-_xlfn.XLOOKUP('Sub Close Summary'!E277,'[1]Subsequent Close'!A:A,'[1]Subsequent Close'!P:P),2)</f>
        <v>3.18</v>
      </c>
      <c r="D277" t="s">
        <v>52</v>
      </c>
      <c r="E277" t="s">
        <v>133</v>
      </c>
    </row>
    <row r="278" spans="1:5" x14ac:dyDescent="0.35">
      <c r="A278" s="30" t="s">
        <v>28</v>
      </c>
      <c r="B278">
        <f>ROUND(_xlfn.XLOOKUP(E278,'[1]Subsequent Close'!A:A,'[1]Subsequent Close'!W:W)-_xlfn.XLOOKUP('Sub Close Summary'!E278,'[1]Subsequent Close'!A:A,'[1]Subsequent Close'!P:P),2)</f>
        <v>3.18</v>
      </c>
      <c r="D278" t="s">
        <v>52</v>
      </c>
      <c r="E278" t="s">
        <v>134</v>
      </c>
    </row>
    <row r="279" spans="1:5" x14ac:dyDescent="0.35">
      <c r="A279" s="30" t="s">
        <v>28</v>
      </c>
      <c r="B279">
        <f>ROUND(_xlfn.XLOOKUP(E279,'[1]Subsequent Close'!A:A,'[1]Subsequent Close'!W:W)-_xlfn.XLOOKUP('Sub Close Summary'!E279,'[1]Subsequent Close'!A:A,'[1]Subsequent Close'!P:P),2)</f>
        <v>50.79</v>
      </c>
      <c r="D279" t="s">
        <v>52</v>
      </c>
      <c r="E279" t="s">
        <v>135</v>
      </c>
    </row>
    <row r="280" spans="1:5" x14ac:dyDescent="0.35">
      <c r="A280" s="30" t="s">
        <v>28</v>
      </c>
      <c r="B280">
        <f>ROUND(_xlfn.XLOOKUP(E280,'[1]Subsequent Close'!A:A,'[1]Subsequent Close'!W:W)-_xlfn.XLOOKUP('Sub Close Summary'!E280,'[1]Subsequent Close'!A:A,'[1]Subsequent Close'!P:P),2)</f>
        <v>76.19</v>
      </c>
      <c r="D280" t="s">
        <v>52</v>
      </c>
      <c r="E280" t="s">
        <v>136</v>
      </c>
    </row>
    <row r="281" spans="1:5" x14ac:dyDescent="0.35">
      <c r="A281" s="30" t="s">
        <v>28</v>
      </c>
      <c r="B281">
        <f>ROUND(_xlfn.XLOOKUP(E281,'[1]Subsequent Close'!A:A,'[1]Subsequent Close'!W:W)-_xlfn.XLOOKUP('Sub Close Summary'!E281,'[1]Subsequent Close'!A:A,'[1]Subsequent Close'!P:P),2)</f>
        <v>50.79</v>
      </c>
      <c r="D281" t="s">
        <v>52</v>
      </c>
      <c r="E281" t="s">
        <v>137</v>
      </c>
    </row>
    <row r="282" spans="1:5" x14ac:dyDescent="0.35">
      <c r="A282" s="30" t="s">
        <v>28</v>
      </c>
      <c r="B282">
        <f>ROUND(_xlfn.XLOOKUP(E282,'[1]Subsequent Close'!A:A,'[1]Subsequent Close'!W:W)-_xlfn.XLOOKUP('Sub Close Summary'!E282,'[1]Subsequent Close'!A:A,'[1]Subsequent Close'!P:P),2)</f>
        <v>304.74</v>
      </c>
      <c r="D282" t="s">
        <v>52</v>
      </c>
      <c r="E282" t="s">
        <v>138</v>
      </c>
    </row>
    <row r="283" spans="1:5" x14ac:dyDescent="0.35">
      <c r="A283" s="30" t="s">
        <v>28</v>
      </c>
      <c r="B283">
        <f>ROUND(_xlfn.XLOOKUP(E283,'[1]Subsequent Close'!A:A,'[1]Subsequent Close'!W:W)-_xlfn.XLOOKUP('Sub Close Summary'!E283,'[1]Subsequent Close'!A:A,'[1]Subsequent Close'!P:P),2)</f>
        <v>3.98</v>
      </c>
      <c r="D283" t="s">
        <v>52</v>
      </c>
      <c r="E283" t="s">
        <v>139</v>
      </c>
    </row>
    <row r="284" spans="1:5" x14ac:dyDescent="0.35">
      <c r="A284" s="30" t="s">
        <v>28</v>
      </c>
      <c r="B284">
        <f>ROUND(_xlfn.XLOOKUP(E284,'[1]Subsequent Close'!A:A,'[1]Subsequent Close'!W:W)-_xlfn.XLOOKUP('Sub Close Summary'!E284,'[1]Subsequent Close'!A:A,'[1]Subsequent Close'!P:P),2)</f>
        <v>20.32</v>
      </c>
      <c r="D284" t="s">
        <v>52</v>
      </c>
      <c r="E284" t="s">
        <v>140</v>
      </c>
    </row>
    <row r="285" spans="1:5" x14ac:dyDescent="0.35">
      <c r="A285" s="30" t="s">
        <v>30</v>
      </c>
      <c r="B285">
        <f>ROUND(_xlfn.XLOOKUP(E285,'[1]Subsequent Close'!A:A,'[1]Subsequent Close'!X:X)-_xlfn.XLOOKUP('Sub Close Summary'!E285,'[1]Subsequent Close'!A:A,'[1]Subsequent Close'!Q:Q),2)</f>
        <v>1267.3900000000001</v>
      </c>
      <c r="D285" t="s">
        <v>52</v>
      </c>
      <c r="E285" t="s">
        <v>50</v>
      </c>
    </row>
    <row r="286" spans="1:5" x14ac:dyDescent="0.35">
      <c r="A286" s="30" t="s">
        <v>30</v>
      </c>
      <c r="B286">
        <f>ROUND(_xlfn.XLOOKUP(E286,'[1]Subsequent Close'!A:A,'[1]Subsequent Close'!X:X)-_xlfn.XLOOKUP('Sub Close Summary'!E286,'[1]Subsequent Close'!A:A,'[1]Subsequent Close'!Q:Q),2)</f>
        <v>1774.35</v>
      </c>
      <c r="D286" t="s">
        <v>52</v>
      </c>
      <c r="E286" t="s">
        <v>51</v>
      </c>
    </row>
    <row r="287" spans="1:5" x14ac:dyDescent="0.35">
      <c r="A287" s="30" t="s">
        <v>30</v>
      </c>
      <c r="B287">
        <f>ROUND(_xlfn.XLOOKUP(E287,'[1]Subsequent Close'!A:A,'[1]Subsequent Close'!X:X)-_xlfn.XLOOKUP('Sub Close Summary'!E287,'[1]Subsequent Close'!A:A,'[1]Subsequent Close'!Q:Q),2)</f>
        <v>1520.87</v>
      </c>
      <c r="D287" t="s">
        <v>52</v>
      </c>
      <c r="E287" t="s">
        <v>53</v>
      </c>
    </row>
    <row r="288" spans="1:5" x14ac:dyDescent="0.35">
      <c r="A288" s="30" t="s">
        <v>30</v>
      </c>
      <c r="B288">
        <f>ROUND(_xlfn.XLOOKUP(E288,'[1]Subsequent Close'!A:A,'[1]Subsequent Close'!X:X)-_xlfn.XLOOKUP('Sub Close Summary'!E288,'[1]Subsequent Close'!A:A,'[1]Subsequent Close'!Q:Q),2)</f>
        <v>1901.09</v>
      </c>
      <c r="D288" t="s">
        <v>52</v>
      </c>
      <c r="E288" t="s">
        <v>54</v>
      </c>
    </row>
    <row r="289" spans="1:5" x14ac:dyDescent="0.35">
      <c r="A289" s="30" t="s">
        <v>30</v>
      </c>
      <c r="B289">
        <f>ROUND(_xlfn.XLOOKUP(E289,'[1]Subsequent Close'!A:A,'[1]Subsequent Close'!X:X)-_xlfn.XLOOKUP('Sub Close Summary'!E289,'[1]Subsequent Close'!A:A,'[1]Subsequent Close'!Q:Q),2)</f>
        <v>198.47</v>
      </c>
      <c r="D289" t="s">
        <v>52</v>
      </c>
      <c r="E289" t="s">
        <v>55</v>
      </c>
    </row>
    <row r="290" spans="1:5" x14ac:dyDescent="0.35">
      <c r="A290" s="30" t="s">
        <v>30</v>
      </c>
      <c r="B290">
        <f>ROUND(_xlfn.XLOOKUP(E290,'[1]Subsequent Close'!A:A,'[1]Subsequent Close'!X:X)-_xlfn.XLOOKUP('Sub Close Summary'!E290,'[1]Subsequent Close'!A:A,'[1]Subsequent Close'!Q:Q),2)</f>
        <v>365.51</v>
      </c>
      <c r="D290" t="s">
        <v>52</v>
      </c>
      <c r="E290" t="s">
        <v>57</v>
      </c>
    </row>
    <row r="291" spans="1:5" x14ac:dyDescent="0.35">
      <c r="A291" s="30" t="s">
        <v>30</v>
      </c>
      <c r="B291">
        <f>ROUND(_xlfn.XLOOKUP(E291,'[1]Subsequent Close'!A:A,'[1]Subsequent Close'!X:X)-_xlfn.XLOOKUP('Sub Close Summary'!E291,'[1]Subsequent Close'!A:A,'[1]Subsequent Close'!Q:Q),2)</f>
        <v>396.95</v>
      </c>
      <c r="D291" t="s">
        <v>52</v>
      </c>
      <c r="E291" t="s">
        <v>59</v>
      </c>
    </row>
    <row r="292" spans="1:5" x14ac:dyDescent="0.35">
      <c r="A292" s="30" t="s">
        <v>30</v>
      </c>
      <c r="B292">
        <f>ROUND(_xlfn.XLOOKUP(E292,'[1]Subsequent Close'!A:A,'[1]Subsequent Close'!X:X)-_xlfn.XLOOKUP('Sub Close Summary'!E292,'[1]Subsequent Close'!A:A,'[1]Subsequent Close'!Q:Q),2)</f>
        <v>1326.44</v>
      </c>
      <c r="D292" t="s">
        <v>52</v>
      </c>
      <c r="E292" t="s">
        <v>61</v>
      </c>
    </row>
    <row r="293" spans="1:5" x14ac:dyDescent="0.35">
      <c r="A293" s="30" t="s">
        <v>30</v>
      </c>
      <c r="B293">
        <f>ROUND(_xlfn.XLOOKUP(E293,'[1]Subsequent Close'!A:A,'[1]Subsequent Close'!X:X)-_xlfn.XLOOKUP('Sub Close Summary'!E293,'[1]Subsequent Close'!A:A,'[1]Subsequent Close'!Q:Q),2)</f>
        <v>2534.7800000000002</v>
      </c>
      <c r="D293" t="s">
        <v>52</v>
      </c>
      <c r="E293" t="s">
        <v>62</v>
      </c>
    </row>
    <row r="294" spans="1:5" x14ac:dyDescent="0.35">
      <c r="A294" s="30" t="s">
        <v>30</v>
      </c>
      <c r="B294">
        <f>ROUND(_xlfn.XLOOKUP(E294,'[1]Subsequent Close'!A:A,'[1]Subsequent Close'!X:X)-_xlfn.XLOOKUP('Sub Close Summary'!E294,'[1]Subsequent Close'!A:A,'[1]Subsequent Close'!Q:Q),2)</f>
        <v>992.37</v>
      </c>
      <c r="D294" t="s">
        <v>52</v>
      </c>
      <c r="E294" t="s">
        <v>63</v>
      </c>
    </row>
    <row r="295" spans="1:5" x14ac:dyDescent="0.35">
      <c r="A295" s="30" t="s">
        <v>30</v>
      </c>
      <c r="B295">
        <f>ROUND(_xlfn.XLOOKUP(E295,'[1]Subsequent Close'!A:A,'[1]Subsequent Close'!X:X)-_xlfn.XLOOKUP('Sub Close Summary'!E295,'[1]Subsequent Close'!A:A,'[1]Subsequent Close'!Q:Q),2)</f>
        <v>25347.83</v>
      </c>
      <c r="D295" t="s">
        <v>52</v>
      </c>
      <c r="E295" t="s">
        <v>65</v>
      </c>
    </row>
    <row r="296" spans="1:5" x14ac:dyDescent="0.35">
      <c r="A296" s="30" t="s">
        <v>30</v>
      </c>
      <c r="B296">
        <f>ROUND(_xlfn.XLOOKUP(E296,'[1]Subsequent Close'!A:A,'[1]Subsequent Close'!X:X)-_xlfn.XLOOKUP('Sub Close Summary'!E296,'[1]Subsequent Close'!A:A,'[1]Subsequent Close'!Q:Q),2)</f>
        <v>2318.8200000000002</v>
      </c>
      <c r="D296" t="s">
        <v>52</v>
      </c>
      <c r="E296" t="s">
        <v>68</v>
      </c>
    </row>
    <row r="297" spans="1:5" x14ac:dyDescent="0.35">
      <c r="A297" s="30" t="s">
        <v>30</v>
      </c>
      <c r="B297">
        <f>ROUND(_xlfn.XLOOKUP(E297,'[1]Subsequent Close'!A:A,'[1]Subsequent Close'!X:X)-_xlfn.XLOOKUP('Sub Close Summary'!E297,'[1]Subsequent Close'!A:A,'[1]Subsequent Close'!Q:Q),2)</f>
        <v>2318.8200000000002</v>
      </c>
      <c r="D297" t="s">
        <v>52</v>
      </c>
      <c r="E297" t="s">
        <v>70</v>
      </c>
    </row>
    <row r="298" spans="1:5" x14ac:dyDescent="0.35">
      <c r="A298" s="30" t="s">
        <v>30</v>
      </c>
      <c r="B298">
        <f>ROUND(_xlfn.XLOOKUP(E298,'[1]Subsequent Close'!A:A,'[1]Subsequent Close'!X:X)-_xlfn.XLOOKUP('Sub Close Summary'!E298,'[1]Subsequent Close'!A:A,'[1]Subsequent Close'!Q:Q),2)</f>
        <v>198.47</v>
      </c>
      <c r="D298" t="s">
        <v>52</v>
      </c>
      <c r="E298" t="s">
        <v>72</v>
      </c>
    </row>
    <row r="299" spans="1:5" x14ac:dyDescent="0.35">
      <c r="A299" s="30" t="s">
        <v>30</v>
      </c>
      <c r="B299">
        <f>ROUND(_xlfn.XLOOKUP(E299,'[1]Subsequent Close'!A:A,'[1]Subsequent Close'!X:X)-_xlfn.XLOOKUP('Sub Close Summary'!E299,'[1]Subsequent Close'!A:A,'[1]Subsequent Close'!Q:Q),2)</f>
        <v>595.41999999999996</v>
      </c>
      <c r="D299" t="s">
        <v>52</v>
      </c>
      <c r="E299" t="s">
        <v>74</v>
      </c>
    </row>
    <row r="300" spans="1:5" x14ac:dyDescent="0.35">
      <c r="A300" s="30" t="s">
        <v>30</v>
      </c>
      <c r="B300">
        <f>ROUND(_xlfn.XLOOKUP(E300,'[1]Subsequent Close'!A:A,'[1]Subsequent Close'!X:X)-_xlfn.XLOOKUP('Sub Close Summary'!E300,'[1]Subsequent Close'!A:A,'[1]Subsequent Close'!Q:Q),2)</f>
        <v>1267.3900000000001</v>
      </c>
      <c r="D300" t="s">
        <v>52</v>
      </c>
      <c r="E300" t="s">
        <v>76</v>
      </c>
    </row>
    <row r="301" spans="1:5" x14ac:dyDescent="0.35">
      <c r="A301" s="30" t="s">
        <v>30</v>
      </c>
      <c r="B301">
        <f>ROUND(_xlfn.XLOOKUP(E301,'[1]Subsequent Close'!A:A,'[1]Subsequent Close'!X:X)-_xlfn.XLOOKUP('Sub Close Summary'!E301,'[1]Subsequent Close'!A:A,'[1]Subsequent Close'!Q:Q),2)</f>
        <v>496.19</v>
      </c>
      <c r="D301" t="s">
        <v>52</v>
      </c>
      <c r="E301" t="s">
        <v>77</v>
      </c>
    </row>
    <row r="302" spans="1:5" x14ac:dyDescent="0.35">
      <c r="A302" s="30" t="s">
        <v>30</v>
      </c>
      <c r="B302">
        <f>ROUND(_xlfn.XLOOKUP(E302,'[1]Subsequent Close'!A:A,'[1]Subsequent Close'!X:X)-_xlfn.XLOOKUP('Sub Close Summary'!E302,'[1]Subsequent Close'!A:A,'[1]Subsequent Close'!Q:Q),2)</f>
        <v>1267.3900000000001</v>
      </c>
      <c r="D302" t="s">
        <v>52</v>
      </c>
      <c r="E302" t="s">
        <v>78</v>
      </c>
    </row>
    <row r="303" spans="1:5" x14ac:dyDescent="0.35">
      <c r="A303" s="30" t="s">
        <v>30</v>
      </c>
      <c r="B303">
        <f>ROUND(_xlfn.XLOOKUP(E303,'[1]Subsequent Close'!A:A,'[1]Subsequent Close'!X:X)-_xlfn.XLOOKUP('Sub Close Summary'!E303,'[1]Subsequent Close'!A:A,'[1]Subsequent Close'!Q:Q),2)</f>
        <v>129183.07</v>
      </c>
      <c r="D303" t="s">
        <v>52</v>
      </c>
      <c r="E303" t="s">
        <v>80</v>
      </c>
    </row>
    <row r="304" spans="1:5" x14ac:dyDescent="0.35">
      <c r="A304" s="30" t="s">
        <v>30</v>
      </c>
      <c r="B304">
        <f>ROUND(_xlfn.XLOOKUP(E304,'[1]Subsequent Close'!A:A,'[1]Subsequent Close'!X:X)-_xlfn.XLOOKUP('Sub Close Summary'!E304,'[1]Subsequent Close'!A:A,'[1]Subsequent Close'!Q:Q),2)</f>
        <v>16035.48</v>
      </c>
      <c r="D304" t="s">
        <v>52</v>
      </c>
      <c r="E304" t="s">
        <v>82</v>
      </c>
    </row>
    <row r="305" spans="1:5" x14ac:dyDescent="0.35">
      <c r="A305" s="30" t="s">
        <v>30</v>
      </c>
      <c r="B305">
        <f>ROUND(_xlfn.XLOOKUP(E305,'[1]Subsequent Close'!A:A,'[1]Subsequent Close'!X:X)-_xlfn.XLOOKUP('Sub Close Summary'!E305,'[1]Subsequent Close'!A:A,'[1]Subsequent Close'!Q:Q),2)</f>
        <v>496.19</v>
      </c>
      <c r="D305" t="s">
        <v>52</v>
      </c>
      <c r="E305" t="s">
        <v>83</v>
      </c>
    </row>
    <row r="306" spans="1:5" x14ac:dyDescent="0.35">
      <c r="A306" s="30" t="s">
        <v>30</v>
      </c>
      <c r="B306">
        <f>ROUND(_xlfn.XLOOKUP(E306,'[1]Subsequent Close'!A:A,'[1]Subsequent Close'!X:X)-_xlfn.XLOOKUP('Sub Close Summary'!E306,'[1]Subsequent Close'!A:A,'[1]Subsequent Close'!Q:Q),2)</f>
        <v>3073.4</v>
      </c>
      <c r="D306" t="s">
        <v>52</v>
      </c>
      <c r="E306" t="s">
        <v>84</v>
      </c>
    </row>
    <row r="307" spans="1:5" x14ac:dyDescent="0.35">
      <c r="A307" s="30" t="s">
        <v>30</v>
      </c>
      <c r="B307">
        <f>ROUND(_xlfn.XLOOKUP(E307,'[1]Subsequent Close'!A:A,'[1]Subsequent Close'!X:X)-_xlfn.XLOOKUP('Sub Close Summary'!E307,'[1]Subsequent Close'!A:A,'[1]Subsequent Close'!Q:Q),2)</f>
        <v>496.19</v>
      </c>
      <c r="D307" t="s">
        <v>52</v>
      </c>
      <c r="E307" t="s">
        <v>85</v>
      </c>
    </row>
    <row r="308" spans="1:5" x14ac:dyDescent="0.35">
      <c r="A308" s="30" t="s">
        <v>30</v>
      </c>
      <c r="B308">
        <f>ROUND(_xlfn.XLOOKUP(E308,'[1]Subsequent Close'!A:A,'[1]Subsequent Close'!X:X)-_xlfn.XLOOKUP('Sub Close Summary'!E308,'[1]Subsequent Close'!A:A,'[1]Subsequent Close'!Q:Q),2)</f>
        <v>1267.3900000000001</v>
      </c>
      <c r="D308" t="s">
        <v>52</v>
      </c>
      <c r="E308" t="s">
        <v>86</v>
      </c>
    </row>
    <row r="309" spans="1:5" x14ac:dyDescent="0.35">
      <c r="A309" s="30" t="s">
        <v>30</v>
      </c>
      <c r="B309">
        <f>ROUND(_xlfn.XLOOKUP(E309,'[1]Subsequent Close'!A:A,'[1]Subsequent Close'!X:X)-_xlfn.XLOOKUP('Sub Close Summary'!E309,'[1]Subsequent Close'!A:A,'[1]Subsequent Close'!Q:Q),2)</f>
        <v>420.51</v>
      </c>
      <c r="D309" t="s">
        <v>52</v>
      </c>
      <c r="E309" t="s">
        <v>87</v>
      </c>
    </row>
    <row r="310" spans="1:5" x14ac:dyDescent="0.35">
      <c r="A310" s="30" t="s">
        <v>30</v>
      </c>
      <c r="B310">
        <f>ROUND(_xlfn.XLOOKUP(E310,'[1]Subsequent Close'!A:A,'[1]Subsequent Close'!X:X)-_xlfn.XLOOKUP('Sub Close Summary'!E310,'[1]Subsequent Close'!A:A,'[1]Subsequent Close'!Q:Q),2)</f>
        <v>12173.44</v>
      </c>
      <c r="D310" t="s">
        <v>52</v>
      </c>
      <c r="E310" t="s">
        <v>88</v>
      </c>
    </row>
    <row r="311" spans="1:5" x14ac:dyDescent="0.35">
      <c r="A311" s="30" t="s">
        <v>30</v>
      </c>
      <c r="B311">
        <f>ROUND(_xlfn.XLOOKUP(E311,'[1]Subsequent Close'!A:A,'[1]Subsequent Close'!X:X)-_xlfn.XLOOKUP('Sub Close Summary'!E311,'[1]Subsequent Close'!A:A,'[1]Subsequent Close'!Q:Q),2)</f>
        <v>936.8</v>
      </c>
      <c r="D311" t="s">
        <v>52</v>
      </c>
      <c r="E311" t="s">
        <v>89</v>
      </c>
    </row>
    <row r="312" spans="1:5" x14ac:dyDescent="0.35">
      <c r="A312" s="30" t="s">
        <v>30</v>
      </c>
      <c r="B312">
        <f>ROUND(_xlfn.XLOOKUP(E312,'[1]Subsequent Close'!A:A,'[1]Subsequent Close'!X:X)-_xlfn.XLOOKUP('Sub Close Summary'!E312,'[1]Subsequent Close'!A:A,'[1]Subsequent Close'!Q:Q),2)</f>
        <v>396.95</v>
      </c>
      <c r="D312" t="s">
        <v>52</v>
      </c>
      <c r="E312" t="s">
        <v>90</v>
      </c>
    </row>
    <row r="313" spans="1:5" x14ac:dyDescent="0.35">
      <c r="A313" s="30" t="s">
        <v>30</v>
      </c>
      <c r="B313">
        <f>ROUND(_xlfn.XLOOKUP(E313,'[1]Subsequent Close'!A:A,'[1]Subsequent Close'!X:X)-_xlfn.XLOOKUP('Sub Close Summary'!E313,'[1]Subsequent Close'!A:A,'[1]Subsequent Close'!Q:Q),2)</f>
        <v>2154.5700000000002</v>
      </c>
      <c r="D313" t="s">
        <v>52</v>
      </c>
      <c r="E313" t="s">
        <v>91</v>
      </c>
    </row>
    <row r="314" spans="1:5" x14ac:dyDescent="0.35">
      <c r="A314" s="30" t="s">
        <v>30</v>
      </c>
      <c r="B314">
        <f>ROUND(_xlfn.XLOOKUP(E314,'[1]Subsequent Close'!A:A,'[1]Subsequent Close'!X:X)-_xlfn.XLOOKUP('Sub Close Summary'!E314,'[1]Subsequent Close'!A:A,'[1]Subsequent Close'!Q:Q),2)</f>
        <v>3802.18</v>
      </c>
      <c r="D314" t="s">
        <v>52</v>
      </c>
      <c r="E314" t="s">
        <v>92</v>
      </c>
    </row>
    <row r="315" spans="1:5" x14ac:dyDescent="0.35">
      <c r="A315" s="30" t="s">
        <v>30</v>
      </c>
      <c r="B315">
        <f>ROUND(_xlfn.XLOOKUP(E315,'[1]Subsequent Close'!A:A,'[1]Subsequent Close'!X:X)-_xlfn.XLOOKUP('Sub Close Summary'!E315,'[1]Subsequent Close'!A:A,'[1]Subsequent Close'!Q:Q),2)</f>
        <v>793.9</v>
      </c>
      <c r="D315" t="s">
        <v>52</v>
      </c>
      <c r="E315" t="s">
        <v>93</v>
      </c>
    </row>
    <row r="316" spans="1:5" x14ac:dyDescent="0.35">
      <c r="A316" s="30" t="s">
        <v>30</v>
      </c>
      <c r="B316">
        <f>ROUND(_xlfn.XLOOKUP(E316,'[1]Subsequent Close'!A:A,'[1]Subsequent Close'!X:X)-_xlfn.XLOOKUP('Sub Close Summary'!E316,'[1]Subsequent Close'!A:A,'[1]Subsequent Close'!Q:Q),2)</f>
        <v>595.41999999999996</v>
      </c>
      <c r="D316" t="s">
        <v>52</v>
      </c>
      <c r="E316" t="s">
        <v>94</v>
      </c>
    </row>
    <row r="317" spans="1:5" x14ac:dyDescent="0.35">
      <c r="A317" s="30" t="s">
        <v>30</v>
      </c>
      <c r="B317">
        <f>ROUND(_xlfn.XLOOKUP(E317,'[1]Subsequent Close'!A:A,'[1]Subsequent Close'!X:X)-_xlfn.XLOOKUP('Sub Close Summary'!E317,'[1]Subsequent Close'!A:A,'[1]Subsequent Close'!Q:Q),2)</f>
        <v>2534.7800000000002</v>
      </c>
      <c r="D317" t="s">
        <v>52</v>
      </c>
      <c r="E317" t="s">
        <v>95</v>
      </c>
    </row>
    <row r="318" spans="1:5" x14ac:dyDescent="0.35">
      <c r="A318" s="30" t="s">
        <v>30</v>
      </c>
      <c r="B318">
        <f>ROUND(_xlfn.XLOOKUP(E318,'[1]Subsequent Close'!A:A,'[1]Subsequent Close'!X:X)-_xlfn.XLOOKUP('Sub Close Summary'!E318,'[1]Subsequent Close'!A:A,'[1]Subsequent Close'!Q:Q),2)</f>
        <v>2534.7800000000002</v>
      </c>
      <c r="D318" t="s">
        <v>52</v>
      </c>
      <c r="E318" t="s">
        <v>96</v>
      </c>
    </row>
    <row r="319" spans="1:5" x14ac:dyDescent="0.35">
      <c r="A319" s="30" t="s">
        <v>30</v>
      </c>
      <c r="B319">
        <f>ROUND(_xlfn.XLOOKUP(E319,'[1]Subsequent Close'!A:A,'[1]Subsequent Close'!X:X)-_xlfn.XLOOKUP('Sub Close Summary'!E319,'[1]Subsequent Close'!A:A,'[1]Subsequent Close'!Q:Q),2)</f>
        <v>396.95</v>
      </c>
      <c r="D319" t="s">
        <v>52</v>
      </c>
      <c r="E319" t="s">
        <v>97</v>
      </c>
    </row>
    <row r="320" spans="1:5" x14ac:dyDescent="0.35">
      <c r="A320" s="30" t="s">
        <v>30</v>
      </c>
      <c r="B320">
        <f>ROUND(_xlfn.XLOOKUP(E320,'[1]Subsequent Close'!A:A,'[1]Subsequent Close'!X:X)-_xlfn.XLOOKUP('Sub Close Summary'!E320,'[1]Subsequent Close'!A:A,'[1]Subsequent Close'!Q:Q),2)</f>
        <v>506.96</v>
      </c>
      <c r="D320" t="s">
        <v>52</v>
      </c>
      <c r="E320" t="s">
        <v>98</v>
      </c>
    </row>
    <row r="321" spans="1:5" x14ac:dyDescent="0.35">
      <c r="A321" s="30" t="s">
        <v>30</v>
      </c>
      <c r="B321">
        <f>ROUND(_xlfn.XLOOKUP(E321,'[1]Subsequent Close'!A:A,'[1]Subsequent Close'!X:X)-_xlfn.XLOOKUP('Sub Close Summary'!E321,'[1]Subsequent Close'!A:A,'[1]Subsequent Close'!Q:Q),2)</f>
        <v>253.48</v>
      </c>
      <c r="D321" t="s">
        <v>52</v>
      </c>
      <c r="E321" t="s">
        <v>99</v>
      </c>
    </row>
    <row r="322" spans="1:5" x14ac:dyDescent="0.35">
      <c r="A322" s="30" t="s">
        <v>30</v>
      </c>
      <c r="B322">
        <f>ROUND(_xlfn.XLOOKUP(E322,'[1]Subsequent Close'!A:A,'[1]Subsequent Close'!X:X)-_xlfn.XLOOKUP('Sub Close Summary'!E322,'[1]Subsequent Close'!A:A,'[1]Subsequent Close'!Q:Q),2)</f>
        <v>396.95</v>
      </c>
      <c r="D322" t="s">
        <v>52</v>
      </c>
      <c r="E322" t="s">
        <v>100</v>
      </c>
    </row>
    <row r="323" spans="1:5" x14ac:dyDescent="0.35">
      <c r="A323" s="30" t="s">
        <v>30</v>
      </c>
      <c r="B323">
        <f>ROUND(_xlfn.XLOOKUP(E323,'[1]Subsequent Close'!A:A,'[1]Subsequent Close'!X:X)-_xlfn.XLOOKUP('Sub Close Summary'!E323,'[1]Subsequent Close'!A:A,'[1]Subsequent Close'!Q:Q),2)</f>
        <v>396.95</v>
      </c>
      <c r="D323" t="s">
        <v>52</v>
      </c>
      <c r="E323" t="s">
        <v>101</v>
      </c>
    </row>
    <row r="324" spans="1:5" x14ac:dyDescent="0.35">
      <c r="A324" s="30" t="s">
        <v>30</v>
      </c>
      <c r="B324">
        <f>ROUND(_xlfn.XLOOKUP(E324,'[1]Subsequent Close'!A:A,'[1]Subsequent Close'!X:X)-_xlfn.XLOOKUP('Sub Close Summary'!E324,'[1]Subsequent Close'!A:A,'[1]Subsequent Close'!Q:Q),2)</f>
        <v>496.19</v>
      </c>
      <c r="D324" t="s">
        <v>52</v>
      </c>
      <c r="E324" t="s">
        <v>102</v>
      </c>
    </row>
    <row r="325" spans="1:5" x14ac:dyDescent="0.35">
      <c r="A325" s="30" t="s">
        <v>30</v>
      </c>
      <c r="B325">
        <f>ROUND(_xlfn.XLOOKUP(E325,'[1]Subsequent Close'!A:A,'[1]Subsequent Close'!X:X)-_xlfn.XLOOKUP('Sub Close Summary'!E325,'[1]Subsequent Close'!A:A,'[1]Subsequent Close'!Q:Q),2)</f>
        <v>2534.7800000000002</v>
      </c>
      <c r="D325" t="s">
        <v>52</v>
      </c>
      <c r="E325" t="s">
        <v>103</v>
      </c>
    </row>
    <row r="326" spans="1:5" x14ac:dyDescent="0.35">
      <c r="A326" s="30" t="s">
        <v>30</v>
      </c>
      <c r="B326">
        <f>ROUND(_xlfn.XLOOKUP(E326,'[1]Subsequent Close'!A:A,'[1]Subsequent Close'!X:X)-_xlfn.XLOOKUP('Sub Close Summary'!E326,'[1]Subsequent Close'!A:A,'[1]Subsequent Close'!Q:Q),2)</f>
        <v>1267.3900000000001</v>
      </c>
      <c r="D326" t="s">
        <v>52</v>
      </c>
      <c r="E326" t="s">
        <v>104</v>
      </c>
    </row>
    <row r="327" spans="1:5" x14ac:dyDescent="0.35">
      <c r="A327" s="30" t="s">
        <v>30</v>
      </c>
      <c r="B327">
        <f>ROUND(_xlfn.XLOOKUP(E327,'[1]Subsequent Close'!A:A,'[1]Subsequent Close'!X:X)-_xlfn.XLOOKUP('Sub Close Summary'!E327,'[1]Subsequent Close'!A:A,'[1]Subsequent Close'!Q:Q),2)</f>
        <v>3802.18</v>
      </c>
      <c r="D327" t="s">
        <v>52</v>
      </c>
      <c r="E327" t="s">
        <v>105</v>
      </c>
    </row>
    <row r="328" spans="1:5" x14ac:dyDescent="0.35">
      <c r="A328" s="30" t="s">
        <v>30</v>
      </c>
      <c r="B328">
        <f>ROUND(_xlfn.XLOOKUP(E328,'[1]Subsequent Close'!A:A,'[1]Subsequent Close'!X:X)-_xlfn.XLOOKUP('Sub Close Summary'!E328,'[1]Subsequent Close'!A:A,'[1]Subsequent Close'!Q:Q),2)</f>
        <v>253.48</v>
      </c>
      <c r="D328" t="s">
        <v>52</v>
      </c>
      <c r="E328" t="s">
        <v>106</v>
      </c>
    </row>
    <row r="329" spans="1:5" x14ac:dyDescent="0.35">
      <c r="A329" s="30" t="s">
        <v>30</v>
      </c>
      <c r="B329">
        <f>ROUND(_xlfn.XLOOKUP(E329,'[1]Subsequent Close'!A:A,'[1]Subsequent Close'!X:X)-_xlfn.XLOOKUP('Sub Close Summary'!E329,'[1]Subsequent Close'!A:A,'[1]Subsequent Close'!Q:Q),2)</f>
        <v>1901.09</v>
      </c>
      <c r="D329" t="s">
        <v>52</v>
      </c>
      <c r="E329" t="s">
        <v>107</v>
      </c>
    </row>
    <row r="330" spans="1:5" x14ac:dyDescent="0.35">
      <c r="A330" s="30" t="s">
        <v>30</v>
      </c>
      <c r="B330">
        <f>ROUND(_xlfn.XLOOKUP(E330,'[1]Subsequent Close'!A:A,'[1]Subsequent Close'!X:X)-_xlfn.XLOOKUP('Sub Close Summary'!E330,'[1]Subsequent Close'!A:A,'[1]Subsequent Close'!Q:Q),2)</f>
        <v>595.41999999999996</v>
      </c>
      <c r="D330" t="s">
        <v>52</v>
      </c>
      <c r="E330" t="s">
        <v>108</v>
      </c>
    </row>
    <row r="331" spans="1:5" x14ac:dyDescent="0.35">
      <c r="A331" s="30" t="s">
        <v>30</v>
      </c>
      <c r="B331">
        <f>ROUND(_xlfn.XLOOKUP(E331,'[1]Subsequent Close'!A:A,'[1]Subsequent Close'!X:X)-_xlfn.XLOOKUP('Sub Close Summary'!E331,'[1]Subsequent Close'!A:A,'[1]Subsequent Close'!Q:Q),2)</f>
        <v>2534.7800000000002</v>
      </c>
      <c r="D331" t="s">
        <v>52</v>
      </c>
      <c r="E331" t="s">
        <v>109</v>
      </c>
    </row>
    <row r="332" spans="1:5" x14ac:dyDescent="0.35">
      <c r="A332" s="30" t="s">
        <v>30</v>
      </c>
      <c r="B332">
        <f>ROUND(_xlfn.XLOOKUP(E332,'[1]Subsequent Close'!A:A,'[1]Subsequent Close'!X:X)-_xlfn.XLOOKUP('Sub Close Summary'!E332,'[1]Subsequent Close'!A:A,'[1]Subsequent Close'!Q:Q),2)</f>
        <v>297.70999999999998</v>
      </c>
      <c r="D332" t="s">
        <v>52</v>
      </c>
      <c r="E332" t="s">
        <v>110</v>
      </c>
    </row>
    <row r="333" spans="1:5" x14ac:dyDescent="0.35">
      <c r="A333" s="30" t="s">
        <v>30</v>
      </c>
      <c r="B333">
        <f>ROUND(_xlfn.XLOOKUP(E333,'[1]Subsequent Close'!A:A,'[1]Subsequent Close'!X:X)-_xlfn.XLOOKUP('Sub Close Summary'!E333,'[1]Subsequent Close'!A:A,'[1]Subsequent Close'!Q:Q),2)</f>
        <v>253.48</v>
      </c>
      <c r="D333" t="s">
        <v>52</v>
      </c>
      <c r="E333" t="s">
        <v>111</v>
      </c>
    </row>
    <row r="334" spans="1:5" x14ac:dyDescent="0.35">
      <c r="A334" s="30" t="s">
        <v>30</v>
      </c>
      <c r="B334">
        <f>ROUND(_xlfn.XLOOKUP(E334,'[1]Subsequent Close'!A:A,'[1]Subsequent Close'!X:X)-_xlfn.XLOOKUP('Sub Close Summary'!E334,'[1]Subsequent Close'!A:A,'[1]Subsequent Close'!Q:Q),2)</f>
        <v>198.47</v>
      </c>
      <c r="D334" t="s">
        <v>52</v>
      </c>
      <c r="E334" t="s">
        <v>112</v>
      </c>
    </row>
    <row r="335" spans="1:5" x14ac:dyDescent="0.35">
      <c r="A335" s="30" t="s">
        <v>30</v>
      </c>
      <c r="B335">
        <f>ROUND(_xlfn.XLOOKUP(E335,'[1]Subsequent Close'!A:A,'[1]Subsequent Close'!X:X)-_xlfn.XLOOKUP('Sub Close Summary'!E335,'[1]Subsequent Close'!A:A,'[1]Subsequent Close'!Q:Q),2)</f>
        <v>1984.74</v>
      </c>
      <c r="D335" t="s">
        <v>52</v>
      </c>
      <c r="E335" t="s">
        <v>113</v>
      </c>
    </row>
    <row r="336" spans="1:5" x14ac:dyDescent="0.35">
      <c r="A336" s="30" t="s">
        <v>30</v>
      </c>
      <c r="B336">
        <f>ROUND(_xlfn.XLOOKUP(E336,'[1]Subsequent Close'!A:A,'[1]Subsequent Close'!X:X)-_xlfn.XLOOKUP('Sub Close Summary'!E336,'[1]Subsequent Close'!A:A,'[1]Subsequent Close'!Q:Q),2)</f>
        <v>992.37</v>
      </c>
      <c r="D336" t="s">
        <v>52</v>
      </c>
      <c r="E336" t="s">
        <v>114</v>
      </c>
    </row>
    <row r="337" spans="1:5" x14ac:dyDescent="0.35">
      <c r="A337" s="30" t="s">
        <v>30</v>
      </c>
      <c r="B337">
        <f>ROUND(_xlfn.XLOOKUP(E337,'[1]Subsequent Close'!A:A,'[1]Subsequent Close'!X:X)-_xlfn.XLOOKUP('Sub Close Summary'!E337,'[1]Subsequent Close'!A:A,'[1]Subsequent Close'!Q:Q),2)</f>
        <v>1782.37</v>
      </c>
      <c r="D337" t="s">
        <v>52</v>
      </c>
      <c r="E337" t="s">
        <v>115</v>
      </c>
    </row>
    <row r="338" spans="1:5" x14ac:dyDescent="0.35">
      <c r="A338" s="30" t="s">
        <v>30</v>
      </c>
      <c r="B338">
        <f>ROUND(_xlfn.XLOOKUP(E338,'[1]Subsequent Close'!A:A,'[1]Subsequent Close'!X:X)-_xlfn.XLOOKUP('Sub Close Summary'!E338,'[1]Subsequent Close'!A:A,'[1]Subsequent Close'!Q:Q),2)</f>
        <v>198.47</v>
      </c>
      <c r="D338" t="s">
        <v>52</v>
      </c>
      <c r="E338" t="s">
        <v>116</v>
      </c>
    </row>
    <row r="339" spans="1:5" x14ac:dyDescent="0.35">
      <c r="A339" s="30" t="s">
        <v>30</v>
      </c>
      <c r="B339">
        <f>ROUND(_xlfn.XLOOKUP(E339,'[1]Subsequent Close'!A:A,'[1]Subsequent Close'!X:X)-_xlfn.XLOOKUP('Sub Close Summary'!E339,'[1]Subsequent Close'!A:A,'[1]Subsequent Close'!Q:Q),2)</f>
        <v>835.18</v>
      </c>
      <c r="D339" t="s">
        <v>52</v>
      </c>
      <c r="E339" t="s">
        <v>117</v>
      </c>
    </row>
    <row r="340" spans="1:5" x14ac:dyDescent="0.35">
      <c r="A340" s="30" t="s">
        <v>30</v>
      </c>
      <c r="B340">
        <f>ROUND(_xlfn.XLOOKUP(E340,'[1]Subsequent Close'!A:A,'[1]Subsequent Close'!X:X)-_xlfn.XLOOKUP('Sub Close Summary'!E340,'[1]Subsequent Close'!A:A,'[1]Subsequent Close'!Q:Q),2)</f>
        <v>2224.5</v>
      </c>
      <c r="D340" t="s">
        <v>52</v>
      </c>
      <c r="E340" t="s">
        <v>118</v>
      </c>
    </row>
    <row r="341" spans="1:5" x14ac:dyDescent="0.35">
      <c r="A341" s="30" t="s">
        <v>30</v>
      </c>
      <c r="B341">
        <f>ROUND(_xlfn.XLOOKUP(E341,'[1]Subsequent Close'!A:A,'[1]Subsequent Close'!X:X)-_xlfn.XLOOKUP('Sub Close Summary'!E341,'[1]Subsequent Close'!A:A,'[1]Subsequent Close'!Q:Q),2)</f>
        <v>99.24</v>
      </c>
      <c r="D341" t="s">
        <v>52</v>
      </c>
      <c r="E341" t="s">
        <v>119</v>
      </c>
    </row>
    <row r="342" spans="1:5" x14ac:dyDescent="0.35">
      <c r="A342" s="30" t="s">
        <v>30</v>
      </c>
      <c r="B342">
        <f>ROUND(_xlfn.XLOOKUP(E342,'[1]Subsequent Close'!A:A,'[1]Subsequent Close'!X:X)-_xlfn.XLOOKUP('Sub Close Summary'!E342,'[1]Subsequent Close'!A:A,'[1]Subsequent Close'!Q:Q),2)</f>
        <v>3802.18</v>
      </c>
      <c r="D342" t="s">
        <v>52</v>
      </c>
      <c r="E342" t="s">
        <v>120</v>
      </c>
    </row>
    <row r="343" spans="1:5" x14ac:dyDescent="0.35">
      <c r="A343" s="30" t="s">
        <v>30</v>
      </c>
      <c r="B343">
        <f>ROUND(_xlfn.XLOOKUP(E343,'[1]Subsequent Close'!A:A,'[1]Subsequent Close'!X:X)-_xlfn.XLOOKUP('Sub Close Summary'!E343,'[1]Subsequent Close'!A:A,'[1]Subsequent Close'!Q:Q),2)</f>
        <v>2534.7800000000002</v>
      </c>
      <c r="D343" t="s">
        <v>52</v>
      </c>
      <c r="E343" t="s">
        <v>121</v>
      </c>
    </row>
    <row r="344" spans="1:5" x14ac:dyDescent="0.35">
      <c r="A344" s="30" t="s">
        <v>30</v>
      </c>
      <c r="B344">
        <f>ROUND(_xlfn.XLOOKUP(E344,'[1]Subsequent Close'!A:A,'[1]Subsequent Close'!X:X)-_xlfn.XLOOKUP('Sub Close Summary'!E344,'[1]Subsequent Close'!A:A,'[1]Subsequent Close'!Q:Q),2)</f>
        <v>2534.7800000000002</v>
      </c>
      <c r="D344" t="s">
        <v>52</v>
      </c>
      <c r="E344" t="s">
        <v>122</v>
      </c>
    </row>
    <row r="345" spans="1:5" x14ac:dyDescent="0.35">
      <c r="A345" s="30" t="s">
        <v>30</v>
      </c>
      <c r="B345">
        <f>ROUND(_xlfn.XLOOKUP(E345,'[1]Subsequent Close'!A:A,'[1]Subsequent Close'!X:X)-_xlfn.XLOOKUP('Sub Close Summary'!E345,'[1]Subsequent Close'!A:A,'[1]Subsequent Close'!Q:Q),2)</f>
        <v>5069.57</v>
      </c>
      <c r="D345" t="s">
        <v>52</v>
      </c>
      <c r="E345" t="s">
        <v>123</v>
      </c>
    </row>
    <row r="346" spans="1:5" x14ac:dyDescent="0.35">
      <c r="A346" s="30" t="s">
        <v>30</v>
      </c>
      <c r="B346">
        <f>ROUND(_xlfn.XLOOKUP(E346,'[1]Subsequent Close'!A:A,'[1]Subsequent Close'!X:X)-_xlfn.XLOOKUP('Sub Close Summary'!E346,'[1]Subsequent Close'!A:A,'[1]Subsequent Close'!Q:Q),2)</f>
        <v>2534.7800000000002</v>
      </c>
      <c r="D346" t="s">
        <v>52</v>
      </c>
      <c r="E346" t="s">
        <v>124</v>
      </c>
    </row>
    <row r="347" spans="1:5" x14ac:dyDescent="0.35">
      <c r="A347" s="30" t="s">
        <v>30</v>
      </c>
      <c r="B347">
        <f>ROUND(_xlfn.XLOOKUP(E347,'[1]Subsequent Close'!A:A,'[1]Subsequent Close'!X:X)-_xlfn.XLOOKUP('Sub Close Summary'!E347,'[1]Subsequent Close'!A:A,'[1]Subsequent Close'!Q:Q),2)</f>
        <v>1326.44</v>
      </c>
      <c r="D347" t="s">
        <v>52</v>
      </c>
      <c r="E347" t="s">
        <v>125</v>
      </c>
    </row>
    <row r="348" spans="1:5" x14ac:dyDescent="0.35">
      <c r="A348" s="30" t="s">
        <v>30</v>
      </c>
      <c r="B348">
        <f>ROUND(_xlfn.XLOOKUP(E348,'[1]Subsequent Close'!A:A,'[1]Subsequent Close'!X:X)-_xlfn.XLOOKUP('Sub Close Summary'!E348,'[1]Subsequent Close'!A:A,'[1]Subsequent Close'!Q:Q),2)</f>
        <v>396.95</v>
      </c>
      <c r="D348" t="s">
        <v>52</v>
      </c>
      <c r="E348" t="s">
        <v>126</v>
      </c>
    </row>
    <row r="349" spans="1:5" x14ac:dyDescent="0.35">
      <c r="A349" s="30" t="s">
        <v>30</v>
      </c>
      <c r="B349">
        <f>ROUND(_xlfn.XLOOKUP(E349,'[1]Subsequent Close'!A:A,'[1]Subsequent Close'!X:X)-_xlfn.XLOOKUP('Sub Close Summary'!E349,'[1]Subsequent Close'!A:A,'[1]Subsequent Close'!Q:Q),2)</f>
        <v>2534.7800000000002</v>
      </c>
      <c r="D349" t="s">
        <v>52</v>
      </c>
      <c r="E349" t="s">
        <v>127</v>
      </c>
    </row>
    <row r="350" spans="1:5" x14ac:dyDescent="0.35">
      <c r="A350" s="30" t="s">
        <v>30</v>
      </c>
      <c r="B350">
        <f>ROUND(_xlfn.XLOOKUP(E350,'[1]Subsequent Close'!A:A,'[1]Subsequent Close'!X:X)-_xlfn.XLOOKUP('Sub Close Summary'!E350,'[1]Subsequent Close'!A:A,'[1]Subsequent Close'!Q:Q),2)</f>
        <v>2534.7800000000002</v>
      </c>
      <c r="D350" t="s">
        <v>52</v>
      </c>
      <c r="E350" t="s">
        <v>128</v>
      </c>
    </row>
    <row r="351" spans="1:5" x14ac:dyDescent="0.35">
      <c r="A351" s="30" t="s">
        <v>30</v>
      </c>
      <c r="B351">
        <f>ROUND(_xlfn.XLOOKUP(E351,'[1]Subsequent Close'!A:A,'[1]Subsequent Close'!X:X)-_xlfn.XLOOKUP('Sub Close Summary'!E351,'[1]Subsequent Close'!A:A,'[1]Subsequent Close'!Q:Q),2)</f>
        <v>1520.87</v>
      </c>
      <c r="D351" t="s">
        <v>52</v>
      </c>
      <c r="E351" t="s">
        <v>129</v>
      </c>
    </row>
    <row r="352" spans="1:5" x14ac:dyDescent="0.35">
      <c r="A352" s="30" t="s">
        <v>30</v>
      </c>
      <c r="B352">
        <f>ROUND(_xlfn.XLOOKUP(E352,'[1]Subsequent Close'!A:A,'[1]Subsequent Close'!X:X)-_xlfn.XLOOKUP('Sub Close Summary'!E352,'[1]Subsequent Close'!A:A,'[1]Subsequent Close'!Q:Q),2)</f>
        <v>2534.7800000000002</v>
      </c>
      <c r="D352" t="s">
        <v>52</v>
      </c>
      <c r="E352" t="s">
        <v>130</v>
      </c>
    </row>
    <row r="353" spans="1:5" x14ac:dyDescent="0.35">
      <c r="A353" s="30" t="s">
        <v>30</v>
      </c>
      <c r="B353">
        <f>ROUND(_xlfn.XLOOKUP(E353,'[1]Subsequent Close'!A:A,'[1]Subsequent Close'!X:X)-_xlfn.XLOOKUP('Sub Close Summary'!E353,'[1]Subsequent Close'!A:A,'[1]Subsequent Close'!Q:Q),2)</f>
        <v>50695.67</v>
      </c>
      <c r="D353" t="s">
        <v>52</v>
      </c>
      <c r="E353" t="s">
        <v>131</v>
      </c>
    </row>
    <row r="354" spans="1:5" x14ac:dyDescent="0.35">
      <c r="A354" s="30" t="s">
        <v>30</v>
      </c>
      <c r="B354">
        <f>ROUND(_xlfn.XLOOKUP(E354,'[1]Subsequent Close'!A:A,'[1]Subsequent Close'!X:X)-_xlfn.XLOOKUP('Sub Close Summary'!E354,'[1]Subsequent Close'!A:A,'[1]Subsequent Close'!Q:Q),2)</f>
        <v>633.70000000000005</v>
      </c>
      <c r="D354" t="s">
        <v>52</v>
      </c>
      <c r="E354" t="s">
        <v>132</v>
      </c>
    </row>
    <row r="355" spans="1:5" x14ac:dyDescent="0.35">
      <c r="A355" s="30" t="s">
        <v>30</v>
      </c>
      <c r="B355">
        <f>ROUND(_xlfn.XLOOKUP(E355,'[1]Subsequent Close'!A:A,'[1]Subsequent Close'!X:X)-_xlfn.XLOOKUP('Sub Close Summary'!E355,'[1]Subsequent Close'!A:A,'[1]Subsequent Close'!Q:Q),2)</f>
        <v>793.9</v>
      </c>
      <c r="D355" t="s">
        <v>52</v>
      </c>
      <c r="E355" t="s">
        <v>133</v>
      </c>
    </row>
    <row r="356" spans="1:5" x14ac:dyDescent="0.35">
      <c r="A356" s="30" t="s">
        <v>30</v>
      </c>
      <c r="B356">
        <f>ROUND(_xlfn.XLOOKUP(E356,'[1]Subsequent Close'!A:A,'[1]Subsequent Close'!X:X)-_xlfn.XLOOKUP('Sub Close Summary'!E356,'[1]Subsequent Close'!A:A,'[1]Subsequent Close'!Q:Q),2)</f>
        <v>793.9</v>
      </c>
      <c r="D356" t="s">
        <v>52</v>
      </c>
      <c r="E356" t="s">
        <v>134</v>
      </c>
    </row>
    <row r="357" spans="1:5" x14ac:dyDescent="0.35">
      <c r="A357" s="30" t="s">
        <v>30</v>
      </c>
      <c r="B357">
        <f>ROUND(_xlfn.XLOOKUP(E357,'[1]Subsequent Close'!A:A,'[1]Subsequent Close'!X:X)-_xlfn.XLOOKUP('Sub Close Summary'!E357,'[1]Subsequent Close'!A:A,'[1]Subsequent Close'!Q:Q),2)</f>
        <v>12673.92</v>
      </c>
      <c r="D357" t="s">
        <v>52</v>
      </c>
      <c r="E357" t="s">
        <v>135</v>
      </c>
    </row>
    <row r="358" spans="1:5" x14ac:dyDescent="0.35">
      <c r="A358" s="30" t="s">
        <v>30</v>
      </c>
      <c r="B358">
        <f>ROUND(_xlfn.XLOOKUP(E358,'[1]Subsequent Close'!A:A,'[1]Subsequent Close'!X:X)-_xlfn.XLOOKUP('Sub Close Summary'!E358,'[1]Subsequent Close'!A:A,'[1]Subsequent Close'!Q:Q),2)</f>
        <v>19010.88</v>
      </c>
      <c r="D358" t="s">
        <v>52</v>
      </c>
      <c r="E358" t="s">
        <v>136</v>
      </c>
    </row>
    <row r="359" spans="1:5" x14ac:dyDescent="0.35">
      <c r="A359" s="30" t="s">
        <v>30</v>
      </c>
      <c r="B359">
        <f>ROUND(_xlfn.XLOOKUP(E359,'[1]Subsequent Close'!A:A,'[1]Subsequent Close'!X:X)-_xlfn.XLOOKUP('Sub Close Summary'!E359,'[1]Subsequent Close'!A:A,'[1]Subsequent Close'!Q:Q),2)</f>
        <v>12673.92</v>
      </c>
      <c r="D359" t="s">
        <v>52</v>
      </c>
      <c r="E359" t="s">
        <v>137</v>
      </c>
    </row>
    <row r="360" spans="1:5" x14ac:dyDescent="0.35">
      <c r="A360" s="30" t="s">
        <v>30</v>
      </c>
      <c r="B360">
        <f>ROUND(_xlfn.XLOOKUP(E360,'[1]Subsequent Close'!A:A,'[1]Subsequent Close'!X:X)-_xlfn.XLOOKUP('Sub Close Summary'!E360,'[1]Subsequent Close'!A:A,'[1]Subsequent Close'!Q:Q),2)</f>
        <v>76043.5</v>
      </c>
      <c r="D360" t="s">
        <v>52</v>
      </c>
      <c r="E360" t="s">
        <v>138</v>
      </c>
    </row>
    <row r="361" spans="1:5" x14ac:dyDescent="0.35">
      <c r="A361" s="30" t="s">
        <v>30</v>
      </c>
      <c r="B361">
        <f>ROUND(_xlfn.XLOOKUP(E361,'[1]Subsequent Close'!A:A,'[1]Subsequent Close'!X:X)-_xlfn.XLOOKUP('Sub Close Summary'!E361,'[1]Subsequent Close'!A:A,'[1]Subsequent Close'!Q:Q),2)</f>
        <v>992.37</v>
      </c>
      <c r="D361" t="s">
        <v>52</v>
      </c>
      <c r="E361" t="s">
        <v>139</v>
      </c>
    </row>
    <row r="362" spans="1:5" x14ac:dyDescent="0.35">
      <c r="A362" s="30" t="s">
        <v>30</v>
      </c>
      <c r="B362">
        <f>ROUND(_xlfn.XLOOKUP(E362,'[1]Subsequent Close'!A:A,'[1]Subsequent Close'!X:X)-_xlfn.XLOOKUP('Sub Close Summary'!E362,'[1]Subsequent Close'!A:A,'[1]Subsequent Close'!Q:Q),2)</f>
        <v>5069.57</v>
      </c>
      <c r="D362" t="s">
        <v>52</v>
      </c>
      <c r="E362" t="s">
        <v>140</v>
      </c>
    </row>
    <row r="363" spans="1:5" x14ac:dyDescent="0.35">
      <c r="A363" s="30" t="s">
        <v>32</v>
      </c>
      <c r="B363">
        <f>-ROUND(_xlfn.XLOOKUP(E363,'[1]Subsequent Close'!A:A,'[1]Subsequent Close'!AT:AT),2)</f>
        <v>868.33</v>
      </c>
      <c r="D363" t="s">
        <v>56</v>
      </c>
      <c r="E363" t="s">
        <v>50</v>
      </c>
    </row>
    <row r="364" spans="1:5" x14ac:dyDescent="0.35">
      <c r="A364" s="30" t="s">
        <v>32</v>
      </c>
      <c r="B364">
        <f>-ROUND(_xlfn.XLOOKUP(E364,'[1]Subsequent Close'!A:A,'[1]Subsequent Close'!AT:AT),2)</f>
        <v>1215.67</v>
      </c>
      <c r="D364" t="s">
        <v>56</v>
      </c>
      <c r="E364" t="s">
        <v>51</v>
      </c>
    </row>
    <row r="365" spans="1:5" x14ac:dyDescent="0.35">
      <c r="A365" s="30" t="s">
        <v>32</v>
      </c>
      <c r="B365">
        <f>-ROUND(_xlfn.XLOOKUP(E365,'[1]Subsequent Close'!A:A,'[1]Subsequent Close'!AT:AT),2)</f>
        <v>1042</v>
      </c>
      <c r="D365" t="s">
        <v>56</v>
      </c>
      <c r="E365" t="s">
        <v>53</v>
      </c>
    </row>
    <row r="366" spans="1:5" x14ac:dyDescent="0.35">
      <c r="A366" s="30" t="s">
        <v>32</v>
      </c>
      <c r="B366">
        <f>-ROUND(_xlfn.XLOOKUP(E366,'[1]Subsequent Close'!A:A,'[1]Subsequent Close'!AT:AT),2)</f>
        <v>1302.5</v>
      </c>
      <c r="D366" t="s">
        <v>56</v>
      </c>
      <c r="E366" t="s">
        <v>54</v>
      </c>
    </row>
    <row r="367" spans="1:5" x14ac:dyDescent="0.35">
      <c r="A367" s="30" t="s">
        <v>32</v>
      </c>
      <c r="B367">
        <f>-ROUND(_xlfn.XLOOKUP(E367,'[1]Subsequent Close'!A:A,'[1]Subsequent Close'!AT:AT),2)</f>
        <v>135.97999999999999</v>
      </c>
      <c r="D367" t="s">
        <v>56</v>
      </c>
      <c r="E367" t="s">
        <v>55</v>
      </c>
    </row>
    <row r="368" spans="1:5" x14ac:dyDescent="0.35">
      <c r="A368" s="30" t="s">
        <v>32</v>
      </c>
      <c r="B368">
        <f>-ROUND(_xlfn.XLOOKUP(E368,'[1]Subsequent Close'!A:A,'[1]Subsequent Close'!AT:AT),2)</f>
        <v>250.42</v>
      </c>
      <c r="D368" t="s">
        <v>56</v>
      </c>
      <c r="E368" t="s">
        <v>57</v>
      </c>
    </row>
    <row r="369" spans="1:5" x14ac:dyDescent="0.35">
      <c r="A369" s="30" t="s">
        <v>32</v>
      </c>
      <c r="B369">
        <f>-ROUND(_xlfn.XLOOKUP(E369,'[1]Subsequent Close'!A:A,'[1]Subsequent Close'!AT:AT),2)</f>
        <v>271.95999999999998</v>
      </c>
      <c r="D369" t="s">
        <v>56</v>
      </c>
      <c r="E369" t="s">
        <v>59</v>
      </c>
    </row>
    <row r="370" spans="1:5" x14ac:dyDescent="0.35">
      <c r="A370" s="30" t="s">
        <v>32</v>
      </c>
      <c r="B370">
        <f>-ROUND(_xlfn.XLOOKUP(E370,'[1]Subsequent Close'!A:A,'[1]Subsequent Close'!AT:AT),2)</f>
        <v>908.79</v>
      </c>
      <c r="D370" t="s">
        <v>56</v>
      </c>
      <c r="E370" t="s">
        <v>61</v>
      </c>
    </row>
    <row r="371" spans="1:5" x14ac:dyDescent="0.35">
      <c r="A371" s="30" t="s">
        <v>32</v>
      </c>
      <c r="B371">
        <f>-ROUND(_xlfn.XLOOKUP(E371,'[1]Subsequent Close'!A:A,'[1]Subsequent Close'!AT:AT),2)</f>
        <v>1736.67</v>
      </c>
      <c r="D371" t="s">
        <v>56</v>
      </c>
      <c r="E371" t="s">
        <v>62</v>
      </c>
    </row>
    <row r="372" spans="1:5" x14ac:dyDescent="0.35">
      <c r="A372" s="30" t="s">
        <v>32</v>
      </c>
      <c r="B372">
        <f>-ROUND(_xlfn.XLOOKUP(E372,'[1]Subsequent Close'!A:A,'[1]Subsequent Close'!AT:AT),2)</f>
        <v>679.91</v>
      </c>
      <c r="D372" t="s">
        <v>56</v>
      </c>
      <c r="E372" t="s">
        <v>63</v>
      </c>
    </row>
    <row r="373" spans="1:5" x14ac:dyDescent="0.35">
      <c r="A373" s="30" t="s">
        <v>32</v>
      </c>
      <c r="B373">
        <f>-ROUND(_xlfn.XLOOKUP(E373,'[1]Subsequent Close'!A:A,'[1]Subsequent Close'!AT:AT),2)</f>
        <v>17366.7</v>
      </c>
      <c r="D373" t="s">
        <v>56</v>
      </c>
      <c r="E373" t="s">
        <v>65</v>
      </c>
    </row>
    <row r="374" spans="1:5" x14ac:dyDescent="0.35">
      <c r="A374" s="30" t="s">
        <v>32</v>
      </c>
      <c r="B374">
        <f>-ROUND(_xlfn.XLOOKUP(E374,'[1]Subsequent Close'!A:A,'[1]Subsequent Close'!AT:AT),2)</f>
        <v>1588.7</v>
      </c>
      <c r="D374" t="s">
        <v>56</v>
      </c>
      <c r="E374" t="s">
        <v>68</v>
      </c>
    </row>
    <row r="375" spans="1:5" x14ac:dyDescent="0.35">
      <c r="A375" s="30" t="s">
        <v>32</v>
      </c>
      <c r="B375">
        <f>-ROUND(_xlfn.XLOOKUP(E375,'[1]Subsequent Close'!A:A,'[1]Subsequent Close'!AT:AT),2)</f>
        <v>1588.7</v>
      </c>
      <c r="D375" t="s">
        <v>56</v>
      </c>
      <c r="E375" t="s">
        <v>70</v>
      </c>
    </row>
    <row r="376" spans="1:5" x14ac:dyDescent="0.35">
      <c r="A376" s="30" t="s">
        <v>32</v>
      </c>
      <c r="B376">
        <f>-ROUND(_xlfn.XLOOKUP(E376,'[1]Subsequent Close'!A:A,'[1]Subsequent Close'!AT:AT),2)</f>
        <v>135.97999999999999</v>
      </c>
      <c r="D376" t="s">
        <v>56</v>
      </c>
      <c r="E376" t="s">
        <v>72</v>
      </c>
    </row>
    <row r="377" spans="1:5" x14ac:dyDescent="0.35">
      <c r="A377" s="30" t="s">
        <v>32</v>
      </c>
      <c r="B377">
        <f>-ROUND(_xlfn.XLOOKUP(E377,'[1]Subsequent Close'!A:A,'[1]Subsequent Close'!AT:AT),2)</f>
        <v>407.95</v>
      </c>
      <c r="D377" t="s">
        <v>56</v>
      </c>
      <c r="E377" t="s">
        <v>74</v>
      </c>
    </row>
    <row r="378" spans="1:5" x14ac:dyDescent="0.35">
      <c r="A378" s="30" t="s">
        <v>32</v>
      </c>
      <c r="B378">
        <f>-ROUND(_xlfn.XLOOKUP(E378,'[1]Subsequent Close'!A:A,'[1]Subsequent Close'!AT:AT),2)</f>
        <v>868.33</v>
      </c>
      <c r="D378" t="s">
        <v>56</v>
      </c>
      <c r="E378" t="s">
        <v>76</v>
      </c>
    </row>
    <row r="379" spans="1:5" x14ac:dyDescent="0.35">
      <c r="A379" s="30" t="s">
        <v>32</v>
      </c>
      <c r="B379">
        <f>-ROUND(_xlfn.XLOOKUP(E379,'[1]Subsequent Close'!A:A,'[1]Subsequent Close'!AT:AT),2)</f>
        <v>339.95</v>
      </c>
      <c r="D379" t="s">
        <v>56</v>
      </c>
      <c r="E379" t="s">
        <v>77</v>
      </c>
    </row>
    <row r="380" spans="1:5" x14ac:dyDescent="0.35">
      <c r="A380" s="30" t="s">
        <v>32</v>
      </c>
      <c r="B380">
        <f>-ROUND(_xlfn.XLOOKUP(E380,'[1]Subsequent Close'!A:A,'[1]Subsequent Close'!AT:AT),2)</f>
        <v>868.33</v>
      </c>
      <c r="D380" t="s">
        <v>56</v>
      </c>
      <c r="E380" t="s">
        <v>78</v>
      </c>
    </row>
    <row r="381" spans="1:5" x14ac:dyDescent="0.35">
      <c r="A381" s="30" t="s">
        <v>32</v>
      </c>
      <c r="B381">
        <f>-ROUND(_xlfn.XLOOKUP(E381,'[1]Subsequent Close'!A:A,'[1]Subsequent Close'!AT:AT),2)</f>
        <v>88507.9</v>
      </c>
      <c r="D381" t="s">
        <v>56</v>
      </c>
      <c r="E381" t="s">
        <v>80</v>
      </c>
    </row>
    <row r="382" spans="1:5" x14ac:dyDescent="0.35">
      <c r="A382" s="30" t="s">
        <v>32</v>
      </c>
      <c r="B382">
        <f>-ROUND(_xlfn.XLOOKUP(E382,'[1]Subsequent Close'!A:A,'[1]Subsequent Close'!AT:AT),2)</f>
        <v>10986.48</v>
      </c>
      <c r="D382" t="s">
        <v>56</v>
      </c>
      <c r="E382" t="s">
        <v>82</v>
      </c>
    </row>
    <row r="383" spans="1:5" x14ac:dyDescent="0.35">
      <c r="A383" s="30" t="s">
        <v>32</v>
      </c>
      <c r="B383">
        <f>-ROUND(_xlfn.XLOOKUP(E383,'[1]Subsequent Close'!A:A,'[1]Subsequent Close'!AT:AT),2)</f>
        <v>339.95</v>
      </c>
      <c r="D383" t="s">
        <v>56</v>
      </c>
      <c r="E383" t="s">
        <v>83</v>
      </c>
    </row>
    <row r="384" spans="1:5" x14ac:dyDescent="0.35">
      <c r="A384" s="30" t="s">
        <v>32</v>
      </c>
      <c r="B384">
        <f>-ROUND(_xlfn.XLOOKUP(E384,'[1]Subsequent Close'!A:A,'[1]Subsequent Close'!AT:AT),2)</f>
        <v>2105.6999999999998</v>
      </c>
      <c r="D384" t="s">
        <v>56</v>
      </c>
      <c r="E384" t="s">
        <v>84</v>
      </c>
    </row>
    <row r="385" spans="1:5" x14ac:dyDescent="0.35">
      <c r="A385" s="30" t="s">
        <v>32</v>
      </c>
      <c r="B385">
        <f>-ROUND(_xlfn.XLOOKUP(E385,'[1]Subsequent Close'!A:A,'[1]Subsequent Close'!AT:AT),2)</f>
        <v>339.95</v>
      </c>
      <c r="D385" t="s">
        <v>56</v>
      </c>
      <c r="E385" t="s">
        <v>85</v>
      </c>
    </row>
    <row r="386" spans="1:5" x14ac:dyDescent="0.35">
      <c r="A386" s="30" t="s">
        <v>32</v>
      </c>
      <c r="B386">
        <f>-ROUND(_xlfn.XLOOKUP(E386,'[1]Subsequent Close'!A:A,'[1]Subsequent Close'!AT:AT),2)</f>
        <v>868.33</v>
      </c>
      <c r="D386" t="s">
        <v>56</v>
      </c>
      <c r="E386" t="s">
        <v>86</v>
      </c>
    </row>
    <row r="387" spans="1:5" x14ac:dyDescent="0.35">
      <c r="A387" s="30" t="s">
        <v>32</v>
      </c>
      <c r="B387">
        <f>-ROUND(_xlfn.XLOOKUP(E387,'[1]Subsequent Close'!A:A,'[1]Subsequent Close'!AT:AT),2)</f>
        <v>288.11</v>
      </c>
      <c r="D387" t="s">
        <v>56</v>
      </c>
      <c r="E387" t="s">
        <v>87</v>
      </c>
    </row>
    <row r="388" spans="1:5" x14ac:dyDescent="0.35">
      <c r="A388" s="30" t="s">
        <v>32</v>
      </c>
      <c r="B388">
        <f>-ROUND(_xlfn.XLOOKUP(E388,'[1]Subsequent Close'!A:A,'[1]Subsequent Close'!AT:AT),2)</f>
        <v>8340.4500000000007</v>
      </c>
      <c r="D388" t="s">
        <v>56</v>
      </c>
      <c r="E388" t="s">
        <v>88</v>
      </c>
    </row>
    <row r="389" spans="1:5" x14ac:dyDescent="0.35">
      <c r="A389" s="30" t="s">
        <v>32</v>
      </c>
      <c r="B389">
        <f>-ROUND(_xlfn.XLOOKUP(E389,'[1]Subsequent Close'!A:A,'[1]Subsequent Close'!AT:AT),2)</f>
        <v>641.83000000000004</v>
      </c>
      <c r="D389" t="s">
        <v>56</v>
      </c>
      <c r="E389" t="s">
        <v>89</v>
      </c>
    </row>
    <row r="390" spans="1:5" x14ac:dyDescent="0.35">
      <c r="A390" s="30" t="s">
        <v>32</v>
      </c>
      <c r="B390">
        <f>-ROUND(_xlfn.XLOOKUP(E390,'[1]Subsequent Close'!A:A,'[1]Subsequent Close'!AT:AT),2)</f>
        <v>271.95999999999998</v>
      </c>
      <c r="D390" t="s">
        <v>56</v>
      </c>
      <c r="E390" t="s">
        <v>90</v>
      </c>
    </row>
    <row r="391" spans="1:5" x14ac:dyDescent="0.35">
      <c r="A391" s="30" t="s">
        <v>32</v>
      </c>
      <c r="B391">
        <f>-ROUND(_xlfn.XLOOKUP(E391,'[1]Subsequent Close'!A:A,'[1]Subsequent Close'!AT:AT),2)</f>
        <v>1476.17</v>
      </c>
      <c r="D391" t="s">
        <v>56</v>
      </c>
      <c r="E391" t="s">
        <v>91</v>
      </c>
    </row>
    <row r="392" spans="1:5" x14ac:dyDescent="0.35">
      <c r="A392" s="30" t="s">
        <v>32</v>
      </c>
      <c r="B392">
        <f>-ROUND(_xlfn.XLOOKUP(E392,'[1]Subsequent Close'!A:A,'[1]Subsequent Close'!AT:AT),2)</f>
        <v>2605</v>
      </c>
      <c r="D392" t="s">
        <v>56</v>
      </c>
      <c r="E392" t="s">
        <v>92</v>
      </c>
    </row>
    <row r="393" spans="1:5" x14ac:dyDescent="0.35">
      <c r="A393" s="30" t="s">
        <v>32</v>
      </c>
      <c r="B393">
        <f>-ROUND(_xlfn.XLOOKUP(E393,'[1]Subsequent Close'!A:A,'[1]Subsequent Close'!AT:AT),2)</f>
        <v>543.92999999999995</v>
      </c>
      <c r="D393" t="s">
        <v>56</v>
      </c>
      <c r="E393" t="s">
        <v>93</v>
      </c>
    </row>
    <row r="394" spans="1:5" x14ac:dyDescent="0.35">
      <c r="A394" s="30" t="s">
        <v>32</v>
      </c>
      <c r="B394">
        <f>-ROUND(_xlfn.XLOOKUP(E394,'[1]Subsequent Close'!A:A,'[1]Subsequent Close'!AT:AT),2)</f>
        <v>407.95</v>
      </c>
      <c r="D394" t="s">
        <v>56</v>
      </c>
      <c r="E394" t="s">
        <v>94</v>
      </c>
    </row>
    <row r="395" spans="1:5" x14ac:dyDescent="0.35">
      <c r="A395" s="30" t="s">
        <v>32</v>
      </c>
      <c r="B395">
        <f>-ROUND(_xlfn.XLOOKUP(E395,'[1]Subsequent Close'!A:A,'[1]Subsequent Close'!AT:AT),2)</f>
        <v>1736.67</v>
      </c>
      <c r="D395" t="s">
        <v>56</v>
      </c>
      <c r="E395" t="s">
        <v>95</v>
      </c>
    </row>
    <row r="396" spans="1:5" x14ac:dyDescent="0.35">
      <c r="A396" s="30" t="s">
        <v>32</v>
      </c>
      <c r="B396">
        <f>-ROUND(_xlfn.XLOOKUP(E396,'[1]Subsequent Close'!A:A,'[1]Subsequent Close'!AT:AT),2)</f>
        <v>1736.67</v>
      </c>
      <c r="D396" t="s">
        <v>56</v>
      </c>
      <c r="E396" t="s">
        <v>96</v>
      </c>
    </row>
    <row r="397" spans="1:5" x14ac:dyDescent="0.35">
      <c r="A397" s="30" t="s">
        <v>32</v>
      </c>
      <c r="B397">
        <f>-ROUND(_xlfn.XLOOKUP(E397,'[1]Subsequent Close'!A:A,'[1]Subsequent Close'!AT:AT),2)</f>
        <v>271.95999999999998</v>
      </c>
      <c r="D397" t="s">
        <v>56</v>
      </c>
      <c r="E397" t="s">
        <v>97</v>
      </c>
    </row>
    <row r="398" spans="1:5" x14ac:dyDescent="0.35">
      <c r="A398" s="30" t="s">
        <v>32</v>
      </c>
      <c r="B398">
        <f>-ROUND(_xlfn.XLOOKUP(E398,'[1]Subsequent Close'!A:A,'[1]Subsequent Close'!AT:AT),2)</f>
        <v>347.33</v>
      </c>
      <c r="D398" t="s">
        <v>56</v>
      </c>
      <c r="E398" t="s">
        <v>98</v>
      </c>
    </row>
    <row r="399" spans="1:5" x14ac:dyDescent="0.35">
      <c r="A399" s="30" t="s">
        <v>32</v>
      </c>
      <c r="B399">
        <f>-ROUND(_xlfn.XLOOKUP(E399,'[1]Subsequent Close'!A:A,'[1]Subsequent Close'!AT:AT),2)</f>
        <v>173.67</v>
      </c>
      <c r="D399" t="s">
        <v>56</v>
      </c>
      <c r="E399" t="s">
        <v>99</v>
      </c>
    </row>
    <row r="400" spans="1:5" x14ac:dyDescent="0.35">
      <c r="A400" s="30" t="s">
        <v>32</v>
      </c>
      <c r="B400">
        <f>-ROUND(_xlfn.XLOOKUP(E400,'[1]Subsequent Close'!A:A,'[1]Subsequent Close'!AT:AT),2)</f>
        <v>271.95999999999998</v>
      </c>
      <c r="D400" t="s">
        <v>56</v>
      </c>
      <c r="E400" t="s">
        <v>100</v>
      </c>
    </row>
    <row r="401" spans="1:5" x14ac:dyDescent="0.35">
      <c r="A401" s="30" t="s">
        <v>32</v>
      </c>
      <c r="B401">
        <f>-ROUND(_xlfn.XLOOKUP(E401,'[1]Subsequent Close'!A:A,'[1]Subsequent Close'!AT:AT),2)</f>
        <v>271.95999999999998</v>
      </c>
      <c r="D401" t="s">
        <v>56</v>
      </c>
      <c r="E401" t="s">
        <v>101</v>
      </c>
    </row>
    <row r="402" spans="1:5" x14ac:dyDescent="0.35">
      <c r="A402" s="30" t="s">
        <v>32</v>
      </c>
      <c r="B402">
        <f>-ROUND(_xlfn.XLOOKUP(E402,'[1]Subsequent Close'!A:A,'[1]Subsequent Close'!AT:AT),2)</f>
        <v>339.95</v>
      </c>
      <c r="D402" t="s">
        <v>56</v>
      </c>
      <c r="E402" t="s">
        <v>102</v>
      </c>
    </row>
    <row r="403" spans="1:5" x14ac:dyDescent="0.35">
      <c r="A403" s="30" t="s">
        <v>32</v>
      </c>
      <c r="B403">
        <f>-ROUND(_xlfn.XLOOKUP(E403,'[1]Subsequent Close'!A:A,'[1]Subsequent Close'!AT:AT),2)</f>
        <v>1736.67</v>
      </c>
      <c r="D403" t="s">
        <v>56</v>
      </c>
      <c r="E403" t="s">
        <v>103</v>
      </c>
    </row>
    <row r="404" spans="1:5" x14ac:dyDescent="0.35">
      <c r="A404" s="30" t="s">
        <v>32</v>
      </c>
      <c r="B404">
        <f>-ROUND(_xlfn.XLOOKUP(E404,'[1]Subsequent Close'!A:A,'[1]Subsequent Close'!AT:AT),2)</f>
        <v>868.33</v>
      </c>
      <c r="D404" t="s">
        <v>56</v>
      </c>
      <c r="E404" t="s">
        <v>104</v>
      </c>
    </row>
    <row r="405" spans="1:5" x14ac:dyDescent="0.35">
      <c r="A405" s="30" t="s">
        <v>32</v>
      </c>
      <c r="B405">
        <f>-ROUND(_xlfn.XLOOKUP(E405,'[1]Subsequent Close'!A:A,'[1]Subsequent Close'!AT:AT),2)</f>
        <v>2605</v>
      </c>
      <c r="D405" t="s">
        <v>56</v>
      </c>
      <c r="E405" t="s">
        <v>105</v>
      </c>
    </row>
    <row r="406" spans="1:5" x14ac:dyDescent="0.35">
      <c r="A406" s="30" t="s">
        <v>32</v>
      </c>
      <c r="B406">
        <f>-ROUND(_xlfn.XLOOKUP(E406,'[1]Subsequent Close'!A:A,'[1]Subsequent Close'!AT:AT),2)</f>
        <v>173.67</v>
      </c>
      <c r="D406" t="s">
        <v>56</v>
      </c>
      <c r="E406" t="s">
        <v>106</v>
      </c>
    </row>
    <row r="407" spans="1:5" x14ac:dyDescent="0.35">
      <c r="A407" s="30" t="s">
        <v>32</v>
      </c>
      <c r="B407">
        <f>-ROUND(_xlfn.XLOOKUP(E407,'[1]Subsequent Close'!A:A,'[1]Subsequent Close'!AT:AT),2)</f>
        <v>1302.5</v>
      </c>
      <c r="D407" t="s">
        <v>56</v>
      </c>
      <c r="E407" t="s">
        <v>107</v>
      </c>
    </row>
    <row r="408" spans="1:5" x14ac:dyDescent="0.35">
      <c r="A408" s="30" t="s">
        <v>32</v>
      </c>
      <c r="B408">
        <f>-ROUND(_xlfn.XLOOKUP(E408,'[1]Subsequent Close'!A:A,'[1]Subsequent Close'!AT:AT),2)</f>
        <v>407.95</v>
      </c>
      <c r="D408" t="s">
        <v>56</v>
      </c>
      <c r="E408" t="s">
        <v>108</v>
      </c>
    </row>
    <row r="409" spans="1:5" x14ac:dyDescent="0.35">
      <c r="A409" s="30" t="s">
        <v>32</v>
      </c>
      <c r="B409">
        <f>-ROUND(_xlfn.XLOOKUP(E409,'[1]Subsequent Close'!A:A,'[1]Subsequent Close'!AT:AT),2)</f>
        <v>1736.67</v>
      </c>
      <c r="D409" t="s">
        <v>56</v>
      </c>
      <c r="E409" t="s">
        <v>109</v>
      </c>
    </row>
    <row r="410" spans="1:5" x14ac:dyDescent="0.35">
      <c r="A410" s="30" t="s">
        <v>32</v>
      </c>
      <c r="B410">
        <f>-ROUND(_xlfn.XLOOKUP(E410,'[1]Subsequent Close'!A:A,'[1]Subsequent Close'!AT:AT),2)</f>
        <v>203.97</v>
      </c>
      <c r="D410" t="s">
        <v>56</v>
      </c>
      <c r="E410" t="s">
        <v>110</v>
      </c>
    </row>
    <row r="411" spans="1:5" x14ac:dyDescent="0.35">
      <c r="A411" s="30" t="s">
        <v>32</v>
      </c>
      <c r="B411">
        <f>-ROUND(_xlfn.XLOOKUP(E411,'[1]Subsequent Close'!A:A,'[1]Subsequent Close'!AT:AT),2)</f>
        <v>173.67</v>
      </c>
      <c r="D411" t="s">
        <v>56</v>
      </c>
      <c r="E411" t="s">
        <v>111</v>
      </c>
    </row>
    <row r="412" spans="1:5" x14ac:dyDescent="0.35">
      <c r="A412" s="30" t="s">
        <v>32</v>
      </c>
      <c r="B412">
        <f>-ROUND(_xlfn.XLOOKUP(E412,'[1]Subsequent Close'!A:A,'[1]Subsequent Close'!AT:AT),2)</f>
        <v>135.97999999999999</v>
      </c>
      <c r="D412" t="s">
        <v>56</v>
      </c>
      <c r="E412" t="s">
        <v>112</v>
      </c>
    </row>
    <row r="413" spans="1:5" x14ac:dyDescent="0.35">
      <c r="A413" s="30" t="s">
        <v>32</v>
      </c>
      <c r="B413">
        <f>-ROUND(_xlfn.XLOOKUP(E413,'[1]Subsequent Close'!A:A,'[1]Subsequent Close'!AT:AT),2)</f>
        <v>1359.82</v>
      </c>
      <c r="D413" t="s">
        <v>56</v>
      </c>
      <c r="E413" t="s">
        <v>113</v>
      </c>
    </row>
    <row r="414" spans="1:5" x14ac:dyDescent="0.35">
      <c r="A414" s="30" t="s">
        <v>32</v>
      </c>
      <c r="B414">
        <f>-ROUND(_xlfn.XLOOKUP(E414,'[1]Subsequent Close'!A:A,'[1]Subsequent Close'!AT:AT),2)</f>
        <v>679.91</v>
      </c>
      <c r="D414" t="s">
        <v>56</v>
      </c>
      <c r="E414" t="s">
        <v>114</v>
      </c>
    </row>
    <row r="415" spans="1:5" x14ac:dyDescent="0.35">
      <c r="A415" s="30" t="s">
        <v>32</v>
      </c>
      <c r="B415">
        <f>-ROUND(_xlfn.XLOOKUP(E415,'[1]Subsequent Close'!A:A,'[1]Subsequent Close'!AT:AT),2)</f>
        <v>1221.1600000000001</v>
      </c>
      <c r="D415" t="s">
        <v>56</v>
      </c>
      <c r="E415" t="s">
        <v>115</v>
      </c>
    </row>
    <row r="416" spans="1:5" x14ac:dyDescent="0.35">
      <c r="A416" s="30" t="s">
        <v>32</v>
      </c>
      <c r="B416">
        <f>-ROUND(_xlfn.XLOOKUP(E416,'[1]Subsequent Close'!A:A,'[1]Subsequent Close'!AT:AT),2)</f>
        <v>135.97999999999999</v>
      </c>
      <c r="D416" t="s">
        <v>56</v>
      </c>
      <c r="E416" t="s">
        <v>116</v>
      </c>
    </row>
    <row r="417" spans="1:5" x14ac:dyDescent="0.35">
      <c r="A417" s="30" t="s">
        <v>32</v>
      </c>
      <c r="B417">
        <f>-ROUND(_xlfn.XLOOKUP(E417,'[1]Subsequent Close'!A:A,'[1]Subsequent Close'!AT:AT),2)</f>
        <v>572.21</v>
      </c>
      <c r="D417" t="s">
        <v>56</v>
      </c>
      <c r="E417" t="s">
        <v>117</v>
      </c>
    </row>
    <row r="418" spans="1:5" x14ac:dyDescent="0.35">
      <c r="A418" s="30" t="s">
        <v>32</v>
      </c>
      <c r="B418">
        <f>-ROUND(_xlfn.XLOOKUP(E418,'[1]Subsequent Close'!A:A,'[1]Subsequent Close'!AT:AT),2)</f>
        <v>1524.08</v>
      </c>
      <c r="D418" t="s">
        <v>56</v>
      </c>
      <c r="E418" t="s">
        <v>118</v>
      </c>
    </row>
    <row r="419" spans="1:5" x14ac:dyDescent="0.35">
      <c r="A419" s="30" t="s">
        <v>32</v>
      </c>
      <c r="B419">
        <f>-ROUND(_xlfn.XLOOKUP(E419,'[1]Subsequent Close'!A:A,'[1]Subsequent Close'!AT:AT),2)</f>
        <v>67.989999999999995</v>
      </c>
      <c r="D419" t="s">
        <v>56</v>
      </c>
      <c r="E419" t="s">
        <v>119</v>
      </c>
    </row>
    <row r="420" spans="1:5" x14ac:dyDescent="0.35">
      <c r="A420" s="30" t="s">
        <v>32</v>
      </c>
      <c r="B420">
        <f>-ROUND(_xlfn.XLOOKUP(E420,'[1]Subsequent Close'!A:A,'[1]Subsequent Close'!AT:AT),2)</f>
        <v>2605</v>
      </c>
      <c r="D420" t="s">
        <v>56</v>
      </c>
      <c r="E420" t="s">
        <v>120</v>
      </c>
    </row>
    <row r="421" spans="1:5" x14ac:dyDescent="0.35">
      <c r="A421" s="30" t="s">
        <v>32</v>
      </c>
      <c r="B421">
        <f>-ROUND(_xlfn.XLOOKUP(E421,'[1]Subsequent Close'!A:A,'[1]Subsequent Close'!AT:AT),2)</f>
        <v>1736.67</v>
      </c>
      <c r="D421" t="s">
        <v>56</v>
      </c>
      <c r="E421" t="s">
        <v>121</v>
      </c>
    </row>
    <row r="422" spans="1:5" x14ac:dyDescent="0.35">
      <c r="A422" s="30" t="s">
        <v>32</v>
      </c>
      <c r="B422">
        <f>-ROUND(_xlfn.XLOOKUP(E422,'[1]Subsequent Close'!A:A,'[1]Subsequent Close'!AT:AT),2)</f>
        <v>1736.67</v>
      </c>
      <c r="D422" t="s">
        <v>56</v>
      </c>
      <c r="E422" t="s">
        <v>122</v>
      </c>
    </row>
    <row r="423" spans="1:5" x14ac:dyDescent="0.35">
      <c r="A423" s="30" t="s">
        <v>32</v>
      </c>
      <c r="B423">
        <f>-ROUND(_xlfn.XLOOKUP(E423,'[1]Subsequent Close'!A:A,'[1]Subsequent Close'!AT:AT),2)</f>
        <v>3473.34</v>
      </c>
      <c r="D423" t="s">
        <v>56</v>
      </c>
      <c r="E423" t="s">
        <v>123</v>
      </c>
    </row>
    <row r="424" spans="1:5" x14ac:dyDescent="0.35">
      <c r="A424" s="30" t="s">
        <v>32</v>
      </c>
      <c r="B424">
        <f>-ROUND(_xlfn.XLOOKUP(E424,'[1]Subsequent Close'!A:A,'[1]Subsequent Close'!AT:AT),2)</f>
        <v>1736.67</v>
      </c>
      <c r="D424" t="s">
        <v>56</v>
      </c>
      <c r="E424" t="s">
        <v>124</v>
      </c>
    </row>
    <row r="425" spans="1:5" x14ac:dyDescent="0.35">
      <c r="A425" s="30" t="s">
        <v>32</v>
      </c>
      <c r="B425">
        <f>-ROUND(_xlfn.XLOOKUP(E425,'[1]Subsequent Close'!A:A,'[1]Subsequent Close'!AT:AT),2)</f>
        <v>908.79</v>
      </c>
      <c r="D425" t="s">
        <v>56</v>
      </c>
      <c r="E425" t="s">
        <v>125</v>
      </c>
    </row>
    <row r="426" spans="1:5" x14ac:dyDescent="0.35">
      <c r="A426" s="30" t="s">
        <v>32</v>
      </c>
      <c r="B426">
        <f>-ROUND(_xlfn.XLOOKUP(E426,'[1]Subsequent Close'!A:A,'[1]Subsequent Close'!AT:AT),2)</f>
        <v>271.95999999999998</v>
      </c>
      <c r="D426" t="s">
        <v>56</v>
      </c>
      <c r="E426" t="s">
        <v>126</v>
      </c>
    </row>
    <row r="427" spans="1:5" x14ac:dyDescent="0.35">
      <c r="A427" s="30" t="s">
        <v>32</v>
      </c>
      <c r="B427">
        <f>-ROUND(_xlfn.XLOOKUP(E427,'[1]Subsequent Close'!A:A,'[1]Subsequent Close'!AT:AT),2)</f>
        <v>1736.67</v>
      </c>
      <c r="D427" t="s">
        <v>56</v>
      </c>
      <c r="E427" t="s">
        <v>127</v>
      </c>
    </row>
    <row r="428" spans="1:5" x14ac:dyDescent="0.35">
      <c r="A428" s="30" t="s">
        <v>32</v>
      </c>
      <c r="B428">
        <f>-ROUND(_xlfn.XLOOKUP(E428,'[1]Subsequent Close'!A:A,'[1]Subsequent Close'!AT:AT),2)</f>
        <v>1736.67</v>
      </c>
      <c r="D428" t="s">
        <v>56</v>
      </c>
      <c r="E428" t="s">
        <v>128</v>
      </c>
    </row>
    <row r="429" spans="1:5" x14ac:dyDescent="0.35">
      <c r="A429" s="30" t="s">
        <v>32</v>
      </c>
      <c r="B429">
        <f>-ROUND(_xlfn.XLOOKUP(E429,'[1]Subsequent Close'!A:A,'[1]Subsequent Close'!AT:AT),2)</f>
        <v>1042</v>
      </c>
      <c r="D429" t="s">
        <v>56</v>
      </c>
      <c r="E429" t="s">
        <v>129</v>
      </c>
    </row>
    <row r="430" spans="1:5" x14ac:dyDescent="0.35">
      <c r="A430" s="30" t="s">
        <v>32</v>
      </c>
      <c r="B430">
        <f>-ROUND(_xlfn.XLOOKUP(E430,'[1]Subsequent Close'!A:A,'[1]Subsequent Close'!AT:AT),2)</f>
        <v>1736.67</v>
      </c>
      <c r="D430" t="s">
        <v>56</v>
      </c>
      <c r="E430" t="s">
        <v>130</v>
      </c>
    </row>
    <row r="431" spans="1:5" x14ac:dyDescent="0.35">
      <c r="A431" s="30" t="s">
        <v>32</v>
      </c>
      <c r="B431">
        <f>-ROUND(_xlfn.XLOOKUP(E431,'[1]Subsequent Close'!A:A,'[1]Subsequent Close'!AT:AT),2)</f>
        <v>34733.4</v>
      </c>
      <c r="D431" t="s">
        <v>56</v>
      </c>
      <c r="E431" t="s">
        <v>131</v>
      </c>
    </row>
    <row r="432" spans="1:5" x14ac:dyDescent="0.35">
      <c r="A432" s="30" t="s">
        <v>32</v>
      </c>
      <c r="B432">
        <f>-ROUND(_xlfn.XLOOKUP(E432,'[1]Subsequent Close'!A:A,'[1]Subsequent Close'!AT:AT),2)</f>
        <v>434.17</v>
      </c>
      <c r="D432" t="s">
        <v>56</v>
      </c>
      <c r="E432" t="s">
        <v>132</v>
      </c>
    </row>
    <row r="433" spans="1:5" x14ac:dyDescent="0.35">
      <c r="A433" s="30" t="s">
        <v>32</v>
      </c>
      <c r="B433">
        <f>-ROUND(_xlfn.XLOOKUP(E433,'[1]Subsequent Close'!A:A,'[1]Subsequent Close'!AT:AT),2)</f>
        <v>543.92999999999995</v>
      </c>
      <c r="D433" t="s">
        <v>56</v>
      </c>
      <c r="E433" t="s">
        <v>133</v>
      </c>
    </row>
    <row r="434" spans="1:5" x14ac:dyDescent="0.35">
      <c r="A434" s="30" t="s">
        <v>32</v>
      </c>
      <c r="B434">
        <f>-ROUND(_xlfn.XLOOKUP(E434,'[1]Subsequent Close'!A:A,'[1]Subsequent Close'!AT:AT),2)</f>
        <v>543.92999999999995</v>
      </c>
      <c r="D434" t="s">
        <v>56</v>
      </c>
      <c r="E434" t="s">
        <v>134</v>
      </c>
    </row>
    <row r="435" spans="1:5" x14ac:dyDescent="0.35">
      <c r="A435" s="30" t="s">
        <v>32</v>
      </c>
      <c r="B435">
        <f>-ROUND(_xlfn.XLOOKUP(E435,'[1]Subsequent Close'!A:A,'[1]Subsequent Close'!AT:AT),2)</f>
        <v>8683.35</v>
      </c>
      <c r="D435" t="s">
        <v>56</v>
      </c>
      <c r="E435" t="s">
        <v>135</v>
      </c>
    </row>
    <row r="436" spans="1:5" x14ac:dyDescent="0.35">
      <c r="A436" s="30" t="s">
        <v>32</v>
      </c>
      <c r="B436">
        <f>-ROUND(_xlfn.XLOOKUP(E436,'[1]Subsequent Close'!A:A,'[1]Subsequent Close'!AT:AT),2)</f>
        <v>13025.02</v>
      </c>
      <c r="D436" t="s">
        <v>56</v>
      </c>
      <c r="E436" t="s">
        <v>136</v>
      </c>
    </row>
    <row r="437" spans="1:5" x14ac:dyDescent="0.35">
      <c r="A437" s="30" t="s">
        <v>32</v>
      </c>
      <c r="B437">
        <f>-ROUND(_xlfn.XLOOKUP(E437,'[1]Subsequent Close'!A:A,'[1]Subsequent Close'!AT:AT),2)</f>
        <v>8683.35</v>
      </c>
      <c r="D437" t="s">
        <v>56</v>
      </c>
      <c r="E437" t="s">
        <v>137</v>
      </c>
    </row>
    <row r="438" spans="1:5" x14ac:dyDescent="0.35">
      <c r="A438" s="30" t="s">
        <v>32</v>
      </c>
      <c r="B438">
        <f>-ROUND(_xlfn.XLOOKUP(E438,'[1]Subsequent Close'!A:A,'[1]Subsequent Close'!AT:AT),2)</f>
        <v>52100.1</v>
      </c>
      <c r="D438" t="s">
        <v>56</v>
      </c>
      <c r="E438" t="s">
        <v>138</v>
      </c>
    </row>
    <row r="439" spans="1:5" x14ac:dyDescent="0.35">
      <c r="A439" s="30" t="s">
        <v>32</v>
      </c>
      <c r="B439">
        <f>-ROUND(_xlfn.XLOOKUP(E439,'[1]Subsequent Close'!A:A,'[1]Subsequent Close'!AT:AT),2)</f>
        <v>17366.7</v>
      </c>
      <c r="D439" t="s">
        <v>56</v>
      </c>
      <c r="E439" t="s">
        <v>7</v>
      </c>
    </row>
    <row r="440" spans="1:5" x14ac:dyDescent="0.35">
      <c r="A440" s="30" t="s">
        <v>32</v>
      </c>
      <c r="B440">
        <f>-ROUND(_xlfn.XLOOKUP(E440,'[1]Subsequent Close'!A:A,'[1]Subsequent Close'!AT:AT),2)</f>
        <v>679.91</v>
      </c>
      <c r="D440" t="s">
        <v>56</v>
      </c>
      <c r="E440" t="s">
        <v>139</v>
      </c>
    </row>
    <row r="441" spans="1:5" x14ac:dyDescent="0.35">
      <c r="A441" s="30" t="s">
        <v>32</v>
      </c>
      <c r="B441">
        <f>-ROUND(_xlfn.XLOOKUP(E441,'[1]Subsequent Close'!A:A,'[1]Subsequent Close'!AT:AT),2)</f>
        <v>3473.34</v>
      </c>
      <c r="D441" t="s">
        <v>56</v>
      </c>
      <c r="E441" t="s">
        <v>140</v>
      </c>
    </row>
    <row r="442" spans="1:5" x14ac:dyDescent="0.35">
      <c r="A442" s="30" t="s">
        <v>32</v>
      </c>
      <c r="B442">
        <f>-ROUND(+'[1]Subsequent Close'!BB57,2)</f>
        <v>9544.31</v>
      </c>
      <c r="D442" t="s">
        <v>58</v>
      </c>
      <c r="E442" t="s">
        <v>115</v>
      </c>
    </row>
    <row r="443" spans="1:5" x14ac:dyDescent="0.35">
      <c r="A443" s="30" t="s">
        <v>24</v>
      </c>
      <c r="C443">
        <f>ROUND(_xlfn.XLOOKUP(E443,'[1]True-Up'!A:A,'[1]True-Up'!S:S),2)</f>
        <v>851.8</v>
      </c>
      <c r="D443" t="s">
        <v>60</v>
      </c>
      <c r="E443" s="42" t="s">
        <v>50</v>
      </c>
    </row>
    <row r="444" spans="1:5" x14ac:dyDescent="0.35">
      <c r="A444" s="30" t="s">
        <v>24</v>
      </c>
      <c r="C444">
        <f>ROUND(_xlfn.XLOOKUP(E444,'[1]True-Up'!A:A,'[1]True-Up'!S:S),2)</f>
        <v>1192.52</v>
      </c>
      <c r="D444" t="s">
        <v>60</v>
      </c>
      <c r="E444" s="42" t="s">
        <v>51</v>
      </c>
    </row>
    <row r="445" spans="1:5" x14ac:dyDescent="0.35">
      <c r="A445" s="30" t="s">
        <v>24</v>
      </c>
      <c r="C445">
        <f>ROUND(_xlfn.XLOOKUP(E445,'[1]True-Up'!A:A,'[1]True-Up'!S:S),2)</f>
        <v>1022.16</v>
      </c>
      <c r="D445" t="s">
        <v>60</v>
      </c>
      <c r="E445" s="42" t="s">
        <v>53</v>
      </c>
    </row>
    <row r="446" spans="1:5" x14ac:dyDescent="0.35">
      <c r="A446" s="30" t="s">
        <v>24</v>
      </c>
      <c r="C446">
        <f>ROUND(_xlfn.XLOOKUP(E446,'[1]True-Up'!A:A,'[1]True-Up'!S:S),2)</f>
        <v>1277.7</v>
      </c>
      <c r="D446" t="s">
        <v>60</v>
      </c>
      <c r="E446" s="42" t="s">
        <v>54</v>
      </c>
    </row>
    <row r="447" spans="1:5" x14ac:dyDescent="0.35">
      <c r="A447" s="30" t="s">
        <v>24</v>
      </c>
      <c r="C447">
        <f>ROUND(_xlfn.XLOOKUP(E447,'[1]True-Up'!A:A,'[1]True-Up'!S:S),2)</f>
        <v>133.38999999999999</v>
      </c>
      <c r="D447" t="s">
        <v>60</v>
      </c>
      <c r="E447" s="42" t="s">
        <v>55</v>
      </c>
    </row>
    <row r="448" spans="1:5" x14ac:dyDescent="0.35">
      <c r="A448" s="30" t="s">
        <v>24</v>
      </c>
      <c r="C448">
        <f>ROUND(_xlfn.XLOOKUP(E448,'[1]True-Up'!A:A,'[1]True-Up'!S:S),2)</f>
        <v>245.66</v>
      </c>
      <c r="D448" t="s">
        <v>60</v>
      </c>
      <c r="E448" s="42" t="s">
        <v>57</v>
      </c>
    </row>
    <row r="449" spans="1:5" x14ac:dyDescent="0.35">
      <c r="A449" s="30" t="s">
        <v>24</v>
      </c>
      <c r="C449">
        <f>ROUND(_xlfn.XLOOKUP(E449,'[1]True-Up'!A:A,'[1]True-Up'!S:S),2)</f>
        <v>266.79000000000002</v>
      </c>
      <c r="D449" t="s">
        <v>60</v>
      </c>
      <c r="E449" s="42" t="s">
        <v>59</v>
      </c>
    </row>
    <row r="450" spans="1:5" x14ac:dyDescent="0.35">
      <c r="A450" s="30" t="s">
        <v>24</v>
      </c>
      <c r="C450">
        <f>ROUND(_xlfn.XLOOKUP(E450,'[1]True-Up'!A:A,'[1]True-Up'!S:S),2)</f>
        <v>891.49</v>
      </c>
      <c r="D450" t="s">
        <v>60</v>
      </c>
      <c r="E450" s="42" t="s">
        <v>61</v>
      </c>
    </row>
    <row r="451" spans="1:5" x14ac:dyDescent="0.35">
      <c r="A451" s="30" t="s">
        <v>24</v>
      </c>
      <c r="C451">
        <f>ROUND(_xlfn.XLOOKUP(E451,'[1]True-Up'!A:A,'[1]True-Up'!S:S),2)</f>
        <v>1703.6</v>
      </c>
      <c r="D451" t="s">
        <v>60</v>
      </c>
      <c r="E451" s="42" t="s">
        <v>62</v>
      </c>
    </row>
    <row r="452" spans="1:5" x14ac:dyDescent="0.35">
      <c r="A452" s="30" t="s">
        <v>24</v>
      </c>
      <c r="C452">
        <f>ROUND(_xlfn.XLOOKUP(E452,'[1]True-Up'!A:A,'[1]True-Up'!S:S),2)</f>
        <v>666.96</v>
      </c>
      <c r="D452" t="s">
        <v>60</v>
      </c>
      <c r="E452" s="42" t="s">
        <v>63</v>
      </c>
    </row>
    <row r="453" spans="1:5" x14ac:dyDescent="0.35">
      <c r="A453" s="30" t="s">
        <v>24</v>
      </c>
      <c r="C453">
        <f>ROUND(_xlfn.XLOOKUP(E453,'[1]True-Up'!A:A,'[1]True-Up'!S:S),2)</f>
        <v>17036.02</v>
      </c>
      <c r="D453" t="s">
        <v>60</v>
      </c>
      <c r="E453" s="42" t="s">
        <v>65</v>
      </c>
    </row>
    <row r="454" spans="1:5" x14ac:dyDescent="0.35">
      <c r="A454" s="30" t="s">
        <v>24</v>
      </c>
      <c r="C454">
        <f>ROUND(_xlfn.XLOOKUP(E454,'[1]True-Up'!A:A,'[1]True-Up'!S:S),2)</f>
        <v>1558.45</v>
      </c>
      <c r="D454" t="s">
        <v>60</v>
      </c>
      <c r="E454" s="42" t="s">
        <v>68</v>
      </c>
    </row>
    <row r="455" spans="1:5" x14ac:dyDescent="0.35">
      <c r="A455" s="30" t="s">
        <v>24</v>
      </c>
      <c r="C455">
        <f>ROUND(_xlfn.XLOOKUP(E455,'[1]True-Up'!A:A,'[1]True-Up'!S:S),2)</f>
        <v>1558.45</v>
      </c>
      <c r="D455" t="s">
        <v>60</v>
      </c>
      <c r="E455" s="42" t="s">
        <v>70</v>
      </c>
    </row>
    <row r="456" spans="1:5" x14ac:dyDescent="0.35">
      <c r="A456" s="30" t="s">
        <v>24</v>
      </c>
      <c r="C456">
        <f>ROUND(_xlfn.XLOOKUP(E456,'[1]True-Up'!A:A,'[1]True-Up'!S:S),2)</f>
        <v>133.38999999999999</v>
      </c>
      <c r="D456" t="s">
        <v>60</v>
      </c>
      <c r="E456" s="42" t="s">
        <v>72</v>
      </c>
    </row>
    <row r="457" spans="1:5" x14ac:dyDescent="0.35">
      <c r="A457" s="30" t="s">
        <v>24</v>
      </c>
      <c r="C457">
        <f>ROUND(_xlfn.XLOOKUP(E457,'[1]True-Up'!A:A,'[1]True-Up'!S:S),2)</f>
        <v>400.18</v>
      </c>
      <c r="D457" t="s">
        <v>60</v>
      </c>
      <c r="E457" s="42" t="s">
        <v>74</v>
      </c>
    </row>
    <row r="458" spans="1:5" x14ac:dyDescent="0.35">
      <c r="A458" s="30" t="s">
        <v>24</v>
      </c>
      <c r="C458">
        <f>ROUND(_xlfn.XLOOKUP(E458,'[1]True-Up'!A:A,'[1]True-Up'!S:S),2)</f>
        <v>851.8</v>
      </c>
      <c r="D458" t="s">
        <v>60</v>
      </c>
      <c r="E458" s="42" t="s">
        <v>76</v>
      </c>
    </row>
    <row r="459" spans="1:5" x14ac:dyDescent="0.35">
      <c r="A459" s="30" t="s">
        <v>24</v>
      </c>
      <c r="C459">
        <f>ROUND(_xlfn.XLOOKUP(E459,'[1]True-Up'!A:A,'[1]True-Up'!S:S),2)</f>
        <v>333.48</v>
      </c>
      <c r="D459" t="s">
        <v>60</v>
      </c>
      <c r="E459" s="42" t="s">
        <v>77</v>
      </c>
    </row>
    <row r="460" spans="1:5" x14ac:dyDescent="0.35">
      <c r="A460" s="30" t="s">
        <v>24</v>
      </c>
      <c r="C460">
        <f>ROUND(_xlfn.XLOOKUP(E460,'[1]True-Up'!A:A,'[1]True-Up'!S:S),2)</f>
        <v>851.8</v>
      </c>
      <c r="D460" t="s">
        <v>60</v>
      </c>
      <c r="E460" s="42" t="s">
        <v>78</v>
      </c>
    </row>
    <row r="461" spans="1:5" x14ac:dyDescent="0.35">
      <c r="A461" s="30" t="s">
        <v>24</v>
      </c>
      <c r="C461">
        <f>ROUND(_xlfn.XLOOKUP(E461,'[1]True-Up'!A:A,'[1]True-Up'!S:S),2)</f>
        <v>86822.63</v>
      </c>
      <c r="D461" t="s">
        <v>60</v>
      </c>
      <c r="E461" s="42" t="s">
        <v>80</v>
      </c>
    </row>
    <row r="462" spans="1:5" x14ac:dyDescent="0.35">
      <c r="A462" s="30" t="s">
        <v>24</v>
      </c>
      <c r="C462">
        <f>ROUND(_xlfn.XLOOKUP(E462,'[1]True-Up'!A:A,'[1]True-Up'!S:S),2)</f>
        <v>10777.28</v>
      </c>
      <c r="D462" t="s">
        <v>60</v>
      </c>
      <c r="E462" s="42" t="s">
        <v>82</v>
      </c>
    </row>
    <row r="463" spans="1:5" x14ac:dyDescent="0.35">
      <c r="A463" s="30" t="s">
        <v>24</v>
      </c>
      <c r="C463">
        <f>ROUND(_xlfn.XLOOKUP(E463,'[1]True-Up'!A:A,'[1]True-Up'!S:S),2)</f>
        <v>333.48</v>
      </c>
      <c r="D463" t="s">
        <v>60</v>
      </c>
      <c r="E463" s="42" t="s">
        <v>83</v>
      </c>
    </row>
    <row r="464" spans="1:5" x14ac:dyDescent="0.35">
      <c r="A464" s="30" t="s">
        <v>24</v>
      </c>
      <c r="C464">
        <f>ROUND(_xlfn.XLOOKUP(E464,'[1]True-Up'!A:A,'[1]True-Up'!S:S),2)</f>
        <v>2065.6</v>
      </c>
      <c r="D464" t="s">
        <v>60</v>
      </c>
      <c r="E464" s="42" t="s">
        <v>84</v>
      </c>
    </row>
    <row r="465" spans="1:5" x14ac:dyDescent="0.35">
      <c r="A465" s="30" t="s">
        <v>24</v>
      </c>
      <c r="C465">
        <f>ROUND(_xlfn.XLOOKUP(E465,'[1]True-Up'!A:A,'[1]True-Up'!S:S),2)</f>
        <v>333.48</v>
      </c>
      <c r="D465" t="s">
        <v>60</v>
      </c>
      <c r="E465" s="42" t="s">
        <v>85</v>
      </c>
    </row>
    <row r="466" spans="1:5" x14ac:dyDescent="0.35">
      <c r="A466" s="30" t="s">
        <v>24</v>
      </c>
      <c r="C466">
        <f>ROUND(_xlfn.XLOOKUP(E466,'[1]True-Up'!A:A,'[1]True-Up'!S:S),2)</f>
        <v>851.8</v>
      </c>
      <c r="D466" t="s">
        <v>60</v>
      </c>
      <c r="E466" s="42" t="s">
        <v>86</v>
      </c>
    </row>
    <row r="467" spans="1:5" x14ac:dyDescent="0.35">
      <c r="A467" s="30" t="s">
        <v>24</v>
      </c>
      <c r="C467">
        <f>ROUND(_xlfn.XLOOKUP(E467,'[1]True-Up'!A:A,'[1]True-Up'!S:S),2)</f>
        <v>282.62</v>
      </c>
      <c r="D467" t="s">
        <v>60</v>
      </c>
      <c r="E467" s="42" t="s">
        <v>87</v>
      </c>
    </row>
    <row r="468" spans="1:5" x14ac:dyDescent="0.35">
      <c r="A468" s="30" t="s">
        <v>24</v>
      </c>
      <c r="C468">
        <f>ROUND(_xlfn.XLOOKUP(E468,'[1]True-Up'!A:A,'[1]True-Up'!S:S),2)</f>
        <v>8181.64</v>
      </c>
      <c r="D468" t="s">
        <v>60</v>
      </c>
      <c r="E468" s="42" t="s">
        <v>88</v>
      </c>
    </row>
    <row r="469" spans="1:5" x14ac:dyDescent="0.35">
      <c r="A469" s="30" t="s">
        <v>24</v>
      </c>
      <c r="C469">
        <f>ROUND(_xlfn.XLOOKUP(E469,'[1]True-Up'!A:A,'[1]True-Up'!S:S),2)</f>
        <v>629.61</v>
      </c>
      <c r="D469" t="s">
        <v>60</v>
      </c>
      <c r="E469" s="42" t="s">
        <v>89</v>
      </c>
    </row>
    <row r="470" spans="1:5" x14ac:dyDescent="0.35">
      <c r="A470" s="30" t="s">
        <v>24</v>
      </c>
      <c r="C470">
        <f>ROUND(_xlfn.XLOOKUP(E470,'[1]True-Up'!A:A,'[1]True-Up'!S:S),2)</f>
        <v>266.79000000000002</v>
      </c>
      <c r="D470" t="s">
        <v>60</v>
      </c>
      <c r="E470" s="42" t="s">
        <v>90</v>
      </c>
    </row>
    <row r="471" spans="1:5" x14ac:dyDescent="0.35">
      <c r="A471" s="30" t="s">
        <v>24</v>
      </c>
      <c r="C471">
        <f>ROUND(_xlfn.XLOOKUP(E471,'[1]True-Up'!A:A,'[1]True-Up'!S:S),2)</f>
        <v>1448.06</v>
      </c>
      <c r="D471" t="s">
        <v>60</v>
      </c>
      <c r="E471" s="42" t="s">
        <v>91</v>
      </c>
    </row>
    <row r="472" spans="1:5" x14ac:dyDescent="0.35">
      <c r="A472" s="30" t="s">
        <v>24</v>
      </c>
      <c r="C472">
        <f>ROUND(_xlfn.XLOOKUP(E472,'[1]True-Up'!A:A,'[1]True-Up'!S:S),2)</f>
        <v>2555.4</v>
      </c>
      <c r="D472" t="s">
        <v>60</v>
      </c>
      <c r="E472" s="42" t="s">
        <v>92</v>
      </c>
    </row>
    <row r="473" spans="1:5" x14ac:dyDescent="0.35">
      <c r="A473" s="30" t="s">
        <v>24</v>
      </c>
      <c r="C473">
        <f>ROUND(_xlfn.XLOOKUP(E473,'[1]True-Up'!A:A,'[1]True-Up'!S:S),2)</f>
        <v>533.57000000000005</v>
      </c>
      <c r="D473" t="s">
        <v>60</v>
      </c>
      <c r="E473" s="42" t="s">
        <v>93</v>
      </c>
    </row>
    <row r="474" spans="1:5" x14ac:dyDescent="0.35">
      <c r="A474" s="30" t="s">
        <v>24</v>
      </c>
      <c r="C474">
        <f>ROUND(_xlfn.XLOOKUP(E474,'[1]True-Up'!A:A,'[1]True-Up'!S:S),2)</f>
        <v>400.18</v>
      </c>
      <c r="D474" t="s">
        <v>60</v>
      </c>
      <c r="E474" s="42" t="s">
        <v>94</v>
      </c>
    </row>
    <row r="475" spans="1:5" x14ac:dyDescent="0.35">
      <c r="A475" s="30" t="s">
        <v>24</v>
      </c>
      <c r="C475">
        <f>ROUND(_xlfn.XLOOKUP(E475,'[1]True-Up'!A:A,'[1]True-Up'!S:S),2)</f>
        <v>1703.6</v>
      </c>
      <c r="D475" t="s">
        <v>60</v>
      </c>
      <c r="E475" s="42" t="s">
        <v>95</v>
      </c>
    </row>
    <row r="476" spans="1:5" x14ac:dyDescent="0.35">
      <c r="A476" s="30" t="s">
        <v>24</v>
      </c>
      <c r="C476">
        <f>ROUND(_xlfn.XLOOKUP(E476,'[1]True-Up'!A:A,'[1]True-Up'!S:S),2)</f>
        <v>1703.6</v>
      </c>
      <c r="D476" t="s">
        <v>60</v>
      </c>
      <c r="E476" s="42" t="s">
        <v>96</v>
      </c>
    </row>
    <row r="477" spans="1:5" x14ac:dyDescent="0.35">
      <c r="A477" s="30" t="s">
        <v>24</v>
      </c>
      <c r="C477">
        <f>ROUND(_xlfn.XLOOKUP(E477,'[1]True-Up'!A:A,'[1]True-Up'!S:S),2)</f>
        <v>266.79000000000002</v>
      </c>
      <c r="D477" t="s">
        <v>60</v>
      </c>
      <c r="E477" s="42" t="s">
        <v>97</v>
      </c>
    </row>
    <row r="478" spans="1:5" x14ac:dyDescent="0.35">
      <c r="A478" s="30" t="s">
        <v>24</v>
      </c>
      <c r="C478">
        <f>ROUND(_xlfn.XLOOKUP(E478,'[1]True-Up'!A:A,'[1]True-Up'!S:S),2)</f>
        <v>340.72</v>
      </c>
      <c r="D478" t="s">
        <v>60</v>
      </c>
      <c r="E478" s="42" t="s">
        <v>98</v>
      </c>
    </row>
    <row r="479" spans="1:5" x14ac:dyDescent="0.35">
      <c r="A479" s="30" t="s">
        <v>24</v>
      </c>
      <c r="C479">
        <f>ROUND(_xlfn.XLOOKUP(E479,'[1]True-Up'!A:A,'[1]True-Up'!S:S),2)</f>
        <v>170.36</v>
      </c>
      <c r="D479" t="s">
        <v>60</v>
      </c>
      <c r="E479" s="42" t="s">
        <v>99</v>
      </c>
    </row>
    <row r="480" spans="1:5" x14ac:dyDescent="0.35">
      <c r="A480" s="30" t="s">
        <v>24</v>
      </c>
      <c r="C480">
        <f>ROUND(_xlfn.XLOOKUP(E480,'[1]True-Up'!A:A,'[1]True-Up'!S:S),2)</f>
        <v>0</v>
      </c>
      <c r="D480" t="s">
        <v>60</v>
      </c>
      <c r="E480" s="42" t="s">
        <v>141</v>
      </c>
    </row>
    <row r="481" spans="1:5" x14ac:dyDescent="0.35">
      <c r="A481" s="30" t="s">
        <v>24</v>
      </c>
      <c r="C481">
        <f>ROUND(_xlfn.XLOOKUP(E481,'[1]True-Up'!A:A,'[1]True-Up'!S:S),2)</f>
        <v>266.79000000000002</v>
      </c>
      <c r="D481" t="s">
        <v>60</v>
      </c>
      <c r="E481" s="42" t="s">
        <v>100</v>
      </c>
    </row>
    <row r="482" spans="1:5" x14ac:dyDescent="0.35">
      <c r="A482" s="30" t="s">
        <v>24</v>
      </c>
      <c r="C482">
        <f>ROUND(_xlfn.XLOOKUP(E482,'[1]True-Up'!A:A,'[1]True-Up'!S:S),2)</f>
        <v>266.79000000000002</v>
      </c>
      <c r="D482" t="s">
        <v>60</v>
      </c>
      <c r="E482" s="42" t="s">
        <v>101</v>
      </c>
    </row>
    <row r="483" spans="1:5" x14ac:dyDescent="0.35">
      <c r="A483" s="30" t="s">
        <v>24</v>
      </c>
      <c r="C483">
        <f>ROUND(_xlfn.XLOOKUP(E483,'[1]True-Up'!A:A,'[1]True-Up'!S:S),2)</f>
        <v>333.48</v>
      </c>
      <c r="D483" t="s">
        <v>60</v>
      </c>
      <c r="E483" s="42" t="s">
        <v>102</v>
      </c>
    </row>
    <row r="484" spans="1:5" x14ac:dyDescent="0.35">
      <c r="A484" s="30" t="s">
        <v>24</v>
      </c>
      <c r="C484">
        <f>ROUND(_xlfn.XLOOKUP(E484,'[1]True-Up'!A:A,'[1]True-Up'!S:S),2)</f>
        <v>1703.6</v>
      </c>
      <c r="D484" t="s">
        <v>60</v>
      </c>
      <c r="E484" s="42" t="s">
        <v>103</v>
      </c>
    </row>
    <row r="485" spans="1:5" x14ac:dyDescent="0.35">
      <c r="A485" s="30" t="s">
        <v>24</v>
      </c>
      <c r="C485">
        <f>ROUND(_xlfn.XLOOKUP(E485,'[1]True-Up'!A:A,'[1]True-Up'!S:S),2)</f>
        <v>851.8</v>
      </c>
      <c r="D485" t="s">
        <v>60</v>
      </c>
      <c r="E485" s="42" t="s">
        <v>104</v>
      </c>
    </row>
    <row r="486" spans="1:5" x14ac:dyDescent="0.35">
      <c r="A486" s="30" t="s">
        <v>24</v>
      </c>
      <c r="C486">
        <f>ROUND(_xlfn.XLOOKUP(E486,'[1]True-Up'!A:A,'[1]True-Up'!S:S),2)</f>
        <v>2555.4</v>
      </c>
      <c r="D486" t="s">
        <v>60</v>
      </c>
      <c r="E486" s="42" t="s">
        <v>105</v>
      </c>
    </row>
    <row r="487" spans="1:5" x14ac:dyDescent="0.35">
      <c r="A487" s="30" t="s">
        <v>24</v>
      </c>
      <c r="C487">
        <f>ROUND(_xlfn.XLOOKUP(E487,'[1]True-Up'!A:A,'[1]True-Up'!S:S),2)</f>
        <v>170.36</v>
      </c>
      <c r="D487" t="s">
        <v>60</v>
      </c>
      <c r="E487" s="42" t="s">
        <v>106</v>
      </c>
    </row>
    <row r="488" spans="1:5" x14ac:dyDescent="0.35">
      <c r="A488" s="30" t="s">
        <v>24</v>
      </c>
      <c r="C488">
        <f>ROUND(_xlfn.XLOOKUP(E488,'[1]True-Up'!A:A,'[1]True-Up'!S:S),2)</f>
        <v>1277.7</v>
      </c>
      <c r="D488" t="s">
        <v>60</v>
      </c>
      <c r="E488" s="42" t="s">
        <v>107</v>
      </c>
    </row>
    <row r="489" spans="1:5" x14ac:dyDescent="0.35">
      <c r="A489" s="30" t="s">
        <v>24</v>
      </c>
      <c r="C489">
        <f>ROUND(_xlfn.XLOOKUP(E489,'[1]True-Up'!A:A,'[1]True-Up'!S:S),2)</f>
        <v>400.18</v>
      </c>
      <c r="D489" t="s">
        <v>60</v>
      </c>
      <c r="E489" s="42" t="s">
        <v>108</v>
      </c>
    </row>
    <row r="490" spans="1:5" x14ac:dyDescent="0.35">
      <c r="A490" s="30" t="s">
        <v>24</v>
      </c>
      <c r="C490">
        <f>ROUND(_xlfn.XLOOKUP(E490,'[1]True-Up'!A:A,'[1]True-Up'!S:S),2)</f>
        <v>1703.6</v>
      </c>
      <c r="D490" t="s">
        <v>60</v>
      </c>
      <c r="E490" s="42" t="s">
        <v>109</v>
      </c>
    </row>
    <row r="491" spans="1:5" x14ac:dyDescent="0.35">
      <c r="A491" s="30" t="s">
        <v>24</v>
      </c>
      <c r="C491">
        <f>ROUND(_xlfn.XLOOKUP(E491,'[1]True-Up'!A:A,'[1]True-Up'!S:S),2)</f>
        <v>200.09</v>
      </c>
      <c r="D491" t="s">
        <v>60</v>
      </c>
      <c r="E491" s="42" t="s">
        <v>110</v>
      </c>
    </row>
    <row r="492" spans="1:5" x14ac:dyDescent="0.35">
      <c r="A492" s="30" t="s">
        <v>24</v>
      </c>
      <c r="C492">
        <f>ROUND(_xlfn.XLOOKUP(E492,'[1]True-Up'!A:A,'[1]True-Up'!S:S),2)</f>
        <v>170.36</v>
      </c>
      <c r="D492" t="s">
        <v>60</v>
      </c>
      <c r="E492" s="42" t="s">
        <v>111</v>
      </c>
    </row>
    <row r="493" spans="1:5" x14ac:dyDescent="0.35">
      <c r="A493" s="30" t="s">
        <v>24</v>
      </c>
      <c r="C493">
        <f>ROUND(_xlfn.XLOOKUP(E493,'[1]True-Up'!A:A,'[1]True-Up'!S:S),2)</f>
        <v>133.38999999999999</v>
      </c>
      <c r="D493" t="s">
        <v>60</v>
      </c>
      <c r="E493" s="42" t="s">
        <v>112</v>
      </c>
    </row>
    <row r="494" spans="1:5" x14ac:dyDescent="0.35">
      <c r="A494" s="30" t="s">
        <v>24</v>
      </c>
      <c r="C494">
        <f>ROUND(_xlfn.XLOOKUP(E494,'[1]True-Up'!A:A,'[1]True-Up'!S:S),2)</f>
        <v>1333.93</v>
      </c>
      <c r="D494" t="s">
        <v>60</v>
      </c>
      <c r="E494" s="42" t="s">
        <v>113</v>
      </c>
    </row>
    <row r="495" spans="1:5" x14ac:dyDescent="0.35">
      <c r="A495" s="30" t="s">
        <v>24</v>
      </c>
      <c r="C495">
        <f>ROUND(_xlfn.XLOOKUP(E495,'[1]True-Up'!A:A,'[1]True-Up'!S:S),2)</f>
        <v>666.96</v>
      </c>
      <c r="D495" t="s">
        <v>60</v>
      </c>
      <c r="E495" s="42" t="s">
        <v>114</v>
      </c>
    </row>
    <row r="496" spans="1:5" x14ac:dyDescent="0.35">
      <c r="A496" s="30" t="s">
        <v>24</v>
      </c>
      <c r="C496">
        <f>ROUND(_xlfn.XLOOKUP(E496,'[1]True-Up'!A:A,'[1]True-Up'!S:S),2)</f>
        <v>133.38999999999999</v>
      </c>
      <c r="D496" t="s">
        <v>60</v>
      </c>
      <c r="E496" s="42" t="s">
        <v>116</v>
      </c>
    </row>
    <row r="497" spans="1:5" x14ac:dyDescent="0.35">
      <c r="A497" s="30" t="s">
        <v>24</v>
      </c>
      <c r="C497">
        <f>ROUND(_xlfn.XLOOKUP(E497,'[1]True-Up'!A:A,'[1]True-Up'!S:S),2)</f>
        <v>561.32000000000005</v>
      </c>
      <c r="D497" t="s">
        <v>60</v>
      </c>
      <c r="E497" s="42" t="s">
        <v>117</v>
      </c>
    </row>
    <row r="498" spans="1:5" x14ac:dyDescent="0.35">
      <c r="A498" s="30" t="s">
        <v>24</v>
      </c>
      <c r="C498">
        <f>ROUND(_xlfn.XLOOKUP(E498,'[1]True-Up'!A:A,'[1]True-Up'!S:S),2)</f>
        <v>1495.06</v>
      </c>
      <c r="D498" t="s">
        <v>60</v>
      </c>
      <c r="E498" s="42" t="s">
        <v>118</v>
      </c>
    </row>
    <row r="499" spans="1:5" x14ac:dyDescent="0.35">
      <c r="A499" s="30" t="s">
        <v>24</v>
      </c>
      <c r="C499">
        <f>ROUND(_xlfn.XLOOKUP(E499,'[1]True-Up'!A:A,'[1]True-Up'!S:S),2)</f>
        <v>66.7</v>
      </c>
      <c r="D499" t="s">
        <v>60</v>
      </c>
      <c r="E499" s="42" t="s">
        <v>119</v>
      </c>
    </row>
    <row r="500" spans="1:5" x14ac:dyDescent="0.35">
      <c r="A500" s="30" t="s">
        <v>24</v>
      </c>
      <c r="C500">
        <f>ROUND(_xlfn.XLOOKUP(E500,'[1]True-Up'!A:A,'[1]True-Up'!S:S),2)</f>
        <v>2555.4</v>
      </c>
      <c r="D500" t="s">
        <v>60</v>
      </c>
      <c r="E500" s="42" t="s">
        <v>120</v>
      </c>
    </row>
    <row r="501" spans="1:5" x14ac:dyDescent="0.35">
      <c r="A501" s="30" t="s">
        <v>24</v>
      </c>
      <c r="C501">
        <f>ROUND(_xlfn.XLOOKUP(E501,'[1]True-Up'!A:A,'[1]True-Up'!S:S),2)</f>
        <v>1703.6</v>
      </c>
      <c r="D501" t="s">
        <v>60</v>
      </c>
      <c r="E501" s="42" t="s">
        <v>121</v>
      </c>
    </row>
    <row r="502" spans="1:5" x14ac:dyDescent="0.35">
      <c r="A502" s="30" t="s">
        <v>24</v>
      </c>
      <c r="C502">
        <f>ROUND(_xlfn.XLOOKUP(E502,'[1]True-Up'!A:A,'[1]True-Up'!S:S),2)</f>
        <v>1703.6</v>
      </c>
      <c r="D502" t="s">
        <v>60</v>
      </c>
      <c r="E502" s="42" t="s">
        <v>122</v>
      </c>
    </row>
    <row r="503" spans="1:5" x14ac:dyDescent="0.35">
      <c r="A503" s="30" t="s">
        <v>24</v>
      </c>
      <c r="C503">
        <f>ROUND(_xlfn.XLOOKUP(E503,'[1]True-Up'!A:A,'[1]True-Up'!S:S),2)</f>
        <v>3407.2</v>
      </c>
      <c r="D503" t="s">
        <v>60</v>
      </c>
      <c r="E503" s="42" t="s">
        <v>123</v>
      </c>
    </row>
    <row r="504" spans="1:5" x14ac:dyDescent="0.35">
      <c r="A504" s="30" t="s">
        <v>24</v>
      </c>
      <c r="C504">
        <f>ROUND(_xlfn.XLOOKUP(E504,'[1]True-Up'!A:A,'[1]True-Up'!S:S),2)</f>
        <v>1703.6</v>
      </c>
      <c r="D504" t="s">
        <v>60</v>
      </c>
      <c r="E504" s="42" t="s">
        <v>124</v>
      </c>
    </row>
    <row r="505" spans="1:5" x14ac:dyDescent="0.35">
      <c r="A505" s="30" t="s">
        <v>24</v>
      </c>
      <c r="C505">
        <f>ROUND(_xlfn.XLOOKUP(E505,'[1]True-Up'!A:A,'[1]True-Up'!S:S),2)</f>
        <v>891.49</v>
      </c>
      <c r="D505" t="s">
        <v>60</v>
      </c>
      <c r="E505" s="42" t="s">
        <v>125</v>
      </c>
    </row>
    <row r="506" spans="1:5" x14ac:dyDescent="0.35">
      <c r="A506" s="30" t="s">
        <v>24</v>
      </c>
      <c r="C506">
        <f>ROUND(_xlfn.XLOOKUP(E506,'[1]True-Up'!A:A,'[1]True-Up'!S:S),2)</f>
        <v>266.79000000000002</v>
      </c>
      <c r="D506" t="s">
        <v>60</v>
      </c>
      <c r="E506" s="42" t="s">
        <v>126</v>
      </c>
    </row>
    <row r="507" spans="1:5" x14ac:dyDescent="0.35">
      <c r="A507" s="30" t="s">
        <v>24</v>
      </c>
      <c r="C507">
        <f>ROUND(_xlfn.XLOOKUP(E507,'[1]True-Up'!A:A,'[1]True-Up'!S:S),2)</f>
        <v>3407.2</v>
      </c>
      <c r="D507" t="s">
        <v>60</v>
      </c>
      <c r="E507" s="42" t="s">
        <v>142</v>
      </c>
    </row>
    <row r="508" spans="1:5" x14ac:dyDescent="0.35">
      <c r="A508" s="30" t="s">
        <v>24</v>
      </c>
      <c r="C508">
        <f>ROUND(_xlfn.XLOOKUP(E508,'[1]True-Up'!A:A,'[1]True-Up'!S:S),2)</f>
        <v>1703.6</v>
      </c>
      <c r="D508" t="s">
        <v>60</v>
      </c>
      <c r="E508" s="42" t="s">
        <v>127</v>
      </c>
    </row>
    <row r="509" spans="1:5" x14ac:dyDescent="0.35">
      <c r="A509" s="30" t="s">
        <v>24</v>
      </c>
      <c r="C509">
        <f>ROUND(_xlfn.XLOOKUP(E509,'[1]True-Up'!A:A,'[1]True-Up'!S:S),2)</f>
        <v>1703.6</v>
      </c>
      <c r="D509" t="s">
        <v>60</v>
      </c>
      <c r="E509" s="42" t="s">
        <v>128</v>
      </c>
    </row>
    <row r="510" spans="1:5" x14ac:dyDescent="0.35">
      <c r="A510" s="30" t="s">
        <v>24</v>
      </c>
      <c r="C510">
        <f>ROUND(_xlfn.XLOOKUP(E510,'[1]True-Up'!A:A,'[1]True-Up'!S:S),2)</f>
        <v>1022.16</v>
      </c>
      <c r="D510" t="s">
        <v>60</v>
      </c>
      <c r="E510" s="42" t="s">
        <v>129</v>
      </c>
    </row>
    <row r="511" spans="1:5" x14ac:dyDescent="0.35">
      <c r="A511" s="30" t="s">
        <v>24</v>
      </c>
      <c r="C511">
        <f>ROUND(_xlfn.XLOOKUP(E511,'[1]True-Up'!A:A,'[1]True-Up'!S:S),2)</f>
        <v>1703.6</v>
      </c>
      <c r="D511" t="s">
        <v>60</v>
      </c>
      <c r="E511" s="42" t="s">
        <v>130</v>
      </c>
    </row>
    <row r="512" spans="1:5" x14ac:dyDescent="0.35">
      <c r="A512" s="30" t="s">
        <v>24</v>
      </c>
      <c r="C512">
        <f>ROUND(_xlfn.XLOOKUP(E512,'[1]True-Up'!A:A,'[1]True-Up'!S:S),2)</f>
        <v>34072.04</v>
      </c>
      <c r="D512" t="s">
        <v>60</v>
      </c>
      <c r="E512" s="42" t="s">
        <v>131</v>
      </c>
    </row>
    <row r="513" spans="1:5" x14ac:dyDescent="0.35">
      <c r="A513" s="30" t="s">
        <v>24</v>
      </c>
      <c r="C513">
        <f>ROUND(_xlfn.XLOOKUP(E513,'[1]True-Up'!A:A,'[1]True-Up'!S:S),2)</f>
        <v>425.9</v>
      </c>
      <c r="D513" t="s">
        <v>60</v>
      </c>
      <c r="E513" s="42" t="s">
        <v>132</v>
      </c>
    </row>
    <row r="514" spans="1:5" x14ac:dyDescent="0.35">
      <c r="A514" s="30" t="s">
        <v>24</v>
      </c>
      <c r="C514">
        <f>ROUND(_xlfn.XLOOKUP(E514,'[1]True-Up'!A:A,'[1]True-Up'!S:S),2)</f>
        <v>533.57000000000005</v>
      </c>
      <c r="D514" t="s">
        <v>60</v>
      </c>
      <c r="E514" s="42" t="s">
        <v>133</v>
      </c>
    </row>
    <row r="515" spans="1:5" x14ac:dyDescent="0.35">
      <c r="A515" s="30" t="s">
        <v>24</v>
      </c>
      <c r="C515">
        <f>ROUND(_xlfn.XLOOKUP(E515,'[1]True-Up'!A:A,'[1]True-Up'!S:S),2)</f>
        <v>533.57000000000005</v>
      </c>
      <c r="D515" t="s">
        <v>60</v>
      </c>
      <c r="E515" s="42" t="s">
        <v>134</v>
      </c>
    </row>
    <row r="516" spans="1:5" x14ac:dyDescent="0.35">
      <c r="A516" s="30" t="s">
        <v>24</v>
      </c>
      <c r="C516">
        <f>ROUND(_xlfn.XLOOKUP(E516,'[1]True-Up'!A:A,'[1]True-Up'!S:S),2)</f>
        <v>8518.01</v>
      </c>
      <c r="D516" t="s">
        <v>60</v>
      </c>
      <c r="E516" s="43" t="s">
        <v>135</v>
      </c>
    </row>
    <row r="517" spans="1:5" x14ac:dyDescent="0.35">
      <c r="A517" s="30" t="s">
        <v>24</v>
      </c>
      <c r="C517">
        <f>ROUND(_xlfn.XLOOKUP(E517,'[1]True-Up'!A:A,'[1]True-Up'!S:S),2)</f>
        <v>12777.02</v>
      </c>
      <c r="D517" t="s">
        <v>60</v>
      </c>
      <c r="E517" s="43" t="s">
        <v>136</v>
      </c>
    </row>
    <row r="518" spans="1:5" x14ac:dyDescent="0.35">
      <c r="A518" s="30" t="s">
        <v>24</v>
      </c>
      <c r="C518">
        <f>ROUND(_xlfn.XLOOKUP(E518,'[1]True-Up'!A:A,'[1]True-Up'!S:S),2)</f>
        <v>8518.01</v>
      </c>
      <c r="D518" t="s">
        <v>60</v>
      </c>
      <c r="E518" s="43" t="s">
        <v>137</v>
      </c>
    </row>
    <row r="519" spans="1:5" x14ac:dyDescent="0.35">
      <c r="A519" s="30" t="s">
        <v>24</v>
      </c>
      <c r="C519">
        <f>ROUND(_xlfn.XLOOKUP(E519,'[1]True-Up'!A:A,'[1]True-Up'!S:S),2)</f>
        <v>51108.07</v>
      </c>
      <c r="D519" t="s">
        <v>60</v>
      </c>
      <c r="E519" s="43" t="s">
        <v>138</v>
      </c>
    </row>
    <row r="520" spans="1:5" x14ac:dyDescent="0.35">
      <c r="A520" s="30" t="s">
        <v>24</v>
      </c>
      <c r="C520">
        <f>ROUND(_xlfn.XLOOKUP(E520,'[1]True-Up'!A:A,'[1]True-Up'!S:S),2)</f>
        <v>17036.02</v>
      </c>
      <c r="D520" t="s">
        <v>60</v>
      </c>
      <c r="E520" s="42" t="s">
        <v>7</v>
      </c>
    </row>
    <row r="521" spans="1:5" x14ac:dyDescent="0.35">
      <c r="A521" s="30" t="s">
        <v>24</v>
      </c>
      <c r="C521">
        <f>ROUND(_xlfn.XLOOKUP(E521,'[1]True-Up'!A:A,'[1]True-Up'!S:S),2)</f>
        <v>666.96</v>
      </c>
      <c r="D521" t="s">
        <v>60</v>
      </c>
      <c r="E521" s="42" t="s">
        <v>139</v>
      </c>
    </row>
    <row r="522" spans="1:5" x14ac:dyDescent="0.35">
      <c r="A522" s="30" t="s">
        <v>28</v>
      </c>
      <c r="C522">
        <f>ROUND(_xlfn.XLOOKUP(E522,'[1]True-Up'!A:A,'[1]True-Up'!U:U),2)</f>
        <v>0.38</v>
      </c>
      <c r="D522" t="s">
        <v>60</v>
      </c>
      <c r="E522" s="42" t="s">
        <v>50</v>
      </c>
    </row>
    <row r="523" spans="1:5" x14ac:dyDescent="0.35">
      <c r="A523" s="30" t="s">
        <v>28</v>
      </c>
      <c r="C523">
        <f>ROUND(_xlfn.XLOOKUP(E523,'[1]True-Up'!A:A,'[1]True-Up'!U:U),2)</f>
        <v>0.53</v>
      </c>
      <c r="D523" t="s">
        <v>60</v>
      </c>
      <c r="E523" s="42" t="s">
        <v>51</v>
      </c>
    </row>
    <row r="524" spans="1:5" x14ac:dyDescent="0.35">
      <c r="A524" s="30" t="s">
        <v>28</v>
      </c>
      <c r="C524">
        <f>ROUND(_xlfn.XLOOKUP(E524,'[1]True-Up'!A:A,'[1]True-Up'!U:U),2)</f>
        <v>0.46</v>
      </c>
      <c r="D524" t="s">
        <v>60</v>
      </c>
      <c r="E524" s="42" t="s">
        <v>53</v>
      </c>
    </row>
    <row r="525" spans="1:5" x14ac:dyDescent="0.35">
      <c r="A525" s="30" t="s">
        <v>28</v>
      </c>
      <c r="C525">
        <f>ROUND(_xlfn.XLOOKUP(E525,'[1]True-Up'!A:A,'[1]True-Up'!U:U),2)</f>
        <v>0.56999999999999995</v>
      </c>
      <c r="D525" t="s">
        <v>60</v>
      </c>
      <c r="E525" s="42" t="s">
        <v>54</v>
      </c>
    </row>
    <row r="526" spans="1:5" x14ac:dyDescent="0.35">
      <c r="A526" s="30" t="s">
        <v>28</v>
      </c>
      <c r="C526">
        <f>ROUND(_xlfn.XLOOKUP(E526,'[1]True-Up'!A:A,'[1]True-Up'!U:U),2)</f>
        <v>0.06</v>
      </c>
      <c r="D526" t="s">
        <v>60</v>
      </c>
      <c r="E526" s="42" t="s">
        <v>55</v>
      </c>
    </row>
    <row r="527" spans="1:5" x14ac:dyDescent="0.35">
      <c r="A527" s="30" t="s">
        <v>28</v>
      </c>
      <c r="C527">
        <f>ROUND(_xlfn.XLOOKUP(E527,'[1]True-Up'!A:A,'[1]True-Up'!U:U),2)</f>
        <v>0.11</v>
      </c>
      <c r="D527" t="s">
        <v>60</v>
      </c>
      <c r="E527" s="42" t="s">
        <v>57</v>
      </c>
    </row>
    <row r="528" spans="1:5" x14ac:dyDescent="0.35">
      <c r="A528" s="30" t="s">
        <v>28</v>
      </c>
      <c r="C528">
        <f>ROUND(_xlfn.XLOOKUP(E528,'[1]True-Up'!A:A,'[1]True-Up'!U:U),2)</f>
        <v>0.12</v>
      </c>
      <c r="D528" t="s">
        <v>60</v>
      </c>
      <c r="E528" s="42" t="s">
        <v>59</v>
      </c>
    </row>
    <row r="529" spans="1:5" x14ac:dyDescent="0.35">
      <c r="A529" s="30" t="s">
        <v>28</v>
      </c>
      <c r="C529">
        <f>ROUND(_xlfn.XLOOKUP(E529,'[1]True-Up'!A:A,'[1]True-Up'!U:U),2)</f>
        <v>0.4</v>
      </c>
      <c r="D529" t="s">
        <v>60</v>
      </c>
      <c r="E529" s="42" t="s">
        <v>61</v>
      </c>
    </row>
    <row r="530" spans="1:5" x14ac:dyDescent="0.35">
      <c r="A530" s="30" t="s">
        <v>28</v>
      </c>
      <c r="C530">
        <f>ROUND(_xlfn.XLOOKUP(E530,'[1]True-Up'!A:A,'[1]True-Up'!U:U),2)</f>
        <v>0.76</v>
      </c>
      <c r="D530" t="s">
        <v>60</v>
      </c>
      <c r="E530" s="42" t="s">
        <v>62</v>
      </c>
    </row>
    <row r="531" spans="1:5" x14ac:dyDescent="0.35">
      <c r="A531" s="30" t="s">
        <v>28</v>
      </c>
      <c r="C531">
        <f>ROUND(_xlfn.XLOOKUP(E531,'[1]True-Up'!A:A,'[1]True-Up'!U:U),2)</f>
        <v>0.3</v>
      </c>
      <c r="D531" t="s">
        <v>60</v>
      </c>
      <c r="E531" s="42" t="s">
        <v>63</v>
      </c>
    </row>
    <row r="532" spans="1:5" x14ac:dyDescent="0.35">
      <c r="A532" s="30" t="s">
        <v>28</v>
      </c>
      <c r="C532">
        <f>ROUND(_xlfn.XLOOKUP(E532,'[1]True-Up'!A:A,'[1]True-Up'!U:U),2)</f>
        <v>7.58</v>
      </c>
      <c r="D532" t="s">
        <v>60</v>
      </c>
      <c r="E532" s="42" t="s">
        <v>65</v>
      </c>
    </row>
    <row r="533" spans="1:5" x14ac:dyDescent="0.35">
      <c r="A533" s="30" t="s">
        <v>28</v>
      </c>
      <c r="C533">
        <f>ROUND(_xlfn.XLOOKUP(E533,'[1]True-Up'!A:A,'[1]True-Up'!U:U),2)</f>
        <v>0.69</v>
      </c>
      <c r="D533" t="s">
        <v>60</v>
      </c>
      <c r="E533" s="42" t="s">
        <v>68</v>
      </c>
    </row>
    <row r="534" spans="1:5" x14ac:dyDescent="0.35">
      <c r="A534" s="30" t="s">
        <v>28</v>
      </c>
      <c r="C534">
        <f>ROUND(_xlfn.XLOOKUP(E534,'[1]True-Up'!A:A,'[1]True-Up'!U:U),2)</f>
        <v>0.69</v>
      </c>
      <c r="D534" t="s">
        <v>60</v>
      </c>
      <c r="E534" s="42" t="s">
        <v>70</v>
      </c>
    </row>
    <row r="535" spans="1:5" x14ac:dyDescent="0.35">
      <c r="A535" s="30" t="s">
        <v>28</v>
      </c>
      <c r="C535">
        <f>ROUND(_xlfn.XLOOKUP(E535,'[1]True-Up'!A:A,'[1]True-Up'!U:U),2)</f>
        <v>0.06</v>
      </c>
      <c r="D535" t="s">
        <v>60</v>
      </c>
      <c r="E535" s="42" t="s">
        <v>72</v>
      </c>
    </row>
    <row r="536" spans="1:5" x14ac:dyDescent="0.35">
      <c r="A536" s="30" t="s">
        <v>28</v>
      </c>
      <c r="C536">
        <f>ROUND(_xlfn.XLOOKUP(E536,'[1]True-Up'!A:A,'[1]True-Up'!U:U),2)</f>
        <v>0.18</v>
      </c>
      <c r="D536" t="s">
        <v>60</v>
      </c>
      <c r="E536" s="42" t="s">
        <v>74</v>
      </c>
    </row>
    <row r="537" spans="1:5" x14ac:dyDescent="0.35">
      <c r="A537" s="30" t="s">
        <v>28</v>
      </c>
      <c r="C537">
        <f>ROUND(_xlfn.XLOOKUP(E537,'[1]True-Up'!A:A,'[1]True-Up'!U:U),2)</f>
        <v>0.38</v>
      </c>
      <c r="D537" t="s">
        <v>60</v>
      </c>
      <c r="E537" s="42" t="s">
        <v>76</v>
      </c>
    </row>
    <row r="538" spans="1:5" x14ac:dyDescent="0.35">
      <c r="A538" s="30" t="s">
        <v>28</v>
      </c>
      <c r="C538">
        <f>ROUND(_xlfn.XLOOKUP(E538,'[1]True-Up'!A:A,'[1]True-Up'!U:U),2)</f>
        <v>0.15</v>
      </c>
      <c r="D538" t="s">
        <v>60</v>
      </c>
      <c r="E538" s="42" t="s">
        <v>77</v>
      </c>
    </row>
    <row r="539" spans="1:5" x14ac:dyDescent="0.35">
      <c r="A539" s="30" t="s">
        <v>28</v>
      </c>
      <c r="C539">
        <f>ROUND(_xlfn.XLOOKUP(E539,'[1]True-Up'!A:A,'[1]True-Up'!U:U),2)</f>
        <v>0.38</v>
      </c>
      <c r="D539" t="s">
        <v>60</v>
      </c>
      <c r="E539" s="42" t="s">
        <v>78</v>
      </c>
    </row>
    <row r="540" spans="1:5" x14ac:dyDescent="0.35">
      <c r="A540" s="30" t="s">
        <v>28</v>
      </c>
      <c r="C540">
        <f>ROUND(_xlfn.XLOOKUP(E540,'[1]True-Up'!A:A,'[1]True-Up'!U:U),2)</f>
        <v>38.65</v>
      </c>
      <c r="D540" t="s">
        <v>60</v>
      </c>
      <c r="E540" s="42" t="s">
        <v>80</v>
      </c>
    </row>
    <row r="541" spans="1:5" x14ac:dyDescent="0.35">
      <c r="A541" s="30" t="s">
        <v>28</v>
      </c>
      <c r="C541">
        <f>ROUND(_xlfn.XLOOKUP(E541,'[1]True-Up'!A:A,'[1]True-Up'!U:U),2)</f>
        <v>4.8</v>
      </c>
      <c r="D541" t="s">
        <v>60</v>
      </c>
      <c r="E541" s="42" t="s">
        <v>82</v>
      </c>
    </row>
    <row r="542" spans="1:5" x14ac:dyDescent="0.35">
      <c r="A542" s="30" t="s">
        <v>28</v>
      </c>
      <c r="C542">
        <f>ROUND(_xlfn.XLOOKUP(E542,'[1]True-Up'!A:A,'[1]True-Up'!U:U),2)</f>
        <v>0.15</v>
      </c>
      <c r="D542" t="s">
        <v>60</v>
      </c>
      <c r="E542" s="42" t="s">
        <v>83</v>
      </c>
    </row>
    <row r="543" spans="1:5" x14ac:dyDescent="0.35">
      <c r="A543" s="30" t="s">
        <v>28</v>
      </c>
      <c r="C543">
        <f>ROUND(_xlfn.XLOOKUP(E543,'[1]True-Up'!A:A,'[1]True-Up'!U:U),2)</f>
        <v>0.92</v>
      </c>
      <c r="D543" t="s">
        <v>60</v>
      </c>
      <c r="E543" s="42" t="s">
        <v>84</v>
      </c>
    </row>
    <row r="544" spans="1:5" x14ac:dyDescent="0.35">
      <c r="A544" s="30" t="s">
        <v>28</v>
      </c>
      <c r="C544">
        <f>ROUND(_xlfn.XLOOKUP(E544,'[1]True-Up'!A:A,'[1]True-Up'!U:U),2)</f>
        <v>0.15</v>
      </c>
      <c r="D544" t="s">
        <v>60</v>
      </c>
      <c r="E544" s="42" t="s">
        <v>85</v>
      </c>
    </row>
    <row r="545" spans="1:5" x14ac:dyDescent="0.35">
      <c r="A545" s="30" t="s">
        <v>28</v>
      </c>
      <c r="C545">
        <f>ROUND(_xlfn.XLOOKUP(E545,'[1]True-Up'!A:A,'[1]True-Up'!U:U),2)</f>
        <v>0.38</v>
      </c>
      <c r="D545" t="s">
        <v>60</v>
      </c>
      <c r="E545" s="42" t="s">
        <v>86</v>
      </c>
    </row>
    <row r="546" spans="1:5" x14ac:dyDescent="0.35">
      <c r="A546" s="30" t="s">
        <v>28</v>
      </c>
      <c r="C546">
        <f>ROUND(_xlfn.XLOOKUP(E546,'[1]True-Up'!A:A,'[1]True-Up'!U:U),2)</f>
        <v>0.13</v>
      </c>
      <c r="D546" t="s">
        <v>60</v>
      </c>
      <c r="E546" s="42" t="s">
        <v>87</v>
      </c>
    </row>
    <row r="547" spans="1:5" x14ac:dyDescent="0.35">
      <c r="A547" s="30" t="s">
        <v>28</v>
      </c>
      <c r="C547">
        <f>ROUND(_xlfn.XLOOKUP(E547,'[1]True-Up'!A:A,'[1]True-Up'!U:U),2)</f>
        <v>3.64</v>
      </c>
      <c r="D547" t="s">
        <v>60</v>
      </c>
      <c r="E547" s="42" t="s">
        <v>88</v>
      </c>
    </row>
    <row r="548" spans="1:5" x14ac:dyDescent="0.35">
      <c r="A548" s="30" t="s">
        <v>28</v>
      </c>
      <c r="C548">
        <f>ROUND(_xlfn.XLOOKUP(E548,'[1]True-Up'!A:A,'[1]True-Up'!U:U),2)</f>
        <v>0.28000000000000003</v>
      </c>
      <c r="D548" t="s">
        <v>60</v>
      </c>
      <c r="E548" s="42" t="s">
        <v>89</v>
      </c>
    </row>
    <row r="549" spans="1:5" x14ac:dyDescent="0.35">
      <c r="A549" s="30" t="s">
        <v>28</v>
      </c>
      <c r="C549">
        <f>ROUND(_xlfn.XLOOKUP(E549,'[1]True-Up'!A:A,'[1]True-Up'!U:U),2)</f>
        <v>0.12</v>
      </c>
      <c r="D549" t="s">
        <v>60</v>
      </c>
      <c r="E549" s="42" t="s">
        <v>90</v>
      </c>
    </row>
    <row r="550" spans="1:5" x14ac:dyDescent="0.35">
      <c r="A550" s="30" t="s">
        <v>28</v>
      </c>
      <c r="C550">
        <f>ROUND(_xlfn.XLOOKUP(E550,'[1]True-Up'!A:A,'[1]True-Up'!U:U),2)</f>
        <v>0.64</v>
      </c>
      <c r="D550" t="s">
        <v>60</v>
      </c>
      <c r="E550" s="42" t="s">
        <v>91</v>
      </c>
    </row>
    <row r="551" spans="1:5" x14ac:dyDescent="0.35">
      <c r="A551" s="30" t="s">
        <v>28</v>
      </c>
      <c r="C551">
        <f>ROUND(_xlfn.XLOOKUP(E551,'[1]True-Up'!A:A,'[1]True-Up'!U:U),2)</f>
        <v>1.1399999999999999</v>
      </c>
      <c r="D551" t="s">
        <v>60</v>
      </c>
      <c r="E551" s="42" t="s">
        <v>92</v>
      </c>
    </row>
    <row r="552" spans="1:5" x14ac:dyDescent="0.35">
      <c r="A552" s="30" t="s">
        <v>28</v>
      </c>
      <c r="C552">
        <f>ROUND(_xlfn.XLOOKUP(E552,'[1]True-Up'!A:A,'[1]True-Up'!U:U),2)</f>
        <v>0.24</v>
      </c>
      <c r="D552" t="s">
        <v>60</v>
      </c>
      <c r="E552" s="42" t="s">
        <v>93</v>
      </c>
    </row>
    <row r="553" spans="1:5" x14ac:dyDescent="0.35">
      <c r="A553" s="30" t="s">
        <v>28</v>
      </c>
      <c r="C553">
        <f>ROUND(_xlfn.XLOOKUP(E553,'[1]True-Up'!A:A,'[1]True-Up'!U:U),2)</f>
        <v>0.18</v>
      </c>
      <c r="D553" t="s">
        <v>60</v>
      </c>
      <c r="E553" s="42" t="s">
        <v>94</v>
      </c>
    </row>
    <row r="554" spans="1:5" x14ac:dyDescent="0.35">
      <c r="A554" s="30" t="s">
        <v>28</v>
      </c>
      <c r="C554">
        <f>ROUND(_xlfn.XLOOKUP(E554,'[1]True-Up'!A:A,'[1]True-Up'!U:U),2)</f>
        <v>0.76</v>
      </c>
      <c r="D554" t="s">
        <v>60</v>
      </c>
      <c r="E554" s="42" t="s">
        <v>95</v>
      </c>
    </row>
    <row r="555" spans="1:5" x14ac:dyDescent="0.35">
      <c r="A555" s="30" t="s">
        <v>28</v>
      </c>
      <c r="C555">
        <f>ROUND(_xlfn.XLOOKUP(E555,'[1]True-Up'!A:A,'[1]True-Up'!U:U),2)</f>
        <v>0.76</v>
      </c>
      <c r="D555" t="s">
        <v>60</v>
      </c>
      <c r="E555" s="42" t="s">
        <v>96</v>
      </c>
    </row>
    <row r="556" spans="1:5" x14ac:dyDescent="0.35">
      <c r="A556" s="30" t="s">
        <v>28</v>
      </c>
      <c r="C556">
        <f>ROUND(_xlfn.XLOOKUP(E556,'[1]True-Up'!A:A,'[1]True-Up'!U:U),2)</f>
        <v>0.12</v>
      </c>
      <c r="D556" t="s">
        <v>60</v>
      </c>
      <c r="E556" s="42" t="s">
        <v>97</v>
      </c>
    </row>
    <row r="557" spans="1:5" x14ac:dyDescent="0.35">
      <c r="A557" s="30" t="s">
        <v>28</v>
      </c>
      <c r="C557">
        <f>ROUND(_xlfn.XLOOKUP(E557,'[1]True-Up'!A:A,'[1]True-Up'!U:U),2)</f>
        <v>0.15</v>
      </c>
      <c r="D557" t="s">
        <v>60</v>
      </c>
      <c r="E557" s="42" t="s">
        <v>98</v>
      </c>
    </row>
    <row r="558" spans="1:5" x14ac:dyDescent="0.35">
      <c r="A558" s="30" t="s">
        <v>28</v>
      </c>
      <c r="C558">
        <f>ROUND(_xlfn.XLOOKUP(E558,'[1]True-Up'!A:A,'[1]True-Up'!U:U),2)</f>
        <v>0.08</v>
      </c>
      <c r="D558" t="s">
        <v>60</v>
      </c>
      <c r="E558" s="42" t="s">
        <v>99</v>
      </c>
    </row>
    <row r="559" spans="1:5" x14ac:dyDescent="0.35">
      <c r="A559" s="30" t="s">
        <v>28</v>
      </c>
      <c r="C559">
        <f>ROUND(_xlfn.XLOOKUP(E559,'[1]True-Up'!A:A,'[1]True-Up'!U:U),2)</f>
        <v>0</v>
      </c>
      <c r="D559" t="s">
        <v>60</v>
      </c>
      <c r="E559" s="42" t="s">
        <v>141</v>
      </c>
    </row>
    <row r="560" spans="1:5" x14ac:dyDescent="0.35">
      <c r="A560" s="30" t="s">
        <v>28</v>
      </c>
      <c r="C560">
        <f>ROUND(_xlfn.XLOOKUP(E560,'[1]True-Up'!A:A,'[1]True-Up'!U:U),2)</f>
        <v>0.12</v>
      </c>
      <c r="D560" t="s">
        <v>60</v>
      </c>
      <c r="E560" s="42" t="s">
        <v>100</v>
      </c>
    </row>
    <row r="561" spans="1:5" x14ac:dyDescent="0.35">
      <c r="A561" s="30" t="s">
        <v>28</v>
      </c>
      <c r="C561">
        <f>ROUND(_xlfn.XLOOKUP(E561,'[1]True-Up'!A:A,'[1]True-Up'!U:U),2)</f>
        <v>0.12</v>
      </c>
      <c r="D561" t="s">
        <v>60</v>
      </c>
      <c r="E561" s="42" t="s">
        <v>101</v>
      </c>
    </row>
    <row r="562" spans="1:5" x14ac:dyDescent="0.35">
      <c r="A562" s="30" t="s">
        <v>28</v>
      </c>
      <c r="C562">
        <f>ROUND(_xlfn.XLOOKUP(E562,'[1]True-Up'!A:A,'[1]True-Up'!U:U),2)</f>
        <v>0.15</v>
      </c>
      <c r="D562" t="s">
        <v>60</v>
      </c>
      <c r="E562" s="42" t="s">
        <v>102</v>
      </c>
    </row>
    <row r="563" spans="1:5" x14ac:dyDescent="0.35">
      <c r="A563" s="30" t="s">
        <v>28</v>
      </c>
      <c r="C563">
        <f>ROUND(_xlfn.XLOOKUP(E563,'[1]True-Up'!A:A,'[1]True-Up'!U:U),2)</f>
        <v>0.76</v>
      </c>
      <c r="D563" t="s">
        <v>60</v>
      </c>
      <c r="E563" s="42" t="s">
        <v>103</v>
      </c>
    </row>
    <row r="564" spans="1:5" x14ac:dyDescent="0.35">
      <c r="A564" s="30" t="s">
        <v>28</v>
      </c>
      <c r="C564">
        <f>ROUND(_xlfn.XLOOKUP(E564,'[1]True-Up'!A:A,'[1]True-Up'!U:U),2)</f>
        <v>0.38</v>
      </c>
      <c r="D564" t="s">
        <v>60</v>
      </c>
      <c r="E564" s="42" t="s">
        <v>104</v>
      </c>
    </row>
    <row r="565" spans="1:5" x14ac:dyDescent="0.35">
      <c r="A565" s="30" t="s">
        <v>28</v>
      </c>
      <c r="C565">
        <f>ROUND(_xlfn.XLOOKUP(E565,'[1]True-Up'!A:A,'[1]True-Up'!U:U),2)</f>
        <v>1.1399999999999999</v>
      </c>
      <c r="D565" t="s">
        <v>60</v>
      </c>
      <c r="E565" s="42" t="s">
        <v>105</v>
      </c>
    </row>
    <row r="566" spans="1:5" x14ac:dyDescent="0.35">
      <c r="A566" s="30" t="s">
        <v>28</v>
      </c>
      <c r="C566">
        <f>ROUND(_xlfn.XLOOKUP(E566,'[1]True-Up'!A:A,'[1]True-Up'!U:U),2)</f>
        <v>0.08</v>
      </c>
      <c r="D566" t="s">
        <v>60</v>
      </c>
      <c r="E566" s="42" t="s">
        <v>106</v>
      </c>
    </row>
    <row r="567" spans="1:5" x14ac:dyDescent="0.35">
      <c r="A567" s="30" t="s">
        <v>28</v>
      </c>
      <c r="C567">
        <f>ROUND(_xlfn.XLOOKUP(E567,'[1]True-Up'!A:A,'[1]True-Up'!U:U),2)</f>
        <v>0.56999999999999995</v>
      </c>
      <c r="D567" t="s">
        <v>60</v>
      </c>
      <c r="E567" s="42" t="s">
        <v>107</v>
      </c>
    </row>
    <row r="568" spans="1:5" x14ac:dyDescent="0.35">
      <c r="A568" s="30" t="s">
        <v>28</v>
      </c>
      <c r="C568">
        <f>ROUND(_xlfn.XLOOKUP(E568,'[1]True-Up'!A:A,'[1]True-Up'!U:U),2)</f>
        <v>0.18</v>
      </c>
      <c r="D568" t="s">
        <v>60</v>
      </c>
      <c r="E568" s="42" t="s">
        <v>108</v>
      </c>
    </row>
    <row r="569" spans="1:5" x14ac:dyDescent="0.35">
      <c r="A569" s="30" t="s">
        <v>28</v>
      </c>
      <c r="C569">
        <f>ROUND(_xlfn.XLOOKUP(E569,'[1]True-Up'!A:A,'[1]True-Up'!U:U),2)</f>
        <v>0.76</v>
      </c>
      <c r="D569" t="s">
        <v>60</v>
      </c>
      <c r="E569" s="42" t="s">
        <v>109</v>
      </c>
    </row>
    <row r="570" spans="1:5" x14ac:dyDescent="0.35">
      <c r="A570" s="30" t="s">
        <v>28</v>
      </c>
      <c r="C570">
        <f>ROUND(_xlfn.XLOOKUP(E570,'[1]True-Up'!A:A,'[1]True-Up'!U:U),2)</f>
        <v>0.09</v>
      </c>
      <c r="D570" t="s">
        <v>60</v>
      </c>
      <c r="E570" s="42" t="s">
        <v>110</v>
      </c>
    </row>
    <row r="571" spans="1:5" x14ac:dyDescent="0.35">
      <c r="A571" s="30" t="s">
        <v>28</v>
      </c>
      <c r="C571">
        <f>ROUND(_xlfn.XLOOKUP(E571,'[1]True-Up'!A:A,'[1]True-Up'!U:U),2)</f>
        <v>0.08</v>
      </c>
      <c r="D571" t="s">
        <v>60</v>
      </c>
      <c r="E571" s="42" t="s">
        <v>111</v>
      </c>
    </row>
    <row r="572" spans="1:5" x14ac:dyDescent="0.35">
      <c r="A572" s="30" t="s">
        <v>28</v>
      </c>
      <c r="C572">
        <f>ROUND(_xlfn.XLOOKUP(E572,'[1]True-Up'!A:A,'[1]True-Up'!U:U),2)</f>
        <v>0.06</v>
      </c>
      <c r="D572" t="s">
        <v>60</v>
      </c>
      <c r="E572" s="42" t="s">
        <v>112</v>
      </c>
    </row>
    <row r="573" spans="1:5" x14ac:dyDescent="0.35">
      <c r="A573" s="30" t="s">
        <v>28</v>
      </c>
      <c r="C573">
        <f>ROUND(_xlfn.XLOOKUP(E573,'[1]True-Up'!A:A,'[1]True-Up'!U:U),2)</f>
        <v>0.59</v>
      </c>
      <c r="D573" t="s">
        <v>60</v>
      </c>
      <c r="E573" s="42" t="s">
        <v>113</v>
      </c>
    </row>
    <row r="574" spans="1:5" x14ac:dyDescent="0.35">
      <c r="A574" s="30" t="s">
        <v>28</v>
      </c>
      <c r="C574">
        <f>ROUND(_xlfn.XLOOKUP(E574,'[1]True-Up'!A:A,'[1]True-Up'!U:U),2)</f>
        <v>0.3</v>
      </c>
      <c r="D574" t="s">
        <v>60</v>
      </c>
      <c r="E574" s="42" t="s">
        <v>114</v>
      </c>
    </row>
    <row r="575" spans="1:5" x14ac:dyDescent="0.35">
      <c r="A575" s="30" t="s">
        <v>28</v>
      </c>
      <c r="C575">
        <f>ROUND(_xlfn.XLOOKUP(E575,'[1]True-Up'!A:A,'[1]True-Up'!U:U),2)</f>
        <v>0.06</v>
      </c>
      <c r="D575" t="s">
        <v>60</v>
      </c>
      <c r="E575" s="42" t="s">
        <v>116</v>
      </c>
    </row>
    <row r="576" spans="1:5" x14ac:dyDescent="0.35">
      <c r="A576" s="30" t="s">
        <v>28</v>
      </c>
      <c r="C576">
        <f>ROUND(_xlfn.XLOOKUP(E576,'[1]True-Up'!A:A,'[1]True-Up'!U:U),2)</f>
        <v>0.25</v>
      </c>
      <c r="D576" t="s">
        <v>60</v>
      </c>
      <c r="E576" s="42" t="s">
        <v>117</v>
      </c>
    </row>
    <row r="577" spans="1:5" x14ac:dyDescent="0.35">
      <c r="A577" s="30" t="s">
        <v>28</v>
      </c>
      <c r="C577">
        <f>ROUND(_xlfn.XLOOKUP(E577,'[1]True-Up'!A:A,'[1]True-Up'!U:U),2)</f>
        <v>0.67</v>
      </c>
      <c r="D577" t="s">
        <v>60</v>
      </c>
      <c r="E577" s="42" t="s">
        <v>118</v>
      </c>
    </row>
    <row r="578" spans="1:5" x14ac:dyDescent="0.35">
      <c r="A578" s="30" t="s">
        <v>28</v>
      </c>
      <c r="C578">
        <f>ROUND(_xlfn.XLOOKUP(E578,'[1]True-Up'!A:A,'[1]True-Up'!U:U),2)</f>
        <v>0.03</v>
      </c>
      <c r="D578" t="s">
        <v>60</v>
      </c>
      <c r="E578" s="42" t="s">
        <v>119</v>
      </c>
    </row>
    <row r="579" spans="1:5" x14ac:dyDescent="0.35">
      <c r="A579" s="30" t="s">
        <v>28</v>
      </c>
      <c r="C579">
        <f>ROUND(_xlfn.XLOOKUP(E579,'[1]True-Up'!A:A,'[1]True-Up'!U:U),2)</f>
        <v>1.1399999999999999</v>
      </c>
      <c r="D579" t="s">
        <v>60</v>
      </c>
      <c r="E579" s="42" t="s">
        <v>120</v>
      </c>
    </row>
    <row r="580" spans="1:5" x14ac:dyDescent="0.35">
      <c r="A580" s="30" t="s">
        <v>28</v>
      </c>
      <c r="C580">
        <f>ROUND(_xlfn.XLOOKUP(E580,'[1]True-Up'!A:A,'[1]True-Up'!U:U),2)</f>
        <v>0.76</v>
      </c>
      <c r="D580" t="s">
        <v>60</v>
      </c>
      <c r="E580" s="42" t="s">
        <v>121</v>
      </c>
    </row>
    <row r="581" spans="1:5" x14ac:dyDescent="0.35">
      <c r="A581" s="30" t="s">
        <v>28</v>
      </c>
      <c r="C581">
        <f>ROUND(_xlfn.XLOOKUP(E581,'[1]True-Up'!A:A,'[1]True-Up'!U:U),2)</f>
        <v>0.76</v>
      </c>
      <c r="D581" t="s">
        <v>60</v>
      </c>
      <c r="E581" s="42" t="s">
        <v>122</v>
      </c>
    </row>
    <row r="582" spans="1:5" x14ac:dyDescent="0.35">
      <c r="A582" s="30" t="s">
        <v>28</v>
      </c>
      <c r="C582">
        <f>ROUND(_xlfn.XLOOKUP(E582,'[1]True-Up'!A:A,'[1]True-Up'!U:U),2)</f>
        <v>1.52</v>
      </c>
      <c r="D582" t="s">
        <v>60</v>
      </c>
      <c r="E582" s="42" t="s">
        <v>123</v>
      </c>
    </row>
    <row r="583" spans="1:5" x14ac:dyDescent="0.35">
      <c r="A583" s="30" t="s">
        <v>28</v>
      </c>
      <c r="C583">
        <f>ROUND(_xlfn.XLOOKUP(E583,'[1]True-Up'!A:A,'[1]True-Up'!U:U),2)</f>
        <v>0.76</v>
      </c>
      <c r="D583" t="s">
        <v>60</v>
      </c>
      <c r="E583" s="42" t="s">
        <v>124</v>
      </c>
    </row>
    <row r="584" spans="1:5" x14ac:dyDescent="0.35">
      <c r="A584" s="30" t="s">
        <v>28</v>
      </c>
      <c r="C584">
        <f>ROUND(_xlfn.XLOOKUP(E584,'[1]True-Up'!A:A,'[1]True-Up'!U:U),2)</f>
        <v>0.4</v>
      </c>
      <c r="D584" t="s">
        <v>60</v>
      </c>
      <c r="E584" s="42" t="s">
        <v>125</v>
      </c>
    </row>
    <row r="585" spans="1:5" x14ac:dyDescent="0.35">
      <c r="A585" s="30" t="s">
        <v>28</v>
      </c>
      <c r="C585">
        <f>ROUND(_xlfn.XLOOKUP(E585,'[1]True-Up'!A:A,'[1]True-Up'!U:U),2)</f>
        <v>0.12</v>
      </c>
      <c r="D585" t="s">
        <v>60</v>
      </c>
      <c r="E585" s="42" t="s">
        <v>126</v>
      </c>
    </row>
    <row r="586" spans="1:5" x14ac:dyDescent="0.35">
      <c r="A586" s="30" t="s">
        <v>28</v>
      </c>
      <c r="C586">
        <f>ROUND(_xlfn.XLOOKUP(E586,'[1]True-Up'!A:A,'[1]True-Up'!U:U),2)</f>
        <v>1.52</v>
      </c>
      <c r="D586" t="s">
        <v>60</v>
      </c>
      <c r="E586" s="42" t="s">
        <v>142</v>
      </c>
    </row>
    <row r="587" spans="1:5" x14ac:dyDescent="0.35">
      <c r="A587" s="30" t="s">
        <v>28</v>
      </c>
      <c r="C587">
        <f>ROUND(_xlfn.XLOOKUP(E587,'[1]True-Up'!A:A,'[1]True-Up'!U:U),2)</f>
        <v>0.76</v>
      </c>
      <c r="D587" t="s">
        <v>60</v>
      </c>
      <c r="E587" s="42" t="s">
        <v>127</v>
      </c>
    </row>
    <row r="588" spans="1:5" x14ac:dyDescent="0.35">
      <c r="A588" s="30" t="s">
        <v>28</v>
      </c>
      <c r="C588">
        <f>ROUND(_xlfn.XLOOKUP(E588,'[1]True-Up'!A:A,'[1]True-Up'!U:U),2)</f>
        <v>0.76</v>
      </c>
      <c r="D588" t="s">
        <v>60</v>
      </c>
      <c r="E588" s="42" t="s">
        <v>128</v>
      </c>
    </row>
    <row r="589" spans="1:5" x14ac:dyDescent="0.35">
      <c r="A589" s="30" t="s">
        <v>28</v>
      </c>
      <c r="C589">
        <f>ROUND(_xlfn.XLOOKUP(E589,'[1]True-Up'!A:A,'[1]True-Up'!U:U),2)</f>
        <v>0.46</v>
      </c>
      <c r="D589" t="s">
        <v>60</v>
      </c>
      <c r="E589" s="42" t="s">
        <v>129</v>
      </c>
    </row>
    <row r="590" spans="1:5" x14ac:dyDescent="0.35">
      <c r="A590" s="30" t="s">
        <v>28</v>
      </c>
      <c r="C590">
        <f>ROUND(_xlfn.XLOOKUP(E590,'[1]True-Up'!A:A,'[1]True-Up'!U:U),2)</f>
        <v>0.76</v>
      </c>
      <c r="D590" t="s">
        <v>60</v>
      </c>
      <c r="E590" s="42" t="s">
        <v>130</v>
      </c>
    </row>
    <row r="591" spans="1:5" x14ac:dyDescent="0.35">
      <c r="A591" s="30" t="s">
        <v>28</v>
      </c>
      <c r="C591">
        <f>ROUND(_xlfn.XLOOKUP(E591,'[1]True-Up'!A:A,'[1]True-Up'!U:U),2)</f>
        <v>15.17</v>
      </c>
      <c r="D591" t="s">
        <v>60</v>
      </c>
      <c r="E591" s="42" t="s">
        <v>131</v>
      </c>
    </row>
    <row r="592" spans="1:5" x14ac:dyDescent="0.35">
      <c r="A592" s="30" t="s">
        <v>28</v>
      </c>
      <c r="C592">
        <f>ROUND(_xlfn.XLOOKUP(E592,'[1]True-Up'!A:A,'[1]True-Up'!U:U),2)</f>
        <v>0.19</v>
      </c>
      <c r="D592" t="s">
        <v>60</v>
      </c>
      <c r="E592" s="42" t="s">
        <v>132</v>
      </c>
    </row>
    <row r="593" spans="1:5" x14ac:dyDescent="0.35">
      <c r="A593" s="30" t="s">
        <v>28</v>
      </c>
      <c r="C593">
        <f>ROUND(_xlfn.XLOOKUP(E593,'[1]True-Up'!A:A,'[1]True-Up'!U:U),2)</f>
        <v>0.24</v>
      </c>
      <c r="D593" t="s">
        <v>60</v>
      </c>
      <c r="E593" s="42" t="s">
        <v>133</v>
      </c>
    </row>
    <row r="594" spans="1:5" x14ac:dyDescent="0.35">
      <c r="A594" s="30" t="s">
        <v>28</v>
      </c>
      <c r="C594">
        <f>ROUND(_xlfn.XLOOKUP(E594,'[1]True-Up'!A:A,'[1]True-Up'!U:U),2)</f>
        <v>0.24</v>
      </c>
      <c r="D594" t="s">
        <v>60</v>
      </c>
      <c r="E594" s="42" t="s">
        <v>134</v>
      </c>
    </row>
    <row r="595" spans="1:5" x14ac:dyDescent="0.35">
      <c r="A595" s="30" t="s">
        <v>28</v>
      </c>
      <c r="C595">
        <f>ROUND(_xlfn.XLOOKUP(E595,'[1]True-Up'!A:A,'[1]True-Up'!U:U),2)</f>
        <v>3.79</v>
      </c>
      <c r="D595" t="s">
        <v>60</v>
      </c>
      <c r="E595" s="43" t="s">
        <v>135</v>
      </c>
    </row>
    <row r="596" spans="1:5" x14ac:dyDescent="0.35">
      <c r="A596" s="30" t="s">
        <v>28</v>
      </c>
      <c r="C596">
        <f>ROUND(_xlfn.XLOOKUP(E596,'[1]True-Up'!A:A,'[1]True-Up'!U:U),2)</f>
        <v>5.69</v>
      </c>
      <c r="D596" t="s">
        <v>60</v>
      </c>
      <c r="E596" s="43" t="s">
        <v>136</v>
      </c>
    </row>
    <row r="597" spans="1:5" x14ac:dyDescent="0.35">
      <c r="A597" s="30" t="s">
        <v>28</v>
      </c>
      <c r="C597">
        <f>ROUND(_xlfn.XLOOKUP(E597,'[1]True-Up'!A:A,'[1]True-Up'!U:U),2)</f>
        <v>3.79</v>
      </c>
      <c r="D597" t="s">
        <v>60</v>
      </c>
      <c r="E597" s="43" t="s">
        <v>137</v>
      </c>
    </row>
    <row r="598" spans="1:5" x14ac:dyDescent="0.35">
      <c r="A598" s="30" t="s">
        <v>28</v>
      </c>
      <c r="C598">
        <f>ROUND(_xlfn.XLOOKUP(E598,'[1]True-Up'!A:A,'[1]True-Up'!U:U),2)</f>
        <v>22.75</v>
      </c>
      <c r="D598" t="s">
        <v>60</v>
      </c>
      <c r="E598" s="43" t="s">
        <v>138</v>
      </c>
    </row>
    <row r="599" spans="1:5" x14ac:dyDescent="0.35">
      <c r="A599" s="30" t="s">
        <v>28</v>
      </c>
      <c r="C599">
        <f>ROUND(_xlfn.XLOOKUP(E599,'[1]True-Up'!A:A,'[1]True-Up'!U:U),2)</f>
        <v>7.58</v>
      </c>
      <c r="D599" t="s">
        <v>60</v>
      </c>
      <c r="E599" s="42" t="s">
        <v>7</v>
      </c>
    </row>
    <row r="600" spans="1:5" x14ac:dyDescent="0.35">
      <c r="A600" s="30" t="s">
        <v>28</v>
      </c>
      <c r="C600">
        <f>ROUND(_xlfn.XLOOKUP(E600,'[1]True-Up'!A:A,'[1]True-Up'!U:U),2)</f>
        <v>0.3</v>
      </c>
      <c r="D600" t="s">
        <v>60</v>
      </c>
      <c r="E600" s="42" t="s">
        <v>139</v>
      </c>
    </row>
    <row r="601" spans="1:5" x14ac:dyDescent="0.35">
      <c r="A601" s="30" t="s">
        <v>30</v>
      </c>
      <c r="B601">
        <f>-ROUND(_xlfn.XLOOKUP(E601,'[1]True-Up'!A:A,'[1]True-Up'!V:V),2)</f>
        <v>1187.57</v>
      </c>
      <c r="D601" t="s">
        <v>60</v>
      </c>
      <c r="E601" s="42" t="s">
        <v>50</v>
      </c>
    </row>
    <row r="602" spans="1:5" x14ac:dyDescent="0.35">
      <c r="A602" s="30" t="s">
        <v>30</v>
      </c>
      <c r="B602">
        <f>-ROUND(_xlfn.XLOOKUP(E602,'[1]True-Up'!A:A,'[1]True-Up'!V:V),2)</f>
        <v>1662.6</v>
      </c>
      <c r="D602" t="s">
        <v>60</v>
      </c>
      <c r="E602" s="42" t="s">
        <v>51</v>
      </c>
    </row>
    <row r="603" spans="1:5" x14ac:dyDescent="0.35">
      <c r="A603" s="30" t="s">
        <v>30</v>
      </c>
      <c r="B603">
        <f>-ROUND(_xlfn.XLOOKUP(E603,'[1]True-Up'!A:A,'[1]True-Up'!V:V),2)</f>
        <v>1425.09</v>
      </c>
      <c r="D603" t="s">
        <v>60</v>
      </c>
      <c r="E603" s="42" t="s">
        <v>53</v>
      </c>
    </row>
    <row r="604" spans="1:5" x14ac:dyDescent="0.35">
      <c r="A604" s="30" t="s">
        <v>30</v>
      </c>
      <c r="B604">
        <f>-ROUND(_xlfn.XLOOKUP(E604,'[1]True-Up'!A:A,'[1]True-Up'!V:V),2)</f>
        <v>1781.36</v>
      </c>
      <c r="D604" t="s">
        <v>60</v>
      </c>
      <c r="E604" s="42" t="s">
        <v>54</v>
      </c>
    </row>
    <row r="605" spans="1:5" x14ac:dyDescent="0.35">
      <c r="A605" s="30" t="s">
        <v>30</v>
      </c>
      <c r="B605">
        <f>-ROUND(_xlfn.XLOOKUP(E605,'[1]True-Up'!A:A,'[1]True-Up'!V:V),2)</f>
        <v>185.97</v>
      </c>
      <c r="D605" t="s">
        <v>60</v>
      </c>
      <c r="E605" s="42" t="s">
        <v>55</v>
      </c>
    </row>
    <row r="606" spans="1:5" x14ac:dyDescent="0.35">
      <c r="A606" s="30" t="s">
        <v>30</v>
      </c>
      <c r="B606">
        <f>-ROUND(_xlfn.XLOOKUP(E606,'[1]True-Up'!A:A,'[1]True-Up'!V:V),2)</f>
        <v>342.49</v>
      </c>
      <c r="D606" t="s">
        <v>60</v>
      </c>
      <c r="E606" s="42" t="s">
        <v>57</v>
      </c>
    </row>
    <row r="607" spans="1:5" x14ac:dyDescent="0.35">
      <c r="A607" s="30" t="s">
        <v>30</v>
      </c>
      <c r="B607">
        <f>-ROUND(_xlfn.XLOOKUP(E607,'[1]True-Up'!A:A,'[1]True-Up'!V:V),2)</f>
        <v>371.95</v>
      </c>
      <c r="D607" t="s">
        <v>60</v>
      </c>
      <c r="E607" s="42" t="s">
        <v>59</v>
      </c>
    </row>
    <row r="608" spans="1:5" x14ac:dyDescent="0.35">
      <c r="A608" s="30" t="s">
        <v>30</v>
      </c>
      <c r="B608">
        <f>-ROUND(_xlfn.XLOOKUP(E608,'[1]True-Up'!A:A,'[1]True-Up'!V:V),2)</f>
        <v>1242.9100000000001</v>
      </c>
      <c r="D608" t="s">
        <v>60</v>
      </c>
      <c r="E608" s="42" t="s">
        <v>61</v>
      </c>
    </row>
    <row r="609" spans="1:5" x14ac:dyDescent="0.35">
      <c r="A609" s="30" t="s">
        <v>30</v>
      </c>
      <c r="B609">
        <f>-ROUND(_xlfn.XLOOKUP(E609,'[1]True-Up'!A:A,'[1]True-Up'!V:V),2)</f>
        <v>2375.14</v>
      </c>
      <c r="D609" t="s">
        <v>60</v>
      </c>
      <c r="E609" s="42" t="s">
        <v>62</v>
      </c>
    </row>
    <row r="610" spans="1:5" x14ac:dyDescent="0.35">
      <c r="A610" s="30" t="s">
        <v>30</v>
      </c>
      <c r="B610">
        <f>-ROUND(_xlfn.XLOOKUP(E610,'[1]True-Up'!A:A,'[1]True-Up'!V:V),2)</f>
        <v>929.87</v>
      </c>
      <c r="D610" t="s">
        <v>60</v>
      </c>
      <c r="E610" s="42" t="s">
        <v>63</v>
      </c>
    </row>
    <row r="611" spans="1:5" x14ac:dyDescent="0.35">
      <c r="A611" s="30" t="s">
        <v>30</v>
      </c>
      <c r="B611">
        <f>-ROUND(_xlfn.XLOOKUP(E611,'[1]True-Up'!A:A,'[1]True-Up'!V:V),2)</f>
        <v>23751.439999999999</v>
      </c>
      <c r="D611" t="s">
        <v>60</v>
      </c>
      <c r="E611" s="42" t="s">
        <v>65</v>
      </c>
    </row>
    <row r="612" spans="1:5" x14ac:dyDescent="0.35">
      <c r="A612" s="30" t="s">
        <v>30</v>
      </c>
      <c r="B612">
        <f>-ROUND(_xlfn.XLOOKUP(E612,'[1]True-Up'!A:A,'[1]True-Up'!V:V),2)</f>
        <v>2172.7800000000002</v>
      </c>
      <c r="D612" t="s">
        <v>60</v>
      </c>
      <c r="E612" s="42" t="s">
        <v>68</v>
      </c>
    </row>
    <row r="613" spans="1:5" x14ac:dyDescent="0.35">
      <c r="A613" s="30" t="s">
        <v>30</v>
      </c>
      <c r="B613">
        <f>-ROUND(_xlfn.XLOOKUP(E613,'[1]True-Up'!A:A,'[1]True-Up'!V:V),2)</f>
        <v>2172.7800000000002</v>
      </c>
      <c r="D613" t="s">
        <v>60</v>
      </c>
      <c r="E613" s="42" t="s">
        <v>70</v>
      </c>
    </row>
    <row r="614" spans="1:5" x14ac:dyDescent="0.35">
      <c r="A614" s="30" t="s">
        <v>30</v>
      </c>
      <c r="B614">
        <f>-ROUND(_xlfn.XLOOKUP(E614,'[1]True-Up'!A:A,'[1]True-Up'!V:V),2)</f>
        <v>185.97</v>
      </c>
      <c r="D614" t="s">
        <v>60</v>
      </c>
      <c r="E614" s="42" t="s">
        <v>72</v>
      </c>
    </row>
    <row r="615" spans="1:5" x14ac:dyDescent="0.35">
      <c r="A615" s="30" t="s">
        <v>30</v>
      </c>
      <c r="B615">
        <f>-ROUND(_xlfn.XLOOKUP(E615,'[1]True-Up'!A:A,'[1]True-Up'!V:V),2)</f>
        <v>557.91999999999996</v>
      </c>
      <c r="D615" t="s">
        <v>60</v>
      </c>
      <c r="E615" s="42" t="s">
        <v>74</v>
      </c>
    </row>
    <row r="616" spans="1:5" x14ac:dyDescent="0.35">
      <c r="A616" s="30" t="s">
        <v>30</v>
      </c>
      <c r="B616">
        <f>-ROUND(_xlfn.XLOOKUP(E616,'[1]True-Up'!A:A,'[1]True-Up'!V:V),2)</f>
        <v>1187.57</v>
      </c>
      <c r="D616" t="s">
        <v>60</v>
      </c>
      <c r="E616" s="42" t="s">
        <v>76</v>
      </c>
    </row>
    <row r="617" spans="1:5" x14ac:dyDescent="0.35">
      <c r="A617" s="30" t="s">
        <v>30</v>
      </c>
      <c r="B617">
        <f>-ROUND(_xlfn.XLOOKUP(E617,'[1]True-Up'!A:A,'[1]True-Up'!V:V),2)</f>
        <v>464.94</v>
      </c>
      <c r="D617" t="s">
        <v>60</v>
      </c>
      <c r="E617" s="42" t="s">
        <v>77</v>
      </c>
    </row>
    <row r="618" spans="1:5" x14ac:dyDescent="0.35">
      <c r="A618" s="30" t="s">
        <v>30</v>
      </c>
      <c r="B618">
        <f>-ROUND(_xlfn.XLOOKUP(E618,'[1]True-Up'!A:A,'[1]True-Up'!V:V),2)</f>
        <v>1187.57</v>
      </c>
      <c r="D618" t="s">
        <v>60</v>
      </c>
      <c r="E618" s="42" t="s">
        <v>78</v>
      </c>
    </row>
    <row r="619" spans="1:5" x14ac:dyDescent="0.35">
      <c r="A619" s="30" t="s">
        <v>30</v>
      </c>
      <c r="B619">
        <f>-ROUND(_xlfn.XLOOKUP(E619,'[1]True-Up'!A:A,'[1]True-Up'!V:V),2)</f>
        <v>121047.16</v>
      </c>
      <c r="D619" t="s">
        <v>60</v>
      </c>
      <c r="E619" s="42" t="s">
        <v>80</v>
      </c>
    </row>
    <row r="620" spans="1:5" x14ac:dyDescent="0.35">
      <c r="A620" s="30" t="s">
        <v>30</v>
      </c>
      <c r="B620">
        <f>-ROUND(_xlfn.XLOOKUP(E620,'[1]True-Up'!A:A,'[1]True-Up'!V:V),2)</f>
        <v>15025.57</v>
      </c>
      <c r="D620" t="s">
        <v>60</v>
      </c>
      <c r="E620" s="42" t="s">
        <v>82</v>
      </c>
    </row>
    <row r="621" spans="1:5" x14ac:dyDescent="0.35">
      <c r="A621" s="30" t="s">
        <v>30</v>
      </c>
      <c r="B621">
        <f>-ROUND(_xlfn.XLOOKUP(E621,'[1]True-Up'!A:A,'[1]True-Up'!V:V),2)</f>
        <v>464.94</v>
      </c>
      <c r="D621" t="s">
        <v>60</v>
      </c>
      <c r="E621" s="42" t="s">
        <v>83</v>
      </c>
    </row>
    <row r="622" spans="1:5" x14ac:dyDescent="0.35">
      <c r="A622" s="30" t="s">
        <v>30</v>
      </c>
      <c r="B622">
        <f>-ROUND(_xlfn.XLOOKUP(E622,'[1]True-Up'!A:A,'[1]True-Up'!V:V),2)</f>
        <v>2879.84</v>
      </c>
      <c r="D622" t="s">
        <v>60</v>
      </c>
      <c r="E622" s="42" t="s">
        <v>84</v>
      </c>
    </row>
    <row r="623" spans="1:5" x14ac:dyDescent="0.35">
      <c r="A623" s="30" t="s">
        <v>30</v>
      </c>
      <c r="B623">
        <f>-ROUND(_xlfn.XLOOKUP(E623,'[1]True-Up'!A:A,'[1]True-Up'!V:V),2)</f>
        <v>464.94</v>
      </c>
      <c r="D623" t="s">
        <v>60</v>
      </c>
      <c r="E623" s="42" t="s">
        <v>85</v>
      </c>
    </row>
    <row r="624" spans="1:5" x14ac:dyDescent="0.35">
      <c r="A624" s="30" t="s">
        <v>30</v>
      </c>
      <c r="B624">
        <f>-ROUND(_xlfn.XLOOKUP(E624,'[1]True-Up'!A:A,'[1]True-Up'!V:V),2)</f>
        <v>1187.57</v>
      </c>
      <c r="D624" t="s">
        <v>60</v>
      </c>
      <c r="E624" s="42" t="s">
        <v>86</v>
      </c>
    </row>
    <row r="625" spans="1:5" x14ac:dyDescent="0.35">
      <c r="A625" s="30" t="s">
        <v>30</v>
      </c>
      <c r="B625">
        <f>-ROUND(_xlfn.XLOOKUP(E625,'[1]True-Up'!A:A,'[1]True-Up'!V:V),2)</f>
        <v>394.03</v>
      </c>
      <c r="D625" t="s">
        <v>60</v>
      </c>
      <c r="E625" s="42" t="s">
        <v>87</v>
      </c>
    </row>
    <row r="626" spans="1:5" x14ac:dyDescent="0.35">
      <c r="A626" s="30" t="s">
        <v>30</v>
      </c>
      <c r="B626">
        <f>-ROUND(_xlfn.XLOOKUP(E626,'[1]True-Up'!A:A,'[1]True-Up'!V:V),2)</f>
        <v>11406.76</v>
      </c>
      <c r="D626" t="s">
        <v>60</v>
      </c>
      <c r="E626" s="42" t="s">
        <v>88</v>
      </c>
    </row>
    <row r="627" spans="1:5" x14ac:dyDescent="0.35">
      <c r="A627" s="30" t="s">
        <v>30</v>
      </c>
      <c r="B627">
        <f>-ROUND(_xlfn.XLOOKUP(E627,'[1]True-Up'!A:A,'[1]True-Up'!V:V),2)</f>
        <v>877.8</v>
      </c>
      <c r="D627" t="s">
        <v>60</v>
      </c>
      <c r="E627" s="42" t="s">
        <v>89</v>
      </c>
    </row>
    <row r="628" spans="1:5" x14ac:dyDescent="0.35">
      <c r="A628" s="30" t="s">
        <v>30</v>
      </c>
      <c r="B628">
        <f>-ROUND(_xlfn.XLOOKUP(E628,'[1]True-Up'!A:A,'[1]True-Up'!V:V),2)</f>
        <v>371.95</v>
      </c>
      <c r="D628" t="s">
        <v>60</v>
      </c>
      <c r="E628" s="42" t="s">
        <v>90</v>
      </c>
    </row>
    <row r="629" spans="1:5" x14ac:dyDescent="0.35">
      <c r="A629" s="30" t="s">
        <v>30</v>
      </c>
      <c r="B629">
        <f>-ROUND(_xlfn.XLOOKUP(E629,'[1]True-Up'!A:A,'[1]True-Up'!V:V),2)</f>
        <v>2018.87</v>
      </c>
      <c r="D629" t="s">
        <v>60</v>
      </c>
      <c r="E629" s="42" t="s">
        <v>91</v>
      </c>
    </row>
    <row r="630" spans="1:5" x14ac:dyDescent="0.35">
      <c r="A630" s="30" t="s">
        <v>30</v>
      </c>
      <c r="B630">
        <f>-ROUND(_xlfn.XLOOKUP(E630,'[1]True-Up'!A:A,'[1]True-Up'!V:V),2)</f>
        <v>3562.72</v>
      </c>
      <c r="D630" t="s">
        <v>60</v>
      </c>
      <c r="E630" s="42" t="s">
        <v>92</v>
      </c>
    </row>
    <row r="631" spans="1:5" x14ac:dyDescent="0.35">
      <c r="A631" s="30" t="s">
        <v>30</v>
      </c>
      <c r="B631">
        <f>-ROUND(_xlfn.XLOOKUP(E631,'[1]True-Up'!A:A,'[1]True-Up'!V:V),2)</f>
        <v>743.9</v>
      </c>
      <c r="D631" t="s">
        <v>60</v>
      </c>
      <c r="E631" s="42" t="s">
        <v>93</v>
      </c>
    </row>
    <row r="632" spans="1:5" x14ac:dyDescent="0.35">
      <c r="A632" s="30" t="s">
        <v>30</v>
      </c>
      <c r="B632">
        <f>-ROUND(_xlfn.XLOOKUP(E632,'[1]True-Up'!A:A,'[1]True-Up'!V:V),2)</f>
        <v>557.91999999999996</v>
      </c>
      <c r="D632" t="s">
        <v>60</v>
      </c>
      <c r="E632" s="42" t="s">
        <v>94</v>
      </c>
    </row>
    <row r="633" spans="1:5" x14ac:dyDescent="0.35">
      <c r="A633" s="30" t="s">
        <v>30</v>
      </c>
      <c r="B633">
        <f>-ROUND(_xlfn.XLOOKUP(E633,'[1]True-Up'!A:A,'[1]True-Up'!V:V),2)</f>
        <v>2375.14</v>
      </c>
      <c r="D633" t="s">
        <v>60</v>
      </c>
      <c r="E633" s="42" t="s">
        <v>95</v>
      </c>
    </row>
    <row r="634" spans="1:5" x14ac:dyDescent="0.35">
      <c r="A634" s="30" t="s">
        <v>30</v>
      </c>
      <c r="B634">
        <f>-ROUND(_xlfn.XLOOKUP(E634,'[1]True-Up'!A:A,'[1]True-Up'!V:V),2)</f>
        <v>2375.14</v>
      </c>
      <c r="D634" t="s">
        <v>60</v>
      </c>
      <c r="E634" s="42" t="s">
        <v>96</v>
      </c>
    </row>
    <row r="635" spans="1:5" x14ac:dyDescent="0.35">
      <c r="A635" s="30" t="s">
        <v>30</v>
      </c>
      <c r="B635">
        <f>-ROUND(_xlfn.XLOOKUP(E635,'[1]True-Up'!A:A,'[1]True-Up'!V:V),2)</f>
        <v>371.95</v>
      </c>
      <c r="D635" t="s">
        <v>60</v>
      </c>
      <c r="E635" s="42" t="s">
        <v>97</v>
      </c>
    </row>
    <row r="636" spans="1:5" x14ac:dyDescent="0.35">
      <c r="A636" s="30" t="s">
        <v>30</v>
      </c>
      <c r="B636">
        <f>-ROUND(_xlfn.XLOOKUP(E636,'[1]True-Up'!A:A,'[1]True-Up'!V:V),2)</f>
        <v>475.03</v>
      </c>
      <c r="D636" t="s">
        <v>60</v>
      </c>
      <c r="E636" s="42" t="s">
        <v>98</v>
      </c>
    </row>
    <row r="637" spans="1:5" x14ac:dyDescent="0.35">
      <c r="A637" s="30" t="s">
        <v>30</v>
      </c>
      <c r="B637">
        <f>-ROUND(_xlfn.XLOOKUP(E637,'[1]True-Up'!A:A,'[1]True-Up'!V:V),2)</f>
        <v>237.51</v>
      </c>
      <c r="D637" t="s">
        <v>60</v>
      </c>
      <c r="E637" s="42" t="s">
        <v>99</v>
      </c>
    </row>
    <row r="638" spans="1:5" x14ac:dyDescent="0.35">
      <c r="A638" s="30" t="s">
        <v>30</v>
      </c>
      <c r="B638">
        <f>-ROUND(_xlfn.XLOOKUP(E638,'[1]True-Up'!A:A,'[1]True-Up'!V:V),2)</f>
        <v>0</v>
      </c>
      <c r="D638" t="s">
        <v>60</v>
      </c>
      <c r="E638" s="42" t="s">
        <v>141</v>
      </c>
    </row>
    <row r="639" spans="1:5" x14ac:dyDescent="0.35">
      <c r="A639" s="30" t="s">
        <v>30</v>
      </c>
      <c r="B639">
        <f>-ROUND(_xlfn.XLOOKUP(E639,'[1]True-Up'!A:A,'[1]True-Up'!V:V),2)</f>
        <v>371.95</v>
      </c>
      <c r="D639" t="s">
        <v>60</v>
      </c>
      <c r="E639" s="42" t="s">
        <v>100</v>
      </c>
    </row>
    <row r="640" spans="1:5" x14ac:dyDescent="0.35">
      <c r="A640" s="30" t="s">
        <v>30</v>
      </c>
      <c r="B640">
        <f>-ROUND(_xlfn.XLOOKUP(E640,'[1]True-Up'!A:A,'[1]True-Up'!V:V),2)</f>
        <v>371.95</v>
      </c>
      <c r="D640" t="s">
        <v>60</v>
      </c>
      <c r="E640" s="42" t="s">
        <v>101</v>
      </c>
    </row>
    <row r="641" spans="1:5" x14ac:dyDescent="0.35">
      <c r="A641" s="30" t="s">
        <v>30</v>
      </c>
      <c r="B641">
        <f>-ROUND(_xlfn.XLOOKUP(E641,'[1]True-Up'!A:A,'[1]True-Up'!V:V),2)</f>
        <v>464.94</v>
      </c>
      <c r="D641" t="s">
        <v>60</v>
      </c>
      <c r="E641" s="42" t="s">
        <v>102</v>
      </c>
    </row>
    <row r="642" spans="1:5" x14ac:dyDescent="0.35">
      <c r="A642" s="30" t="s">
        <v>30</v>
      </c>
      <c r="B642">
        <f>-ROUND(_xlfn.XLOOKUP(E642,'[1]True-Up'!A:A,'[1]True-Up'!V:V),2)</f>
        <v>2375.14</v>
      </c>
      <c r="D642" t="s">
        <v>60</v>
      </c>
      <c r="E642" s="42" t="s">
        <v>103</v>
      </c>
    </row>
    <row r="643" spans="1:5" x14ac:dyDescent="0.35">
      <c r="A643" s="30" t="s">
        <v>30</v>
      </c>
      <c r="B643">
        <f>-ROUND(_xlfn.XLOOKUP(E643,'[1]True-Up'!A:A,'[1]True-Up'!V:V),2)</f>
        <v>1187.57</v>
      </c>
      <c r="D643" t="s">
        <v>60</v>
      </c>
      <c r="E643" s="42" t="s">
        <v>104</v>
      </c>
    </row>
    <row r="644" spans="1:5" x14ac:dyDescent="0.35">
      <c r="A644" s="30" t="s">
        <v>30</v>
      </c>
      <c r="B644">
        <f>-ROUND(_xlfn.XLOOKUP(E644,'[1]True-Up'!A:A,'[1]True-Up'!V:V),2)</f>
        <v>3562.72</v>
      </c>
      <c r="D644" t="s">
        <v>60</v>
      </c>
      <c r="E644" s="42" t="s">
        <v>105</v>
      </c>
    </row>
    <row r="645" spans="1:5" x14ac:dyDescent="0.35">
      <c r="A645" s="30" t="s">
        <v>30</v>
      </c>
      <c r="B645">
        <f>-ROUND(_xlfn.XLOOKUP(E645,'[1]True-Up'!A:A,'[1]True-Up'!V:V),2)</f>
        <v>237.51</v>
      </c>
      <c r="D645" t="s">
        <v>60</v>
      </c>
      <c r="E645" s="42" t="s">
        <v>106</v>
      </c>
    </row>
    <row r="646" spans="1:5" x14ac:dyDescent="0.35">
      <c r="A646" s="30" t="s">
        <v>30</v>
      </c>
      <c r="B646">
        <f>-ROUND(_xlfn.XLOOKUP(E646,'[1]True-Up'!A:A,'[1]True-Up'!V:V),2)</f>
        <v>1781.36</v>
      </c>
      <c r="D646" t="s">
        <v>60</v>
      </c>
      <c r="E646" s="42" t="s">
        <v>107</v>
      </c>
    </row>
    <row r="647" spans="1:5" x14ac:dyDescent="0.35">
      <c r="A647" s="30" t="s">
        <v>30</v>
      </c>
      <c r="B647">
        <f>-ROUND(_xlfn.XLOOKUP(E647,'[1]True-Up'!A:A,'[1]True-Up'!V:V),2)</f>
        <v>557.91999999999996</v>
      </c>
      <c r="D647" t="s">
        <v>60</v>
      </c>
      <c r="E647" s="42" t="s">
        <v>108</v>
      </c>
    </row>
    <row r="648" spans="1:5" x14ac:dyDescent="0.35">
      <c r="A648" s="30" t="s">
        <v>30</v>
      </c>
      <c r="B648">
        <f>-ROUND(_xlfn.XLOOKUP(E648,'[1]True-Up'!A:A,'[1]True-Up'!V:V),2)</f>
        <v>2375.14</v>
      </c>
      <c r="D648" t="s">
        <v>60</v>
      </c>
      <c r="E648" s="42" t="s">
        <v>109</v>
      </c>
    </row>
    <row r="649" spans="1:5" x14ac:dyDescent="0.35">
      <c r="A649" s="30" t="s">
        <v>30</v>
      </c>
      <c r="B649">
        <f>-ROUND(_xlfn.XLOOKUP(E649,'[1]True-Up'!A:A,'[1]True-Up'!V:V),2)</f>
        <v>278.95999999999998</v>
      </c>
      <c r="D649" t="s">
        <v>60</v>
      </c>
      <c r="E649" s="42" t="s">
        <v>110</v>
      </c>
    </row>
    <row r="650" spans="1:5" x14ac:dyDescent="0.35">
      <c r="A650" s="30" t="s">
        <v>30</v>
      </c>
      <c r="B650">
        <f>-ROUND(_xlfn.XLOOKUP(E650,'[1]True-Up'!A:A,'[1]True-Up'!V:V),2)</f>
        <v>237.51</v>
      </c>
      <c r="D650" t="s">
        <v>60</v>
      </c>
      <c r="E650" s="42" t="s">
        <v>111</v>
      </c>
    </row>
    <row r="651" spans="1:5" x14ac:dyDescent="0.35">
      <c r="A651" s="30" t="s">
        <v>30</v>
      </c>
      <c r="B651">
        <f>-ROUND(_xlfn.XLOOKUP(E651,'[1]True-Up'!A:A,'[1]True-Up'!V:V),2)</f>
        <v>185.97</v>
      </c>
      <c r="D651" t="s">
        <v>60</v>
      </c>
      <c r="E651" s="42" t="s">
        <v>112</v>
      </c>
    </row>
    <row r="652" spans="1:5" x14ac:dyDescent="0.35">
      <c r="A652" s="30" t="s">
        <v>30</v>
      </c>
      <c r="B652">
        <f>-ROUND(_xlfn.XLOOKUP(E652,'[1]True-Up'!A:A,'[1]True-Up'!V:V),2)</f>
        <v>1859.74</v>
      </c>
      <c r="D652" t="s">
        <v>60</v>
      </c>
      <c r="E652" s="42" t="s">
        <v>113</v>
      </c>
    </row>
    <row r="653" spans="1:5" x14ac:dyDescent="0.35">
      <c r="A653" s="30" t="s">
        <v>30</v>
      </c>
      <c r="B653">
        <f>-ROUND(_xlfn.XLOOKUP(E653,'[1]True-Up'!A:A,'[1]True-Up'!V:V),2)</f>
        <v>929.87</v>
      </c>
      <c r="D653" t="s">
        <v>60</v>
      </c>
      <c r="E653" s="42" t="s">
        <v>114</v>
      </c>
    </row>
    <row r="654" spans="1:5" x14ac:dyDescent="0.35">
      <c r="A654" s="30" t="s">
        <v>30</v>
      </c>
      <c r="B654">
        <f>-ROUND(_xlfn.XLOOKUP(E654,'[1]True-Up'!A:A,'[1]True-Up'!V:V),2)</f>
        <v>185.97</v>
      </c>
      <c r="D654" t="s">
        <v>60</v>
      </c>
      <c r="E654" s="42" t="s">
        <v>116</v>
      </c>
    </row>
    <row r="655" spans="1:5" x14ac:dyDescent="0.35">
      <c r="A655" s="30" t="s">
        <v>30</v>
      </c>
      <c r="B655">
        <f>-ROUND(_xlfn.XLOOKUP(E655,'[1]True-Up'!A:A,'[1]True-Up'!V:V),2)</f>
        <v>782.58</v>
      </c>
      <c r="D655" t="s">
        <v>60</v>
      </c>
      <c r="E655" s="42" t="s">
        <v>117</v>
      </c>
    </row>
    <row r="656" spans="1:5" x14ac:dyDescent="0.35">
      <c r="A656" s="30" t="s">
        <v>30</v>
      </c>
      <c r="B656">
        <f>-ROUND(_xlfn.XLOOKUP(E656,'[1]True-Up'!A:A,'[1]True-Up'!V:V),2)</f>
        <v>2084.4</v>
      </c>
      <c r="D656" t="s">
        <v>60</v>
      </c>
      <c r="E656" s="42" t="s">
        <v>118</v>
      </c>
    </row>
    <row r="657" spans="1:5" x14ac:dyDescent="0.35">
      <c r="A657" s="30" t="s">
        <v>30</v>
      </c>
      <c r="B657">
        <f>-ROUND(_xlfn.XLOOKUP(E657,'[1]True-Up'!A:A,'[1]True-Up'!V:V),2)</f>
        <v>92.99</v>
      </c>
      <c r="D657" t="s">
        <v>60</v>
      </c>
      <c r="E657" s="42" t="s">
        <v>119</v>
      </c>
    </row>
    <row r="658" spans="1:5" x14ac:dyDescent="0.35">
      <c r="A658" s="30" t="s">
        <v>30</v>
      </c>
      <c r="B658">
        <f>-ROUND(_xlfn.XLOOKUP(E658,'[1]True-Up'!A:A,'[1]True-Up'!V:V),2)</f>
        <v>3562.72</v>
      </c>
      <c r="D658" t="s">
        <v>60</v>
      </c>
      <c r="E658" s="42" t="s">
        <v>120</v>
      </c>
    </row>
    <row r="659" spans="1:5" x14ac:dyDescent="0.35">
      <c r="A659" s="30" t="s">
        <v>30</v>
      </c>
      <c r="B659">
        <f>-ROUND(_xlfn.XLOOKUP(E659,'[1]True-Up'!A:A,'[1]True-Up'!V:V),2)</f>
        <v>2375.14</v>
      </c>
      <c r="D659" t="s">
        <v>60</v>
      </c>
      <c r="E659" s="42" t="s">
        <v>121</v>
      </c>
    </row>
    <row r="660" spans="1:5" x14ac:dyDescent="0.35">
      <c r="A660" s="30" t="s">
        <v>30</v>
      </c>
      <c r="B660">
        <f>-ROUND(_xlfn.XLOOKUP(E660,'[1]True-Up'!A:A,'[1]True-Up'!V:V),2)</f>
        <v>2375.14</v>
      </c>
      <c r="D660" t="s">
        <v>60</v>
      </c>
      <c r="E660" s="42" t="s">
        <v>122</v>
      </c>
    </row>
    <row r="661" spans="1:5" x14ac:dyDescent="0.35">
      <c r="A661" s="30" t="s">
        <v>30</v>
      </c>
      <c r="B661">
        <f>-ROUND(_xlfn.XLOOKUP(E661,'[1]True-Up'!A:A,'[1]True-Up'!V:V),2)</f>
        <v>4750.29</v>
      </c>
      <c r="D661" t="s">
        <v>60</v>
      </c>
      <c r="E661" s="42" t="s">
        <v>123</v>
      </c>
    </row>
    <row r="662" spans="1:5" x14ac:dyDescent="0.35">
      <c r="A662" s="30" t="s">
        <v>30</v>
      </c>
      <c r="B662">
        <f>-ROUND(_xlfn.XLOOKUP(E662,'[1]True-Up'!A:A,'[1]True-Up'!V:V),2)</f>
        <v>2375.14</v>
      </c>
      <c r="D662" t="s">
        <v>60</v>
      </c>
      <c r="E662" s="42" t="s">
        <v>124</v>
      </c>
    </row>
    <row r="663" spans="1:5" x14ac:dyDescent="0.35">
      <c r="A663" s="30" t="s">
        <v>30</v>
      </c>
      <c r="B663">
        <f>-ROUND(_xlfn.XLOOKUP(E663,'[1]True-Up'!A:A,'[1]True-Up'!V:V),2)</f>
        <v>1242.9100000000001</v>
      </c>
      <c r="D663" t="s">
        <v>60</v>
      </c>
      <c r="E663" s="42" t="s">
        <v>125</v>
      </c>
    </row>
    <row r="664" spans="1:5" x14ac:dyDescent="0.35">
      <c r="A664" s="30" t="s">
        <v>30</v>
      </c>
      <c r="B664">
        <f>-ROUND(_xlfn.XLOOKUP(E664,'[1]True-Up'!A:A,'[1]True-Up'!V:V),2)</f>
        <v>371.95</v>
      </c>
      <c r="D664" t="s">
        <v>60</v>
      </c>
      <c r="E664" s="42" t="s">
        <v>126</v>
      </c>
    </row>
    <row r="665" spans="1:5" x14ac:dyDescent="0.35">
      <c r="A665" s="30" t="s">
        <v>30</v>
      </c>
      <c r="B665">
        <f>-ROUND(_xlfn.XLOOKUP(E665,'[1]True-Up'!A:A,'[1]True-Up'!V:V),2)</f>
        <v>4750.29</v>
      </c>
      <c r="D665" t="s">
        <v>60</v>
      </c>
      <c r="E665" s="42" t="s">
        <v>142</v>
      </c>
    </row>
    <row r="666" spans="1:5" x14ac:dyDescent="0.35">
      <c r="A666" s="30" t="s">
        <v>30</v>
      </c>
      <c r="B666">
        <f>-ROUND(_xlfn.XLOOKUP(E666,'[1]True-Up'!A:A,'[1]True-Up'!V:V),2)</f>
        <v>2375.14</v>
      </c>
      <c r="D666" t="s">
        <v>60</v>
      </c>
      <c r="E666" s="42" t="s">
        <v>127</v>
      </c>
    </row>
    <row r="667" spans="1:5" x14ac:dyDescent="0.35">
      <c r="A667" s="30" t="s">
        <v>30</v>
      </c>
      <c r="B667">
        <f>-ROUND(_xlfn.XLOOKUP(E667,'[1]True-Up'!A:A,'[1]True-Up'!V:V),2)</f>
        <v>2375.14</v>
      </c>
      <c r="D667" t="s">
        <v>60</v>
      </c>
      <c r="E667" s="42" t="s">
        <v>128</v>
      </c>
    </row>
    <row r="668" spans="1:5" x14ac:dyDescent="0.35">
      <c r="A668" s="30" t="s">
        <v>30</v>
      </c>
      <c r="B668">
        <f>-ROUND(_xlfn.XLOOKUP(E668,'[1]True-Up'!A:A,'[1]True-Up'!V:V),2)</f>
        <v>1425.09</v>
      </c>
      <c r="D668" t="s">
        <v>60</v>
      </c>
      <c r="E668" s="42" t="s">
        <v>129</v>
      </c>
    </row>
    <row r="669" spans="1:5" x14ac:dyDescent="0.35">
      <c r="A669" s="30" t="s">
        <v>30</v>
      </c>
      <c r="B669">
        <f>-ROUND(_xlfn.XLOOKUP(E669,'[1]True-Up'!A:A,'[1]True-Up'!V:V),2)</f>
        <v>2375.14</v>
      </c>
      <c r="D669" t="s">
        <v>60</v>
      </c>
      <c r="E669" s="42" t="s">
        <v>130</v>
      </c>
    </row>
    <row r="670" spans="1:5" x14ac:dyDescent="0.35">
      <c r="A670" s="30" t="s">
        <v>30</v>
      </c>
      <c r="B670">
        <f>-ROUND(_xlfn.XLOOKUP(E670,'[1]True-Up'!A:A,'[1]True-Up'!V:V),2)</f>
        <v>47502.87</v>
      </c>
      <c r="D670" t="s">
        <v>60</v>
      </c>
      <c r="E670" s="42" t="s">
        <v>131</v>
      </c>
    </row>
    <row r="671" spans="1:5" x14ac:dyDescent="0.35">
      <c r="A671" s="30" t="s">
        <v>30</v>
      </c>
      <c r="B671">
        <f>-ROUND(_xlfn.XLOOKUP(E671,'[1]True-Up'!A:A,'[1]True-Up'!V:V),2)</f>
        <v>593.79</v>
      </c>
      <c r="D671" t="s">
        <v>60</v>
      </c>
      <c r="E671" s="42" t="s">
        <v>132</v>
      </c>
    </row>
    <row r="672" spans="1:5" x14ac:dyDescent="0.35">
      <c r="A672" s="30" t="s">
        <v>30</v>
      </c>
      <c r="B672">
        <f>-ROUND(_xlfn.XLOOKUP(E672,'[1]True-Up'!A:A,'[1]True-Up'!V:V),2)</f>
        <v>743.9</v>
      </c>
      <c r="D672" t="s">
        <v>60</v>
      </c>
      <c r="E672" s="42" t="s">
        <v>133</v>
      </c>
    </row>
    <row r="673" spans="1:5" x14ac:dyDescent="0.35">
      <c r="A673" s="30" t="s">
        <v>30</v>
      </c>
      <c r="B673">
        <f>-ROUND(_xlfn.XLOOKUP(E673,'[1]True-Up'!A:A,'[1]True-Up'!V:V),2)</f>
        <v>743.9</v>
      </c>
      <c r="D673" t="s">
        <v>60</v>
      </c>
      <c r="E673" s="42" t="s">
        <v>134</v>
      </c>
    </row>
    <row r="674" spans="1:5" x14ac:dyDescent="0.35">
      <c r="A674" s="30" t="s">
        <v>30</v>
      </c>
      <c r="B674">
        <f>-ROUND(_xlfn.XLOOKUP(E674,'[1]True-Up'!A:A,'[1]True-Up'!V:V),2)</f>
        <v>11875.72</v>
      </c>
      <c r="D674" t="s">
        <v>60</v>
      </c>
      <c r="E674" s="43" t="s">
        <v>135</v>
      </c>
    </row>
    <row r="675" spans="1:5" x14ac:dyDescent="0.35">
      <c r="A675" s="30" t="s">
        <v>30</v>
      </c>
      <c r="B675">
        <f>-ROUND(_xlfn.XLOOKUP(E675,'[1]True-Up'!A:A,'[1]True-Up'!V:V),2)</f>
        <v>17813.580000000002</v>
      </c>
      <c r="D675" t="s">
        <v>60</v>
      </c>
      <c r="E675" s="43" t="s">
        <v>136</v>
      </c>
    </row>
    <row r="676" spans="1:5" x14ac:dyDescent="0.35">
      <c r="A676" s="30" t="s">
        <v>30</v>
      </c>
      <c r="B676">
        <f>-ROUND(_xlfn.XLOOKUP(E676,'[1]True-Up'!A:A,'[1]True-Up'!V:V),2)</f>
        <v>11875.72</v>
      </c>
      <c r="D676" t="s">
        <v>60</v>
      </c>
      <c r="E676" s="43" t="s">
        <v>137</v>
      </c>
    </row>
    <row r="677" spans="1:5" x14ac:dyDescent="0.35">
      <c r="A677" s="30" t="s">
        <v>30</v>
      </c>
      <c r="B677">
        <f>-ROUND(_xlfn.XLOOKUP(E677,'[1]True-Up'!A:A,'[1]True-Up'!V:V),2)</f>
        <v>71254.31</v>
      </c>
      <c r="D677" t="s">
        <v>60</v>
      </c>
      <c r="E677" s="43" t="s">
        <v>138</v>
      </c>
    </row>
    <row r="678" spans="1:5" x14ac:dyDescent="0.35">
      <c r="A678" s="30" t="s">
        <v>30</v>
      </c>
      <c r="B678">
        <f>-ROUND(_xlfn.XLOOKUP(E678,'[1]True-Up'!A:A,'[1]True-Up'!V:V),2)</f>
        <v>23751.439999999999</v>
      </c>
      <c r="D678" t="s">
        <v>60</v>
      </c>
      <c r="E678" s="42" t="s">
        <v>7</v>
      </c>
    </row>
    <row r="679" spans="1:5" x14ac:dyDescent="0.35">
      <c r="A679" s="30" t="s">
        <v>30</v>
      </c>
      <c r="B679">
        <f>-ROUND(_xlfn.XLOOKUP(E679,'[1]True-Up'!A:A,'[1]True-Up'!V:V),2)</f>
        <v>929.87</v>
      </c>
      <c r="D679" t="s">
        <v>60</v>
      </c>
      <c r="E679" s="42" t="s">
        <v>139</v>
      </c>
    </row>
    <row r="680" spans="1:5" x14ac:dyDescent="0.35">
      <c r="A680" s="30" t="s">
        <v>24</v>
      </c>
      <c r="C680">
        <f>ROUND(_xlfn.XLOOKUP(E680,'[1]May 26 Distribution Checking'!A:A,'[1]May 26 Distribution Checking'!Y:Y),2)</f>
        <v>5107.5</v>
      </c>
      <c r="D680" t="s">
        <v>64</v>
      </c>
      <c r="E680" s="42" t="s">
        <v>50</v>
      </c>
    </row>
    <row r="681" spans="1:5" x14ac:dyDescent="0.35">
      <c r="A681" s="30" t="s">
        <v>24</v>
      </c>
      <c r="C681">
        <f>ROUND(_xlfn.XLOOKUP(E681,'[1]May 26 Distribution Checking'!A:A,'[1]May 26 Distribution Checking'!Y:Y),2)</f>
        <v>7150.49</v>
      </c>
      <c r="D681" t="s">
        <v>64</v>
      </c>
      <c r="E681" s="42" t="s">
        <v>51</v>
      </c>
    </row>
    <row r="682" spans="1:5" x14ac:dyDescent="0.35">
      <c r="A682" s="30" t="s">
        <v>24</v>
      </c>
      <c r="C682">
        <f>ROUND(_xlfn.XLOOKUP(E682,'[1]May 26 Distribution Checking'!A:A,'[1]May 26 Distribution Checking'!Y:Y),2)</f>
        <v>6128.99</v>
      </c>
      <c r="D682" t="s">
        <v>64</v>
      </c>
      <c r="E682" s="42" t="s">
        <v>53</v>
      </c>
    </row>
    <row r="683" spans="1:5" x14ac:dyDescent="0.35">
      <c r="A683" s="30" t="s">
        <v>24</v>
      </c>
      <c r="C683">
        <f>ROUND(_xlfn.XLOOKUP(E683,'[1]May 26 Distribution Checking'!A:A,'[1]May 26 Distribution Checking'!Y:Y),2)</f>
        <v>7661.24</v>
      </c>
      <c r="D683" t="s">
        <v>64</v>
      </c>
      <c r="E683" s="42" t="s">
        <v>54</v>
      </c>
    </row>
    <row r="684" spans="1:5" x14ac:dyDescent="0.35">
      <c r="A684" s="30" t="s">
        <v>24</v>
      </c>
      <c r="C684">
        <f>ROUND(_xlfn.XLOOKUP(E684,'[1]May 26 Distribution Checking'!A:A,'[1]May 26 Distribution Checking'!Y:Y),2)</f>
        <v>799.84</v>
      </c>
      <c r="D684" t="s">
        <v>64</v>
      </c>
      <c r="E684" s="42" t="s">
        <v>55</v>
      </c>
    </row>
    <row r="685" spans="1:5" x14ac:dyDescent="0.35">
      <c r="A685" s="30" t="s">
        <v>24</v>
      </c>
      <c r="C685">
        <f>ROUND(_xlfn.XLOOKUP(E685,'[1]May 26 Distribution Checking'!A:A,'[1]May 26 Distribution Checking'!Y:Y),2)</f>
        <v>1472.98</v>
      </c>
      <c r="D685" t="s">
        <v>64</v>
      </c>
      <c r="E685" s="42" t="s">
        <v>57</v>
      </c>
    </row>
    <row r="686" spans="1:5" x14ac:dyDescent="0.35">
      <c r="A686" s="30" t="s">
        <v>24</v>
      </c>
      <c r="C686">
        <f>ROUND(_xlfn.XLOOKUP(E686,'[1]May 26 Distribution Checking'!A:A,'[1]May 26 Distribution Checking'!Y:Y),2)</f>
        <v>1599.67</v>
      </c>
      <c r="D686" t="s">
        <v>64</v>
      </c>
      <c r="E686" s="42" t="s">
        <v>59</v>
      </c>
    </row>
    <row r="687" spans="1:5" x14ac:dyDescent="0.35">
      <c r="A687" s="30" t="s">
        <v>24</v>
      </c>
      <c r="C687">
        <f>ROUND(_xlfn.XLOOKUP(E687,'[1]May 26 Distribution Checking'!A:A,'[1]May 26 Distribution Checking'!Y:Y),2)</f>
        <v>5345.47</v>
      </c>
      <c r="D687" t="s">
        <v>64</v>
      </c>
      <c r="E687" s="42" t="s">
        <v>61</v>
      </c>
    </row>
    <row r="688" spans="1:5" x14ac:dyDescent="0.35">
      <c r="A688" s="30" t="s">
        <v>24</v>
      </c>
      <c r="C688">
        <f>ROUND(_xlfn.XLOOKUP(E688,'[1]May 26 Distribution Checking'!A:A,'[1]May 26 Distribution Checking'!Y:Y),2)</f>
        <v>10214.99</v>
      </c>
      <c r="D688" t="s">
        <v>64</v>
      </c>
      <c r="E688" s="42" t="s">
        <v>62</v>
      </c>
    </row>
    <row r="689" spans="1:5" x14ac:dyDescent="0.35">
      <c r="A689" s="30" t="s">
        <v>24</v>
      </c>
      <c r="C689">
        <f>ROUND(_xlfn.XLOOKUP(E689,'[1]May 26 Distribution Checking'!A:A,'[1]May 26 Distribution Checking'!Y:Y),2)</f>
        <v>3999.18</v>
      </c>
      <c r="D689" t="s">
        <v>64</v>
      </c>
      <c r="E689" s="42" t="s">
        <v>63</v>
      </c>
    </row>
    <row r="690" spans="1:5" x14ac:dyDescent="0.35">
      <c r="A690" s="30" t="s">
        <v>24</v>
      </c>
      <c r="C690">
        <f>ROUND(_xlfn.XLOOKUP(E690,'[1]May 26 Distribution Checking'!A:A,'[1]May 26 Distribution Checking'!Y:Y),2)</f>
        <v>102149.9</v>
      </c>
      <c r="D690" t="s">
        <v>64</v>
      </c>
      <c r="E690" s="42" t="s">
        <v>65</v>
      </c>
    </row>
    <row r="691" spans="1:5" x14ac:dyDescent="0.35">
      <c r="A691" s="30" t="s">
        <v>24</v>
      </c>
      <c r="C691">
        <f>ROUND(_xlfn.XLOOKUP(E691,'[1]May 26 Distribution Checking'!A:A,'[1]May 26 Distribution Checking'!Y:Y),2)</f>
        <v>9344.66</v>
      </c>
      <c r="D691" t="s">
        <v>64</v>
      </c>
      <c r="E691" s="42" t="s">
        <v>68</v>
      </c>
    </row>
    <row r="692" spans="1:5" x14ac:dyDescent="0.35">
      <c r="A692" s="30" t="s">
        <v>24</v>
      </c>
      <c r="C692">
        <f>ROUND(_xlfn.XLOOKUP(E692,'[1]May 26 Distribution Checking'!A:A,'[1]May 26 Distribution Checking'!Y:Y),2)</f>
        <v>9344.66</v>
      </c>
      <c r="D692" t="s">
        <v>64</v>
      </c>
      <c r="E692" s="42" t="s">
        <v>70</v>
      </c>
    </row>
    <row r="693" spans="1:5" x14ac:dyDescent="0.35">
      <c r="A693" s="30" t="s">
        <v>24</v>
      </c>
      <c r="C693">
        <f>ROUND(_xlfn.XLOOKUP(E693,'[1]May 26 Distribution Checking'!A:A,'[1]May 26 Distribution Checking'!Y:Y),2)</f>
        <v>799.84</v>
      </c>
      <c r="D693" t="s">
        <v>64</v>
      </c>
      <c r="E693" s="42" t="s">
        <v>72</v>
      </c>
    </row>
    <row r="694" spans="1:5" x14ac:dyDescent="0.35">
      <c r="A694" s="30" t="s">
        <v>24</v>
      </c>
      <c r="C694">
        <f>ROUND(_xlfn.XLOOKUP(E694,'[1]May 26 Distribution Checking'!A:A,'[1]May 26 Distribution Checking'!Y:Y),2)</f>
        <v>2399.5100000000002</v>
      </c>
      <c r="D694" t="s">
        <v>64</v>
      </c>
      <c r="E694" s="42" t="s">
        <v>74</v>
      </c>
    </row>
    <row r="695" spans="1:5" x14ac:dyDescent="0.35">
      <c r="A695" s="30" t="s">
        <v>24</v>
      </c>
      <c r="C695">
        <f>ROUND(_xlfn.XLOOKUP(E695,'[1]May 26 Distribution Checking'!A:A,'[1]May 26 Distribution Checking'!Y:Y),2)</f>
        <v>5107.5</v>
      </c>
      <c r="D695" t="s">
        <v>64</v>
      </c>
      <c r="E695" s="42" t="s">
        <v>76</v>
      </c>
    </row>
    <row r="696" spans="1:5" x14ac:dyDescent="0.35">
      <c r="A696" s="30" t="s">
        <v>24</v>
      </c>
      <c r="C696">
        <f>ROUND(_xlfn.XLOOKUP(E696,'[1]May 26 Distribution Checking'!A:A,'[1]May 26 Distribution Checking'!Y:Y),2)</f>
        <v>1999.59</v>
      </c>
      <c r="D696" t="s">
        <v>64</v>
      </c>
      <c r="E696" s="42" t="s">
        <v>77</v>
      </c>
    </row>
    <row r="697" spans="1:5" x14ac:dyDescent="0.35">
      <c r="A697" s="30" t="s">
        <v>24</v>
      </c>
      <c r="C697">
        <f>ROUND(_xlfn.XLOOKUP(E697,'[1]May 26 Distribution Checking'!A:A,'[1]May 26 Distribution Checking'!Y:Y),2)</f>
        <v>5107.5</v>
      </c>
      <c r="D697" t="s">
        <v>64</v>
      </c>
      <c r="E697" s="42" t="s">
        <v>78</v>
      </c>
    </row>
    <row r="698" spans="1:5" x14ac:dyDescent="0.35">
      <c r="A698" s="30" t="s">
        <v>24</v>
      </c>
      <c r="C698">
        <f>ROUND(_xlfn.XLOOKUP(E698,'[1]May 26 Distribution Checking'!A:A,'[1]May 26 Distribution Checking'!Y:Y),2)</f>
        <v>520598.24</v>
      </c>
      <c r="D698" t="s">
        <v>64</v>
      </c>
      <c r="E698" s="42" t="s">
        <v>80</v>
      </c>
    </row>
    <row r="699" spans="1:5" x14ac:dyDescent="0.35">
      <c r="A699" s="30" t="s">
        <v>24</v>
      </c>
      <c r="C699">
        <f>ROUND(_xlfn.XLOOKUP(E699,'[1]May 26 Distribution Checking'!A:A,'[1]May 26 Distribution Checking'!Y:Y),2)</f>
        <v>64621.8</v>
      </c>
      <c r="D699" t="s">
        <v>64</v>
      </c>
      <c r="E699" s="42" t="s">
        <v>82</v>
      </c>
    </row>
    <row r="700" spans="1:5" x14ac:dyDescent="0.35">
      <c r="A700" s="30" t="s">
        <v>24</v>
      </c>
      <c r="C700">
        <f>ROUND(_xlfn.XLOOKUP(E700,'[1]May 26 Distribution Checking'!A:A,'[1]May 26 Distribution Checking'!Y:Y),2)</f>
        <v>1999.59</v>
      </c>
      <c r="D700" t="s">
        <v>64</v>
      </c>
      <c r="E700" s="42" t="s">
        <v>83</v>
      </c>
    </row>
    <row r="701" spans="1:5" x14ac:dyDescent="0.35">
      <c r="A701" s="30" t="s">
        <v>24</v>
      </c>
      <c r="C701">
        <f>ROUND(_xlfn.XLOOKUP(E701,'[1]May 26 Distribution Checking'!A:A,'[1]May 26 Distribution Checking'!Y:Y),2)</f>
        <v>12385.59</v>
      </c>
      <c r="D701" t="s">
        <v>64</v>
      </c>
      <c r="E701" s="42" t="s">
        <v>84</v>
      </c>
    </row>
    <row r="702" spans="1:5" x14ac:dyDescent="0.35">
      <c r="A702" s="30" t="s">
        <v>24</v>
      </c>
      <c r="C702">
        <f>ROUND(_xlfn.XLOOKUP(E702,'[1]May 26 Distribution Checking'!A:A,'[1]May 26 Distribution Checking'!Y:Y),2)</f>
        <v>1999.59</v>
      </c>
      <c r="D702" t="s">
        <v>64</v>
      </c>
      <c r="E702" s="42" t="s">
        <v>85</v>
      </c>
    </row>
    <row r="703" spans="1:5" x14ac:dyDescent="0.35">
      <c r="A703" s="30" t="s">
        <v>24</v>
      </c>
      <c r="C703">
        <f>ROUND(_xlfn.XLOOKUP(E703,'[1]May 26 Distribution Checking'!A:A,'[1]May 26 Distribution Checking'!Y:Y),2)</f>
        <v>5107.5</v>
      </c>
      <c r="D703" t="s">
        <v>64</v>
      </c>
      <c r="E703" s="42" t="s">
        <v>86</v>
      </c>
    </row>
    <row r="704" spans="1:5" x14ac:dyDescent="0.35">
      <c r="A704" s="30" t="s">
        <v>24</v>
      </c>
      <c r="C704">
        <f>ROUND(_xlfn.XLOOKUP(E704,'[1]May 26 Distribution Checking'!A:A,'[1]May 26 Distribution Checking'!Y:Y),2)</f>
        <v>1694.64</v>
      </c>
      <c r="D704" t="s">
        <v>64</v>
      </c>
      <c r="E704" s="42" t="s">
        <v>87</v>
      </c>
    </row>
    <row r="705" spans="1:5" x14ac:dyDescent="0.35">
      <c r="A705" s="30" t="s">
        <v>24</v>
      </c>
      <c r="C705">
        <f>ROUND(_xlfn.XLOOKUP(E705,'[1]May 26 Distribution Checking'!A:A,'[1]May 26 Distribution Checking'!Y:Y),2)</f>
        <v>49058.05</v>
      </c>
      <c r="D705" t="s">
        <v>64</v>
      </c>
      <c r="E705" s="44" t="s">
        <v>88</v>
      </c>
    </row>
    <row r="706" spans="1:5" x14ac:dyDescent="0.35">
      <c r="A706" s="30" t="s">
        <v>24</v>
      </c>
      <c r="C706">
        <f>ROUND(_xlfn.XLOOKUP(E706,'[1]May 26 Distribution Checking'!A:A,'[1]May 26 Distribution Checking'!Y:Y),2)</f>
        <v>3775.22</v>
      </c>
      <c r="D706" t="s">
        <v>64</v>
      </c>
      <c r="E706" s="44" t="s">
        <v>89</v>
      </c>
    </row>
    <row r="707" spans="1:5" x14ac:dyDescent="0.35">
      <c r="A707" s="30" t="s">
        <v>24</v>
      </c>
      <c r="C707">
        <f>ROUND(_xlfn.XLOOKUP(E707,'[1]May 26 Distribution Checking'!A:A,'[1]May 26 Distribution Checking'!Y:Y),2)</f>
        <v>1599.67</v>
      </c>
      <c r="D707" t="s">
        <v>64</v>
      </c>
      <c r="E707" s="42" t="s">
        <v>90</v>
      </c>
    </row>
    <row r="708" spans="1:5" x14ac:dyDescent="0.35">
      <c r="A708" s="30" t="s">
        <v>24</v>
      </c>
      <c r="C708">
        <f>ROUND(_xlfn.XLOOKUP(E708,'[1]May 26 Distribution Checking'!A:A,'[1]May 26 Distribution Checking'!Y:Y),2)</f>
        <v>8682.74</v>
      </c>
      <c r="D708" t="s">
        <v>64</v>
      </c>
      <c r="E708" s="42" t="s">
        <v>91</v>
      </c>
    </row>
    <row r="709" spans="1:5" x14ac:dyDescent="0.35">
      <c r="A709" s="30" t="s">
        <v>24</v>
      </c>
      <c r="C709">
        <f>ROUND(_xlfn.XLOOKUP(E709,'[1]May 26 Distribution Checking'!A:A,'[1]May 26 Distribution Checking'!Y:Y),2)</f>
        <v>15322.49</v>
      </c>
      <c r="D709" t="s">
        <v>64</v>
      </c>
      <c r="E709" s="42" t="s">
        <v>92</v>
      </c>
    </row>
    <row r="710" spans="1:5" x14ac:dyDescent="0.35">
      <c r="A710" s="30" t="s">
        <v>24</v>
      </c>
      <c r="C710">
        <f>ROUND(_xlfn.XLOOKUP(E710,'[1]May 26 Distribution Checking'!A:A,'[1]May 26 Distribution Checking'!Y:Y),2)</f>
        <v>3199.35</v>
      </c>
      <c r="D710" t="s">
        <v>64</v>
      </c>
      <c r="E710" s="42" t="s">
        <v>93</v>
      </c>
    </row>
    <row r="711" spans="1:5" x14ac:dyDescent="0.35">
      <c r="A711" s="30" t="s">
        <v>24</v>
      </c>
      <c r="C711">
        <f>ROUND(_xlfn.XLOOKUP(E711,'[1]May 26 Distribution Checking'!A:A,'[1]May 26 Distribution Checking'!Y:Y),2)</f>
        <v>2399.5100000000002</v>
      </c>
      <c r="D711" t="s">
        <v>64</v>
      </c>
      <c r="E711" s="42" t="s">
        <v>94</v>
      </c>
    </row>
    <row r="712" spans="1:5" x14ac:dyDescent="0.35">
      <c r="A712" s="30" t="s">
        <v>24</v>
      </c>
      <c r="C712">
        <f>ROUND(_xlfn.XLOOKUP(E712,'[1]May 26 Distribution Checking'!A:A,'[1]May 26 Distribution Checking'!Y:Y),2)</f>
        <v>10214.99</v>
      </c>
      <c r="D712" t="s">
        <v>64</v>
      </c>
      <c r="E712" s="42" t="s">
        <v>95</v>
      </c>
    </row>
    <row r="713" spans="1:5" x14ac:dyDescent="0.35">
      <c r="A713" s="30" t="s">
        <v>24</v>
      </c>
      <c r="C713">
        <f>ROUND(_xlfn.XLOOKUP(E713,'[1]May 26 Distribution Checking'!A:A,'[1]May 26 Distribution Checking'!Y:Y),2)</f>
        <v>10214.99</v>
      </c>
      <c r="D713" t="s">
        <v>64</v>
      </c>
      <c r="E713" s="42" t="s">
        <v>96</v>
      </c>
    </row>
    <row r="714" spans="1:5" x14ac:dyDescent="0.35">
      <c r="A714" s="30" t="s">
        <v>24</v>
      </c>
      <c r="C714">
        <f>ROUND(_xlfn.XLOOKUP(E714,'[1]May 26 Distribution Checking'!A:A,'[1]May 26 Distribution Checking'!Y:Y),2)</f>
        <v>1599.67</v>
      </c>
      <c r="D714" t="s">
        <v>64</v>
      </c>
      <c r="E714" s="42" t="s">
        <v>97</v>
      </c>
    </row>
    <row r="715" spans="1:5" x14ac:dyDescent="0.35">
      <c r="A715" s="30" t="s">
        <v>24</v>
      </c>
      <c r="C715">
        <f>ROUND(_xlfn.XLOOKUP(E715,'[1]May 26 Distribution Checking'!A:A,'[1]May 26 Distribution Checking'!Y:Y),2)</f>
        <v>2043</v>
      </c>
      <c r="D715" t="s">
        <v>64</v>
      </c>
      <c r="E715" s="42" t="s">
        <v>98</v>
      </c>
    </row>
    <row r="716" spans="1:5" x14ac:dyDescent="0.35">
      <c r="A716" s="30" t="s">
        <v>24</v>
      </c>
      <c r="C716">
        <f>ROUND(_xlfn.XLOOKUP(E716,'[1]May 26 Distribution Checking'!A:A,'[1]May 26 Distribution Checking'!Y:Y),2)</f>
        <v>1021.5</v>
      </c>
      <c r="D716" t="s">
        <v>64</v>
      </c>
      <c r="E716" s="42" t="s">
        <v>99</v>
      </c>
    </row>
    <row r="717" spans="1:5" x14ac:dyDescent="0.35">
      <c r="A717" s="30" t="s">
        <v>24</v>
      </c>
      <c r="C717">
        <f>ROUND(_xlfn.XLOOKUP(E717,'[1]May 26 Distribution Checking'!A:A,'[1]May 26 Distribution Checking'!Y:Y),2)</f>
        <v>0</v>
      </c>
      <c r="D717" t="s">
        <v>64</v>
      </c>
      <c r="E717" s="42" t="s">
        <v>141</v>
      </c>
    </row>
    <row r="718" spans="1:5" x14ac:dyDescent="0.35">
      <c r="A718" s="30" t="s">
        <v>24</v>
      </c>
      <c r="C718">
        <f>ROUND(_xlfn.XLOOKUP(E718,'[1]May 26 Distribution Checking'!A:A,'[1]May 26 Distribution Checking'!Y:Y),2)</f>
        <v>1599.67</v>
      </c>
      <c r="D718" t="s">
        <v>64</v>
      </c>
      <c r="E718" s="42" t="s">
        <v>100</v>
      </c>
    </row>
    <row r="719" spans="1:5" x14ac:dyDescent="0.35">
      <c r="A719" s="30" t="s">
        <v>24</v>
      </c>
      <c r="C719">
        <f>ROUND(_xlfn.XLOOKUP(E719,'[1]May 26 Distribution Checking'!A:A,'[1]May 26 Distribution Checking'!Y:Y),2)</f>
        <v>1599.67</v>
      </c>
      <c r="D719" t="s">
        <v>64</v>
      </c>
      <c r="E719" s="42" t="s">
        <v>101</v>
      </c>
    </row>
    <row r="720" spans="1:5" x14ac:dyDescent="0.35">
      <c r="A720" s="30" t="s">
        <v>24</v>
      </c>
      <c r="C720">
        <f>ROUND(_xlfn.XLOOKUP(E720,'[1]May 26 Distribution Checking'!A:A,'[1]May 26 Distribution Checking'!Y:Y),2)</f>
        <v>1999.59</v>
      </c>
      <c r="D720" t="s">
        <v>64</v>
      </c>
      <c r="E720" s="42" t="s">
        <v>102</v>
      </c>
    </row>
    <row r="721" spans="1:5" x14ac:dyDescent="0.35">
      <c r="A721" s="30" t="s">
        <v>24</v>
      </c>
      <c r="C721">
        <f>ROUND(_xlfn.XLOOKUP(E721,'[1]May 26 Distribution Checking'!A:A,'[1]May 26 Distribution Checking'!Y:Y),2)</f>
        <v>10214.99</v>
      </c>
      <c r="D721" t="s">
        <v>64</v>
      </c>
      <c r="E721" s="42" t="s">
        <v>103</v>
      </c>
    </row>
    <row r="722" spans="1:5" x14ac:dyDescent="0.35">
      <c r="A722" s="30" t="s">
        <v>24</v>
      </c>
      <c r="C722">
        <f>ROUND(_xlfn.XLOOKUP(E722,'[1]May 26 Distribution Checking'!A:A,'[1]May 26 Distribution Checking'!Y:Y),2)</f>
        <v>5107.5</v>
      </c>
      <c r="D722" t="s">
        <v>64</v>
      </c>
      <c r="E722" s="42" t="s">
        <v>104</v>
      </c>
    </row>
    <row r="723" spans="1:5" x14ac:dyDescent="0.35">
      <c r="A723" s="30" t="s">
        <v>24</v>
      </c>
      <c r="C723">
        <f>ROUND(_xlfn.XLOOKUP(E723,'[1]May 26 Distribution Checking'!A:A,'[1]May 26 Distribution Checking'!Y:Y),2)</f>
        <v>15322.49</v>
      </c>
      <c r="D723" t="s">
        <v>64</v>
      </c>
      <c r="E723" s="42" t="s">
        <v>105</v>
      </c>
    </row>
    <row r="724" spans="1:5" x14ac:dyDescent="0.35">
      <c r="A724" s="30" t="s">
        <v>24</v>
      </c>
      <c r="C724">
        <f>ROUND(_xlfn.XLOOKUP(E724,'[1]May 26 Distribution Checking'!A:A,'[1]May 26 Distribution Checking'!Y:Y),2)</f>
        <v>1021.5</v>
      </c>
      <c r="D724" t="s">
        <v>64</v>
      </c>
      <c r="E724" s="42" t="s">
        <v>106</v>
      </c>
    </row>
    <row r="725" spans="1:5" x14ac:dyDescent="0.35">
      <c r="A725" s="30" t="s">
        <v>24</v>
      </c>
      <c r="C725">
        <f>ROUND(_xlfn.XLOOKUP(E725,'[1]May 26 Distribution Checking'!A:A,'[1]May 26 Distribution Checking'!Y:Y),2)</f>
        <v>7661.24</v>
      </c>
      <c r="D725" t="s">
        <v>64</v>
      </c>
      <c r="E725" s="42" t="s">
        <v>107</v>
      </c>
    </row>
    <row r="726" spans="1:5" x14ac:dyDescent="0.35">
      <c r="A726" s="30" t="s">
        <v>24</v>
      </c>
      <c r="C726">
        <f>ROUND(_xlfn.XLOOKUP(E726,'[1]May 26 Distribution Checking'!A:A,'[1]May 26 Distribution Checking'!Y:Y),2)</f>
        <v>2399.5100000000002</v>
      </c>
      <c r="D726" t="s">
        <v>64</v>
      </c>
      <c r="E726" s="42" t="s">
        <v>108</v>
      </c>
    </row>
    <row r="727" spans="1:5" x14ac:dyDescent="0.35">
      <c r="A727" s="30" t="s">
        <v>24</v>
      </c>
      <c r="C727">
        <f>ROUND(_xlfn.XLOOKUP(E727,'[1]May 26 Distribution Checking'!A:A,'[1]May 26 Distribution Checking'!Y:Y),2)</f>
        <v>10214.99</v>
      </c>
      <c r="D727" t="s">
        <v>64</v>
      </c>
      <c r="E727" s="42" t="s">
        <v>109</v>
      </c>
    </row>
    <row r="728" spans="1:5" x14ac:dyDescent="0.35">
      <c r="A728" s="30" t="s">
        <v>24</v>
      </c>
      <c r="C728">
        <f>ROUND(_xlfn.XLOOKUP(E728,'[1]May 26 Distribution Checking'!A:A,'[1]May 26 Distribution Checking'!Y:Y),2)</f>
        <v>1199.76</v>
      </c>
      <c r="D728" t="s">
        <v>64</v>
      </c>
      <c r="E728" s="42" t="s">
        <v>110</v>
      </c>
    </row>
    <row r="729" spans="1:5" x14ac:dyDescent="0.35">
      <c r="A729" s="30" t="s">
        <v>24</v>
      </c>
      <c r="C729">
        <f>ROUND(_xlfn.XLOOKUP(E729,'[1]May 26 Distribution Checking'!A:A,'[1]May 26 Distribution Checking'!Y:Y),2)</f>
        <v>1021.5</v>
      </c>
      <c r="D729" t="s">
        <v>64</v>
      </c>
      <c r="E729" s="42" t="s">
        <v>111</v>
      </c>
    </row>
    <row r="730" spans="1:5" x14ac:dyDescent="0.35">
      <c r="A730" s="30" t="s">
        <v>24</v>
      </c>
      <c r="C730">
        <f>ROUND(_xlfn.XLOOKUP(E730,'[1]May 26 Distribution Checking'!A:A,'[1]May 26 Distribution Checking'!Y:Y),2)</f>
        <v>799.84</v>
      </c>
      <c r="D730" t="s">
        <v>64</v>
      </c>
      <c r="E730" s="42" t="s">
        <v>112</v>
      </c>
    </row>
    <row r="731" spans="1:5" x14ac:dyDescent="0.35">
      <c r="A731" s="30" t="s">
        <v>24</v>
      </c>
      <c r="C731">
        <f>ROUND(_xlfn.XLOOKUP(E731,'[1]May 26 Distribution Checking'!A:A,'[1]May 26 Distribution Checking'!Y:Y),2)</f>
        <v>7998.37</v>
      </c>
      <c r="D731" t="s">
        <v>64</v>
      </c>
      <c r="E731" s="42" t="s">
        <v>113</v>
      </c>
    </row>
    <row r="732" spans="1:5" x14ac:dyDescent="0.35">
      <c r="A732" s="30" t="s">
        <v>24</v>
      </c>
      <c r="C732">
        <f>ROUND(_xlfn.XLOOKUP(E732,'[1]May 26 Distribution Checking'!A:A,'[1]May 26 Distribution Checking'!Y:Y),2)</f>
        <v>3999.18</v>
      </c>
      <c r="D732" t="s">
        <v>64</v>
      </c>
      <c r="E732" s="42" t="s">
        <v>114</v>
      </c>
    </row>
    <row r="733" spans="1:5" x14ac:dyDescent="0.35">
      <c r="A733" s="30" t="s">
        <v>24</v>
      </c>
      <c r="C733">
        <f>ROUND(_xlfn.XLOOKUP(E733,'[1]May 26 Distribution Checking'!A:A,'[1]May 26 Distribution Checking'!Y:Y),2)</f>
        <v>7182.81</v>
      </c>
      <c r="D733" t="s">
        <v>64</v>
      </c>
      <c r="E733" s="45" t="s">
        <v>115</v>
      </c>
    </row>
    <row r="734" spans="1:5" x14ac:dyDescent="0.35">
      <c r="A734" s="30" t="s">
        <v>24</v>
      </c>
      <c r="C734">
        <f>ROUND(_xlfn.XLOOKUP(E734,'[1]May 26 Distribution Checking'!A:A,'[1]May 26 Distribution Checking'!Y:Y),2)</f>
        <v>799.84</v>
      </c>
      <c r="D734" t="s">
        <v>64</v>
      </c>
      <c r="E734" s="42" t="s">
        <v>116</v>
      </c>
    </row>
    <row r="735" spans="1:5" x14ac:dyDescent="0.35">
      <c r="A735" s="30" t="s">
        <v>24</v>
      </c>
      <c r="C735">
        <f>ROUND(_xlfn.XLOOKUP(E735,'[1]May 26 Distribution Checking'!A:A,'[1]May 26 Distribution Checking'!Y:Y),2)</f>
        <v>3365.72</v>
      </c>
      <c r="D735" t="s">
        <v>64</v>
      </c>
      <c r="E735" s="42" t="s">
        <v>117</v>
      </c>
    </row>
    <row r="736" spans="1:5" x14ac:dyDescent="0.35">
      <c r="A736" s="30" t="s">
        <v>24</v>
      </c>
      <c r="C736">
        <f>ROUND(_xlfn.XLOOKUP(E736,'[1]May 26 Distribution Checking'!A:A,'[1]May 26 Distribution Checking'!Y:Y),2)</f>
        <v>8964.58</v>
      </c>
      <c r="D736" t="s">
        <v>64</v>
      </c>
      <c r="E736" s="42" t="s">
        <v>118</v>
      </c>
    </row>
    <row r="737" spans="1:5" x14ac:dyDescent="0.35">
      <c r="A737" s="30" t="s">
        <v>24</v>
      </c>
      <c r="C737">
        <f>ROUND(_xlfn.XLOOKUP(E737,'[1]May 26 Distribution Checking'!A:A,'[1]May 26 Distribution Checking'!Y:Y),2)</f>
        <v>399.92</v>
      </c>
      <c r="D737" t="s">
        <v>64</v>
      </c>
      <c r="E737" s="42" t="s">
        <v>119</v>
      </c>
    </row>
    <row r="738" spans="1:5" x14ac:dyDescent="0.35">
      <c r="A738" s="30" t="s">
        <v>24</v>
      </c>
      <c r="C738">
        <f>ROUND(_xlfn.XLOOKUP(E738,'[1]May 26 Distribution Checking'!A:A,'[1]May 26 Distribution Checking'!Y:Y),2)</f>
        <v>15322.49</v>
      </c>
      <c r="D738" t="s">
        <v>64</v>
      </c>
      <c r="E738" s="42" t="s">
        <v>120</v>
      </c>
    </row>
    <row r="739" spans="1:5" x14ac:dyDescent="0.35">
      <c r="A739" s="30" t="s">
        <v>24</v>
      </c>
      <c r="C739">
        <f>ROUND(_xlfn.XLOOKUP(E739,'[1]May 26 Distribution Checking'!A:A,'[1]May 26 Distribution Checking'!Y:Y),2)</f>
        <v>10214.99</v>
      </c>
      <c r="D739" t="s">
        <v>64</v>
      </c>
      <c r="E739" s="42" t="s">
        <v>121</v>
      </c>
    </row>
    <row r="740" spans="1:5" x14ac:dyDescent="0.35">
      <c r="A740" s="30" t="s">
        <v>24</v>
      </c>
      <c r="C740">
        <f>ROUND(_xlfn.XLOOKUP(E740,'[1]May 26 Distribution Checking'!A:A,'[1]May 26 Distribution Checking'!Y:Y),2)</f>
        <v>10214.99</v>
      </c>
      <c r="D740" t="s">
        <v>64</v>
      </c>
      <c r="E740" s="42" t="s">
        <v>122</v>
      </c>
    </row>
    <row r="741" spans="1:5" x14ac:dyDescent="0.35">
      <c r="A741" s="30" t="s">
        <v>24</v>
      </c>
      <c r="C741">
        <f>ROUND(_xlfn.XLOOKUP(E741,'[1]May 26 Distribution Checking'!A:A,'[1]May 26 Distribution Checking'!Y:Y),2)</f>
        <v>20429.98</v>
      </c>
      <c r="D741" t="s">
        <v>64</v>
      </c>
      <c r="E741" s="42" t="s">
        <v>123</v>
      </c>
    </row>
    <row r="742" spans="1:5" x14ac:dyDescent="0.35">
      <c r="A742" s="30" t="s">
        <v>24</v>
      </c>
      <c r="C742">
        <f>ROUND(_xlfn.XLOOKUP(E742,'[1]May 26 Distribution Checking'!A:A,'[1]May 26 Distribution Checking'!Y:Y),2)</f>
        <v>10214.99</v>
      </c>
      <c r="D742" t="s">
        <v>64</v>
      </c>
      <c r="E742" s="42" t="s">
        <v>124</v>
      </c>
    </row>
    <row r="743" spans="1:5" x14ac:dyDescent="0.35">
      <c r="A743" s="30" t="s">
        <v>24</v>
      </c>
      <c r="C743">
        <f>ROUND(_xlfn.XLOOKUP(E743,'[1]May 26 Distribution Checking'!A:A,'[1]May 26 Distribution Checking'!Y:Y),2)</f>
        <v>5345.47</v>
      </c>
      <c r="D743" t="s">
        <v>64</v>
      </c>
      <c r="E743" s="42" t="s">
        <v>125</v>
      </c>
    </row>
    <row r="744" spans="1:5" x14ac:dyDescent="0.35">
      <c r="A744" s="30" t="s">
        <v>24</v>
      </c>
      <c r="C744">
        <f>ROUND(_xlfn.XLOOKUP(E744,'[1]May 26 Distribution Checking'!A:A,'[1]May 26 Distribution Checking'!Y:Y),2)</f>
        <v>1599.67</v>
      </c>
      <c r="D744" t="s">
        <v>64</v>
      </c>
      <c r="E744" s="42" t="s">
        <v>126</v>
      </c>
    </row>
    <row r="745" spans="1:5" x14ac:dyDescent="0.35">
      <c r="A745" s="30" t="s">
        <v>24</v>
      </c>
      <c r="C745">
        <f>ROUND(_xlfn.XLOOKUP(E745,'[1]May 26 Distribution Checking'!A:A,'[1]May 26 Distribution Checking'!Y:Y),2)</f>
        <v>0</v>
      </c>
      <c r="D745" t="s">
        <v>64</v>
      </c>
      <c r="E745" s="42" t="s">
        <v>142</v>
      </c>
    </row>
    <row r="746" spans="1:5" x14ac:dyDescent="0.35">
      <c r="A746" s="30" t="s">
        <v>24</v>
      </c>
      <c r="C746">
        <f>ROUND(_xlfn.XLOOKUP(E746,'[1]May 26 Distribution Checking'!A:A,'[1]May 26 Distribution Checking'!Y:Y),2)</f>
        <v>10214.99</v>
      </c>
      <c r="D746" t="s">
        <v>64</v>
      </c>
      <c r="E746" s="42" t="s">
        <v>127</v>
      </c>
    </row>
    <row r="747" spans="1:5" x14ac:dyDescent="0.35">
      <c r="A747" s="30" t="s">
        <v>24</v>
      </c>
      <c r="C747">
        <f>ROUND(_xlfn.XLOOKUP(E747,'[1]May 26 Distribution Checking'!A:A,'[1]May 26 Distribution Checking'!Y:Y),2)</f>
        <v>10214.99</v>
      </c>
      <c r="D747" t="s">
        <v>64</v>
      </c>
      <c r="E747" s="42" t="s">
        <v>128</v>
      </c>
    </row>
    <row r="748" spans="1:5" x14ac:dyDescent="0.35">
      <c r="A748" s="30" t="s">
        <v>24</v>
      </c>
      <c r="C748">
        <f>ROUND(_xlfn.XLOOKUP(E748,'[1]May 26 Distribution Checking'!A:A,'[1]May 26 Distribution Checking'!Y:Y),2)</f>
        <v>6128.99</v>
      </c>
      <c r="D748" t="s">
        <v>64</v>
      </c>
      <c r="E748" s="42" t="s">
        <v>129</v>
      </c>
    </row>
    <row r="749" spans="1:5" x14ac:dyDescent="0.35">
      <c r="A749" s="30" t="s">
        <v>24</v>
      </c>
      <c r="C749">
        <f>ROUND(_xlfn.XLOOKUP(E749,'[1]May 26 Distribution Checking'!A:A,'[1]May 26 Distribution Checking'!Y:Y),2)</f>
        <v>10214.99</v>
      </c>
      <c r="D749" t="s">
        <v>64</v>
      </c>
      <c r="E749" s="42" t="s">
        <v>130</v>
      </c>
    </row>
    <row r="750" spans="1:5" x14ac:dyDescent="0.35">
      <c r="A750" s="30" t="s">
        <v>24</v>
      </c>
      <c r="C750">
        <f>ROUND(_xlfn.XLOOKUP(E750,'[1]May 26 Distribution Checking'!A:A,'[1]May 26 Distribution Checking'!Y:Y),2)</f>
        <v>204299.8</v>
      </c>
      <c r="D750" t="s">
        <v>64</v>
      </c>
      <c r="E750" s="42" t="s">
        <v>131</v>
      </c>
    </row>
    <row r="751" spans="1:5" x14ac:dyDescent="0.35">
      <c r="A751" s="30" t="s">
        <v>24</v>
      </c>
      <c r="C751">
        <f>ROUND(_xlfn.XLOOKUP(E751,'[1]May 26 Distribution Checking'!A:A,'[1]May 26 Distribution Checking'!Y:Y),2)</f>
        <v>2553.75</v>
      </c>
      <c r="D751" t="s">
        <v>64</v>
      </c>
      <c r="E751" s="42" t="s">
        <v>132</v>
      </c>
    </row>
    <row r="752" spans="1:5" x14ac:dyDescent="0.35">
      <c r="A752" s="30" t="s">
        <v>24</v>
      </c>
      <c r="C752">
        <f>ROUND(_xlfn.XLOOKUP(E752,'[1]May 26 Distribution Checking'!A:A,'[1]May 26 Distribution Checking'!Y:Y),2)</f>
        <v>3199.35</v>
      </c>
      <c r="D752" t="s">
        <v>64</v>
      </c>
      <c r="E752" s="42" t="s">
        <v>133</v>
      </c>
    </row>
    <row r="753" spans="1:5" x14ac:dyDescent="0.35">
      <c r="A753" s="30" t="s">
        <v>24</v>
      </c>
      <c r="C753">
        <f>ROUND(_xlfn.XLOOKUP(E753,'[1]May 26 Distribution Checking'!A:A,'[1]May 26 Distribution Checking'!Y:Y),2)</f>
        <v>3199.35</v>
      </c>
      <c r="D753" t="s">
        <v>64</v>
      </c>
      <c r="E753" s="42" t="s">
        <v>134</v>
      </c>
    </row>
    <row r="754" spans="1:5" x14ac:dyDescent="0.35">
      <c r="A754" s="30" t="s">
        <v>24</v>
      </c>
      <c r="C754">
        <f>ROUND(_xlfn.XLOOKUP(E754,'[1]May 26 Distribution Checking'!A:A,'[1]May 26 Distribution Checking'!Y:Y),2)</f>
        <v>51074.95</v>
      </c>
      <c r="D754" t="s">
        <v>64</v>
      </c>
      <c r="E754" s="42" t="s">
        <v>135</v>
      </c>
    </row>
    <row r="755" spans="1:5" x14ac:dyDescent="0.35">
      <c r="A755" s="30" t="s">
        <v>24</v>
      </c>
      <c r="C755">
        <f>ROUND(_xlfn.XLOOKUP(E755,'[1]May 26 Distribution Checking'!A:A,'[1]May 26 Distribution Checking'!Y:Y),2)</f>
        <v>76612.429999999993</v>
      </c>
      <c r="D755" t="s">
        <v>64</v>
      </c>
      <c r="E755" s="42" t="s">
        <v>136</v>
      </c>
    </row>
    <row r="756" spans="1:5" x14ac:dyDescent="0.35">
      <c r="A756" s="30" t="s">
        <v>24</v>
      </c>
      <c r="C756">
        <f>ROUND(_xlfn.XLOOKUP(E756,'[1]May 26 Distribution Checking'!A:A,'[1]May 26 Distribution Checking'!Y:Y),2)</f>
        <v>51074.95</v>
      </c>
      <c r="D756" t="s">
        <v>64</v>
      </c>
      <c r="E756" s="42" t="s">
        <v>137</v>
      </c>
    </row>
    <row r="757" spans="1:5" x14ac:dyDescent="0.35">
      <c r="A757" s="30" t="s">
        <v>24</v>
      </c>
      <c r="C757">
        <f>ROUND(_xlfn.XLOOKUP(E757,'[1]May 26 Distribution Checking'!A:A,'[1]May 26 Distribution Checking'!Y:Y),2)</f>
        <v>306449.7</v>
      </c>
      <c r="D757" t="s">
        <v>64</v>
      </c>
      <c r="E757" s="42" t="s">
        <v>138</v>
      </c>
    </row>
    <row r="758" spans="1:5" x14ac:dyDescent="0.35">
      <c r="A758" s="30" t="s">
        <v>24</v>
      </c>
      <c r="C758">
        <f>ROUND(_xlfn.XLOOKUP(E758,'[1]May 26 Distribution Checking'!A:A,'[1]May 26 Distribution Checking'!Y:Y),2)</f>
        <v>170590.34</v>
      </c>
      <c r="D758" t="s">
        <v>64</v>
      </c>
      <c r="E758" s="46" t="s">
        <v>7</v>
      </c>
    </row>
    <row r="759" spans="1:5" x14ac:dyDescent="0.35">
      <c r="A759" s="30" t="s">
        <v>24</v>
      </c>
      <c r="C759">
        <f>ROUND(_xlfn.XLOOKUP(E759,'[1]May 26 Distribution Checking'!A:A,'[1]May 26 Distribution Checking'!Y:Y),2)</f>
        <v>3999.18</v>
      </c>
      <c r="D759" t="s">
        <v>64</v>
      </c>
      <c r="E759" s="42" t="s">
        <v>139</v>
      </c>
    </row>
    <row r="760" spans="1:5" x14ac:dyDescent="0.35">
      <c r="A760" s="30" t="s">
        <v>24</v>
      </c>
      <c r="C760">
        <f>ROUND(_xlfn.XLOOKUP(E760,'[1]May 26 Distribution Checking'!A:A,'[1]May 26 Distribution Checking'!Y:Y),2)</f>
        <v>20429.98</v>
      </c>
      <c r="D760" t="s">
        <v>64</v>
      </c>
      <c r="E760" s="42" t="s">
        <v>140</v>
      </c>
    </row>
    <row r="761" spans="1:5" x14ac:dyDescent="0.35">
      <c r="A761" s="30" t="s">
        <v>24</v>
      </c>
      <c r="C761">
        <f>ROUND(_xlfn.XLOOKUP(E761,'[1]May 26 Distribution Checking'!A:A,'[1]May 26 Distribution Checking'!Y:Y),2)</f>
        <v>255.37</v>
      </c>
      <c r="D761" t="s">
        <v>64</v>
      </c>
      <c r="E761" s="42" t="s">
        <v>8</v>
      </c>
    </row>
    <row r="762" spans="1:5" x14ac:dyDescent="0.35">
      <c r="A762" s="30" t="s">
        <v>48</v>
      </c>
      <c r="B762">
        <v>126350</v>
      </c>
      <c r="D762" t="s">
        <v>69</v>
      </c>
      <c r="E762" s="42" t="s">
        <v>115</v>
      </c>
    </row>
    <row r="763" spans="1:5" x14ac:dyDescent="0.35">
      <c r="A763" s="30" t="s">
        <v>35</v>
      </c>
      <c r="C763">
        <v>5008186</v>
      </c>
      <c r="D763" t="s">
        <v>71</v>
      </c>
      <c r="E763" s="46" t="s">
        <v>7</v>
      </c>
    </row>
    <row r="764" spans="1:5" x14ac:dyDescent="0.35">
      <c r="A764" s="30" t="s">
        <v>48</v>
      </c>
      <c r="B764">
        <v>5161409.84</v>
      </c>
      <c r="D764" t="s">
        <v>73</v>
      </c>
      <c r="E764" s="46" t="s">
        <v>7</v>
      </c>
    </row>
    <row r="765" spans="1:5" x14ac:dyDescent="0.35">
      <c r="A765" s="30" t="s">
        <v>24</v>
      </c>
      <c r="B765">
        <v>320894.82</v>
      </c>
      <c r="D765" t="s">
        <v>75</v>
      </c>
      <c r="E765" s="45" t="s">
        <v>115</v>
      </c>
    </row>
    <row r="766" spans="1:5" x14ac:dyDescent="0.35">
      <c r="A766" s="30" t="s">
        <v>28</v>
      </c>
      <c r="B766" s="5">
        <v>142.85</v>
      </c>
      <c r="D766" t="s">
        <v>75</v>
      </c>
      <c r="E766" s="45" t="s">
        <v>115</v>
      </c>
    </row>
    <row r="767" spans="1:5" x14ac:dyDescent="0.35">
      <c r="A767" s="30" t="s">
        <v>30</v>
      </c>
      <c r="B767">
        <v>38696.33</v>
      </c>
      <c r="D767" t="s">
        <v>75</v>
      </c>
      <c r="E767" s="45" t="s">
        <v>115</v>
      </c>
    </row>
    <row r="768" spans="1:5" x14ac:dyDescent="0.35">
      <c r="A768" s="37" t="s">
        <v>79</v>
      </c>
      <c r="C768">
        <v>486084.34</v>
      </c>
      <c r="D768" t="s">
        <v>75</v>
      </c>
      <c r="E768" s="45" t="s">
        <v>115</v>
      </c>
    </row>
    <row r="769" spans="1:5" x14ac:dyDescent="0.35">
      <c r="A769" s="30" t="s">
        <v>30</v>
      </c>
      <c r="C769">
        <v>0.2</v>
      </c>
      <c r="D769" t="s">
        <v>143</v>
      </c>
      <c r="E769" s="45" t="s">
        <v>115</v>
      </c>
    </row>
    <row r="770" spans="1:5" x14ac:dyDescent="0.35">
      <c r="A770" s="30" t="s">
        <v>35</v>
      </c>
      <c r="B770">
        <v>255.37</v>
      </c>
      <c r="D770" t="s">
        <v>81</v>
      </c>
      <c r="E770" s="42" t="s">
        <v>8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7786F-AE75-4B82-98A7-F7EF8A768E7D}">
  <sheetPr>
    <tabColor theme="9" tint="0.39997558519241921"/>
  </sheetPr>
  <dimension ref="A1:AI99"/>
  <sheetViews>
    <sheetView topLeftCell="F40" workbookViewId="0">
      <selection activeCell="D18" sqref="D18"/>
    </sheetView>
  </sheetViews>
  <sheetFormatPr defaultRowHeight="14.5" x14ac:dyDescent="0.35"/>
  <cols>
    <col min="1" max="1" width="76.7265625" bestFit="1" customWidth="1"/>
    <col min="2" max="2" width="12.26953125" bestFit="1" customWidth="1"/>
    <col min="3" max="3" width="13.81640625" bestFit="1" customWidth="1"/>
    <col min="4" max="4" width="11" bestFit="1" customWidth="1"/>
    <col min="5" max="5" width="13.7265625" bestFit="1" customWidth="1"/>
    <col min="6" max="7" width="8.7265625" bestFit="1" customWidth="1"/>
    <col min="8" max="8" width="12.26953125" bestFit="1" customWidth="1"/>
    <col min="9" max="9" width="12.81640625" bestFit="1" customWidth="1"/>
    <col min="11" max="11" width="14.54296875" bestFit="1" customWidth="1"/>
    <col min="12" max="12" width="5" bestFit="1" customWidth="1"/>
    <col min="14" max="14" width="30.7265625" bestFit="1" customWidth="1"/>
    <col min="15" max="15" width="8.7265625" bestFit="1" customWidth="1"/>
    <col min="16" max="16" width="11.1796875" bestFit="1" customWidth="1"/>
    <col min="17" max="17" width="9.54296875" style="49" bestFit="1" customWidth="1"/>
    <col min="18" max="18" width="11" bestFit="1" customWidth="1"/>
    <col min="19" max="19" width="38" style="49" bestFit="1" customWidth="1"/>
    <col min="20" max="21" width="11.1796875" bestFit="1" customWidth="1"/>
    <col min="22" max="22" width="11.1796875" style="50" customWidth="1"/>
    <col min="24" max="24" width="21" bestFit="1" customWidth="1"/>
    <col min="25" max="25" width="7.81640625" bestFit="1" customWidth="1"/>
    <col min="26" max="26" width="10.453125" bestFit="1" customWidth="1"/>
    <col min="27" max="27" width="24.54296875" bestFit="1" customWidth="1"/>
    <col min="28" max="28" width="11.81640625" bestFit="1" customWidth="1"/>
  </cols>
  <sheetData>
    <row r="1" spans="1:28" ht="15" thickBot="1" x14ac:dyDescent="0.4">
      <c r="A1" s="47" t="s">
        <v>144</v>
      </c>
      <c r="B1" s="48">
        <v>189065693.36999997</v>
      </c>
      <c r="C1" s="48">
        <v>698301.63043474301</v>
      </c>
      <c r="D1" s="48">
        <v>8.3673512563109398E-11</v>
      </c>
      <c r="E1" s="48">
        <v>148297.21467392659</v>
      </c>
      <c r="F1" s="48"/>
      <c r="G1" s="48"/>
      <c r="H1" s="48">
        <v>144412292.21510863</v>
      </c>
      <c r="I1" s="48"/>
      <c r="K1" s="48">
        <v>-142412291.87066549</v>
      </c>
    </row>
    <row r="2" spans="1:28" ht="72.5" x14ac:dyDescent="0.35">
      <c r="C2" s="51" t="s">
        <v>145</v>
      </c>
      <c r="D2" s="51" t="s">
        <v>146</v>
      </c>
      <c r="E2" s="51" t="s">
        <v>147</v>
      </c>
      <c r="F2" s="51"/>
      <c r="G2" s="51"/>
      <c r="N2" s="52" t="s">
        <v>148</v>
      </c>
      <c r="O2" s="53"/>
      <c r="P2" s="53"/>
      <c r="Q2" s="54" t="s">
        <v>149</v>
      </c>
      <c r="R2" s="55"/>
      <c r="S2" s="56" t="s">
        <v>149</v>
      </c>
      <c r="T2" s="55"/>
      <c r="U2" s="57"/>
      <c r="X2" s="58" t="s">
        <v>150</v>
      </c>
      <c r="Y2" s="55"/>
      <c r="Z2" s="57"/>
      <c r="AB2" s="59"/>
    </row>
    <row r="3" spans="1:28" ht="116" x14ac:dyDescent="0.35">
      <c r="A3" s="60" t="s">
        <v>151</v>
      </c>
      <c r="B3" s="61" t="s">
        <v>152</v>
      </c>
      <c r="C3" s="61" t="s">
        <v>153</v>
      </c>
      <c r="D3" s="61" t="s">
        <v>154</v>
      </c>
      <c r="E3" s="61" t="s">
        <v>155</v>
      </c>
      <c r="F3" s="61" t="s">
        <v>156</v>
      </c>
      <c r="G3" s="62" t="s">
        <v>157</v>
      </c>
      <c r="H3" s="62" t="s">
        <v>158</v>
      </c>
      <c r="I3" s="62" t="s">
        <v>159</v>
      </c>
      <c r="J3" s="62"/>
      <c r="K3" s="62" t="s">
        <v>160</v>
      </c>
      <c r="L3" s="62" t="s">
        <v>161</v>
      </c>
      <c r="N3" s="63" t="s">
        <v>162</v>
      </c>
      <c r="O3" s="62" t="s">
        <v>163</v>
      </c>
      <c r="P3" s="62" t="s">
        <v>164</v>
      </c>
      <c r="Q3" s="64" t="s">
        <v>165</v>
      </c>
      <c r="R3" s="62" t="s">
        <v>166</v>
      </c>
      <c r="S3" s="64" t="s">
        <v>167</v>
      </c>
      <c r="T3" s="62" t="s">
        <v>168</v>
      </c>
      <c r="U3" s="65" t="s">
        <v>169</v>
      </c>
      <c r="V3" s="66" t="s">
        <v>170</v>
      </c>
      <c r="X3" s="63" t="s">
        <v>171</v>
      </c>
      <c r="Y3" s="62" t="s">
        <v>172</v>
      </c>
      <c r="Z3" s="65" t="s">
        <v>173</v>
      </c>
      <c r="AB3" s="67" t="s">
        <v>174</v>
      </c>
    </row>
    <row r="4" spans="1:28" x14ac:dyDescent="0.35">
      <c r="A4" s="33" t="s">
        <v>50</v>
      </c>
      <c r="B4" s="68">
        <v>500000</v>
      </c>
      <c r="C4" s="68">
        <v>-123101.892170701</v>
      </c>
      <c r="D4" s="68">
        <v>-335.39145548408851</v>
      </c>
      <c r="E4" s="68">
        <v>-12681.664368170301</v>
      </c>
      <c r="F4" s="68"/>
      <c r="G4" s="68">
        <v>5107.4950641817622</v>
      </c>
      <c r="H4" s="48">
        <v>368988.54706982634</v>
      </c>
      <c r="I4" s="48">
        <v>131011.45293017366</v>
      </c>
      <c r="J4" s="48"/>
      <c r="K4" s="68">
        <v>-363881.04808234097</v>
      </c>
      <c r="L4" s="48">
        <v>3.9233036013683886E-3</v>
      </c>
      <c r="N4" s="69"/>
      <c r="O4" s="48">
        <v>-335.39145548408851</v>
      </c>
      <c r="P4" s="48">
        <v>-12681.664368170314</v>
      </c>
      <c r="Q4" s="70">
        <v>-868.33498460019325</v>
      </c>
      <c r="R4" s="48">
        <v>-13885.3908082546</v>
      </c>
      <c r="S4" s="70"/>
      <c r="T4" s="48"/>
      <c r="U4" s="20">
        <v>-13885.390808254595</v>
      </c>
      <c r="V4" s="71">
        <f>+P4</f>
        <v>-12681.664368170314</v>
      </c>
      <c r="X4" s="69">
        <v>5107.4950641817622</v>
      </c>
      <c r="Y4" s="48">
        <v>0</v>
      </c>
      <c r="Z4" s="20">
        <v>5107.4950641817622</v>
      </c>
      <c r="AB4" s="72">
        <v>-8777.89574407283</v>
      </c>
    </row>
    <row r="5" spans="1:28" x14ac:dyDescent="0.35">
      <c r="A5" s="33" t="s">
        <v>51</v>
      </c>
      <c r="B5" s="68">
        <v>700000</v>
      </c>
      <c r="C5" s="68">
        <v>-172342.65303898125</v>
      </c>
      <c r="D5" s="68">
        <v>-469.5480376778869</v>
      </c>
      <c r="E5" s="68">
        <v>-17754.330115438439</v>
      </c>
      <c r="F5" s="68"/>
      <c r="G5" s="68">
        <v>7150.4930898544671</v>
      </c>
      <c r="H5" s="48">
        <v>516583.9618977569</v>
      </c>
      <c r="I5" s="48">
        <v>183416.0381022431</v>
      </c>
      <c r="J5" s="48"/>
      <c r="K5" s="68">
        <v>-509433.47131527797</v>
      </c>
      <c r="L5" s="48">
        <v>-2.5073755359699135E-3</v>
      </c>
      <c r="N5" s="69"/>
      <c r="O5" s="48">
        <v>-469.5480376778869</v>
      </c>
      <c r="P5" s="48">
        <v>-17754.330115438439</v>
      </c>
      <c r="Q5" s="70">
        <v>-1215.6689784402704</v>
      </c>
      <c r="R5" s="48">
        <v>-19439.547131556596</v>
      </c>
      <c r="S5" s="70"/>
      <c r="T5" s="48"/>
      <c r="U5" s="20">
        <v>-19439.547131556596</v>
      </c>
      <c r="V5" s="71">
        <f t="shared" ref="V5:V68" si="0">+P5</f>
        <v>-17754.330115438439</v>
      </c>
      <c r="X5" s="69">
        <v>7150.4930898544671</v>
      </c>
      <c r="Y5" s="48">
        <v>0</v>
      </c>
      <c r="Z5" s="20">
        <v>7150.4930898544671</v>
      </c>
      <c r="AB5" s="72">
        <v>-12289.054041702129</v>
      </c>
    </row>
    <row r="6" spans="1:28" x14ac:dyDescent="0.35">
      <c r="A6" s="33" t="s">
        <v>53</v>
      </c>
      <c r="B6" s="68">
        <v>600000</v>
      </c>
      <c r="C6" s="68">
        <v>-147722.27260484081</v>
      </c>
      <c r="D6" s="68">
        <v>-402.4697465809295</v>
      </c>
      <c r="E6" s="68">
        <v>-15217.997241804318</v>
      </c>
      <c r="F6" s="68"/>
      <c r="G6" s="68">
        <v>6128.9940770181156</v>
      </c>
      <c r="H6" s="48">
        <v>442786.25448379206</v>
      </c>
      <c r="I6" s="48">
        <v>157213.74551620794</v>
      </c>
      <c r="J6" s="48"/>
      <c r="K6" s="68">
        <v>-436657.25969880976</v>
      </c>
      <c r="L6" s="48">
        <v>7.0796417730889516E-4</v>
      </c>
      <c r="N6" s="69"/>
      <c r="O6" s="48">
        <v>-402.4697465809295</v>
      </c>
      <c r="P6" s="48">
        <v>-15217.997241804318</v>
      </c>
      <c r="Q6" s="70">
        <v>-1042.0019815202318</v>
      </c>
      <c r="R6" s="48">
        <v>-16662.46896990548</v>
      </c>
      <c r="S6" s="70"/>
      <c r="T6" s="48"/>
      <c r="U6" s="20">
        <v>-16662.46896990548</v>
      </c>
      <c r="V6" s="71">
        <f t="shared" si="0"/>
        <v>-15217.997241804318</v>
      </c>
      <c r="X6" s="69">
        <v>6128.9940770181156</v>
      </c>
      <c r="Y6" s="48">
        <v>0</v>
      </c>
      <c r="Z6" s="20">
        <v>6128.9940770181156</v>
      </c>
      <c r="AB6" s="72">
        <v>-10533.474892887363</v>
      </c>
    </row>
    <row r="7" spans="1:28" x14ac:dyDescent="0.35">
      <c r="A7" s="33" t="s">
        <v>54</v>
      </c>
      <c r="B7" s="68">
        <v>750000</v>
      </c>
      <c r="C7" s="68">
        <v>-184652.84325605107</v>
      </c>
      <c r="D7" s="68">
        <v>-503.08718322624918</v>
      </c>
      <c r="E7" s="68">
        <v>-19022.49655225547</v>
      </c>
      <c r="F7" s="68"/>
      <c r="G7" s="68">
        <v>7661.2425962726447</v>
      </c>
      <c r="H7" s="48">
        <v>553482.81560473982</v>
      </c>
      <c r="I7" s="48">
        <v>196517.18439526018</v>
      </c>
      <c r="J7" s="48"/>
      <c r="K7" s="68">
        <v>-545821.58212351205</v>
      </c>
      <c r="L7" s="48">
        <v>-9.1150448752159718E-3</v>
      </c>
      <c r="N7" s="69"/>
      <c r="O7" s="48">
        <v>-503.08718322624918</v>
      </c>
      <c r="P7" s="48">
        <v>-19022.49655225547</v>
      </c>
      <c r="Q7" s="70">
        <v>-1302.5024769002898</v>
      </c>
      <c r="R7" s="48">
        <v>-20828.086212382008</v>
      </c>
      <c r="S7" s="70"/>
      <c r="T7" s="48"/>
      <c r="U7" s="20">
        <v>-20828.086212382008</v>
      </c>
      <c r="V7" s="71">
        <f t="shared" si="0"/>
        <v>-19022.49655225547</v>
      </c>
      <c r="X7" s="69">
        <v>7661.2425962726447</v>
      </c>
      <c r="Y7" s="48">
        <v>0</v>
      </c>
      <c r="Z7" s="20">
        <v>7661.2425962726447</v>
      </c>
      <c r="AB7" s="72">
        <v>-13166.843616109363</v>
      </c>
    </row>
    <row r="8" spans="1:28" x14ac:dyDescent="0.35">
      <c r="A8" s="33" t="s">
        <v>55</v>
      </c>
      <c r="B8" s="68">
        <v>78300.320000000007</v>
      </c>
      <c r="C8" s="68">
        <v>-19495.078599613131</v>
      </c>
      <c r="D8" s="68">
        <v>-52.522516579338117</v>
      </c>
      <c r="E8" s="68">
        <v>-1985.9567563206656</v>
      </c>
      <c r="F8" s="68"/>
      <c r="G8" s="68">
        <v>799.83699584770511</v>
      </c>
      <c r="H8" s="48">
        <v>57566.599123334578</v>
      </c>
      <c r="I8" s="48">
        <v>20733.720876665429</v>
      </c>
      <c r="J8" s="48"/>
      <c r="K8" s="68">
        <v>-56766.765745219847</v>
      </c>
      <c r="L8" s="48">
        <v>-3.617732974817045E-3</v>
      </c>
      <c r="N8" s="69"/>
      <c r="O8" s="48">
        <v>-52.522516579338117</v>
      </c>
      <c r="P8" s="48">
        <v>-1985.9567563206656</v>
      </c>
      <c r="Q8" s="70">
        <v>-135.98181432278042</v>
      </c>
      <c r="R8" s="48">
        <v>-2174.461087222784</v>
      </c>
      <c r="S8" s="70"/>
      <c r="T8" s="48"/>
      <c r="U8" s="20">
        <v>-2174.461087222784</v>
      </c>
      <c r="V8" s="71">
        <f t="shared" si="0"/>
        <v>-1985.9567563206656</v>
      </c>
      <c r="X8" s="69">
        <v>799.83699584770511</v>
      </c>
      <c r="Y8" s="48">
        <v>0</v>
      </c>
      <c r="Z8" s="20">
        <v>799.83699584770511</v>
      </c>
      <c r="AB8" s="72">
        <v>-1374.6240913750789</v>
      </c>
    </row>
    <row r="9" spans="1:28" x14ac:dyDescent="0.35">
      <c r="A9" s="33" t="s">
        <v>57</v>
      </c>
      <c r="B9" s="68">
        <v>144197.96</v>
      </c>
      <c r="C9" s="68">
        <v>-36027.743025995995</v>
      </c>
      <c r="D9" s="68">
        <v>-96.725527364469599</v>
      </c>
      <c r="E9" s="68">
        <v>-3657.3402625897143</v>
      </c>
      <c r="F9" s="68"/>
      <c r="G9" s="68">
        <v>1472.9807379301585</v>
      </c>
      <c r="H9" s="48">
        <v>105889.13192197998</v>
      </c>
      <c r="I9" s="48">
        <v>38308.828078020015</v>
      </c>
      <c r="J9" s="48"/>
      <c r="K9" s="68">
        <v>-104416.1504685395</v>
      </c>
      <c r="L9" s="48">
        <v>7.1551031373928708E-4</v>
      </c>
      <c r="N9" s="69"/>
      <c r="O9" s="48">
        <v>-96.725527364469599</v>
      </c>
      <c r="P9" s="48">
        <v>-3657.3402625897143</v>
      </c>
      <c r="Q9" s="70">
        <v>-250.42426675195856</v>
      </c>
      <c r="R9" s="48">
        <v>-4004.4900567061422</v>
      </c>
      <c r="S9" s="70"/>
      <c r="T9" s="48"/>
      <c r="U9" s="20">
        <v>-4004.4900567061422</v>
      </c>
      <c r="V9" s="71">
        <f t="shared" si="0"/>
        <v>-3657.3402625897143</v>
      </c>
      <c r="X9" s="69">
        <v>1472.9807379301585</v>
      </c>
      <c r="Y9" s="48">
        <v>0</v>
      </c>
      <c r="Z9" s="20">
        <v>1472.9807379301585</v>
      </c>
      <c r="AB9" s="72">
        <v>-2531.509318775984</v>
      </c>
    </row>
    <row r="10" spans="1:28" x14ac:dyDescent="0.35">
      <c r="A10" s="33" t="s">
        <v>59</v>
      </c>
      <c r="B10" s="68">
        <v>156600.63</v>
      </c>
      <c r="C10" s="68">
        <v>-38990.165744236234</v>
      </c>
      <c r="D10" s="68">
        <v>-105.04502645085449</v>
      </c>
      <c r="E10" s="68">
        <v>-3971.9132590080408</v>
      </c>
      <c r="F10" s="68"/>
      <c r="G10" s="68">
        <v>1599.6738895455092</v>
      </c>
      <c r="H10" s="48">
        <v>115133.17985985038</v>
      </c>
      <c r="I10" s="48">
        <v>41467.450140149624</v>
      </c>
      <c r="J10" s="48"/>
      <c r="K10" s="68">
        <v>-113533.50435982952</v>
      </c>
      <c r="L10" s="48">
        <v>1.6104753558465745E-3</v>
      </c>
      <c r="N10" s="69"/>
      <c r="O10" s="48">
        <v>-105.04502645085449</v>
      </c>
      <c r="P10" s="48">
        <v>-3971.9132590080408</v>
      </c>
      <c r="Q10" s="70">
        <v>-271.96361127886109</v>
      </c>
      <c r="R10" s="48">
        <v>-4348.9218967377565</v>
      </c>
      <c r="S10" s="70"/>
      <c r="T10" s="48"/>
      <c r="U10" s="20">
        <v>-4348.9218967377565</v>
      </c>
      <c r="V10" s="71">
        <f t="shared" si="0"/>
        <v>-3971.9132590080408</v>
      </c>
      <c r="X10" s="69">
        <v>1599.6738895455092</v>
      </c>
      <c r="Y10" s="48">
        <v>0</v>
      </c>
      <c r="Z10" s="20">
        <v>1599.6738895455092</v>
      </c>
      <c r="AB10" s="72">
        <v>-2749.2480071922473</v>
      </c>
    </row>
    <row r="11" spans="1:28" x14ac:dyDescent="0.35">
      <c r="A11" s="33" t="s">
        <v>61</v>
      </c>
      <c r="B11" s="68">
        <v>523296.86</v>
      </c>
      <c r="C11" s="68">
        <v>-130540.74894085136</v>
      </c>
      <c r="D11" s="68">
        <v>-351.01859105133917</v>
      </c>
      <c r="E11" s="68">
        <v>-13272.550286874874</v>
      </c>
      <c r="F11" s="68"/>
      <c r="G11" s="68">
        <v>5345.4722591036298</v>
      </c>
      <c r="H11" s="48">
        <v>384478.01444032602</v>
      </c>
      <c r="I11" s="48">
        <v>138818.84555967397</v>
      </c>
      <c r="J11" s="48"/>
      <c r="K11" s="68">
        <v>-379132.54391151818</v>
      </c>
      <c r="L11" s="48">
        <v>-1.7302957894571591E-3</v>
      </c>
      <c r="N11" s="69"/>
      <c r="O11" s="48">
        <v>-351.01859105133917</v>
      </c>
      <c r="P11" s="48">
        <v>-13272.550286874874</v>
      </c>
      <c r="Q11" s="70">
        <v>-908.79394173885885</v>
      </c>
      <c r="R11" s="48">
        <v>-14532.362819665072</v>
      </c>
      <c r="S11" s="70"/>
      <c r="T11" s="48"/>
      <c r="U11" s="20">
        <v>-14532.362819665072</v>
      </c>
      <c r="V11" s="71">
        <f t="shared" si="0"/>
        <v>-13272.550286874874</v>
      </c>
      <c r="X11" s="69">
        <v>5345.4722591036298</v>
      </c>
      <c r="Y11" s="48">
        <v>0</v>
      </c>
      <c r="Z11" s="20">
        <v>5345.4722591036298</v>
      </c>
      <c r="AB11" s="72">
        <v>-9186.8905605614418</v>
      </c>
    </row>
    <row r="12" spans="1:28" x14ac:dyDescent="0.35">
      <c r="A12" s="33" t="s">
        <v>62</v>
      </c>
      <c r="B12" s="68">
        <v>1000000</v>
      </c>
      <c r="C12" s="68">
        <v>-246203.78434140154</v>
      </c>
      <c r="D12" s="68">
        <v>-670.78291096817702</v>
      </c>
      <c r="E12" s="68">
        <v>-25363.328736340627</v>
      </c>
      <c r="F12" s="68"/>
      <c r="G12" s="68">
        <v>10214.990128363524</v>
      </c>
      <c r="H12" s="48">
        <v>737977.09413965314</v>
      </c>
      <c r="I12" s="48">
        <v>262022.90586034686</v>
      </c>
      <c r="J12" s="48"/>
      <c r="K12" s="68">
        <v>-727762.10616468277</v>
      </c>
      <c r="L12" s="48">
        <v>-2.153393155822414E-3</v>
      </c>
      <c r="N12" s="69"/>
      <c r="O12" s="48">
        <v>-670.78291096817702</v>
      </c>
      <c r="P12" s="48">
        <v>-25363.328736340627</v>
      </c>
      <c r="Q12" s="70">
        <v>-1736.6699692003865</v>
      </c>
      <c r="R12" s="48">
        <v>-27770.78161650919</v>
      </c>
      <c r="S12" s="70"/>
      <c r="T12" s="48"/>
      <c r="U12" s="20">
        <v>-27770.78161650919</v>
      </c>
      <c r="V12" s="71">
        <f t="shared" si="0"/>
        <v>-25363.328736340627</v>
      </c>
      <c r="X12" s="69">
        <v>10214.990128363524</v>
      </c>
      <c r="Y12" s="48">
        <v>0</v>
      </c>
      <c r="Z12" s="20">
        <v>10214.990128363524</v>
      </c>
      <c r="AB12" s="72">
        <v>-17555.791488145667</v>
      </c>
    </row>
    <row r="13" spans="1:28" x14ac:dyDescent="0.35">
      <c r="A13" s="33" t="s">
        <v>63</v>
      </c>
      <c r="B13" s="68">
        <v>391501.58</v>
      </c>
      <c r="C13" s="68">
        <v>-97475.420088085521</v>
      </c>
      <c r="D13" s="68">
        <v>-262.61256948107621</v>
      </c>
      <c r="E13" s="68">
        <v>-9929.7832743366598</v>
      </c>
      <c r="F13" s="68"/>
      <c r="G13" s="68">
        <v>3999.184774938723</v>
      </c>
      <c r="H13" s="48">
        <v>287832.9488430355</v>
      </c>
      <c r="I13" s="48">
        <v>103668.63115696452</v>
      </c>
      <c r="J13" s="48"/>
      <c r="K13" s="68">
        <v>-283833.76446487888</v>
      </c>
      <c r="L13" s="48">
        <v>-3.9678210987403872E-4</v>
      </c>
      <c r="N13" s="69"/>
      <c r="O13" s="48">
        <v>-262.61256948107621</v>
      </c>
      <c r="P13" s="48">
        <v>-9929.7832743366598</v>
      </c>
      <c r="Q13" s="70">
        <v>-679.90903688050264</v>
      </c>
      <c r="R13" s="48">
        <v>-10872.304880698239</v>
      </c>
      <c r="S13" s="70"/>
      <c r="T13" s="48"/>
      <c r="U13" s="20">
        <v>-10872.304880698239</v>
      </c>
      <c r="V13" s="71">
        <f t="shared" si="0"/>
        <v>-9929.7832743366598</v>
      </c>
      <c r="X13" s="69">
        <v>3999.184774938723</v>
      </c>
      <c r="Y13" s="48">
        <v>0</v>
      </c>
      <c r="Z13" s="20">
        <v>3999.184774938723</v>
      </c>
      <c r="AB13" s="72">
        <v>-6873.1201057595154</v>
      </c>
    </row>
    <row r="14" spans="1:28" x14ac:dyDescent="0.35">
      <c r="A14" s="33" t="s">
        <v>65</v>
      </c>
      <c r="B14" s="68">
        <v>10000000</v>
      </c>
      <c r="C14" s="68">
        <v>-2462037.8734140135</v>
      </c>
      <c r="D14" s="68">
        <v>-6707.8291096817702</v>
      </c>
      <c r="E14" s="68">
        <v>-253633.28736340627</v>
      </c>
      <c r="F14" s="68"/>
      <c r="G14" s="68">
        <v>102149.90128363525</v>
      </c>
      <c r="H14" s="48">
        <v>7379770.9113965333</v>
      </c>
      <c r="I14" s="48">
        <v>2620229.0886034667</v>
      </c>
      <c r="J14" s="48"/>
      <c r="K14" s="68">
        <v>-7277621.0116468277</v>
      </c>
      <c r="L14" s="48">
        <v>-1.5339296805905178E-3</v>
      </c>
      <c r="N14" s="69"/>
      <c r="O14" s="48">
        <v>-6707.8291096817702</v>
      </c>
      <c r="P14" s="48">
        <v>-253633.28736340627</v>
      </c>
      <c r="Q14" s="70">
        <v>-17366.699692003865</v>
      </c>
      <c r="R14" s="48">
        <v>-277707.81616509194</v>
      </c>
      <c r="S14" s="70"/>
      <c r="T14" s="48"/>
      <c r="U14" s="20">
        <v>-277707.81616509194</v>
      </c>
      <c r="V14" s="71">
        <f t="shared" si="0"/>
        <v>-253633.28736340627</v>
      </c>
      <c r="X14" s="69">
        <v>102149.90128363525</v>
      </c>
      <c r="Y14" s="48">
        <v>0</v>
      </c>
      <c r="Z14" s="20">
        <v>102149.90128363525</v>
      </c>
      <c r="AB14" s="72">
        <v>-175557.9148814567</v>
      </c>
    </row>
    <row r="15" spans="1:28" x14ac:dyDescent="0.35">
      <c r="A15" s="33" t="s">
        <v>68</v>
      </c>
      <c r="B15" s="68">
        <v>914798.44</v>
      </c>
      <c r="C15" s="68">
        <v>-228016.15902893676</v>
      </c>
      <c r="D15" s="68">
        <v>-613.63116053270642</v>
      </c>
      <c r="E15" s="68">
        <v>-23202.333561211475</v>
      </c>
      <c r="F15" s="68"/>
      <c r="G15" s="68">
        <v>9344.6570340423514</v>
      </c>
      <c r="H15" s="48">
        <v>672310.97328336141</v>
      </c>
      <c r="I15" s="48">
        <v>242487.46671663853</v>
      </c>
      <c r="J15" s="48"/>
      <c r="K15" s="68">
        <v>-662966.3183763969</v>
      </c>
      <c r="L15" s="48">
        <v>-2.1270778397592949E-3</v>
      </c>
      <c r="N15" s="69"/>
      <c r="O15" s="48">
        <v>-613.63116053270642</v>
      </c>
      <c r="P15" s="48">
        <v>-23202.333561211475</v>
      </c>
      <c r="Q15" s="70">
        <v>-1588.7029786193614</v>
      </c>
      <c r="R15" s="48">
        <v>-25404.667700363541</v>
      </c>
      <c r="S15" s="70"/>
      <c r="T15" s="48"/>
      <c r="U15" s="20">
        <v>-25404.667700363541</v>
      </c>
      <c r="V15" s="71">
        <f t="shared" si="0"/>
        <v>-23202.333561211475</v>
      </c>
      <c r="X15" s="69">
        <v>9344.6570340423514</v>
      </c>
      <c r="Y15" s="48">
        <v>0</v>
      </c>
      <c r="Z15" s="20">
        <v>9344.6570340423514</v>
      </c>
      <c r="AB15" s="72">
        <v>-16060.01066632119</v>
      </c>
    </row>
    <row r="16" spans="1:28" x14ac:dyDescent="0.35">
      <c r="A16" s="33" t="s">
        <v>70</v>
      </c>
      <c r="B16" s="68">
        <v>914798.44</v>
      </c>
      <c r="C16" s="68">
        <v>-228016.15902893676</v>
      </c>
      <c r="D16" s="68">
        <v>-613.63116053270642</v>
      </c>
      <c r="E16" s="68">
        <v>-23202.333561211475</v>
      </c>
      <c r="F16" s="68"/>
      <c r="G16" s="68">
        <v>9344.6570340423514</v>
      </c>
      <c r="H16" s="48">
        <v>672310.97328336141</v>
      </c>
      <c r="I16" s="48">
        <v>242487.46671663853</v>
      </c>
      <c r="J16" s="48"/>
      <c r="K16" s="68">
        <v>-662966.3183763969</v>
      </c>
      <c r="L16" s="48">
        <v>-2.1270778397592949E-3</v>
      </c>
      <c r="N16" s="69"/>
      <c r="O16" s="48">
        <v>-613.63116053270642</v>
      </c>
      <c r="P16" s="48">
        <v>-23202.333561211475</v>
      </c>
      <c r="Q16" s="70">
        <v>-1588.7029786193614</v>
      </c>
      <c r="R16" s="48">
        <v>-25404.667700363541</v>
      </c>
      <c r="S16" s="70"/>
      <c r="T16" s="48"/>
      <c r="U16" s="20">
        <v>-25404.667700363541</v>
      </c>
      <c r="V16" s="71">
        <f t="shared" si="0"/>
        <v>-23202.333561211475</v>
      </c>
      <c r="X16" s="69">
        <v>9344.6570340423514</v>
      </c>
      <c r="Y16" s="48">
        <v>0</v>
      </c>
      <c r="Z16" s="20">
        <v>9344.6570340423514</v>
      </c>
      <c r="AB16" s="72">
        <v>-16060.01066632119</v>
      </c>
    </row>
    <row r="17" spans="1:28" x14ac:dyDescent="0.35">
      <c r="A17" s="33" t="s">
        <v>72</v>
      </c>
      <c r="B17" s="68">
        <v>78300.320000000007</v>
      </c>
      <c r="C17" s="68">
        <v>-19495.078599613131</v>
      </c>
      <c r="D17" s="68">
        <v>-52.522516579338117</v>
      </c>
      <c r="E17" s="68">
        <v>-1985.9567563206656</v>
      </c>
      <c r="F17" s="68"/>
      <c r="G17" s="68">
        <v>799.83699584770511</v>
      </c>
      <c r="H17" s="48">
        <v>57566.599123334578</v>
      </c>
      <c r="I17" s="48">
        <v>20733.720876665429</v>
      </c>
      <c r="J17" s="48"/>
      <c r="K17" s="68">
        <v>-56766.765745219847</v>
      </c>
      <c r="L17" s="48">
        <v>-3.617732974817045E-3</v>
      </c>
      <c r="N17" s="69"/>
      <c r="O17" s="48">
        <v>-52.522516579338117</v>
      </c>
      <c r="P17" s="48">
        <v>-1985.9567563206656</v>
      </c>
      <c r="Q17" s="70">
        <v>-135.98181432278042</v>
      </c>
      <c r="R17" s="48">
        <v>-2174.461087222784</v>
      </c>
      <c r="S17" s="70"/>
      <c r="T17" s="48"/>
      <c r="U17" s="20">
        <v>-2174.461087222784</v>
      </c>
      <c r="V17" s="71">
        <f t="shared" si="0"/>
        <v>-1985.9567563206656</v>
      </c>
      <c r="X17" s="69">
        <v>799.83699584770511</v>
      </c>
      <c r="Y17" s="48">
        <v>0</v>
      </c>
      <c r="Z17" s="20">
        <v>799.83699584770511</v>
      </c>
      <c r="AB17" s="72">
        <v>-1374.6240913750789</v>
      </c>
    </row>
    <row r="18" spans="1:28" x14ac:dyDescent="0.35">
      <c r="A18" s="33" t="s">
        <v>74</v>
      </c>
      <c r="B18" s="68">
        <v>234900.95</v>
      </c>
      <c r="C18" s="68">
        <v>-58485.244343849336</v>
      </c>
      <c r="D18" s="68">
        <v>-157.56754303025082</v>
      </c>
      <c r="E18" s="68">
        <v>-5957.8700153286627</v>
      </c>
      <c r="F18" s="68"/>
      <c r="G18" s="68">
        <v>2399.5108853932143</v>
      </c>
      <c r="H18" s="48">
        <v>172699.77898318498</v>
      </c>
      <c r="I18" s="48">
        <v>62201.171016815031</v>
      </c>
      <c r="J18" s="48"/>
      <c r="K18" s="68">
        <v>-170300.27010504936</v>
      </c>
      <c r="L18" s="48">
        <v>-2.0072575971425977E-3</v>
      </c>
      <c r="N18" s="69"/>
      <c r="O18" s="48">
        <v>-157.56754303025082</v>
      </c>
      <c r="P18" s="48">
        <v>-5957.8700153286627</v>
      </c>
      <c r="Q18" s="70">
        <v>-407.94542560164149</v>
      </c>
      <c r="R18" s="48">
        <v>-6523.3829839605551</v>
      </c>
      <c r="S18" s="70"/>
      <c r="T18" s="48"/>
      <c r="U18" s="20">
        <v>-6523.3829839605551</v>
      </c>
      <c r="V18" s="71">
        <f t="shared" si="0"/>
        <v>-5957.8700153286627</v>
      </c>
      <c r="X18" s="69">
        <v>2399.5108853932143</v>
      </c>
      <c r="Y18" s="48">
        <v>0</v>
      </c>
      <c r="Z18" s="20">
        <v>2399.5108853932143</v>
      </c>
      <c r="AB18" s="72">
        <v>-4123.8720985673408</v>
      </c>
    </row>
    <row r="19" spans="1:28" x14ac:dyDescent="0.35">
      <c r="A19" s="33" t="s">
        <v>76</v>
      </c>
      <c r="B19" s="68">
        <v>500000</v>
      </c>
      <c r="C19" s="68">
        <v>-123101.89217070077</v>
      </c>
      <c r="D19" s="68">
        <v>-335.39145548408851</v>
      </c>
      <c r="E19" s="68">
        <v>-12681.664368170314</v>
      </c>
      <c r="F19" s="68"/>
      <c r="G19" s="68">
        <v>5107.4950641817622</v>
      </c>
      <c r="H19" s="48">
        <v>368988.54706982657</v>
      </c>
      <c r="I19" s="48">
        <v>131011.45293017343</v>
      </c>
      <c r="J19" s="48"/>
      <c r="K19" s="68">
        <v>-363881.04808234138</v>
      </c>
      <c r="L19" s="48">
        <v>3.9233034267454059E-3</v>
      </c>
      <c r="N19" s="69"/>
      <c r="O19" s="48">
        <v>-335.39145548408851</v>
      </c>
      <c r="P19" s="48">
        <v>-12681.664368170314</v>
      </c>
      <c r="Q19" s="70">
        <v>-868.33498460019325</v>
      </c>
      <c r="R19" s="48">
        <v>-13885.390808254595</v>
      </c>
      <c r="S19" s="70"/>
      <c r="T19" s="48"/>
      <c r="U19" s="20">
        <v>-13885.390808254595</v>
      </c>
      <c r="V19" s="71">
        <f t="shared" si="0"/>
        <v>-12681.664368170314</v>
      </c>
      <c r="X19" s="69">
        <v>5107.4950641817622</v>
      </c>
      <c r="Y19" s="48">
        <v>0</v>
      </c>
      <c r="Z19" s="20">
        <v>5107.4950641817622</v>
      </c>
      <c r="AB19" s="72">
        <v>-8777.8957440728336</v>
      </c>
    </row>
    <row r="20" spans="1:28" x14ac:dyDescent="0.35">
      <c r="A20" s="33" t="s">
        <v>77</v>
      </c>
      <c r="B20" s="68">
        <v>195750.79</v>
      </c>
      <c r="C20" s="68">
        <v>-48737.695044042775</v>
      </c>
      <c r="D20" s="68">
        <v>-131.3062847405381</v>
      </c>
      <c r="E20" s="68">
        <v>-4964.8916371683299</v>
      </c>
      <c r="F20" s="68"/>
      <c r="G20" s="68">
        <v>1999.5923874693615</v>
      </c>
      <c r="H20" s="48">
        <v>143916.48942151773</v>
      </c>
      <c r="I20" s="48">
        <v>51834.300578482274</v>
      </c>
      <c r="J20" s="48"/>
      <c r="K20" s="68">
        <v>-141916.89723243946</v>
      </c>
      <c r="L20" s="48">
        <v>-1.9839108404084982E-4</v>
      </c>
      <c r="N20" s="69"/>
      <c r="O20" s="48">
        <v>-131.3062847405381</v>
      </c>
      <c r="P20" s="48">
        <v>-4964.8916371683299</v>
      </c>
      <c r="Q20" s="70">
        <v>-339.95451844025132</v>
      </c>
      <c r="R20" s="48">
        <v>-5436.1524403491194</v>
      </c>
      <c r="S20" s="70"/>
      <c r="T20" s="48"/>
      <c r="U20" s="20">
        <v>-5436.1524403491194</v>
      </c>
      <c r="V20" s="71">
        <f t="shared" si="0"/>
        <v>-4964.8916371683299</v>
      </c>
      <c r="X20" s="69">
        <v>1999.5923874693615</v>
      </c>
      <c r="Y20" s="48">
        <v>0</v>
      </c>
      <c r="Z20" s="20">
        <v>1999.5923874693615</v>
      </c>
      <c r="AB20" s="72">
        <v>-3436.5600528797577</v>
      </c>
    </row>
    <row r="21" spans="1:28" x14ac:dyDescent="0.35">
      <c r="A21" s="33" t="s">
        <v>78</v>
      </c>
      <c r="B21" s="68">
        <v>500000</v>
      </c>
      <c r="C21" s="68">
        <v>-119426.6121707008</v>
      </c>
      <c r="D21" s="68">
        <v>-335.39145548408851</v>
      </c>
      <c r="E21" s="68">
        <v>-12681.664368170314</v>
      </c>
      <c r="F21" s="68"/>
      <c r="G21" s="68">
        <v>5107.4950641817622</v>
      </c>
      <c r="H21" s="48">
        <v>372663.82706982654</v>
      </c>
      <c r="I21" s="48">
        <v>127336.17293017346</v>
      </c>
      <c r="J21" s="48"/>
      <c r="K21" s="68">
        <v>-367556.32808234141</v>
      </c>
      <c r="L21" s="48">
        <v>3.923303368537745E-3</v>
      </c>
      <c r="N21" s="69"/>
      <c r="O21" s="48">
        <v>-335.39145548408851</v>
      </c>
      <c r="P21" s="48">
        <v>-12681.664368170314</v>
      </c>
      <c r="Q21" s="70">
        <v>-868.33498460019325</v>
      </c>
      <c r="R21" s="48">
        <v>-13885.390808254595</v>
      </c>
      <c r="S21" s="70"/>
      <c r="T21" s="48"/>
      <c r="U21" s="20">
        <v>-13885.390808254595</v>
      </c>
      <c r="V21" s="71">
        <f t="shared" si="0"/>
        <v>-12681.664368170314</v>
      </c>
      <c r="X21" s="69">
        <v>5107.4950641817622</v>
      </c>
      <c r="Y21" s="48">
        <v>0</v>
      </c>
      <c r="Z21" s="20">
        <v>5107.4950641817622</v>
      </c>
      <c r="AB21" s="72">
        <v>-8777.8957440728336</v>
      </c>
    </row>
    <row r="22" spans="1:28" x14ac:dyDescent="0.35">
      <c r="A22" s="33" t="s">
        <v>80</v>
      </c>
      <c r="B22" s="68">
        <v>50964145.409999996</v>
      </c>
      <c r="C22" s="68">
        <v>-12688968.604265422</v>
      </c>
      <c r="D22" s="68">
        <v>-34185.877813123167</v>
      </c>
      <c r="E22" s="68">
        <v>-1292620.3738004938</v>
      </c>
      <c r="F22" s="68"/>
      <c r="G22" s="68">
        <v>520598.24226363329</v>
      </c>
      <c r="H22" s="48">
        <v>37468968.796384588</v>
      </c>
      <c r="I22" s="48">
        <v>13495176.613615409</v>
      </c>
      <c r="J22" s="48"/>
      <c r="K22" s="68">
        <v>-36948370.494019248</v>
      </c>
      <c r="L22" s="48">
        <v>6.0101707000285387E-2</v>
      </c>
      <c r="N22" s="69"/>
      <c r="O22" s="48">
        <v>-34185.877813123167</v>
      </c>
      <c r="P22" s="48">
        <v>-1292620.3738004938</v>
      </c>
      <c r="Q22" s="70">
        <v>-88507.9008395087</v>
      </c>
      <c r="R22" s="48">
        <v>-1415314.1524531257</v>
      </c>
      <c r="S22" s="70"/>
      <c r="T22" s="48"/>
      <c r="U22" s="20">
        <v>-1415314.1524531257</v>
      </c>
      <c r="V22" s="71">
        <f t="shared" si="0"/>
        <v>-1292620.3738004938</v>
      </c>
      <c r="X22" s="69">
        <v>520598.24226363329</v>
      </c>
      <c r="Y22" s="48">
        <v>0</v>
      </c>
      <c r="Z22" s="20">
        <v>520598.24226363329</v>
      </c>
      <c r="AB22" s="72">
        <v>-894715.9101894924</v>
      </c>
    </row>
    <row r="23" spans="1:28" x14ac:dyDescent="0.35">
      <c r="A23" s="33" t="s">
        <v>82</v>
      </c>
      <c r="B23" s="68">
        <v>6326173.3799999999</v>
      </c>
      <c r="C23" s="68">
        <v>-1587135.7170759151</v>
      </c>
      <c r="D23" s="68">
        <v>-4243.4889951255172</v>
      </c>
      <c r="E23" s="68">
        <v>-160452.8150800271</v>
      </c>
      <c r="F23" s="68"/>
      <c r="G23" s="68">
        <v>64621.798627016113</v>
      </c>
      <c r="H23" s="48">
        <v>4638963.1574759483</v>
      </c>
      <c r="I23" s="48">
        <v>1687210.2225240516</v>
      </c>
      <c r="J23" s="48"/>
      <c r="K23" s="68">
        <v>-4574341.3597819293</v>
      </c>
      <c r="L23" s="48">
        <v>-9.329970707767643E-4</v>
      </c>
      <c r="N23" s="69"/>
      <c r="O23" s="48">
        <v>-4243.4889951255172</v>
      </c>
      <c r="P23" s="48">
        <v>-160452.8150800271</v>
      </c>
      <c r="Q23" s="70">
        <v>-10986.475329000905</v>
      </c>
      <c r="R23" s="48">
        <v>-175682.77940415352</v>
      </c>
      <c r="S23" s="70"/>
      <c r="T23" s="48"/>
      <c r="U23" s="20">
        <v>-175682.77940415352</v>
      </c>
      <c r="V23" s="71">
        <f t="shared" si="0"/>
        <v>-160452.8150800271</v>
      </c>
      <c r="X23" s="69">
        <v>64621.798627016113</v>
      </c>
      <c r="Y23" s="48">
        <v>0</v>
      </c>
      <c r="Z23" s="20">
        <v>64621.798627016113</v>
      </c>
      <c r="AB23" s="72">
        <v>-111060.98077713742</v>
      </c>
    </row>
    <row r="24" spans="1:28" x14ac:dyDescent="0.35">
      <c r="A24" s="33" t="s">
        <v>83</v>
      </c>
      <c r="B24" s="68">
        <v>195750.79</v>
      </c>
      <c r="C24" s="68">
        <v>-48737.695044042775</v>
      </c>
      <c r="D24" s="68">
        <v>-131.3062847405381</v>
      </c>
      <c r="E24" s="68">
        <v>-4964.8916371683299</v>
      </c>
      <c r="F24" s="68"/>
      <c r="G24" s="68">
        <v>1999.5923874693615</v>
      </c>
      <c r="H24" s="48">
        <v>143916.48942151773</v>
      </c>
      <c r="I24" s="48">
        <v>51834.300578482274</v>
      </c>
      <c r="J24" s="48"/>
      <c r="K24" s="68">
        <v>-141916.89723243946</v>
      </c>
      <c r="L24" s="48">
        <v>-1.9839108404084982E-4</v>
      </c>
      <c r="N24" s="69"/>
      <c r="O24" s="48">
        <v>-131.3062847405381</v>
      </c>
      <c r="P24" s="48">
        <v>-4964.8916371683299</v>
      </c>
      <c r="Q24" s="70">
        <v>-339.95451844025132</v>
      </c>
      <c r="R24" s="48">
        <v>-5436.1524403491194</v>
      </c>
      <c r="S24" s="70"/>
      <c r="T24" s="48"/>
      <c r="U24" s="20">
        <v>-5436.1524403491194</v>
      </c>
      <c r="V24" s="71">
        <f t="shared" si="0"/>
        <v>-4964.8916371683299</v>
      </c>
      <c r="X24" s="69">
        <v>1999.5923874693615</v>
      </c>
      <c r="Y24" s="48">
        <v>0</v>
      </c>
      <c r="Z24" s="20">
        <v>1999.5923874693615</v>
      </c>
      <c r="AB24" s="72">
        <v>-3436.5600528797577</v>
      </c>
    </row>
    <row r="25" spans="1:28" x14ac:dyDescent="0.35">
      <c r="A25" s="33" t="s">
        <v>84</v>
      </c>
      <c r="B25" s="68">
        <v>1212491.3600000001</v>
      </c>
      <c r="C25" s="68">
        <v>-301499.48274222563</v>
      </c>
      <c r="D25" s="68">
        <v>-813.3184839845635</v>
      </c>
      <c r="E25" s="68">
        <v>-30752.816953652655</v>
      </c>
      <c r="F25" s="68"/>
      <c r="G25" s="68">
        <v>12385.587273126066</v>
      </c>
      <c r="H25" s="48">
        <v>891811.32909326337</v>
      </c>
      <c r="I25" s="48">
        <v>320680.03090673673</v>
      </c>
      <c r="J25" s="48"/>
      <c r="K25" s="68">
        <v>-879425.74416282435</v>
      </c>
      <c r="L25" s="48">
        <v>-2.342687052077963E-3</v>
      </c>
      <c r="N25" s="69"/>
      <c r="O25" s="48">
        <v>-813.3184839845635</v>
      </c>
      <c r="P25" s="48">
        <v>-30752.816953652655</v>
      </c>
      <c r="Q25" s="70">
        <v>-2105.6973328269351</v>
      </c>
      <c r="R25" s="48">
        <v>-33671.832770464156</v>
      </c>
      <c r="S25" s="70"/>
      <c r="T25" s="48"/>
      <c r="U25" s="20">
        <v>-33671.832770464156</v>
      </c>
      <c r="V25" s="71">
        <f t="shared" si="0"/>
        <v>-30752.816953652655</v>
      </c>
      <c r="X25" s="69">
        <v>12385.587273126066</v>
      </c>
      <c r="Y25" s="48">
        <v>0</v>
      </c>
      <c r="Z25" s="20">
        <v>12385.587273126066</v>
      </c>
      <c r="AB25" s="72">
        <v>-21286.245497338088</v>
      </c>
    </row>
    <row r="26" spans="1:28" x14ac:dyDescent="0.35">
      <c r="A26" s="33" t="s">
        <v>85</v>
      </c>
      <c r="B26" s="68">
        <v>195750.79</v>
      </c>
      <c r="C26" s="68">
        <v>-48737.695044042775</v>
      </c>
      <c r="D26" s="68">
        <v>-131.3062847405381</v>
      </c>
      <c r="E26" s="68">
        <v>-4964.8916371683299</v>
      </c>
      <c r="F26" s="68"/>
      <c r="G26" s="68">
        <v>1999.5923874693615</v>
      </c>
      <c r="H26" s="48">
        <v>143916.48942151773</v>
      </c>
      <c r="I26" s="48">
        <v>51834.300578482274</v>
      </c>
      <c r="J26" s="48"/>
      <c r="K26" s="68">
        <v>-141916.89723243946</v>
      </c>
      <c r="L26" s="48">
        <v>-1.9839108404084982E-4</v>
      </c>
      <c r="N26" s="69"/>
      <c r="O26" s="48">
        <v>-131.3062847405381</v>
      </c>
      <c r="P26" s="48">
        <v>-4964.8916371683299</v>
      </c>
      <c r="Q26" s="70">
        <v>-339.95451844025132</v>
      </c>
      <c r="R26" s="48">
        <v>-5436.1524403491194</v>
      </c>
      <c r="S26" s="70"/>
      <c r="T26" s="48"/>
      <c r="U26" s="20">
        <v>-5436.1524403491194</v>
      </c>
      <c r="V26" s="71">
        <f t="shared" si="0"/>
        <v>-4964.8916371683299</v>
      </c>
      <c r="X26" s="69">
        <v>1999.5923874693615</v>
      </c>
      <c r="Y26" s="48">
        <v>0</v>
      </c>
      <c r="Z26" s="20">
        <v>1999.5923874693615</v>
      </c>
      <c r="AB26" s="72">
        <v>-3436.5600528797577</v>
      </c>
    </row>
    <row r="27" spans="1:28" x14ac:dyDescent="0.35">
      <c r="A27" s="33" t="s">
        <v>86</v>
      </c>
      <c r="B27" s="68">
        <v>500000</v>
      </c>
      <c r="C27" s="68">
        <v>-123101.89217070077</v>
      </c>
      <c r="D27" s="68">
        <v>-335.39145548408851</v>
      </c>
      <c r="E27" s="68">
        <v>-12681.664368170314</v>
      </c>
      <c r="F27" s="68"/>
      <c r="G27" s="68">
        <v>5107.4950641817622</v>
      </c>
      <c r="H27" s="48">
        <v>368988.54706982657</v>
      </c>
      <c r="I27" s="48">
        <v>131011.45293017343</v>
      </c>
      <c r="J27" s="48"/>
      <c r="K27" s="68">
        <v>-363881.04808234138</v>
      </c>
      <c r="L27" s="48">
        <v>3.9233034267454059E-3</v>
      </c>
      <c r="N27" s="69"/>
      <c r="O27" s="48">
        <v>-335.39145548408851</v>
      </c>
      <c r="P27" s="48">
        <v>-12681.664368170314</v>
      </c>
      <c r="Q27" s="70">
        <v>-868.33498460019325</v>
      </c>
      <c r="R27" s="48">
        <v>-13885.390808254595</v>
      </c>
      <c r="S27" s="70"/>
      <c r="T27" s="48"/>
      <c r="U27" s="20">
        <v>-13885.390808254595</v>
      </c>
      <c r="V27" s="71">
        <f t="shared" si="0"/>
        <v>-12681.664368170314</v>
      </c>
      <c r="X27" s="69">
        <v>5107.4950641817622</v>
      </c>
      <c r="Y27" s="48">
        <v>0</v>
      </c>
      <c r="Z27" s="20">
        <v>5107.4950641817622</v>
      </c>
      <c r="AB27" s="72">
        <v>-8777.8957440728336</v>
      </c>
    </row>
    <row r="28" spans="1:28" x14ac:dyDescent="0.35">
      <c r="A28" s="33" t="s">
        <v>87</v>
      </c>
      <c r="B28" s="68">
        <v>165897.64000000001</v>
      </c>
      <c r="C28" s="68">
        <v>-40417.984860523065</v>
      </c>
      <c r="D28" s="68">
        <v>-111.28130188195792</v>
      </c>
      <c r="E28" s="68">
        <v>-4207.7163799030823</v>
      </c>
      <c r="F28" s="68"/>
      <c r="G28" s="68">
        <v>1694.6427549188061</v>
      </c>
      <c r="H28" s="48">
        <v>122855.30021261072</v>
      </c>
      <c r="I28" s="48">
        <v>43042.339787389297</v>
      </c>
      <c r="J28" s="48"/>
      <c r="K28" s="68">
        <v>-121160.65633978797</v>
      </c>
      <c r="L28" s="48">
        <v>1.1179039452144934E-3</v>
      </c>
      <c r="N28" s="69"/>
      <c r="O28" s="48">
        <v>-111.28130188195792</v>
      </c>
      <c r="P28" s="48">
        <v>-4207.7163799030823</v>
      </c>
      <c r="Q28" s="70">
        <v>-288.10944934921679</v>
      </c>
      <c r="R28" s="48">
        <v>-4607.1071311342566</v>
      </c>
      <c r="S28" s="70"/>
      <c r="T28" s="48"/>
      <c r="U28" s="20">
        <v>-4607.1071311342566</v>
      </c>
      <c r="V28" s="71">
        <f t="shared" si="0"/>
        <v>-4207.7163799030823</v>
      </c>
      <c r="X28" s="69">
        <v>1694.6427549188061</v>
      </c>
      <c r="Y28" s="48">
        <v>0</v>
      </c>
      <c r="Z28" s="20">
        <v>1694.6427549188061</v>
      </c>
      <c r="AB28" s="72">
        <v>-2912.4643762154506</v>
      </c>
    </row>
    <row r="29" spans="1:28" x14ac:dyDescent="0.35">
      <c r="A29" s="33" t="s">
        <v>88</v>
      </c>
      <c r="B29" s="68">
        <v>4802554.5</v>
      </c>
      <c r="C29" s="68">
        <v>-1253009.8680453179</v>
      </c>
      <c r="D29" s="68">
        <v>-3221.4714875933714</v>
      </c>
      <c r="E29" s="68">
        <v>-121808.76855769241</v>
      </c>
      <c r="F29" s="68"/>
      <c r="G29" s="68">
        <v>49058.046808427825</v>
      </c>
      <c r="H29" s="48">
        <v>3473572.4387178239</v>
      </c>
      <c r="I29" s="48">
        <v>1328982.0612821761</v>
      </c>
      <c r="J29" s="48"/>
      <c r="K29" s="68">
        <v>-3424514.3919562697</v>
      </c>
      <c r="L29" s="48">
        <v>-4.6873625251464546E-5</v>
      </c>
      <c r="N29" s="69"/>
      <c r="O29" s="48">
        <v>-3221.4714875933714</v>
      </c>
      <c r="P29" s="48">
        <v>-121808.76855769241</v>
      </c>
      <c r="Q29" s="70">
        <v>-8340.4521755981768</v>
      </c>
      <c r="R29" s="48">
        <v>-133370.69222088397</v>
      </c>
      <c r="S29" s="70"/>
      <c r="T29" s="48"/>
      <c r="U29" s="20">
        <v>-133370.69222088397</v>
      </c>
      <c r="V29" s="71">
        <f t="shared" si="0"/>
        <v>-121808.76855769241</v>
      </c>
      <c r="X29" s="69">
        <v>49058.046808427825</v>
      </c>
      <c r="Y29" s="48">
        <v>0</v>
      </c>
      <c r="Z29" s="20">
        <v>49058.046808427825</v>
      </c>
      <c r="AB29" s="72">
        <v>-84312.645412456142</v>
      </c>
    </row>
    <row r="30" spans="1:28" x14ac:dyDescent="0.35">
      <c r="A30" s="33" t="s">
        <v>89</v>
      </c>
      <c r="B30" s="68">
        <v>369576.65</v>
      </c>
      <c r="C30" s="68">
        <v>-96424.354602830659</v>
      </c>
      <c r="D30" s="68">
        <v>-247.90570111287525</v>
      </c>
      <c r="E30" s="68">
        <v>-9373.6940672255005</v>
      </c>
      <c r="F30" s="68"/>
      <c r="G30" s="68">
        <v>3775.221831423662</v>
      </c>
      <c r="H30" s="48">
        <v>267305.91746025463</v>
      </c>
      <c r="I30" s="48">
        <v>102270.7325397454</v>
      </c>
      <c r="J30" s="48"/>
      <c r="K30" s="68">
        <v>-263530.70159973932</v>
      </c>
      <c r="L30" s="48">
        <v>-5.9709083529924101E-3</v>
      </c>
      <c r="N30" s="69"/>
      <c r="O30" s="48">
        <v>-247.90570111287525</v>
      </c>
      <c r="P30" s="48">
        <v>-9373.6940672255005</v>
      </c>
      <c r="Q30" s="70">
        <v>-641.83266937268206</v>
      </c>
      <c r="R30" s="48">
        <v>-10263.432437711057</v>
      </c>
      <c r="S30" s="70"/>
      <c r="T30" s="48"/>
      <c r="U30" s="20">
        <v>-10263.432437711057</v>
      </c>
      <c r="V30" s="71">
        <f t="shared" si="0"/>
        <v>-9373.6940672255005</v>
      </c>
      <c r="X30" s="69">
        <v>3775.221831423662</v>
      </c>
      <c r="Y30" s="48">
        <v>0</v>
      </c>
      <c r="Z30" s="20">
        <v>3775.221831423662</v>
      </c>
      <c r="AB30" s="72">
        <v>-6488.2106062873954</v>
      </c>
    </row>
    <row r="31" spans="1:28" x14ac:dyDescent="0.35">
      <c r="A31" s="33" t="s">
        <v>90</v>
      </c>
      <c r="B31" s="68">
        <v>156600.63</v>
      </c>
      <c r="C31" s="68">
        <v>-38990.165744236234</v>
      </c>
      <c r="D31" s="68">
        <v>-105.04502645085449</v>
      </c>
      <c r="E31" s="68">
        <v>-3971.9132590080408</v>
      </c>
      <c r="F31" s="68"/>
      <c r="G31" s="68">
        <v>1599.6738895455092</v>
      </c>
      <c r="H31" s="48">
        <v>115133.17985985038</v>
      </c>
      <c r="I31" s="48">
        <v>41467.450140149624</v>
      </c>
      <c r="J31" s="48"/>
      <c r="K31" s="68">
        <v>-113533.50435982952</v>
      </c>
      <c r="L31" s="48">
        <v>1.6104753558465745E-3</v>
      </c>
      <c r="N31" s="69"/>
      <c r="O31" s="48">
        <v>-105.04502645085449</v>
      </c>
      <c r="P31" s="48">
        <v>-3971.9132590080408</v>
      </c>
      <c r="Q31" s="70">
        <v>-271.96361127886109</v>
      </c>
      <c r="R31" s="48">
        <v>-4348.9218967377565</v>
      </c>
      <c r="S31" s="70"/>
      <c r="T31" s="48"/>
      <c r="U31" s="20">
        <v>-4348.9218967377565</v>
      </c>
      <c r="V31" s="71">
        <f t="shared" si="0"/>
        <v>-3971.9132590080408</v>
      </c>
      <c r="X31" s="69">
        <v>1599.6738895455092</v>
      </c>
      <c r="Y31" s="48">
        <v>0</v>
      </c>
      <c r="Z31" s="20">
        <v>1599.6738895455092</v>
      </c>
      <c r="AB31" s="72">
        <v>-2749.2480071922473</v>
      </c>
    </row>
    <row r="32" spans="1:28" x14ac:dyDescent="0.35">
      <c r="A32" s="33" t="s">
        <v>91</v>
      </c>
      <c r="B32" s="68">
        <v>850000</v>
      </c>
      <c r="C32" s="68">
        <v>-203025.2436901913</v>
      </c>
      <c r="D32" s="68">
        <v>-570.16547432320658</v>
      </c>
      <c r="E32" s="68">
        <v>-21558.829425889417</v>
      </c>
      <c r="F32" s="68"/>
      <c r="G32" s="68">
        <v>8682.7416091089963</v>
      </c>
      <c r="H32" s="48">
        <v>633528.50301870506</v>
      </c>
      <c r="I32" s="48">
        <v>216471.49698129494</v>
      </c>
      <c r="J32" s="48"/>
      <c r="K32" s="68">
        <v>-624845.7537399804</v>
      </c>
      <c r="L32" s="48">
        <v>7.6696156629623147E-3</v>
      </c>
      <c r="N32" s="69"/>
      <c r="O32" s="48">
        <v>-570.16547432320658</v>
      </c>
      <c r="P32" s="48">
        <v>-21558.829425889417</v>
      </c>
      <c r="Q32" s="70">
        <v>-1476.1694738203284</v>
      </c>
      <c r="R32" s="48">
        <v>-23605.164374032953</v>
      </c>
      <c r="S32" s="70"/>
      <c r="T32" s="48"/>
      <c r="U32" s="20">
        <v>-23605.164374032953</v>
      </c>
      <c r="V32" s="71">
        <f t="shared" si="0"/>
        <v>-21558.829425889417</v>
      </c>
      <c r="X32" s="69">
        <v>8682.7416091089963</v>
      </c>
      <c r="Y32" s="48">
        <v>0</v>
      </c>
      <c r="Z32" s="20">
        <v>8682.7416091089963</v>
      </c>
      <c r="AB32" s="72">
        <v>-14922.422764923956</v>
      </c>
    </row>
    <row r="33" spans="1:28" x14ac:dyDescent="0.35">
      <c r="A33" s="33" t="s">
        <v>92</v>
      </c>
      <c r="B33" s="68">
        <v>1500000</v>
      </c>
      <c r="C33" s="68">
        <v>-369305.67651210236</v>
      </c>
      <c r="D33" s="68">
        <v>-1006.1743664524984</v>
      </c>
      <c r="E33" s="68">
        <v>-38044.993104510941</v>
      </c>
      <c r="F33" s="68"/>
      <c r="G33" s="68">
        <v>15322.485192545289</v>
      </c>
      <c r="H33" s="48">
        <v>1106965.6412094794</v>
      </c>
      <c r="I33" s="48">
        <v>393034.35879052058</v>
      </c>
      <c r="J33" s="48"/>
      <c r="K33" s="68">
        <v>-1091643.1542470241</v>
      </c>
      <c r="L33" s="48">
        <v>1.7699100353638642E-3</v>
      </c>
      <c r="N33" s="69"/>
      <c r="O33" s="48">
        <v>-1006.1743664524984</v>
      </c>
      <c r="P33" s="48">
        <v>-38044.993104510941</v>
      </c>
      <c r="Q33" s="70">
        <v>-2605.0049538005796</v>
      </c>
      <c r="R33" s="48">
        <v>-41656.172424764016</v>
      </c>
      <c r="S33" s="70"/>
      <c r="T33" s="48"/>
      <c r="U33" s="20">
        <v>-41656.172424764016</v>
      </c>
      <c r="V33" s="71">
        <f t="shared" si="0"/>
        <v>-38044.993104510941</v>
      </c>
      <c r="X33" s="69">
        <v>15322.485192545289</v>
      </c>
      <c r="Y33" s="48">
        <v>0</v>
      </c>
      <c r="Z33" s="20">
        <v>15322.485192545289</v>
      </c>
      <c r="AB33" s="72">
        <v>-26333.687232218726</v>
      </c>
    </row>
    <row r="34" spans="1:28" x14ac:dyDescent="0.35">
      <c r="A34" s="33" t="s">
        <v>93</v>
      </c>
      <c r="B34" s="68">
        <v>313201.26</v>
      </c>
      <c r="C34" s="68">
        <v>-77980.35148847237</v>
      </c>
      <c r="D34" s="68">
        <v>-210.09005290170899</v>
      </c>
      <c r="E34" s="68">
        <v>-7943.8265180160524</v>
      </c>
      <c r="F34" s="68"/>
      <c r="G34" s="68">
        <v>3199.3477790910183</v>
      </c>
      <c r="H34" s="48">
        <v>230266.33971970089</v>
      </c>
      <c r="I34" s="48">
        <v>82934.92028029912</v>
      </c>
      <c r="J34" s="48"/>
      <c r="K34" s="68">
        <v>-227066.99871965905</v>
      </c>
      <c r="L34" s="48">
        <v>-6.7790491812047549E-3</v>
      </c>
      <c r="N34" s="69"/>
      <c r="O34" s="48">
        <v>-210.09005290170899</v>
      </c>
      <c r="P34" s="48">
        <v>-7943.8265180160524</v>
      </c>
      <c r="Q34" s="70">
        <v>-543.92722255772219</v>
      </c>
      <c r="R34" s="48">
        <v>-8697.8437934754838</v>
      </c>
      <c r="S34" s="70"/>
      <c r="T34" s="48"/>
      <c r="U34" s="20">
        <v>-8697.8437934754838</v>
      </c>
      <c r="V34" s="71">
        <f t="shared" si="0"/>
        <v>-7943.8265180160524</v>
      </c>
      <c r="X34" s="69">
        <v>3199.3477790910183</v>
      </c>
      <c r="Y34" s="48">
        <v>0</v>
      </c>
      <c r="Z34" s="20">
        <v>3199.3477790910183</v>
      </c>
      <c r="AB34" s="72">
        <v>-5498.4960143844655</v>
      </c>
    </row>
    <row r="35" spans="1:28" x14ac:dyDescent="0.35">
      <c r="A35" s="33" t="s">
        <v>94</v>
      </c>
      <c r="B35" s="68">
        <v>234900.95</v>
      </c>
      <c r="C35" s="68">
        <v>-58485.244343849336</v>
      </c>
      <c r="D35" s="68">
        <v>-157.56754303025082</v>
      </c>
      <c r="E35" s="68">
        <v>-5957.8700153286627</v>
      </c>
      <c r="F35" s="68"/>
      <c r="G35" s="68">
        <v>2399.5108853932143</v>
      </c>
      <c r="H35" s="48">
        <v>172699.77898318498</v>
      </c>
      <c r="I35" s="48">
        <v>62201.171016815031</v>
      </c>
      <c r="J35" s="48"/>
      <c r="K35" s="68">
        <v>-170300.27010504936</v>
      </c>
      <c r="L35" s="48">
        <v>-2.0072575971425977E-3</v>
      </c>
      <c r="N35" s="69"/>
      <c r="O35" s="48">
        <v>-157.56754303025082</v>
      </c>
      <c r="P35" s="48">
        <v>-5957.8700153286627</v>
      </c>
      <c r="Q35" s="70">
        <v>-407.94542560164149</v>
      </c>
      <c r="R35" s="48">
        <v>-6523.3829839605551</v>
      </c>
      <c r="S35" s="70"/>
      <c r="T35" s="48"/>
      <c r="U35" s="20">
        <v>-6523.3829839605551</v>
      </c>
      <c r="V35" s="71">
        <f t="shared" si="0"/>
        <v>-5957.8700153286627</v>
      </c>
      <c r="X35" s="69">
        <v>2399.5108853932143</v>
      </c>
      <c r="Y35" s="48">
        <v>0</v>
      </c>
      <c r="Z35" s="20">
        <v>2399.5108853932143</v>
      </c>
      <c r="AB35" s="72">
        <v>-4123.8720985673408</v>
      </c>
    </row>
    <row r="36" spans="1:28" x14ac:dyDescent="0.35">
      <c r="A36" s="33" t="s">
        <v>95</v>
      </c>
      <c r="B36" s="68">
        <v>1000000</v>
      </c>
      <c r="C36" s="68">
        <v>-246203.78434140154</v>
      </c>
      <c r="D36" s="68">
        <v>-670.78291096817702</v>
      </c>
      <c r="E36" s="68">
        <v>-25363.328736340627</v>
      </c>
      <c r="F36" s="68"/>
      <c r="G36" s="68">
        <v>10214.990128363524</v>
      </c>
      <c r="H36" s="48">
        <v>737977.09413965314</v>
      </c>
      <c r="I36" s="48">
        <v>262022.90586034686</v>
      </c>
      <c r="J36" s="48"/>
      <c r="K36" s="68">
        <v>-727762.10616468277</v>
      </c>
      <c r="L36" s="48">
        <v>-2.153393155822414E-3</v>
      </c>
      <c r="N36" s="69"/>
      <c r="O36" s="48">
        <v>-670.78291096817702</v>
      </c>
      <c r="P36" s="48">
        <v>-25363.328736340627</v>
      </c>
      <c r="Q36" s="70">
        <v>-1736.6699692003865</v>
      </c>
      <c r="R36" s="48">
        <v>-27770.78161650919</v>
      </c>
      <c r="S36" s="70"/>
      <c r="T36" s="48"/>
      <c r="U36" s="20">
        <v>-27770.78161650919</v>
      </c>
      <c r="V36" s="71">
        <f t="shared" si="0"/>
        <v>-25363.328736340627</v>
      </c>
      <c r="X36" s="69">
        <v>10214.990128363524</v>
      </c>
      <c r="Y36" s="48">
        <v>0</v>
      </c>
      <c r="Z36" s="20">
        <v>10214.990128363524</v>
      </c>
      <c r="AB36" s="72">
        <v>-17555.791488145667</v>
      </c>
    </row>
    <row r="37" spans="1:28" x14ac:dyDescent="0.35">
      <c r="A37" s="33" t="s">
        <v>96</v>
      </c>
      <c r="B37" s="68">
        <v>1000000</v>
      </c>
      <c r="C37" s="68">
        <v>-246203.78434140154</v>
      </c>
      <c r="D37" s="68">
        <v>-670.78291096817702</v>
      </c>
      <c r="E37" s="68">
        <v>-25363.328736340627</v>
      </c>
      <c r="F37" s="68"/>
      <c r="G37" s="68">
        <v>10214.990128363524</v>
      </c>
      <c r="H37" s="48">
        <v>737977.09413965314</v>
      </c>
      <c r="I37" s="48">
        <v>262022.90586034686</v>
      </c>
      <c r="J37" s="48"/>
      <c r="K37" s="68">
        <v>-727762.10616468277</v>
      </c>
      <c r="L37" s="48">
        <v>-2.153393155822414E-3</v>
      </c>
      <c r="N37" s="69"/>
      <c r="O37" s="48">
        <v>-670.78291096817702</v>
      </c>
      <c r="P37" s="48">
        <v>-25363.328736340627</v>
      </c>
      <c r="Q37" s="70">
        <v>-1736.6699692003865</v>
      </c>
      <c r="R37" s="48">
        <v>-27770.78161650919</v>
      </c>
      <c r="S37" s="70"/>
      <c r="T37" s="48"/>
      <c r="U37" s="20">
        <v>-27770.78161650919</v>
      </c>
      <c r="V37" s="71">
        <f t="shared" si="0"/>
        <v>-25363.328736340627</v>
      </c>
      <c r="X37" s="69">
        <v>10214.990128363524</v>
      </c>
      <c r="Y37" s="48">
        <v>0</v>
      </c>
      <c r="Z37" s="20">
        <v>10214.990128363524</v>
      </c>
      <c r="AB37" s="72">
        <v>-17555.791488145667</v>
      </c>
    </row>
    <row r="38" spans="1:28" x14ac:dyDescent="0.35">
      <c r="A38" s="33" t="s">
        <v>97</v>
      </c>
      <c r="B38" s="68">
        <v>156600.63</v>
      </c>
      <c r="C38" s="68">
        <v>-38990.165744236234</v>
      </c>
      <c r="D38" s="68">
        <v>-105.04502645085449</v>
      </c>
      <c r="E38" s="68">
        <v>-3971.9132590080408</v>
      </c>
      <c r="F38" s="68"/>
      <c r="G38" s="68">
        <v>1599.6738895455092</v>
      </c>
      <c r="H38" s="48">
        <v>115133.17985985038</v>
      </c>
      <c r="I38" s="48">
        <v>41467.450140149624</v>
      </c>
      <c r="J38" s="48"/>
      <c r="K38" s="68">
        <v>-113533.50435982952</v>
      </c>
      <c r="L38" s="48">
        <v>1.6104753558465745E-3</v>
      </c>
      <c r="N38" s="69"/>
      <c r="O38" s="48">
        <v>-105.04502645085449</v>
      </c>
      <c r="P38" s="48">
        <v>-3971.9132590080408</v>
      </c>
      <c r="Q38" s="70">
        <v>-271.96361127886109</v>
      </c>
      <c r="R38" s="48">
        <v>-4348.9218967377565</v>
      </c>
      <c r="S38" s="70"/>
      <c r="T38" s="48"/>
      <c r="U38" s="20">
        <v>-4348.9218967377565</v>
      </c>
      <c r="V38" s="71">
        <f t="shared" si="0"/>
        <v>-3971.9132590080408</v>
      </c>
      <c r="X38" s="69">
        <v>1599.6738895455092</v>
      </c>
      <c r="Y38" s="48">
        <v>0</v>
      </c>
      <c r="Z38" s="20">
        <v>1599.6738895455092</v>
      </c>
      <c r="AB38" s="72">
        <v>-2749.2480071922473</v>
      </c>
    </row>
    <row r="39" spans="1:28" x14ac:dyDescent="0.35">
      <c r="A39" s="33" t="s">
        <v>98</v>
      </c>
      <c r="B39" s="68">
        <v>200000</v>
      </c>
      <c r="C39" s="68">
        <v>-47770.650868280296</v>
      </c>
      <c r="D39" s="68">
        <v>-134.15658219359466</v>
      </c>
      <c r="E39" s="68">
        <v>-5072.6657472681545</v>
      </c>
      <c r="F39" s="68"/>
      <c r="G39" s="68">
        <v>2042.9980256727051</v>
      </c>
      <c r="H39" s="48">
        <v>149065.52482793067</v>
      </c>
      <c r="I39" s="48">
        <v>50934.475172069331</v>
      </c>
      <c r="J39" s="48"/>
      <c r="K39" s="68">
        <v>-147022.53323293655</v>
      </c>
      <c r="L39" s="48">
        <v>-6.4306785845928971E-3</v>
      </c>
      <c r="N39" s="69"/>
      <c r="O39" s="48">
        <v>-134.15658219359466</v>
      </c>
      <c r="P39" s="48">
        <v>-5072.6657472681545</v>
      </c>
      <c r="Q39" s="70">
        <v>-347.33399384007731</v>
      </c>
      <c r="R39" s="48">
        <v>-5554.1563233018269</v>
      </c>
      <c r="S39" s="70"/>
      <c r="T39" s="48"/>
      <c r="U39" s="20">
        <v>-5554.1563233018269</v>
      </c>
      <c r="V39" s="71">
        <f t="shared" si="0"/>
        <v>-5072.6657472681545</v>
      </c>
      <c r="X39" s="69">
        <v>2042.9980256727051</v>
      </c>
      <c r="Y39" s="48">
        <v>0</v>
      </c>
      <c r="Z39" s="20">
        <v>2042.9980256727051</v>
      </c>
      <c r="AB39" s="72">
        <v>-3511.158297629122</v>
      </c>
    </row>
    <row r="40" spans="1:28" x14ac:dyDescent="0.35">
      <c r="A40" s="33" t="s">
        <v>99</v>
      </c>
      <c r="B40" s="68">
        <v>100000</v>
      </c>
      <c r="C40" s="68">
        <v>-23885.330434140153</v>
      </c>
      <c r="D40" s="68">
        <v>-67.078291096797329</v>
      </c>
      <c r="E40" s="68">
        <v>-2536.3328736340773</v>
      </c>
      <c r="F40" s="68"/>
      <c r="G40" s="68">
        <v>1021.4990128363526</v>
      </c>
      <c r="H40" s="48">
        <v>74532.75741396533</v>
      </c>
      <c r="I40" s="48">
        <v>25467.24258603467</v>
      </c>
      <c r="J40" s="48"/>
      <c r="K40" s="68">
        <v>-73511.261616468284</v>
      </c>
      <c r="L40" s="48">
        <v>-3.2153393068483638E-3</v>
      </c>
      <c r="N40" s="69"/>
      <c r="O40" s="48">
        <v>-67.078291096797329</v>
      </c>
      <c r="P40" s="48">
        <v>-2536.3328736340773</v>
      </c>
      <c r="Q40" s="70">
        <v>-173.66699692003866</v>
      </c>
      <c r="R40" s="48">
        <v>-2777.0781616509134</v>
      </c>
      <c r="S40" s="70"/>
      <c r="T40" s="48"/>
      <c r="U40" s="20">
        <v>-2777.0781616509134</v>
      </c>
      <c r="V40" s="71">
        <f t="shared" si="0"/>
        <v>-2536.3328736340773</v>
      </c>
      <c r="X40" s="69">
        <v>1021.4990128363526</v>
      </c>
      <c r="Y40" s="48">
        <v>0</v>
      </c>
      <c r="Z40" s="20">
        <v>1021.4990128363526</v>
      </c>
      <c r="AB40" s="72">
        <v>-1755.579148814561</v>
      </c>
    </row>
    <row r="41" spans="1:28" x14ac:dyDescent="0.35">
      <c r="A41" s="33" t="s">
        <v>141</v>
      </c>
      <c r="B41" s="68">
        <v>0</v>
      </c>
      <c r="C41" s="68">
        <v>0</v>
      </c>
      <c r="D41" s="68">
        <v>0</v>
      </c>
      <c r="E41" s="68">
        <v>0</v>
      </c>
      <c r="F41" s="68"/>
      <c r="G41" s="68">
        <v>0</v>
      </c>
      <c r="H41" s="48">
        <v>0</v>
      </c>
      <c r="I41" s="48">
        <v>0</v>
      </c>
      <c r="J41" s="48"/>
      <c r="K41" s="68">
        <v>0</v>
      </c>
      <c r="L41" s="48">
        <v>0</v>
      </c>
      <c r="N41" s="69"/>
      <c r="O41" s="48">
        <v>0</v>
      </c>
      <c r="P41" s="48">
        <v>0</v>
      </c>
      <c r="Q41" s="70">
        <v>0</v>
      </c>
      <c r="R41" s="48">
        <v>0</v>
      </c>
      <c r="S41" s="70"/>
      <c r="T41" s="48"/>
      <c r="U41" s="20">
        <v>0</v>
      </c>
      <c r="V41" s="71">
        <f t="shared" si="0"/>
        <v>0</v>
      </c>
      <c r="X41" s="69">
        <v>0</v>
      </c>
      <c r="Y41" s="48">
        <v>0</v>
      </c>
      <c r="Z41" s="20">
        <v>0</v>
      </c>
      <c r="AB41" s="72">
        <v>0</v>
      </c>
    </row>
    <row r="42" spans="1:28" x14ac:dyDescent="0.35">
      <c r="A42" s="33" t="s">
        <v>100</v>
      </c>
      <c r="B42" s="68">
        <v>156600.63</v>
      </c>
      <c r="C42" s="68">
        <v>-38990.165744236234</v>
      </c>
      <c r="D42" s="68">
        <v>-105.04502645085449</v>
      </c>
      <c r="E42" s="68">
        <v>-3971.9132590080408</v>
      </c>
      <c r="F42" s="68"/>
      <c r="G42" s="68">
        <v>1599.6738895455092</v>
      </c>
      <c r="H42" s="48">
        <v>115133.17985985038</v>
      </c>
      <c r="I42" s="48">
        <v>41467.450140149624</v>
      </c>
      <c r="J42" s="48"/>
      <c r="K42" s="68">
        <v>-113533.50435982952</v>
      </c>
      <c r="L42" s="48">
        <v>1.6104753558465745E-3</v>
      </c>
      <c r="N42" s="69"/>
      <c r="O42" s="48">
        <v>-105.04502645085449</v>
      </c>
      <c r="P42" s="48">
        <v>-3971.9132590080408</v>
      </c>
      <c r="Q42" s="70">
        <v>-271.96361127886109</v>
      </c>
      <c r="R42" s="48">
        <v>-4348.9218967377565</v>
      </c>
      <c r="S42" s="70"/>
      <c r="T42" s="48"/>
      <c r="U42" s="20">
        <v>-4348.9218967377565</v>
      </c>
      <c r="V42" s="71">
        <f t="shared" si="0"/>
        <v>-3971.9132590080408</v>
      </c>
      <c r="X42" s="69">
        <v>1599.6738895455092</v>
      </c>
      <c r="Y42" s="48">
        <v>0</v>
      </c>
      <c r="Z42" s="20">
        <v>1599.6738895455092</v>
      </c>
      <c r="AB42" s="72">
        <v>-2749.2480071922473</v>
      </c>
    </row>
    <row r="43" spans="1:28" x14ac:dyDescent="0.35">
      <c r="A43" s="33" t="s">
        <v>101</v>
      </c>
      <c r="B43" s="68">
        <v>156600.63</v>
      </c>
      <c r="C43" s="68">
        <v>-38990.165744236234</v>
      </c>
      <c r="D43" s="68">
        <v>-105.04502645085449</v>
      </c>
      <c r="E43" s="68">
        <v>-3971.9132590080408</v>
      </c>
      <c r="F43" s="68"/>
      <c r="G43" s="68">
        <v>1599.6738895455092</v>
      </c>
      <c r="H43" s="48">
        <v>115133.17985985038</v>
      </c>
      <c r="I43" s="48">
        <v>41467.450140149624</v>
      </c>
      <c r="J43" s="48"/>
      <c r="K43" s="68">
        <v>-113533.50435982952</v>
      </c>
      <c r="L43" s="48">
        <v>1.6104753558465745E-3</v>
      </c>
      <c r="N43" s="69"/>
      <c r="O43" s="48">
        <v>-105.04502645085449</v>
      </c>
      <c r="P43" s="48">
        <v>-3971.9132590080408</v>
      </c>
      <c r="Q43" s="70">
        <v>-271.96361127886109</v>
      </c>
      <c r="R43" s="48">
        <v>-4348.9218967377565</v>
      </c>
      <c r="S43" s="70"/>
      <c r="T43" s="48"/>
      <c r="U43" s="20">
        <v>-4348.9218967377565</v>
      </c>
      <c r="V43" s="71">
        <f t="shared" si="0"/>
        <v>-3971.9132590080408</v>
      </c>
      <c r="X43" s="69">
        <v>1599.6738895455092</v>
      </c>
      <c r="Y43" s="48">
        <v>0</v>
      </c>
      <c r="Z43" s="20">
        <v>1599.6738895455092</v>
      </c>
      <c r="AB43" s="72">
        <v>-2749.2480071922473</v>
      </c>
    </row>
    <row r="44" spans="1:28" x14ac:dyDescent="0.35">
      <c r="A44" s="33" t="s">
        <v>102</v>
      </c>
      <c r="B44" s="68">
        <v>195750.79</v>
      </c>
      <c r="C44" s="68">
        <v>-48737.695044042775</v>
      </c>
      <c r="D44" s="68">
        <v>-131.3062847405381</v>
      </c>
      <c r="E44" s="68">
        <v>-4964.8916371683299</v>
      </c>
      <c r="F44" s="68"/>
      <c r="G44" s="68">
        <v>1999.5923874693615</v>
      </c>
      <c r="H44" s="48">
        <v>143916.48942151773</v>
      </c>
      <c r="I44" s="48">
        <v>51834.300578482274</v>
      </c>
      <c r="J44" s="48"/>
      <c r="K44" s="68">
        <v>-141916.89723243946</v>
      </c>
      <c r="L44" s="48">
        <v>-1.9839108404084982E-4</v>
      </c>
      <c r="N44" s="69"/>
      <c r="O44" s="48">
        <v>-131.3062847405381</v>
      </c>
      <c r="P44" s="48">
        <v>-4964.8916371683299</v>
      </c>
      <c r="Q44" s="70">
        <v>-339.95451844025132</v>
      </c>
      <c r="R44" s="48">
        <v>-5436.1524403491194</v>
      </c>
      <c r="S44" s="70"/>
      <c r="T44" s="48"/>
      <c r="U44" s="20">
        <v>-5436.1524403491194</v>
      </c>
      <c r="V44" s="71">
        <f t="shared" si="0"/>
        <v>-4964.8916371683299</v>
      </c>
      <c r="X44" s="69">
        <v>1999.5923874693615</v>
      </c>
      <c r="Y44" s="48">
        <v>0</v>
      </c>
      <c r="Z44" s="20">
        <v>1999.5923874693615</v>
      </c>
      <c r="AB44" s="72">
        <v>-3436.5600528797577</v>
      </c>
    </row>
    <row r="45" spans="1:28" x14ac:dyDescent="0.35">
      <c r="A45" s="33" t="s">
        <v>103</v>
      </c>
      <c r="B45" s="68">
        <v>1000000</v>
      </c>
      <c r="C45" s="68">
        <v>-246203.78434140154</v>
      </c>
      <c r="D45" s="68">
        <v>-670.78291096817702</v>
      </c>
      <c r="E45" s="68">
        <v>-25363.328736340627</v>
      </c>
      <c r="F45" s="68"/>
      <c r="G45" s="68">
        <v>10214.990128363524</v>
      </c>
      <c r="H45" s="48">
        <v>737977.09413965314</v>
      </c>
      <c r="I45" s="48">
        <v>262022.90586034686</v>
      </c>
      <c r="J45" s="48"/>
      <c r="K45" s="68">
        <v>-727762.10616468277</v>
      </c>
      <c r="L45" s="48">
        <v>-2.153393155822414E-3</v>
      </c>
      <c r="N45" s="69"/>
      <c r="O45" s="48">
        <v>-670.78291096817702</v>
      </c>
      <c r="P45" s="48">
        <v>-25363.328736340627</v>
      </c>
      <c r="Q45" s="70">
        <v>-1736.6699692003865</v>
      </c>
      <c r="R45" s="48">
        <v>-27770.78161650919</v>
      </c>
      <c r="S45" s="70"/>
      <c r="T45" s="48"/>
      <c r="U45" s="20">
        <v>-27770.78161650919</v>
      </c>
      <c r="V45" s="71">
        <f t="shared" si="0"/>
        <v>-25363.328736340627</v>
      </c>
      <c r="X45" s="69">
        <v>10214.990128363524</v>
      </c>
      <c r="Y45" s="48">
        <v>0</v>
      </c>
      <c r="Z45" s="20">
        <v>10214.990128363524</v>
      </c>
      <c r="AB45" s="72">
        <v>-17555.791488145667</v>
      </c>
    </row>
    <row r="46" spans="1:28" x14ac:dyDescent="0.35">
      <c r="A46" s="33" t="s">
        <v>104</v>
      </c>
      <c r="B46" s="68">
        <v>500000</v>
      </c>
      <c r="C46" s="68">
        <v>-123101.89217070077</v>
      </c>
      <c r="D46" s="68">
        <v>-335.39145548408851</v>
      </c>
      <c r="E46" s="68">
        <v>-12681.664368170314</v>
      </c>
      <c r="F46" s="68"/>
      <c r="G46" s="68">
        <v>5107.4950641817622</v>
      </c>
      <c r="H46" s="48">
        <v>368988.54706982657</v>
      </c>
      <c r="I46" s="48">
        <v>131011.45293017343</v>
      </c>
      <c r="J46" s="48"/>
      <c r="K46" s="68">
        <v>-363881.04808234138</v>
      </c>
      <c r="L46" s="48">
        <v>3.9233034267454059E-3</v>
      </c>
      <c r="N46" s="69"/>
      <c r="O46" s="48">
        <v>-335.39145548408851</v>
      </c>
      <c r="P46" s="48">
        <v>-12681.664368170314</v>
      </c>
      <c r="Q46" s="70">
        <v>-868.33498460019325</v>
      </c>
      <c r="R46" s="48">
        <v>-13885.390808254595</v>
      </c>
      <c r="S46" s="70"/>
      <c r="T46" s="48"/>
      <c r="U46" s="20">
        <v>-13885.390808254595</v>
      </c>
      <c r="V46" s="71">
        <f t="shared" si="0"/>
        <v>-12681.664368170314</v>
      </c>
      <c r="X46" s="69">
        <v>5107.4950641817622</v>
      </c>
      <c r="Y46" s="48">
        <v>0</v>
      </c>
      <c r="Z46" s="20">
        <v>5107.4950641817622</v>
      </c>
      <c r="AB46" s="72">
        <v>-8777.8957440728336</v>
      </c>
    </row>
    <row r="47" spans="1:28" x14ac:dyDescent="0.35">
      <c r="A47" s="33" t="s">
        <v>105</v>
      </c>
      <c r="B47" s="68">
        <v>1500000</v>
      </c>
      <c r="C47" s="68">
        <v>-369305.67651210236</v>
      </c>
      <c r="D47" s="68">
        <v>-1006.1743664524984</v>
      </c>
      <c r="E47" s="68">
        <v>-38044.993104510941</v>
      </c>
      <c r="F47" s="68"/>
      <c r="G47" s="68">
        <v>15322.485192545289</v>
      </c>
      <c r="H47" s="48">
        <v>1106965.6412094794</v>
      </c>
      <c r="I47" s="48">
        <v>393034.35879052058</v>
      </c>
      <c r="J47" s="48"/>
      <c r="K47" s="68">
        <v>-1091643.1542470241</v>
      </c>
      <c r="L47" s="48">
        <v>1.7699100353638642E-3</v>
      </c>
      <c r="N47" s="69"/>
      <c r="O47" s="48">
        <v>-1006.1743664524984</v>
      </c>
      <c r="P47" s="48">
        <v>-38044.993104510941</v>
      </c>
      <c r="Q47" s="70">
        <v>-2605.0049538005796</v>
      </c>
      <c r="R47" s="48">
        <v>-41656.172424764016</v>
      </c>
      <c r="S47" s="70"/>
      <c r="T47" s="48"/>
      <c r="U47" s="20">
        <v>-41656.172424764016</v>
      </c>
      <c r="V47" s="71">
        <f t="shared" si="0"/>
        <v>-38044.993104510941</v>
      </c>
      <c r="X47" s="69">
        <v>15322.485192545289</v>
      </c>
      <c r="Y47" s="48">
        <v>0</v>
      </c>
      <c r="Z47" s="20">
        <v>15322.485192545289</v>
      </c>
      <c r="AB47" s="72">
        <v>-26333.687232218726</v>
      </c>
    </row>
    <row r="48" spans="1:28" x14ac:dyDescent="0.35">
      <c r="A48" s="33" t="s">
        <v>106</v>
      </c>
      <c r="B48" s="68">
        <v>100000</v>
      </c>
      <c r="C48" s="68">
        <v>-23885.330434140153</v>
      </c>
      <c r="D48" s="68">
        <v>-67.078291096797329</v>
      </c>
      <c r="E48" s="68">
        <v>-2536.3328736340773</v>
      </c>
      <c r="F48" s="68"/>
      <c r="G48" s="68">
        <v>1021.4990128363526</v>
      </c>
      <c r="H48" s="48">
        <v>74532.75741396533</v>
      </c>
      <c r="I48" s="48">
        <v>25467.24258603467</v>
      </c>
      <c r="J48" s="48"/>
      <c r="K48" s="68">
        <v>-73511.261616468284</v>
      </c>
      <c r="L48" s="48">
        <v>-3.2153393068483638E-3</v>
      </c>
      <c r="N48" s="69"/>
      <c r="O48" s="48">
        <v>-67.078291096797329</v>
      </c>
      <c r="P48" s="48">
        <v>-2536.3328736340773</v>
      </c>
      <c r="Q48" s="70">
        <v>-173.66699692003866</v>
      </c>
      <c r="R48" s="48">
        <v>-2777.0781616509134</v>
      </c>
      <c r="S48" s="70"/>
      <c r="T48" s="48"/>
      <c r="U48" s="20">
        <v>-2777.0781616509134</v>
      </c>
      <c r="V48" s="71">
        <f t="shared" si="0"/>
        <v>-2536.3328736340773</v>
      </c>
      <c r="X48" s="69">
        <v>1021.4990128363526</v>
      </c>
      <c r="Y48" s="48">
        <v>0</v>
      </c>
      <c r="Z48" s="20">
        <v>1021.4990128363526</v>
      </c>
      <c r="AB48" s="72">
        <v>-1755.579148814561</v>
      </c>
    </row>
    <row r="49" spans="1:28" x14ac:dyDescent="0.35">
      <c r="A49" s="33" t="s">
        <v>107</v>
      </c>
      <c r="B49" s="68">
        <v>750000</v>
      </c>
      <c r="C49" s="68">
        <v>-184652.84325605107</v>
      </c>
      <c r="D49" s="68">
        <v>-503.08718322624918</v>
      </c>
      <c r="E49" s="68">
        <v>-19022.49655225547</v>
      </c>
      <c r="F49" s="68"/>
      <c r="G49" s="68">
        <v>7661.2425962726447</v>
      </c>
      <c r="H49" s="48">
        <v>553482.81560473982</v>
      </c>
      <c r="I49" s="48">
        <v>196517.18439526018</v>
      </c>
      <c r="J49" s="48"/>
      <c r="K49" s="68">
        <v>-545821.58212351205</v>
      </c>
      <c r="L49" s="48">
        <v>-9.1150448752159718E-3</v>
      </c>
      <c r="N49" s="69"/>
      <c r="O49" s="48">
        <v>-503.08718322624918</v>
      </c>
      <c r="P49" s="48">
        <v>-19022.49655225547</v>
      </c>
      <c r="Q49" s="70">
        <v>-1302.5024769002898</v>
      </c>
      <c r="R49" s="48">
        <v>-20828.086212382008</v>
      </c>
      <c r="S49" s="70"/>
      <c r="T49" s="48"/>
      <c r="U49" s="20">
        <v>-20828.086212382008</v>
      </c>
      <c r="V49" s="71">
        <f t="shared" si="0"/>
        <v>-19022.49655225547</v>
      </c>
      <c r="X49" s="69">
        <v>7661.2425962726447</v>
      </c>
      <c r="Y49" s="48">
        <v>0</v>
      </c>
      <c r="Z49" s="20">
        <v>7661.2425962726447</v>
      </c>
      <c r="AB49" s="72">
        <v>-13166.843616109363</v>
      </c>
    </row>
    <row r="50" spans="1:28" x14ac:dyDescent="0.35">
      <c r="A50" s="33" t="s">
        <v>108</v>
      </c>
      <c r="B50" s="68">
        <v>234900.95</v>
      </c>
      <c r="C50" s="68">
        <v>-58485.244343849336</v>
      </c>
      <c r="D50" s="68">
        <v>-157.56754303025082</v>
      </c>
      <c r="E50" s="68">
        <v>-5957.8700153286627</v>
      </c>
      <c r="F50" s="68"/>
      <c r="G50" s="68">
        <v>2399.5108853932143</v>
      </c>
      <c r="H50" s="48">
        <v>172699.77898318498</v>
      </c>
      <c r="I50" s="48">
        <v>62201.171016815031</v>
      </c>
      <c r="J50" s="48"/>
      <c r="K50" s="68">
        <v>-170300.27010504936</v>
      </c>
      <c r="L50" s="48">
        <v>-2.0072575971425977E-3</v>
      </c>
      <c r="N50" s="69"/>
      <c r="O50" s="48">
        <v>-157.56754303025082</v>
      </c>
      <c r="P50" s="48">
        <v>-5957.8700153286627</v>
      </c>
      <c r="Q50" s="70">
        <v>-407.94542560164149</v>
      </c>
      <c r="R50" s="48">
        <v>-6523.3829839605551</v>
      </c>
      <c r="S50" s="70"/>
      <c r="T50" s="48"/>
      <c r="U50" s="20">
        <v>-6523.3829839605551</v>
      </c>
      <c r="V50" s="71">
        <f t="shared" si="0"/>
        <v>-5957.8700153286627</v>
      </c>
      <c r="X50" s="69">
        <v>2399.5108853932143</v>
      </c>
      <c r="Y50" s="48">
        <v>0</v>
      </c>
      <c r="Z50" s="20">
        <v>2399.5108853932143</v>
      </c>
      <c r="AB50" s="72">
        <v>-4123.8720985673408</v>
      </c>
    </row>
    <row r="51" spans="1:28" x14ac:dyDescent="0.35">
      <c r="A51" s="33" t="s">
        <v>109</v>
      </c>
      <c r="B51" s="68">
        <v>1000000</v>
      </c>
      <c r="C51" s="68">
        <v>-246203.78434140154</v>
      </c>
      <c r="D51" s="68">
        <v>-670.78291096817702</v>
      </c>
      <c r="E51" s="68">
        <v>-25363.328736340627</v>
      </c>
      <c r="F51" s="68"/>
      <c r="G51" s="68">
        <v>10214.990128363524</v>
      </c>
      <c r="H51" s="48">
        <v>737977.09413965314</v>
      </c>
      <c r="I51" s="48">
        <v>262022.90586034686</v>
      </c>
      <c r="J51" s="48"/>
      <c r="K51" s="68">
        <v>-727762.10616468277</v>
      </c>
      <c r="L51" s="48">
        <v>-2.153393155822414E-3</v>
      </c>
      <c r="N51" s="69"/>
      <c r="O51" s="48">
        <v>-670.78291096817702</v>
      </c>
      <c r="P51" s="48">
        <v>-25363.328736340627</v>
      </c>
      <c r="Q51" s="70">
        <v>-1736.6699692003865</v>
      </c>
      <c r="R51" s="48">
        <v>-27770.78161650919</v>
      </c>
      <c r="S51" s="70"/>
      <c r="T51" s="48"/>
      <c r="U51" s="20">
        <v>-27770.78161650919</v>
      </c>
      <c r="V51" s="71">
        <f t="shared" si="0"/>
        <v>-25363.328736340627</v>
      </c>
      <c r="X51" s="69">
        <v>10214.990128363524</v>
      </c>
      <c r="Y51" s="48">
        <v>0</v>
      </c>
      <c r="Z51" s="20">
        <v>10214.990128363524</v>
      </c>
      <c r="AB51" s="72">
        <v>-17555.791488145667</v>
      </c>
    </row>
    <row r="52" spans="1:28" x14ac:dyDescent="0.35">
      <c r="A52" s="33" t="s">
        <v>110</v>
      </c>
      <c r="B52" s="68">
        <v>117450.47</v>
      </c>
      <c r="C52" s="68">
        <v>-29242.626444429639</v>
      </c>
      <c r="D52" s="68">
        <v>-78.783768161199987</v>
      </c>
      <c r="E52" s="68">
        <v>-2978.934880847708</v>
      </c>
      <c r="F52" s="68"/>
      <c r="G52" s="68">
        <v>1199.7553916216564</v>
      </c>
      <c r="H52" s="48">
        <v>86349.88029818311</v>
      </c>
      <c r="I52" s="48">
        <v>31100.589701816891</v>
      </c>
      <c r="J52" s="48"/>
      <c r="K52" s="68">
        <v>-85150.1214872196</v>
      </c>
      <c r="L52" s="48">
        <v>3.4193418543964071E-3</v>
      </c>
      <c r="N52" s="69"/>
      <c r="O52" s="48">
        <v>-78.783768161199987</v>
      </c>
      <c r="P52" s="48">
        <v>-2978.934880847708</v>
      </c>
      <c r="Q52" s="70">
        <v>-203.9727041174709</v>
      </c>
      <c r="R52" s="48">
        <v>-3261.691353126379</v>
      </c>
      <c r="S52" s="70"/>
      <c r="T52" s="48"/>
      <c r="U52" s="20">
        <v>-3261.691353126379</v>
      </c>
      <c r="V52" s="71">
        <f t="shared" si="0"/>
        <v>-2978.934880847708</v>
      </c>
      <c r="X52" s="69">
        <v>1199.7553916216564</v>
      </c>
      <c r="Y52" s="48">
        <v>0</v>
      </c>
      <c r="Z52" s="20">
        <v>1199.7553916216564</v>
      </c>
      <c r="AB52" s="72">
        <v>-2061.9359615047224</v>
      </c>
    </row>
    <row r="53" spans="1:28" x14ac:dyDescent="0.35">
      <c r="A53" s="33" t="s">
        <v>111</v>
      </c>
      <c r="B53" s="68">
        <v>100000</v>
      </c>
      <c r="C53" s="68">
        <v>-23885.330434140153</v>
      </c>
      <c r="D53" s="68">
        <v>-67.078291096797329</v>
      </c>
      <c r="E53" s="68">
        <v>-2536.3328736340773</v>
      </c>
      <c r="F53" s="68"/>
      <c r="G53" s="68">
        <v>1021.4990128363526</v>
      </c>
      <c r="H53" s="48">
        <v>74532.75741396533</v>
      </c>
      <c r="I53" s="48">
        <v>25467.24258603467</v>
      </c>
      <c r="J53" s="48"/>
      <c r="K53" s="68">
        <v>-73511.261616468284</v>
      </c>
      <c r="L53" s="48">
        <v>-3.2153393068483638E-3</v>
      </c>
      <c r="N53" s="69"/>
      <c r="O53" s="48">
        <v>-67.078291096797329</v>
      </c>
      <c r="P53" s="48">
        <v>-2536.3328736340773</v>
      </c>
      <c r="Q53" s="70">
        <v>-173.66699692003866</v>
      </c>
      <c r="R53" s="48">
        <v>-2777.0781616509134</v>
      </c>
      <c r="S53" s="70"/>
      <c r="T53" s="48"/>
      <c r="U53" s="20">
        <v>-2777.0781616509134</v>
      </c>
      <c r="V53" s="71">
        <f t="shared" si="0"/>
        <v>-2536.3328736340773</v>
      </c>
      <c r="X53" s="69">
        <v>1021.4990128363526</v>
      </c>
      <c r="Y53" s="48">
        <v>0</v>
      </c>
      <c r="Z53" s="20">
        <v>1021.4990128363526</v>
      </c>
      <c r="AB53" s="72">
        <v>-1755.579148814561</v>
      </c>
    </row>
    <row r="54" spans="1:28" x14ac:dyDescent="0.35">
      <c r="A54" s="33" t="s">
        <v>112</v>
      </c>
      <c r="B54" s="68">
        <v>78300.320000000007</v>
      </c>
      <c r="C54" s="68">
        <v>-19495.078599613131</v>
      </c>
      <c r="D54" s="68">
        <v>-52.522516579338117</v>
      </c>
      <c r="E54" s="68">
        <v>-1985.9567563206656</v>
      </c>
      <c r="F54" s="68"/>
      <c r="G54" s="68">
        <v>799.83699584770511</v>
      </c>
      <c r="H54" s="48">
        <v>57566.599123334578</v>
      </c>
      <c r="I54" s="48">
        <v>20733.720876665429</v>
      </c>
      <c r="J54" s="48"/>
      <c r="K54" s="68">
        <v>-56766.765745219847</v>
      </c>
      <c r="L54" s="48">
        <v>-3.617732974817045E-3</v>
      </c>
      <c r="N54" s="69"/>
      <c r="O54" s="48">
        <v>-52.522516579338117</v>
      </c>
      <c r="P54" s="48">
        <v>-1985.9567563206656</v>
      </c>
      <c r="Q54" s="70">
        <v>-135.98181432278042</v>
      </c>
      <c r="R54" s="48">
        <v>-2174.461087222784</v>
      </c>
      <c r="S54" s="70"/>
      <c r="T54" s="48"/>
      <c r="U54" s="20">
        <v>-2174.461087222784</v>
      </c>
      <c r="V54" s="71">
        <f t="shared" si="0"/>
        <v>-1985.9567563206656</v>
      </c>
      <c r="X54" s="69">
        <v>799.83699584770511</v>
      </c>
      <c r="Y54" s="48">
        <v>0</v>
      </c>
      <c r="Z54" s="20">
        <v>799.83699584770511</v>
      </c>
      <c r="AB54" s="72">
        <v>-1374.6240913750789</v>
      </c>
    </row>
    <row r="55" spans="1:28" x14ac:dyDescent="0.35">
      <c r="A55" s="33" t="s">
        <v>113</v>
      </c>
      <c r="B55" s="68">
        <v>783003.16</v>
      </c>
      <c r="C55" s="68">
        <v>-194950.82017617114</v>
      </c>
      <c r="D55" s="68">
        <v>-525.22513896215241</v>
      </c>
      <c r="E55" s="68">
        <v>-19859.56654867332</v>
      </c>
      <c r="F55" s="68"/>
      <c r="G55" s="68">
        <v>7998.3695498774459</v>
      </c>
      <c r="H55" s="48">
        <v>575665.9176860709</v>
      </c>
      <c r="I55" s="48">
        <v>207337.24231392913</v>
      </c>
      <c r="J55" s="48"/>
      <c r="K55" s="68">
        <v>-567667.53892975778</v>
      </c>
      <c r="L55" s="48">
        <v>9.2064356731498265E-3</v>
      </c>
      <c r="N55" s="69"/>
      <c r="O55" s="48">
        <v>-525.22513896215241</v>
      </c>
      <c r="P55" s="48">
        <v>-19859.56654867332</v>
      </c>
      <c r="Q55" s="70">
        <v>-1359.8180737610053</v>
      </c>
      <c r="R55" s="48">
        <v>-21744.609761396478</v>
      </c>
      <c r="S55" s="70"/>
      <c r="T55" s="48"/>
      <c r="U55" s="20">
        <v>-21744.609761396478</v>
      </c>
      <c r="V55" s="71">
        <f t="shared" si="0"/>
        <v>-19859.56654867332</v>
      </c>
      <c r="X55" s="69">
        <v>7998.3695498774459</v>
      </c>
      <c r="Y55" s="48">
        <v>0</v>
      </c>
      <c r="Z55" s="20">
        <v>7998.3695498774459</v>
      </c>
      <c r="AB55" s="72">
        <v>-13746.240211519031</v>
      </c>
    </row>
    <row r="56" spans="1:28" x14ac:dyDescent="0.35">
      <c r="A56" s="33" t="s">
        <v>114</v>
      </c>
      <c r="B56" s="68">
        <v>391501.58</v>
      </c>
      <c r="C56" s="68">
        <v>-97475.420088085521</v>
      </c>
      <c r="D56" s="68">
        <v>-262.61256948107621</v>
      </c>
      <c r="E56" s="68">
        <v>-9929.7832743366598</v>
      </c>
      <c r="F56" s="68"/>
      <c r="G56" s="68">
        <v>3999.184774938723</v>
      </c>
      <c r="H56" s="48">
        <v>287832.9488430355</v>
      </c>
      <c r="I56" s="48">
        <v>103668.63115696452</v>
      </c>
      <c r="J56" s="48"/>
      <c r="K56" s="68">
        <v>-283833.76446487888</v>
      </c>
      <c r="L56" s="48">
        <v>-3.9678210987403872E-4</v>
      </c>
      <c r="N56" s="69"/>
      <c r="O56" s="48">
        <v>-262.61256948107621</v>
      </c>
      <c r="P56" s="48">
        <v>-9929.7832743366598</v>
      </c>
      <c r="Q56" s="70">
        <v>-679.90903688050264</v>
      </c>
      <c r="R56" s="48">
        <v>-10872.304880698239</v>
      </c>
      <c r="S56" s="70"/>
      <c r="T56" s="48"/>
      <c r="U56" s="20">
        <v>-10872.304880698239</v>
      </c>
      <c r="V56" s="71">
        <f t="shared" si="0"/>
        <v>-9929.7832743366598</v>
      </c>
      <c r="X56" s="69">
        <v>3999.184774938723</v>
      </c>
      <c r="Y56" s="48">
        <v>0</v>
      </c>
      <c r="Z56" s="20">
        <v>3999.184774938723</v>
      </c>
      <c r="AB56" s="72">
        <v>-6873.1201057595154</v>
      </c>
    </row>
    <row r="57" spans="1:28" x14ac:dyDescent="0.35">
      <c r="A57" s="33" t="s">
        <v>115</v>
      </c>
      <c r="B57" s="68">
        <v>703163.88</v>
      </c>
      <c r="C57" s="68">
        <v>-310280.57682009251</v>
      </c>
      <c r="D57" s="68">
        <v>126350.365848634</v>
      </c>
      <c r="E57" s="68">
        <v>-17834.5766439607</v>
      </c>
      <c r="F57" s="68"/>
      <c r="G57" s="68">
        <v>7182.812092821795</v>
      </c>
      <c r="H57" s="48">
        <v>508581.90447740257</v>
      </c>
      <c r="I57" s="48">
        <v>194581.97552259744</v>
      </c>
      <c r="J57" s="48"/>
      <c r="K57" s="68">
        <v>-501398.75080310111</v>
      </c>
      <c r="L57" s="48">
        <v>0.34158147966354591</v>
      </c>
      <c r="N57" s="69"/>
      <c r="O57" s="48">
        <v>126350.365848634</v>
      </c>
      <c r="P57" s="48">
        <v>-17834.576643960667</v>
      </c>
      <c r="Q57" s="70">
        <v>-1221.1635938224242</v>
      </c>
      <c r="R57" s="48">
        <v>107294.62561085091</v>
      </c>
      <c r="S57" s="70">
        <v>-9544.3130583680795</v>
      </c>
      <c r="T57" s="48">
        <v>-126350</v>
      </c>
      <c r="U57" s="20">
        <v>-28599.687447517164</v>
      </c>
      <c r="V57" s="71">
        <f>+P57+T57</f>
        <v>-144184.57664396067</v>
      </c>
      <c r="X57" s="69">
        <v>7182.812092821795</v>
      </c>
      <c r="Y57" s="48">
        <v>0</v>
      </c>
      <c r="Z57" s="20">
        <v>7182.812092821795</v>
      </c>
      <c r="AB57" s="72">
        <v>-21416.87535469537</v>
      </c>
    </row>
    <row r="58" spans="1:28" x14ac:dyDescent="0.35">
      <c r="A58" s="33" t="s">
        <v>116</v>
      </c>
      <c r="B58" s="68">
        <v>78300.320000000007</v>
      </c>
      <c r="C58" s="68">
        <v>-19495.078599613131</v>
      </c>
      <c r="D58" s="68">
        <v>-52.522516579338117</v>
      </c>
      <c r="E58" s="68">
        <v>-1985.9567563206656</v>
      </c>
      <c r="F58" s="68"/>
      <c r="G58" s="68">
        <v>799.83699584770511</v>
      </c>
      <c r="H58" s="48">
        <v>57566.599123334578</v>
      </c>
      <c r="I58" s="48">
        <v>20733.720876665429</v>
      </c>
      <c r="J58" s="48"/>
      <c r="K58" s="68">
        <v>-56766.765745219847</v>
      </c>
      <c r="L58" s="48">
        <v>-3.617732974817045E-3</v>
      </c>
      <c r="N58" s="69"/>
      <c r="O58" s="48">
        <v>-52.522516579338117</v>
      </c>
      <c r="P58" s="48">
        <v>-1985.9567563206656</v>
      </c>
      <c r="Q58" s="70">
        <v>-135.98181432278042</v>
      </c>
      <c r="R58" s="48">
        <v>-2174.461087222784</v>
      </c>
      <c r="S58" s="70"/>
      <c r="T58" s="48"/>
      <c r="U58" s="20">
        <v>-2174.461087222784</v>
      </c>
      <c r="V58" s="71">
        <f t="shared" si="0"/>
        <v>-1985.9567563206656</v>
      </c>
      <c r="X58" s="69">
        <v>799.83699584770511</v>
      </c>
      <c r="Y58" s="48">
        <v>0</v>
      </c>
      <c r="Z58" s="20">
        <v>799.83699584770511</v>
      </c>
      <c r="AB58" s="72">
        <v>-1374.6240913750789</v>
      </c>
    </row>
    <row r="59" spans="1:28" x14ac:dyDescent="0.35">
      <c r="A59" s="33" t="s">
        <v>117</v>
      </c>
      <c r="B59" s="68">
        <v>329488.2</v>
      </c>
      <c r="C59" s="68">
        <v>-82663.322131914436</v>
      </c>
      <c r="D59" s="68">
        <v>-221.01505392565741</v>
      </c>
      <c r="E59" s="68">
        <v>-8356.917531345156</v>
      </c>
      <c r="F59" s="68"/>
      <c r="G59" s="68">
        <v>3365.7187104122668</v>
      </c>
      <c r="H59" s="48">
        <v>241612.66399322703</v>
      </c>
      <c r="I59" s="48">
        <v>87875.536006772978</v>
      </c>
      <c r="J59" s="48"/>
      <c r="K59" s="68">
        <v>-238246.94361659832</v>
      </c>
      <c r="L59" s="48">
        <v>1.6662164462104556E-3</v>
      </c>
      <c r="N59" s="69"/>
      <c r="O59" s="48">
        <v>-221.01505392565741</v>
      </c>
      <c r="P59" s="48">
        <v>-8356.917531345156</v>
      </c>
      <c r="Q59" s="70">
        <v>-572.2122621458908</v>
      </c>
      <c r="R59" s="48">
        <v>-9150.1448474167046</v>
      </c>
      <c r="S59" s="70"/>
      <c r="T59" s="48"/>
      <c r="U59" s="20">
        <v>-9150.1448474167046</v>
      </c>
      <c r="V59" s="71">
        <f t="shared" si="0"/>
        <v>-8356.917531345156</v>
      </c>
      <c r="X59" s="69">
        <v>3365.7187104122668</v>
      </c>
      <c r="Y59" s="48">
        <v>0</v>
      </c>
      <c r="Z59" s="20">
        <v>3365.7187104122668</v>
      </c>
      <c r="AB59" s="72">
        <v>-5784.4261370044378</v>
      </c>
    </row>
    <row r="60" spans="1:28" x14ac:dyDescent="0.35">
      <c r="A60" s="33" t="s">
        <v>118</v>
      </c>
      <c r="B60" s="68">
        <v>877590.41</v>
      </c>
      <c r="C60" s="68">
        <v>-219128.90796423622</v>
      </c>
      <c r="D60" s="68">
        <v>-588.67264985758811</v>
      </c>
      <c r="E60" s="68">
        <v>-22258.614064689958</v>
      </c>
      <c r="F60" s="68"/>
      <c r="G60" s="68">
        <v>8964.5773748964984</v>
      </c>
      <c r="H60" s="48">
        <v>644578.79269611277</v>
      </c>
      <c r="I60" s="48">
        <v>233011.61730388727</v>
      </c>
      <c r="J60" s="48"/>
      <c r="K60" s="68">
        <v>-635614.21244130668</v>
      </c>
      <c r="L60" s="48">
        <v>2.8799095907743322E-3</v>
      </c>
      <c r="N60" s="69"/>
      <c r="O60" s="48">
        <v>-588.67264985758811</v>
      </c>
      <c r="P60" s="48">
        <v>-22258.614064689958</v>
      </c>
      <c r="Q60" s="70">
        <v>-1524.0849103052544</v>
      </c>
      <c r="R60" s="48">
        <v>-24371.3716248528</v>
      </c>
      <c r="S60" s="70"/>
      <c r="T60" s="48"/>
      <c r="U60" s="20">
        <v>-24371.3716248528</v>
      </c>
      <c r="V60" s="71">
        <f t="shared" si="0"/>
        <v>-22258.614064689958</v>
      </c>
      <c r="X60" s="69">
        <v>8964.5773748964984</v>
      </c>
      <c r="Y60" s="48">
        <v>0</v>
      </c>
      <c r="Z60" s="20">
        <v>8964.5773748964984</v>
      </c>
      <c r="AB60" s="72">
        <v>-15406.794249956301</v>
      </c>
    </row>
    <row r="61" spans="1:28" x14ac:dyDescent="0.35">
      <c r="A61" s="33" t="s">
        <v>119</v>
      </c>
      <c r="B61" s="68">
        <v>39150.160000000003</v>
      </c>
      <c r="C61" s="68">
        <v>-9747.5492998065674</v>
      </c>
      <c r="D61" s="68">
        <v>-26.261258289669058</v>
      </c>
      <c r="E61" s="68">
        <v>-992.9783781603328</v>
      </c>
      <c r="F61" s="68"/>
      <c r="G61" s="68">
        <v>399.91849792385256</v>
      </c>
      <c r="H61" s="48">
        <v>28783.289561667287</v>
      </c>
      <c r="I61" s="48">
        <v>10366.870438332717</v>
      </c>
      <c r="J61" s="48"/>
      <c r="K61" s="68">
        <v>-28383.372872609922</v>
      </c>
      <c r="L61" s="48">
        <v>-1.8088664874085225E-3</v>
      </c>
      <c r="N61" s="69"/>
      <c r="O61" s="48">
        <v>-26.261258289669058</v>
      </c>
      <c r="P61" s="48">
        <v>-992.9783781603328</v>
      </c>
      <c r="Q61" s="70">
        <v>-67.990907161390211</v>
      </c>
      <c r="R61" s="48">
        <v>-1087.230543611392</v>
      </c>
      <c r="S61" s="70"/>
      <c r="T61" s="48"/>
      <c r="U61" s="20">
        <v>-1087.230543611392</v>
      </c>
      <c r="V61" s="71">
        <f t="shared" si="0"/>
        <v>-992.9783781603328</v>
      </c>
      <c r="X61" s="69">
        <v>399.91849792385256</v>
      </c>
      <c r="Y61" s="48">
        <v>0</v>
      </c>
      <c r="Z61" s="20">
        <v>399.91849792385256</v>
      </c>
      <c r="AB61" s="72">
        <v>-687.31204568753947</v>
      </c>
    </row>
    <row r="62" spans="1:28" x14ac:dyDescent="0.35">
      <c r="A62" s="33" t="s">
        <v>120</v>
      </c>
      <c r="B62" s="68">
        <v>1500000</v>
      </c>
      <c r="C62" s="68">
        <v>-369305.67651210236</v>
      </c>
      <c r="D62" s="68">
        <v>-1006.1743664524984</v>
      </c>
      <c r="E62" s="68">
        <v>-38044.993104510941</v>
      </c>
      <c r="F62" s="68"/>
      <c r="G62" s="68">
        <v>15322.485192545289</v>
      </c>
      <c r="H62" s="48">
        <v>1106965.6412094794</v>
      </c>
      <c r="I62" s="48">
        <v>393034.35879052058</v>
      </c>
      <c r="J62" s="48"/>
      <c r="K62" s="68">
        <v>-1091643.1542470241</v>
      </c>
      <c r="L62" s="48">
        <v>1.7699100353638642E-3</v>
      </c>
      <c r="N62" s="69"/>
      <c r="O62" s="48">
        <v>-1006.1743664524984</v>
      </c>
      <c r="P62" s="48">
        <v>-38044.993104510941</v>
      </c>
      <c r="Q62" s="70">
        <v>-2605.0049538005796</v>
      </c>
      <c r="R62" s="48">
        <v>-41656.172424764016</v>
      </c>
      <c r="S62" s="70"/>
      <c r="T62" s="48"/>
      <c r="U62" s="20">
        <v>-41656.172424764016</v>
      </c>
      <c r="V62" s="71">
        <f t="shared" si="0"/>
        <v>-38044.993104510941</v>
      </c>
      <c r="X62" s="69">
        <v>15322.485192545289</v>
      </c>
      <c r="Y62" s="48">
        <v>0</v>
      </c>
      <c r="Z62" s="20">
        <v>15322.485192545289</v>
      </c>
      <c r="AB62" s="72">
        <v>-26333.687232218726</v>
      </c>
    </row>
    <row r="63" spans="1:28" x14ac:dyDescent="0.35">
      <c r="A63" s="33" t="s">
        <v>121</v>
      </c>
      <c r="B63" s="68">
        <v>1000000</v>
      </c>
      <c r="C63" s="68">
        <v>-246203.78434140154</v>
      </c>
      <c r="D63" s="68">
        <v>-670.78291096817702</v>
      </c>
      <c r="E63" s="68">
        <v>-25363.328736340627</v>
      </c>
      <c r="F63" s="68"/>
      <c r="G63" s="68">
        <v>10214.990128363524</v>
      </c>
      <c r="H63" s="48">
        <v>737977.09413965314</v>
      </c>
      <c r="I63" s="48">
        <v>262022.90586034686</v>
      </c>
      <c r="J63" s="48"/>
      <c r="K63" s="68">
        <v>-727762.10616468277</v>
      </c>
      <c r="L63" s="48">
        <v>-2.153393155822414E-3</v>
      </c>
      <c r="N63" s="69"/>
      <c r="O63" s="48">
        <v>-670.78291096817702</v>
      </c>
      <c r="P63" s="48">
        <v>-25363.328736340627</v>
      </c>
      <c r="Q63" s="70">
        <v>-1736.6699692003865</v>
      </c>
      <c r="R63" s="48">
        <v>-27770.78161650919</v>
      </c>
      <c r="S63" s="70"/>
      <c r="T63" s="48"/>
      <c r="U63" s="20">
        <v>-27770.78161650919</v>
      </c>
      <c r="V63" s="71">
        <f t="shared" si="0"/>
        <v>-25363.328736340627</v>
      </c>
      <c r="X63" s="69">
        <v>10214.990128363524</v>
      </c>
      <c r="Y63" s="48">
        <v>0</v>
      </c>
      <c r="Z63" s="20">
        <v>10214.990128363524</v>
      </c>
      <c r="AB63" s="72">
        <v>-17555.791488145667</v>
      </c>
    </row>
    <row r="64" spans="1:28" x14ac:dyDescent="0.35">
      <c r="A64" s="33" t="s">
        <v>122</v>
      </c>
      <c r="B64" s="68">
        <v>1000000</v>
      </c>
      <c r="C64" s="68">
        <v>-246203.78434140154</v>
      </c>
      <c r="D64" s="68">
        <v>-670.78291096817702</v>
      </c>
      <c r="E64" s="68">
        <v>-25363.328736340627</v>
      </c>
      <c r="F64" s="68"/>
      <c r="G64" s="68">
        <v>10214.990128363524</v>
      </c>
      <c r="H64" s="48">
        <v>737977.09413965314</v>
      </c>
      <c r="I64" s="48">
        <v>262022.90586034686</v>
      </c>
      <c r="J64" s="48"/>
      <c r="K64" s="68">
        <v>-727762.10616468277</v>
      </c>
      <c r="L64" s="48">
        <v>-2.153393155822414E-3</v>
      </c>
      <c r="N64" s="69"/>
      <c r="O64" s="48">
        <v>-670.78291096817702</v>
      </c>
      <c r="P64" s="48">
        <v>-25363.328736340627</v>
      </c>
      <c r="Q64" s="70">
        <v>-1736.6699692003865</v>
      </c>
      <c r="R64" s="48">
        <v>-27770.78161650919</v>
      </c>
      <c r="S64" s="70"/>
      <c r="T64" s="48"/>
      <c r="U64" s="20">
        <v>-27770.78161650919</v>
      </c>
      <c r="V64" s="71">
        <f t="shared" si="0"/>
        <v>-25363.328736340627</v>
      </c>
      <c r="X64" s="69">
        <v>10214.990128363524</v>
      </c>
      <c r="Y64" s="48">
        <v>0</v>
      </c>
      <c r="Z64" s="20">
        <v>10214.990128363524</v>
      </c>
      <c r="AB64" s="72">
        <v>-17555.791488145667</v>
      </c>
    </row>
    <row r="65" spans="1:35" x14ac:dyDescent="0.35">
      <c r="A65" s="33" t="s">
        <v>123</v>
      </c>
      <c r="B65" s="68">
        <v>2000000</v>
      </c>
      <c r="C65" s="68">
        <v>-492407.56868280284</v>
      </c>
      <c r="D65" s="68">
        <v>-1341.565821936354</v>
      </c>
      <c r="E65" s="68">
        <v>-50726.657472681254</v>
      </c>
      <c r="F65" s="68"/>
      <c r="G65" s="68">
        <v>20429.980256727049</v>
      </c>
      <c r="H65" s="48">
        <v>1475954.1882793065</v>
      </c>
      <c r="I65" s="48">
        <v>524045.81172069348</v>
      </c>
      <c r="J65" s="48"/>
      <c r="K65" s="68">
        <v>-1455524.2023293655</v>
      </c>
      <c r="L65" s="48">
        <v>5.6932139304990415E-3</v>
      </c>
      <c r="N65" s="69"/>
      <c r="O65" s="48">
        <v>-1341.565821936354</v>
      </c>
      <c r="P65" s="48">
        <v>-50726.657472681254</v>
      </c>
      <c r="Q65" s="70">
        <v>-3473.339938400773</v>
      </c>
      <c r="R65" s="48">
        <v>-55541.56323301838</v>
      </c>
      <c r="S65" s="70"/>
      <c r="T65" s="48"/>
      <c r="U65" s="20">
        <v>-55541.56323301838</v>
      </c>
      <c r="V65" s="71">
        <f t="shared" si="0"/>
        <v>-50726.657472681254</v>
      </c>
      <c r="X65" s="69">
        <v>20429.980256727049</v>
      </c>
      <c r="Y65" s="48">
        <v>0</v>
      </c>
      <c r="Z65" s="20">
        <v>20429.980256727049</v>
      </c>
      <c r="AB65" s="72">
        <v>-35111.582976291334</v>
      </c>
    </row>
    <row r="66" spans="1:35" x14ac:dyDescent="0.35">
      <c r="A66" s="33" t="s">
        <v>124</v>
      </c>
      <c r="B66" s="68">
        <v>1000000</v>
      </c>
      <c r="C66" s="68">
        <v>-246203.78434140154</v>
      </c>
      <c r="D66" s="68">
        <v>-670.78291096817702</v>
      </c>
      <c r="E66" s="68">
        <v>-25363.328736340627</v>
      </c>
      <c r="F66" s="68"/>
      <c r="G66" s="68">
        <v>10214.990128363524</v>
      </c>
      <c r="H66" s="48">
        <v>737977.09413965314</v>
      </c>
      <c r="I66" s="48">
        <v>262022.90586034686</v>
      </c>
      <c r="J66" s="48"/>
      <c r="K66" s="68">
        <v>-727762.10616468277</v>
      </c>
      <c r="L66" s="48">
        <v>-2.153393155822414E-3</v>
      </c>
      <c r="N66" s="69"/>
      <c r="O66" s="48">
        <v>-670.78291096817702</v>
      </c>
      <c r="P66" s="48">
        <v>-25363.328736340627</v>
      </c>
      <c r="Q66" s="70">
        <v>-1736.6699692003865</v>
      </c>
      <c r="R66" s="48">
        <v>-27770.78161650919</v>
      </c>
      <c r="S66" s="70"/>
      <c r="T66" s="48"/>
      <c r="U66" s="20">
        <v>-27770.78161650919</v>
      </c>
      <c r="V66" s="71">
        <f t="shared" si="0"/>
        <v>-25363.328736340627</v>
      </c>
      <c r="X66" s="69">
        <v>10214.990128363524</v>
      </c>
      <c r="Y66" s="48">
        <v>0</v>
      </c>
      <c r="Z66" s="20">
        <v>10214.990128363524</v>
      </c>
      <c r="AB66" s="72">
        <v>-17555.791488145667</v>
      </c>
    </row>
    <row r="67" spans="1:35" x14ac:dyDescent="0.35">
      <c r="A67" s="33" t="s">
        <v>125</v>
      </c>
      <c r="B67" s="68">
        <v>523296.86</v>
      </c>
      <c r="C67" s="68">
        <v>-130540.74894085136</v>
      </c>
      <c r="D67" s="68">
        <v>-351.01859105133917</v>
      </c>
      <c r="E67" s="68">
        <v>-13272.550286874874</v>
      </c>
      <c r="F67" s="68"/>
      <c r="G67" s="68">
        <v>5345.4722591036298</v>
      </c>
      <c r="H67" s="48">
        <v>384478.01444032602</v>
      </c>
      <c r="I67" s="48">
        <v>138818.84555967397</v>
      </c>
      <c r="J67" s="48"/>
      <c r="K67" s="68">
        <v>-379132.54391151818</v>
      </c>
      <c r="L67" s="48">
        <v>-1.7302957894571591E-3</v>
      </c>
      <c r="N67" s="69"/>
      <c r="O67" s="48">
        <v>-351.01859105133917</v>
      </c>
      <c r="P67" s="48">
        <v>-13272.550286874874</v>
      </c>
      <c r="Q67" s="70">
        <v>-908.79394173885885</v>
      </c>
      <c r="R67" s="48">
        <v>-14532.362819665072</v>
      </c>
      <c r="S67" s="70"/>
      <c r="T67" s="48"/>
      <c r="U67" s="20">
        <v>-14532.362819665072</v>
      </c>
      <c r="V67" s="71">
        <f t="shared" si="0"/>
        <v>-13272.550286874874</v>
      </c>
      <c r="X67" s="69">
        <v>5345.4722591036298</v>
      </c>
      <c r="Y67" s="48">
        <v>0</v>
      </c>
      <c r="Z67" s="20">
        <v>5345.4722591036298</v>
      </c>
      <c r="AB67" s="72">
        <v>-9186.8905605614418</v>
      </c>
    </row>
    <row r="68" spans="1:35" x14ac:dyDescent="0.35">
      <c r="A68" s="33" t="s">
        <v>126</v>
      </c>
      <c r="B68" s="68">
        <v>156600.63</v>
      </c>
      <c r="C68" s="68">
        <v>-38990.165744236234</v>
      </c>
      <c r="D68" s="68">
        <v>-105.04502645085449</v>
      </c>
      <c r="E68" s="68">
        <v>-3971.9132590080408</v>
      </c>
      <c r="F68" s="68"/>
      <c r="G68" s="68">
        <v>1599.6738895455092</v>
      </c>
      <c r="H68" s="48">
        <v>115133.17985985038</v>
      </c>
      <c r="I68" s="48">
        <v>41467.450140149624</v>
      </c>
      <c r="J68" s="48"/>
      <c r="K68" s="68">
        <v>-113533.50435982952</v>
      </c>
      <c r="L68" s="48">
        <v>1.6104753558465745E-3</v>
      </c>
      <c r="N68" s="69"/>
      <c r="O68" s="48">
        <v>-105.04502645085449</v>
      </c>
      <c r="P68" s="48">
        <v>-3971.9132590080408</v>
      </c>
      <c r="Q68" s="70">
        <v>-271.96361127886109</v>
      </c>
      <c r="R68" s="48">
        <v>-4348.9218967377565</v>
      </c>
      <c r="S68" s="70"/>
      <c r="T68" s="48"/>
      <c r="U68" s="20">
        <v>-4348.9218967377565</v>
      </c>
      <c r="V68" s="71">
        <f t="shared" si="0"/>
        <v>-3971.9132590080408</v>
      </c>
      <c r="X68" s="69">
        <v>1599.6738895455092</v>
      </c>
      <c r="Y68" s="48">
        <v>0</v>
      </c>
      <c r="Z68" s="20">
        <v>1599.6738895455092</v>
      </c>
      <c r="AB68" s="72">
        <v>-2749.2480071922473</v>
      </c>
    </row>
    <row r="69" spans="1:35" x14ac:dyDescent="0.35">
      <c r="A69" s="33" t="s">
        <v>142</v>
      </c>
      <c r="B69" s="68">
        <v>0</v>
      </c>
      <c r="E69" s="68">
        <v>0</v>
      </c>
      <c r="F69" s="68"/>
      <c r="G69" s="68">
        <v>0</v>
      </c>
      <c r="H69" s="48">
        <v>0</v>
      </c>
      <c r="I69" s="48">
        <v>0</v>
      </c>
      <c r="J69" s="48"/>
      <c r="K69" s="68">
        <v>0</v>
      </c>
      <c r="L69" s="48">
        <v>0</v>
      </c>
      <c r="N69" s="69"/>
      <c r="O69" s="48">
        <v>0</v>
      </c>
      <c r="P69" s="48">
        <v>0</v>
      </c>
      <c r="Q69" s="70">
        <v>0</v>
      </c>
      <c r="R69" s="48">
        <v>0</v>
      </c>
      <c r="S69" s="70"/>
      <c r="T69" s="48"/>
      <c r="U69" s="20">
        <v>0</v>
      </c>
      <c r="V69" s="71">
        <f t="shared" ref="V69:V85" si="1">+P69</f>
        <v>0</v>
      </c>
      <c r="X69" s="69">
        <v>0</v>
      </c>
      <c r="Y69" s="48">
        <v>0</v>
      </c>
      <c r="Z69" s="20">
        <v>0</v>
      </c>
      <c r="AB69" s="72">
        <v>0</v>
      </c>
    </row>
    <row r="70" spans="1:35" x14ac:dyDescent="0.35">
      <c r="A70" s="33" t="s">
        <v>127</v>
      </c>
      <c r="B70" s="68">
        <v>1000000</v>
      </c>
      <c r="C70" s="68">
        <v>-246203.78434140154</v>
      </c>
      <c r="D70" s="68">
        <v>-670.78291096817702</v>
      </c>
      <c r="E70" s="68">
        <v>-25363.328736340627</v>
      </c>
      <c r="F70" s="68"/>
      <c r="G70" s="68">
        <v>10214.990128363524</v>
      </c>
      <c r="H70" s="48">
        <v>737977.09413965314</v>
      </c>
      <c r="I70" s="48">
        <v>262022.90586034686</v>
      </c>
      <c r="J70" s="48"/>
      <c r="K70" s="68">
        <v>-727762.10616468277</v>
      </c>
      <c r="L70" s="48">
        <v>-2.153393155822414E-3</v>
      </c>
      <c r="N70" s="69"/>
      <c r="O70" s="48">
        <v>-670.78291096817702</v>
      </c>
      <c r="P70" s="48">
        <v>-25363.328736340627</v>
      </c>
      <c r="Q70" s="70">
        <v>-1736.6699692003865</v>
      </c>
      <c r="R70" s="48">
        <v>-27770.78161650919</v>
      </c>
      <c r="S70" s="70"/>
      <c r="T70" s="48"/>
      <c r="U70" s="20">
        <v>-27770.78161650919</v>
      </c>
      <c r="V70" s="71">
        <f t="shared" si="1"/>
        <v>-25363.328736340627</v>
      </c>
      <c r="X70" s="69">
        <v>10214.990128363524</v>
      </c>
      <c r="Y70" s="48">
        <v>0</v>
      </c>
      <c r="Z70" s="20">
        <v>10214.990128363524</v>
      </c>
      <c r="AB70" s="72">
        <v>-17555.791488145667</v>
      </c>
    </row>
    <row r="71" spans="1:35" x14ac:dyDescent="0.35">
      <c r="A71" s="33" t="s">
        <v>128</v>
      </c>
      <c r="B71" s="68">
        <v>1000000</v>
      </c>
      <c r="C71" s="68">
        <v>-246203.78434140154</v>
      </c>
      <c r="D71" s="68">
        <v>-670.78291096817702</v>
      </c>
      <c r="E71" s="68">
        <v>-25363.328736340627</v>
      </c>
      <c r="F71" s="68"/>
      <c r="G71" s="68">
        <v>10214.990128363524</v>
      </c>
      <c r="H71" s="48">
        <v>737977.09413965314</v>
      </c>
      <c r="I71" s="48">
        <v>262022.90586034686</v>
      </c>
      <c r="J71" s="48"/>
      <c r="K71" s="68">
        <v>-727762.10616468277</v>
      </c>
      <c r="L71" s="48">
        <v>-2.153393155822414E-3</v>
      </c>
      <c r="N71" s="69"/>
      <c r="O71" s="48">
        <v>-670.78291096817702</v>
      </c>
      <c r="P71" s="48">
        <v>-25363.328736340627</v>
      </c>
      <c r="Q71" s="70">
        <v>-1736.6699692003865</v>
      </c>
      <c r="R71" s="48">
        <v>-27770.78161650919</v>
      </c>
      <c r="S71" s="70"/>
      <c r="T71" s="48"/>
      <c r="U71" s="20">
        <v>-27770.78161650919</v>
      </c>
      <c r="V71" s="71">
        <f t="shared" si="1"/>
        <v>-25363.328736340627</v>
      </c>
      <c r="X71" s="69">
        <v>10214.990128363524</v>
      </c>
      <c r="Y71" s="48">
        <v>0</v>
      </c>
      <c r="Z71" s="20">
        <v>10214.990128363524</v>
      </c>
      <c r="AB71" s="72">
        <v>-17555.791488145667</v>
      </c>
    </row>
    <row r="72" spans="1:35" x14ac:dyDescent="0.35">
      <c r="A72" s="33" t="s">
        <v>129</v>
      </c>
      <c r="B72" s="68">
        <v>600000</v>
      </c>
      <c r="C72" s="68">
        <v>-147722.27260484081</v>
      </c>
      <c r="D72" s="68">
        <v>-402.4697465809295</v>
      </c>
      <c r="E72" s="68">
        <v>-15217.997241804318</v>
      </c>
      <c r="F72" s="68"/>
      <c r="G72" s="68">
        <v>6128.9940770181156</v>
      </c>
      <c r="H72" s="48">
        <v>442786.25448379206</v>
      </c>
      <c r="I72" s="48">
        <v>157213.74551620794</v>
      </c>
      <c r="J72" s="48"/>
      <c r="K72" s="68">
        <v>-436657.25969880976</v>
      </c>
      <c r="L72" s="48">
        <v>7.0796417730889516E-4</v>
      </c>
      <c r="N72" s="69"/>
      <c r="O72" s="48">
        <v>-402.4697465809295</v>
      </c>
      <c r="P72" s="48">
        <v>-15217.997241804318</v>
      </c>
      <c r="Q72" s="70">
        <v>-1042.0019815202318</v>
      </c>
      <c r="R72" s="48">
        <v>-16662.46896990548</v>
      </c>
      <c r="S72" s="70"/>
      <c r="T72" s="48"/>
      <c r="U72" s="20">
        <v>-16662.46896990548</v>
      </c>
      <c r="V72" s="71">
        <f t="shared" si="1"/>
        <v>-15217.997241804318</v>
      </c>
      <c r="X72" s="69">
        <v>6128.9940770181156</v>
      </c>
      <c r="Y72" s="48">
        <v>0</v>
      </c>
      <c r="Z72" s="20">
        <v>6128.9940770181156</v>
      </c>
      <c r="AB72" s="72">
        <v>-10533.474892887363</v>
      </c>
    </row>
    <row r="73" spans="1:35" x14ac:dyDescent="0.35">
      <c r="A73" s="33" t="s">
        <v>130</v>
      </c>
      <c r="B73" s="68">
        <v>1000000</v>
      </c>
      <c r="C73" s="68">
        <v>-246203.78434140154</v>
      </c>
      <c r="D73" s="68">
        <v>-670.78291096817702</v>
      </c>
      <c r="E73" s="68">
        <v>-25363.328736340627</v>
      </c>
      <c r="F73" s="68"/>
      <c r="G73" s="68">
        <v>10214.990128363524</v>
      </c>
      <c r="H73" s="48">
        <v>737977.09413965314</v>
      </c>
      <c r="I73" s="48">
        <v>262022.90586034686</v>
      </c>
      <c r="J73" s="48"/>
      <c r="K73" s="68">
        <v>-727762.10616468277</v>
      </c>
      <c r="L73" s="48">
        <v>-2.153393155822414E-3</v>
      </c>
      <c r="N73" s="69"/>
      <c r="O73" s="48">
        <v>-670.78291096817702</v>
      </c>
      <c r="P73" s="48">
        <v>-25363.328736340627</v>
      </c>
      <c r="Q73" s="70">
        <v>-1736.6699692003865</v>
      </c>
      <c r="R73" s="48">
        <v>-27770.78161650919</v>
      </c>
      <c r="S73" s="70"/>
      <c r="T73" s="48"/>
      <c r="U73" s="20">
        <v>-27770.78161650919</v>
      </c>
      <c r="V73" s="71">
        <f t="shared" si="1"/>
        <v>-25363.328736340627</v>
      </c>
      <c r="X73" s="69">
        <v>10214.990128363524</v>
      </c>
      <c r="Y73" s="48">
        <v>0</v>
      </c>
      <c r="Z73" s="20">
        <v>10214.990128363524</v>
      </c>
      <c r="AB73" s="72">
        <v>-17555.791488145667</v>
      </c>
    </row>
    <row r="74" spans="1:35" x14ac:dyDescent="0.35">
      <c r="A74" s="33" t="s">
        <v>131</v>
      </c>
      <c r="B74" s="68">
        <v>20000000</v>
      </c>
      <c r="C74" s="68">
        <v>-4849075.706828028</v>
      </c>
      <c r="D74" s="68">
        <v>-13415.65821936354</v>
      </c>
      <c r="E74" s="68">
        <v>-507266.57472681254</v>
      </c>
      <c r="F74" s="68"/>
      <c r="G74" s="68">
        <v>204299.8025672705</v>
      </c>
      <c r="H74" s="48">
        <v>14834541.862793066</v>
      </c>
      <c r="I74" s="48">
        <v>5165458.1372069344</v>
      </c>
      <c r="J74" s="48"/>
      <c r="K74" s="68">
        <v>-14630242.063293656</v>
      </c>
      <c r="L74" s="48">
        <v>-3.0678612238261849E-3</v>
      </c>
      <c r="N74" s="69"/>
      <c r="O74" s="48">
        <v>-13415.65821936354</v>
      </c>
      <c r="P74" s="48">
        <v>-507266.57472681254</v>
      </c>
      <c r="Q74" s="70">
        <v>-34733.399384007731</v>
      </c>
      <c r="R74" s="48">
        <v>-555415.63233018387</v>
      </c>
      <c r="S74" s="70"/>
      <c r="T74" s="48"/>
      <c r="U74" s="20">
        <v>-555415.63233018387</v>
      </c>
      <c r="V74" s="71">
        <f t="shared" si="1"/>
        <v>-507266.57472681254</v>
      </c>
      <c r="X74" s="69">
        <v>204299.8025672705</v>
      </c>
      <c r="Y74" s="48">
        <v>0</v>
      </c>
      <c r="Z74" s="20">
        <v>204299.8025672705</v>
      </c>
      <c r="AB74" s="72">
        <v>-351115.8297629134</v>
      </c>
    </row>
    <row r="75" spans="1:35" x14ac:dyDescent="0.35">
      <c r="A75" s="33" t="s">
        <v>132</v>
      </c>
      <c r="B75" s="68">
        <v>250000</v>
      </c>
      <c r="C75" s="68">
        <v>-59713.311085350404</v>
      </c>
      <c r="D75" s="68">
        <v>-167.69572774204426</v>
      </c>
      <c r="E75" s="68">
        <v>-6340.8321840851568</v>
      </c>
      <c r="F75" s="68"/>
      <c r="G75" s="68">
        <v>2553.7475320908811</v>
      </c>
      <c r="H75" s="48">
        <v>186331.90853491327</v>
      </c>
      <c r="I75" s="48">
        <v>63668.091465086734</v>
      </c>
      <c r="J75" s="48"/>
      <c r="K75" s="68">
        <v>-183778.1640411707</v>
      </c>
      <c r="L75" s="48">
        <v>-3.0383483203877404E-3</v>
      </c>
      <c r="N75" s="69"/>
      <c r="O75" s="48">
        <v>-167.69572774204426</v>
      </c>
      <c r="P75" s="48">
        <v>-6340.8321840851568</v>
      </c>
      <c r="Q75" s="70">
        <v>-434.16749230009663</v>
      </c>
      <c r="R75" s="48">
        <v>-6942.6954041272975</v>
      </c>
      <c r="S75" s="70"/>
      <c r="T75" s="48"/>
      <c r="U75" s="20">
        <v>-6942.6954041272975</v>
      </c>
      <c r="V75" s="71">
        <f t="shared" si="1"/>
        <v>-6340.8321840851568</v>
      </c>
      <c r="X75" s="69">
        <v>2553.7475320908811</v>
      </c>
      <c r="Y75" s="48">
        <v>0</v>
      </c>
      <c r="Z75" s="20">
        <v>2553.7475320908811</v>
      </c>
      <c r="AB75" s="72">
        <v>-4388.9478720364168</v>
      </c>
    </row>
    <row r="76" spans="1:35" x14ac:dyDescent="0.35">
      <c r="A76" s="33" t="s">
        <v>133</v>
      </c>
      <c r="B76" s="68">
        <v>313201.26</v>
      </c>
      <c r="C76" s="68">
        <v>-77980.35148847237</v>
      </c>
      <c r="D76" s="68">
        <v>-210.09005290170899</v>
      </c>
      <c r="E76" s="68">
        <v>-7943.8265180160524</v>
      </c>
      <c r="F76" s="68"/>
      <c r="G76" s="68">
        <v>3199.3477790910183</v>
      </c>
      <c r="H76" s="48">
        <v>230266.33971970089</v>
      </c>
      <c r="I76" s="48">
        <v>82934.92028029912</v>
      </c>
      <c r="J76" s="48"/>
      <c r="K76" s="68">
        <v>-227066.99871965905</v>
      </c>
      <c r="L76" s="48">
        <v>-6.7790491812047549E-3</v>
      </c>
      <c r="N76" s="69"/>
      <c r="O76" s="48">
        <v>-210.09005290170899</v>
      </c>
      <c r="P76" s="48">
        <v>-7943.8265180160524</v>
      </c>
      <c r="Q76" s="70">
        <v>-543.92722255772219</v>
      </c>
      <c r="R76" s="48">
        <v>-8697.8437934754838</v>
      </c>
      <c r="S76" s="70"/>
      <c r="T76" s="48"/>
      <c r="U76" s="20">
        <v>-8697.8437934754838</v>
      </c>
      <c r="V76" s="71">
        <f t="shared" si="1"/>
        <v>-7943.8265180160524</v>
      </c>
      <c r="X76" s="69">
        <v>3199.3477790910183</v>
      </c>
      <c r="Y76" s="48">
        <v>0</v>
      </c>
      <c r="Z76" s="20">
        <v>3199.3477790910183</v>
      </c>
      <c r="AB76" s="72">
        <v>-5498.4960143844655</v>
      </c>
      <c r="AI76" s="73"/>
    </row>
    <row r="77" spans="1:35" x14ac:dyDescent="0.35">
      <c r="A77" s="33" t="s">
        <v>134</v>
      </c>
      <c r="B77" s="68">
        <v>313201.26</v>
      </c>
      <c r="C77" s="68">
        <v>-77980.35148847237</v>
      </c>
      <c r="D77" s="68">
        <v>-210.09005290170899</v>
      </c>
      <c r="E77" s="68">
        <v>-7943.8265180160524</v>
      </c>
      <c r="F77" s="68"/>
      <c r="G77" s="68">
        <v>3199.3477790910183</v>
      </c>
      <c r="H77" s="48">
        <v>230266.33971970089</v>
      </c>
      <c r="I77" s="48">
        <v>82934.92028029912</v>
      </c>
      <c r="J77" s="48"/>
      <c r="K77" s="68">
        <v>-227066.99871965905</v>
      </c>
      <c r="L77" s="48">
        <v>-6.7790491812047549E-3</v>
      </c>
      <c r="N77" s="69"/>
      <c r="O77" s="48">
        <v>-210.09005290170899</v>
      </c>
      <c r="P77" s="48">
        <v>-7943.8265180160524</v>
      </c>
      <c r="Q77" s="70">
        <v>-543.92722255772219</v>
      </c>
      <c r="R77" s="48">
        <v>-8697.8437934754838</v>
      </c>
      <c r="S77" s="70"/>
      <c r="T77" s="48"/>
      <c r="U77" s="20">
        <v>-8697.8437934754838</v>
      </c>
      <c r="V77" s="71">
        <f t="shared" si="1"/>
        <v>-7943.8265180160524</v>
      </c>
      <c r="X77" s="69">
        <v>3199.3477790910183</v>
      </c>
      <c r="Y77" s="48">
        <v>0</v>
      </c>
      <c r="Z77" s="20">
        <v>3199.3477790910183</v>
      </c>
      <c r="AB77" s="72">
        <v>-5498.4960143844655</v>
      </c>
      <c r="AI77" s="73"/>
    </row>
    <row r="78" spans="1:35" x14ac:dyDescent="0.35">
      <c r="A78" s="33" t="s">
        <v>135</v>
      </c>
      <c r="B78" s="68">
        <v>5000000</v>
      </c>
      <c r="C78" s="4">
        <v>3768981.0738425702</v>
      </c>
      <c r="D78" s="4">
        <v>-3353.9145548408851</v>
      </c>
      <c r="E78" s="4">
        <v>-126816.64368170314</v>
      </c>
      <c r="F78" s="68"/>
      <c r="G78" s="68">
        <v>51074.950641817624</v>
      </c>
      <c r="H78" s="48">
        <v>3689885.4662478436</v>
      </c>
      <c r="I78" s="6">
        <v>1310114.5337521564</v>
      </c>
      <c r="J78" s="48"/>
      <c r="K78" s="4">
        <v>-3638810.5156060229</v>
      </c>
      <c r="L78" s="48">
        <v>3.0486262403428555E-9</v>
      </c>
      <c r="N78" s="69"/>
      <c r="O78" s="48">
        <v>-3353.9145548408851</v>
      </c>
      <c r="P78" s="48">
        <v>-126816.64368170314</v>
      </c>
      <c r="Q78" s="70">
        <v>-8683.3498460019327</v>
      </c>
      <c r="R78" s="48">
        <v>-138853.90808254597</v>
      </c>
      <c r="S78" s="70"/>
      <c r="T78" s="48"/>
      <c r="U78" s="20">
        <v>-138853.90808254597</v>
      </c>
      <c r="V78" s="71">
        <f t="shared" si="1"/>
        <v>-126816.64368170314</v>
      </c>
      <c r="X78" s="69">
        <v>51074.950641817624</v>
      </c>
      <c r="Y78" s="48">
        <v>0</v>
      </c>
      <c r="Z78" s="20">
        <v>51074.950641817624</v>
      </c>
      <c r="AB78" s="72">
        <v>-87778.957440728351</v>
      </c>
      <c r="AF78" s="48"/>
      <c r="AI78" s="73"/>
    </row>
    <row r="79" spans="1:35" x14ac:dyDescent="0.35">
      <c r="A79" s="33" t="s">
        <v>136</v>
      </c>
      <c r="B79" s="68">
        <v>7500000</v>
      </c>
      <c r="C79" s="4">
        <v>5653471.6107638497</v>
      </c>
      <c r="D79" s="4">
        <v>-5030.8718322617933</v>
      </c>
      <c r="E79" s="4">
        <v>-190224.96552255377</v>
      </c>
      <c r="F79" s="68"/>
      <c r="G79" s="68">
        <v>76612.42596272644</v>
      </c>
      <c r="H79" s="48">
        <v>5534828.1993717607</v>
      </c>
      <c r="I79" s="6">
        <v>1965171.8006282393</v>
      </c>
      <c r="J79" s="48"/>
      <c r="K79" s="4">
        <v>-5458215.7734090341</v>
      </c>
      <c r="L79" s="48">
        <v>1.4551915228366852E-10</v>
      </c>
      <c r="N79" s="69"/>
      <c r="O79" s="48">
        <v>-5030.8718322617933</v>
      </c>
      <c r="P79" s="48">
        <v>-190224.96552255377</v>
      </c>
      <c r="Q79" s="70">
        <v>-13025.024769002897</v>
      </c>
      <c r="R79" s="48">
        <v>-208280.86212381846</v>
      </c>
      <c r="S79" s="70"/>
      <c r="T79" s="48"/>
      <c r="U79" s="20">
        <v>-208280.86212381846</v>
      </c>
      <c r="V79" s="71">
        <f t="shared" si="1"/>
        <v>-190224.96552255377</v>
      </c>
      <c r="X79" s="69">
        <v>76612.42596272644</v>
      </c>
      <c r="Y79" s="48">
        <v>0</v>
      </c>
      <c r="Z79" s="20">
        <v>76612.42596272644</v>
      </c>
      <c r="AB79" s="72">
        <v>-131668.43616109202</v>
      </c>
      <c r="AF79" s="48"/>
      <c r="AI79" s="73"/>
    </row>
    <row r="80" spans="1:35" x14ac:dyDescent="0.35">
      <c r="A80" s="33" t="s">
        <v>137</v>
      </c>
      <c r="B80" s="68">
        <v>5000000</v>
      </c>
      <c r="C80" s="4">
        <v>3768981.0738425702</v>
      </c>
      <c r="D80" s="4">
        <v>-3353.9145548408901</v>
      </c>
      <c r="E80" s="4">
        <v>-126816.64368170314</v>
      </c>
      <c r="F80" s="68"/>
      <c r="G80" s="68">
        <v>51074.950641817624</v>
      </c>
      <c r="H80" s="48">
        <v>3689885.4662478436</v>
      </c>
      <c r="I80" s="6">
        <v>1310114.5337521564</v>
      </c>
      <c r="J80" s="48"/>
      <c r="K80" s="4">
        <v>-3638810.5156060229</v>
      </c>
      <c r="L80" s="48">
        <v>3.0486262403428555E-9</v>
      </c>
      <c r="N80" s="69"/>
      <c r="O80" s="48">
        <v>-3353.9145548408901</v>
      </c>
      <c r="P80" s="48">
        <v>-126816.64368170314</v>
      </c>
      <c r="Q80" s="70">
        <v>-8683.3498460019327</v>
      </c>
      <c r="R80" s="48">
        <v>-138853.90808254597</v>
      </c>
      <c r="S80" s="70"/>
      <c r="T80" s="48"/>
      <c r="U80" s="20">
        <v>-138853.90808254597</v>
      </c>
      <c r="V80" s="71">
        <f t="shared" si="1"/>
        <v>-126816.64368170314</v>
      </c>
      <c r="X80" s="69">
        <v>51074.950641817624</v>
      </c>
      <c r="Y80" s="48">
        <v>0</v>
      </c>
      <c r="Z80" s="20">
        <v>51074.950641817624</v>
      </c>
      <c r="AB80" s="72">
        <v>-87778.957440728351</v>
      </c>
      <c r="AF80" s="48"/>
    </row>
    <row r="81" spans="1:35" x14ac:dyDescent="0.35">
      <c r="A81" s="33" t="s">
        <v>138</v>
      </c>
      <c r="B81" s="68">
        <v>30000000</v>
      </c>
      <c r="C81" s="4">
        <v>22613886.443055399</v>
      </c>
      <c r="D81" s="4">
        <v>-20123.487329047173</v>
      </c>
      <c r="E81" s="4">
        <v>-760899.86209021509</v>
      </c>
      <c r="F81" s="68"/>
      <c r="G81" s="68">
        <v>306449.70385090576</v>
      </c>
      <c r="H81" s="48">
        <v>22139312.797487043</v>
      </c>
      <c r="I81" s="6">
        <v>7860687.2025129572</v>
      </c>
      <c r="J81" s="48"/>
      <c r="K81" s="4">
        <v>-21832863.093636137</v>
      </c>
      <c r="L81" s="48">
        <v>5.8207660913467407E-10</v>
      </c>
      <c r="N81" s="69"/>
      <c r="O81" s="48">
        <v>-20123.487329047173</v>
      </c>
      <c r="P81" s="48">
        <v>-760899.86209021509</v>
      </c>
      <c r="Q81" s="70">
        <v>-52100.099076011589</v>
      </c>
      <c r="R81" s="48">
        <v>-833123.44849527383</v>
      </c>
      <c r="S81" s="70"/>
      <c r="T81" s="48"/>
      <c r="U81" s="20">
        <v>-833123.44849527383</v>
      </c>
      <c r="V81" s="71">
        <f t="shared" si="1"/>
        <v>-760899.86209021509</v>
      </c>
      <c r="X81" s="69">
        <v>306449.70385090576</v>
      </c>
      <c r="Y81" s="48">
        <v>0</v>
      </c>
      <c r="Z81" s="20">
        <v>306449.70385090576</v>
      </c>
      <c r="AB81" s="72">
        <v>-526673.74464436807</v>
      </c>
      <c r="AF81" s="48"/>
    </row>
    <row r="82" spans="1:35" x14ac:dyDescent="0.35">
      <c r="A82" s="33" t="s">
        <v>7</v>
      </c>
      <c r="B82" s="68">
        <v>10000000</v>
      </c>
      <c r="C82" s="68">
        <v>-2388532.4234140143</v>
      </c>
      <c r="D82" s="68">
        <v>-6707.8291096817702</v>
      </c>
      <c r="E82" s="68">
        <v>4671621.4448530125</v>
      </c>
      <c r="F82" s="68"/>
      <c r="G82" s="68">
        <v>170590.33514367088</v>
      </c>
      <c r="H82" s="48">
        <v>12446971.527472988</v>
      </c>
      <c r="I82" s="48">
        <v>-2446971.5274729878</v>
      </c>
      <c r="J82" s="48"/>
      <c r="K82" s="4">
        <v>-12276381.1938632</v>
      </c>
      <c r="L82" s="48">
        <v>-1.5338831290137023E-3</v>
      </c>
      <c r="N82" s="69">
        <v>5008186.2111485703</v>
      </c>
      <c r="O82" s="48">
        <v>-6707.8291096817702</v>
      </c>
      <c r="P82" s="48">
        <v>0</v>
      </c>
      <c r="Q82" s="70">
        <v>-17366.699692003865</v>
      </c>
      <c r="R82" s="48">
        <v>4984111.6823468851</v>
      </c>
      <c r="S82" s="70"/>
      <c r="T82" s="48">
        <v>-5161409.84</v>
      </c>
      <c r="U82" s="20">
        <v>-177298.15765311476</v>
      </c>
      <c r="V82" s="71">
        <f t="shared" si="1"/>
        <v>0</v>
      </c>
      <c r="X82" s="74">
        <v>170590.33514367088</v>
      </c>
      <c r="Y82" s="48">
        <v>0</v>
      </c>
      <c r="Z82" s="20">
        <v>170590.33514367088</v>
      </c>
      <c r="AB82" s="72">
        <v>-6707.8225094438822</v>
      </c>
      <c r="AI82" s="73"/>
    </row>
    <row r="83" spans="1:35" x14ac:dyDescent="0.35">
      <c r="A83" s="33" t="s">
        <v>139</v>
      </c>
      <c r="B83" s="68">
        <v>391501.58</v>
      </c>
      <c r="C83" s="68">
        <v>-97475.420088085521</v>
      </c>
      <c r="D83" s="68">
        <v>-262.61256948107621</v>
      </c>
      <c r="E83" s="68">
        <v>-9929.7832743366598</v>
      </c>
      <c r="F83" s="68"/>
      <c r="G83" s="68">
        <v>3999.184774938723</v>
      </c>
      <c r="H83" s="48">
        <v>287832.9488430355</v>
      </c>
      <c r="I83" s="48">
        <v>103668.63115696452</v>
      </c>
      <c r="J83" s="48"/>
      <c r="K83" s="68">
        <v>-283833.76446487888</v>
      </c>
      <c r="L83" s="48">
        <v>-3.9678210987403872E-4</v>
      </c>
      <c r="N83" s="69"/>
      <c r="O83" s="48">
        <v>-262.61256948107621</v>
      </c>
      <c r="P83" s="48">
        <v>-9929.7832743366598</v>
      </c>
      <c r="Q83" s="70">
        <v>-679.90903688050264</v>
      </c>
      <c r="R83" s="48">
        <v>-10872.304880698239</v>
      </c>
      <c r="S83" s="70"/>
      <c r="T83" s="48"/>
      <c r="U83" s="20">
        <v>-10872.304880698239</v>
      </c>
      <c r="V83" s="71">
        <f t="shared" si="1"/>
        <v>-9929.7832743366598</v>
      </c>
      <c r="X83" s="69">
        <v>3999.184774938723</v>
      </c>
      <c r="Y83" s="48">
        <v>0</v>
      </c>
      <c r="Z83" s="20">
        <v>3999.184774938723</v>
      </c>
      <c r="AB83" s="72">
        <v>-6873.1201057595154</v>
      </c>
      <c r="AI83" s="73"/>
    </row>
    <row r="84" spans="1:35" x14ac:dyDescent="0.35">
      <c r="A84" s="33" t="s">
        <v>140</v>
      </c>
      <c r="B84" s="68">
        <v>2000000</v>
      </c>
      <c r="C84" s="68">
        <v>-492407.56868280284</v>
      </c>
      <c r="D84" s="68">
        <v>-1341.565821936354</v>
      </c>
      <c r="E84" s="68">
        <v>-50726.657472681254</v>
      </c>
      <c r="F84" s="68"/>
      <c r="G84" s="68">
        <v>20429.980256727049</v>
      </c>
      <c r="H84" s="48">
        <v>1475954.1882793065</v>
      </c>
      <c r="I84" s="48">
        <v>524045.81172069348</v>
      </c>
      <c r="J84" s="48"/>
      <c r="K84" s="68">
        <v>-1455524.2023293655</v>
      </c>
      <c r="L84" s="48">
        <v>5.6932139304990415E-3</v>
      </c>
      <c r="N84" s="69"/>
      <c r="O84" s="48">
        <v>-1341.565821936354</v>
      </c>
      <c r="P84" s="48">
        <v>-50726.657472681254</v>
      </c>
      <c r="Q84" s="70">
        <v>-3473.339938400773</v>
      </c>
      <c r="R84" s="48">
        <v>-55541.56323301838</v>
      </c>
      <c r="S84" s="70"/>
      <c r="T84" s="48"/>
      <c r="U84" s="20">
        <v>-55541.563233018402</v>
      </c>
      <c r="V84" s="71">
        <f t="shared" si="1"/>
        <v>-50726.657472681254</v>
      </c>
      <c r="X84" s="69">
        <v>20429.980256727049</v>
      </c>
      <c r="Y84" s="48">
        <v>0</v>
      </c>
      <c r="Z84" s="20">
        <v>20429.980256727049</v>
      </c>
      <c r="AB84" s="72">
        <v>-35111.582976291334</v>
      </c>
      <c r="AI84" s="73"/>
    </row>
    <row r="85" spans="1:35" ht="15" thickBot="1" x14ac:dyDescent="0.4">
      <c r="A85" s="33" t="s">
        <v>8</v>
      </c>
      <c r="B85" s="68">
        <v>0</v>
      </c>
      <c r="C85" s="68">
        <v>0</v>
      </c>
      <c r="D85" s="68">
        <v>0</v>
      </c>
      <c r="E85" s="75">
        <v>18377.816164986634</v>
      </c>
      <c r="F85" s="75"/>
      <c r="G85" s="68">
        <v>255.37475320908814</v>
      </c>
      <c r="H85" s="48">
        <v>18633.190918195723</v>
      </c>
      <c r="I85" s="48">
        <v>-18633.190918195723</v>
      </c>
      <c r="K85" s="68">
        <v>-18377.816164986602</v>
      </c>
      <c r="L85" s="48">
        <v>3.3850255931611173E-11</v>
      </c>
      <c r="N85" s="76">
        <v>19702.0748095278</v>
      </c>
      <c r="O85" s="77">
        <v>0</v>
      </c>
      <c r="P85" s="78">
        <v>0</v>
      </c>
      <c r="Q85" s="79">
        <v>0</v>
      </c>
      <c r="R85" s="77">
        <v>19702.0748095278</v>
      </c>
      <c r="S85" s="80"/>
      <c r="T85" s="77"/>
      <c r="U85" s="23">
        <v>19702.0748095278</v>
      </c>
      <c r="V85" s="71">
        <f t="shared" si="1"/>
        <v>0</v>
      </c>
      <c r="X85" s="76">
        <v>255.37475320908814</v>
      </c>
      <c r="Y85" s="77">
        <v>0</v>
      </c>
      <c r="Z85" s="23">
        <v>255.37475320908814</v>
      </c>
      <c r="AB85" s="81">
        <v>19957.449562736889</v>
      </c>
    </row>
    <row r="86" spans="1:35" x14ac:dyDescent="0.35">
      <c r="N86" s="82">
        <v>5027888.2859580982</v>
      </c>
      <c r="O86" s="83"/>
      <c r="P86" s="83">
        <v>-4541702.0463440726</v>
      </c>
      <c r="Q86" s="82">
        <v>-328344.71188172756</v>
      </c>
      <c r="R86" s="83">
        <v>157841.52773230179</v>
      </c>
      <c r="S86" s="82">
        <v>-9544.3130583680795</v>
      </c>
      <c r="T86" s="83">
        <v>-5287759.84</v>
      </c>
      <c r="U86" s="83">
        <v>-5139462.62532607</v>
      </c>
      <c r="V86" s="84">
        <f>SUM(V4:V85)</f>
        <v>-4668052.0463440726</v>
      </c>
      <c r="X86" s="82">
        <v>1999999.9999999995</v>
      </c>
      <c r="Y86" s="83">
        <v>0</v>
      </c>
      <c r="Z86" s="83">
        <v>1999999.9999999995</v>
      </c>
      <c r="AB86" s="83">
        <v>-3139462.6253260719</v>
      </c>
    </row>
    <row r="87" spans="1:35" x14ac:dyDescent="0.35">
      <c r="H87" s="4"/>
      <c r="I87" s="4"/>
    </row>
    <row r="88" spans="1:35" x14ac:dyDescent="0.35">
      <c r="H88" s="4"/>
      <c r="I88" s="4"/>
      <c r="K88" s="4"/>
      <c r="S88" s="85" t="s">
        <v>175</v>
      </c>
      <c r="T88" s="86"/>
      <c r="U88" s="68">
        <v>-147745.92391304299</v>
      </c>
      <c r="V88" s="87"/>
      <c r="Y88" s="86"/>
      <c r="Z88" s="68"/>
      <c r="AA88" s="88" t="s">
        <v>176</v>
      </c>
      <c r="AB88" s="89">
        <v>2000000</v>
      </c>
    </row>
    <row r="89" spans="1:35" x14ac:dyDescent="0.35">
      <c r="K89" s="4"/>
      <c r="S89" s="85" t="s">
        <v>177</v>
      </c>
      <c r="T89" s="86"/>
      <c r="U89" s="90">
        <v>-551.29076086956502</v>
      </c>
      <c r="V89" s="91"/>
      <c r="Y89" s="86"/>
      <c r="AA89" s="88" t="s">
        <v>178</v>
      </c>
      <c r="AB89" s="92">
        <v>148297.21467391256</v>
      </c>
    </row>
    <row r="90" spans="1:35" x14ac:dyDescent="0.35">
      <c r="K90" s="4"/>
      <c r="S90" s="93" t="s">
        <v>179</v>
      </c>
      <c r="T90" s="47"/>
      <c r="U90" s="83">
        <v>-148297.21467391256</v>
      </c>
      <c r="V90" s="84"/>
      <c r="Y90" s="47"/>
      <c r="Z90" s="83"/>
      <c r="AA90" s="47" t="s">
        <v>180</v>
      </c>
      <c r="AB90" s="83">
        <v>2148297.2146739126</v>
      </c>
    </row>
    <row r="91" spans="1:35" x14ac:dyDescent="0.35">
      <c r="Z91" s="1"/>
    </row>
    <row r="92" spans="1:35" x14ac:dyDescent="0.35">
      <c r="S92" s="93" t="s">
        <v>181</v>
      </c>
      <c r="T92" s="47"/>
      <c r="U92" s="4">
        <v>2.2351741790771484E-8</v>
      </c>
      <c r="V92" s="94"/>
      <c r="Z92" s="1"/>
      <c r="AB92" s="5"/>
      <c r="AE92" s="73"/>
    </row>
    <row r="93" spans="1:35" x14ac:dyDescent="0.35">
      <c r="AE93" s="95"/>
    </row>
    <row r="94" spans="1:35" x14ac:dyDescent="0.35">
      <c r="AE94" s="95"/>
    </row>
    <row r="95" spans="1:35" x14ac:dyDescent="0.35">
      <c r="S95" s="96"/>
      <c r="T95" s="73"/>
      <c r="AE95" s="95"/>
    </row>
    <row r="96" spans="1:35" x14ac:dyDescent="0.35">
      <c r="K96" s="97"/>
      <c r="S96" s="96"/>
      <c r="T96" s="73"/>
      <c r="U96" s="98" t="s">
        <v>182</v>
      </c>
      <c r="X96" s="84">
        <f>+N86+Q86+S86+X86</f>
        <v>6689999.2610180024</v>
      </c>
    </row>
    <row r="97" spans="11:24" x14ac:dyDescent="0.35">
      <c r="K97" s="6"/>
      <c r="S97" s="96"/>
      <c r="T97" s="73"/>
      <c r="U97" s="98" t="s">
        <v>183</v>
      </c>
      <c r="X97" s="84">
        <f>+P86</f>
        <v>-4541702.0463440726</v>
      </c>
    </row>
    <row r="98" spans="11:24" ht="15" thickBot="1" x14ac:dyDescent="0.4">
      <c r="S98" s="99"/>
      <c r="T98" s="100"/>
      <c r="U98" s="101" t="s">
        <v>184</v>
      </c>
      <c r="V98" s="101"/>
      <c r="W98" s="101"/>
      <c r="X98" s="102">
        <f>SUM(X96:X97)</f>
        <v>2148297.2146739298</v>
      </c>
    </row>
    <row r="99" spans="11:24" x14ac:dyDescent="0.35">
      <c r="S99" s="96"/>
      <c r="T99" s="7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Sub Close Summary</vt:lpstr>
      <vt:lpstr>Sub Close Calcu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Jimmy Yun</dc:creator>
  <cp:lastModifiedBy>Jimmy Yun</cp:lastModifiedBy>
  <dcterms:created xsi:type="dcterms:W3CDTF">2026-09-17T19:20:02Z</dcterms:created>
  <dcterms:modified xsi:type="dcterms:W3CDTF">2026-09-17T19:20:20Z</dcterms:modified>
</cp:coreProperties>
</file>