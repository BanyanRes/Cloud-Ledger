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738" firstSheet="0" activeTab="0" autoFilterDateGrouping="1"/>
  </bookViews>
  <sheets>
    <sheet xmlns:r="http://schemas.openxmlformats.org/officeDocument/2006/relationships" name="Sub Close Summary" sheetId="1" state="visible" r:id="rId1"/>
    <sheet xmlns:r="http://schemas.openxmlformats.org/officeDocument/2006/relationships" name="Sub Close Calcu" sheetId="2" state="visible" r:id="rId2"/>
    <sheet xmlns:r="http://schemas.openxmlformats.org/officeDocument/2006/relationships" name="Subsequent Close" sheetId="3" state="visible" r:id="rId3"/>
    <sheet xmlns:r="http://schemas.openxmlformats.org/officeDocument/2006/relationships" name="Subsequent Close - OLD B4 25k" sheetId="4" r:id="rId4"/>
    <sheet xmlns:r="http://schemas.openxmlformats.org/officeDocument/2006/relationships" name="Closing Interest" sheetId="5" state="visible" r:id="rId5"/>
    <sheet xmlns:r="http://schemas.openxmlformats.org/officeDocument/2006/relationships" name="Management Fees - New Investor" sheetId="6" state="visible" r:id="rId6"/>
    <sheet xmlns:r="http://schemas.openxmlformats.org/officeDocument/2006/relationships" name="True-Up" sheetId="7" state="visible" r:id="rId7"/>
    <sheet xmlns:r="http://schemas.openxmlformats.org/officeDocument/2006/relationships" name="May 26 Distribution Checking" sheetId="8" state="visible" r:id="rId8"/>
    <sheet xmlns:r="http://schemas.openxmlformats.org/officeDocument/2006/relationships" name="Summary" sheetId="9" state="hidden" r:id="rId9"/>
    <sheet xmlns:r="http://schemas.openxmlformats.org/officeDocument/2006/relationships" name="2.10.26 Sub Close Old" sheetId="10" state="hidden" r:id="rId10"/>
    <sheet xmlns:r="http://schemas.openxmlformats.org/officeDocument/2006/relationships" name="2.10.26 Sub Close New" sheetId="11" state="hidden" r:id="rId11"/>
    <sheet xmlns:r="http://schemas.openxmlformats.org/officeDocument/2006/relationships" name="CLIP_Schedule B" sheetId="12" state="hidden" r:id="rId12"/>
    <sheet xmlns:r="http://schemas.openxmlformats.org/officeDocument/2006/relationships" name="Silsbee_Schedule B" sheetId="13" state="hidden" r:id="rId13"/>
    <sheet xmlns:r="http://schemas.openxmlformats.org/officeDocument/2006/relationships" name="Commitment" sheetId="14" state="hidden" r:id="rId14"/>
    <sheet xmlns:r="http://schemas.openxmlformats.org/officeDocument/2006/relationships" name="Q2'26 Management Fee" sheetId="15" state="hidden" r:id="rId15"/>
  </sheets>
  <definedNames>
    <definedName name="_xlnm._FilterDatabase" localSheetId="13" hidden="1">'Commitment'!$A$1:$S$76</definedName>
  </definedNames>
  <calcPr calcId="191029" fullCalcOnLoad="1"/>
</workbook>
</file>

<file path=xl/styles.xml><?xml version="1.0" encoding="utf-8"?>
<styleSheet xmlns="http://schemas.openxmlformats.org/spreadsheetml/2006/main">
  <numFmts count="20">
    <numFmt numFmtId="164" formatCode="_(* #,##0_);_(* \(#,##0\);_(* &quot;-&quot;??_);_(@_)"/>
    <numFmt numFmtId="165" formatCode="&quot;$&quot;#,##0.00_);[Red]\(&quot;$&quot;#,##0.00\)"/>
    <numFmt numFmtId="166" formatCode="0.000%"/>
    <numFmt numFmtId="167" formatCode="0.000000"/>
    <numFmt numFmtId="168" formatCode="0.00000"/>
    <numFmt numFmtId="169" formatCode="0.0000%"/>
    <numFmt numFmtId="170" formatCode="0.00000%"/>
    <numFmt numFmtId="171" formatCode="_(&quot;$&quot;* #,##0.00_);_(&quot;$&quot;* \(#,##0.00\);_(&quot;$&quot;* &quot;-&quot;??_);_(@_)"/>
    <numFmt numFmtId="172" formatCode="_(&quot;$&quot;* #,##0_);_(&quot;$&quot;* \(#,##0\);_(&quot;$&quot;* &quot;-&quot;??_);_(@_)"/>
    <numFmt numFmtId="173" formatCode="0.0"/>
    <numFmt numFmtId="174" formatCode="_(* #,##0.0_);_(* \(#,##0.0\);_(* &quot;-&quot;?_);_(@_)"/>
    <numFmt numFmtId="175" formatCode="mmm\ d\,\ yyyy"/>
    <numFmt numFmtId="176" formatCode="\$#,##0;[Red]\(\$#,##0\);&quot; - &quot;"/>
    <numFmt numFmtId="177" formatCode="#,##0.00;\(#,##0.00\)"/>
    <numFmt numFmtId="178" formatCode="0.0000"/>
    <numFmt numFmtId="179" formatCode="#,##0;\(#,##0\)"/>
    <numFmt numFmtId="180" formatCode="_(* #,##0.0000_);_(* \(#,##0.0000\);_(* &quot;-&quot;????_);_(@_)"/>
    <numFmt numFmtId="181" formatCode="_(* #,##0.000_);_(* \(#,##0.000\);_(* &quot;-&quot;??_);_(@_)"/>
    <numFmt numFmtId="182" formatCode="_(* #,##0.0000_);_(* \(#,##0.0000\);_(* &quot;-&quot;??_);_(@_)"/>
    <numFmt numFmtId="183" formatCode="yyyy-mm-dd h:mm:ss"/>
  </numFmts>
  <fonts count="61">
    <font>
      <name val="Calibri"/>
      <family val="2"/>
      <color theme="1"/>
      <sz val="11"/>
      <scheme val="minor"/>
    </font>
    <font>
      <name val="Calibri"/>
      <family val="2"/>
      <color theme="1"/>
      <sz val="11"/>
      <scheme val="minor"/>
    </font>
    <font>
      <name val="Calibri"/>
      <family val="2"/>
      <b val="1"/>
      <color theme="0"/>
      <sz val="11"/>
      <scheme val="minor"/>
    </font>
    <font>
      <name val="Calibri"/>
      <family val="2"/>
      <color rgb="FFFF0000"/>
      <sz val="11"/>
      <scheme val="minor"/>
    </font>
    <font>
      <name val="Calibri"/>
      <family val="2"/>
      <b val="1"/>
      <color theme="1"/>
      <sz val="11"/>
      <scheme val="minor"/>
    </font>
    <font>
      <name val="Tahoma"/>
      <family val="2"/>
      <b val="1"/>
      <color indexed="81"/>
      <sz val="9"/>
    </font>
    <font>
      <name val="Calibri"/>
      <family val="2"/>
      <sz val="11"/>
      <scheme val="minor"/>
    </font>
    <font>
      <name val="Calibri"/>
      <family val="2"/>
      <color rgb="FF0000FF"/>
      <sz val="11"/>
      <scheme val="minor"/>
    </font>
    <font>
      <name val="Calibri"/>
      <family val="2"/>
      <i val="1"/>
      <color rgb="FFFF0000"/>
      <sz val="11"/>
      <scheme val="minor"/>
    </font>
    <font>
      <name val="Calibri"/>
      <family val="2"/>
      <b val="1"/>
      <color theme="1"/>
      <sz val="11"/>
    </font>
    <font>
      <name val="Times New Roman"/>
      <family val="1"/>
      <b val="1"/>
      <sz val="11"/>
    </font>
    <font>
      <name val="Times New Roman"/>
      <family val="1"/>
      <b val="1"/>
      <sz val="11"/>
      <u val="single"/>
    </font>
    <font>
      <name val="Times New Roman"/>
      <family val="1"/>
      <i val="1"/>
      <sz val="11"/>
    </font>
    <font>
      <name val="Times New Roman"/>
      <family val="1"/>
      <sz val="11"/>
    </font>
    <font>
      <name val="Calibri"/>
      <family val="2"/>
      <b val="1"/>
      <sz val="11"/>
      <scheme val="minor"/>
    </font>
    <font>
      <name val="Calibri"/>
      <family val="2"/>
      <b val="1"/>
      <color theme="4" tint="-0.499984740745262"/>
      <sz val="11"/>
      <scheme val="minor"/>
    </font>
    <font>
      <name val="Tahoma"/>
      <family val="2"/>
      <color indexed="81"/>
      <sz val="9"/>
    </font>
    <font>
      <name val="Calibri"/>
      <family val="2"/>
      <color theme="0"/>
      <sz val="11"/>
      <scheme val="minor"/>
    </font>
    <font>
      <name val="Calibri"/>
      <family val="2"/>
      <color theme="1"/>
      <sz val="11"/>
      <u val="single"/>
      <scheme val="minor"/>
    </font>
    <font>
      <name val="Calibri"/>
      <family val="2"/>
      <b val="1"/>
      <color theme="1"/>
      <sz val="11"/>
      <u val="single"/>
      <scheme val="minor"/>
    </font>
    <font>
      <name val="Calibri"/>
      <family val="2"/>
      <i val="1"/>
      <color theme="1"/>
      <sz val="11"/>
      <scheme val="minor"/>
    </font>
    <font>
      <name val="Calibri"/>
      <family val="2"/>
      <b val="1"/>
      <color rgb="FFC00000"/>
      <sz val="11"/>
      <scheme val="minor"/>
    </font>
    <font>
      <name val="Calibri"/>
      <family val="2"/>
      <b val="1"/>
      <color rgb="FFFF0000"/>
      <sz val="11"/>
      <scheme val="minor"/>
    </font>
    <font>
      <name val="Calibri"/>
      <family val="2"/>
      <b val="1"/>
      <sz val="14"/>
    </font>
    <font>
      <name val="Calibri"/>
      <family val="2"/>
      <b val="1"/>
      <sz val="11"/>
    </font>
    <font>
      <name val="Calibri"/>
      <family val="2"/>
      <b val="1"/>
      <color rgb="FFFFFFFF"/>
      <sz val="11"/>
    </font>
    <font>
      <name val="Calibri"/>
      <family val="2"/>
      <b val="1"/>
      <color rgb="FFFFFFFF"/>
      <sz val="11"/>
    </font>
    <font>
      <name val="Calibri"/>
      <family val="2"/>
      <color rgb="FF0000FF"/>
      <sz val="11"/>
    </font>
    <font>
      <name val="Calibri"/>
      <family val="2"/>
      <b val="1"/>
      <i val="1"/>
      <color rgb="FFFF0000"/>
      <sz val="11"/>
      <scheme val="minor"/>
    </font>
    <font>
      <name val="Lucida Calligraphy"/>
      <family val="4"/>
      <b val="1"/>
      <color rgb="FFFF0000"/>
      <sz val="9"/>
    </font>
    <font>
      <name val="Calibri"/>
      <family val="2"/>
      <b val="1"/>
      <color rgb="FF0070C0"/>
      <sz val="11"/>
      <scheme val="minor"/>
    </font>
    <font>
      <name val="Calibri"/>
      <family val="2"/>
      <i val="1"/>
      <color rgb="FF0070C0"/>
      <sz val="11"/>
      <scheme val="minor"/>
    </font>
    <font>
      <name val="Calibri"/>
      <family val="2"/>
      <color theme="1"/>
      <sz val="11"/>
    </font>
    <font>
      <name val="Calibri"/>
      <family val="2"/>
      <i val="1"/>
      <color rgb="FFFF0000"/>
      <sz val="11"/>
    </font>
    <font>
      <name val="Calibri"/>
      <family val="2"/>
      <b val="1"/>
      <color rgb="FF000000"/>
      <sz val="11"/>
    </font>
    <font>
      <name val="Calibri"/>
      <family val="2"/>
      <b val="1"/>
      <color rgb="FFC00000"/>
      <sz val="11"/>
    </font>
    <font>
      <name val="Calibri"/>
      <family val="2"/>
      <b val="1"/>
      <color rgb="FFFF0000"/>
      <sz val="11"/>
    </font>
    <font>
      <name val="Calibri"/>
      <family val="2"/>
      <i val="1"/>
      <color rgb="FF000000"/>
      <sz val="11"/>
    </font>
    <font>
      <name val="Calibri"/>
      <family val="2"/>
      <color rgb="FF000000"/>
      <sz val="11"/>
      <u val="single"/>
    </font>
    <font>
      <name val="Calibri"/>
      <family val="2"/>
      <b val="1"/>
      <color rgb="FF000000"/>
      <sz val="11"/>
      <u val="single"/>
    </font>
    <font>
      <name val="Calibri"/>
      <family val="2"/>
      <b val="1"/>
      <color theme="0" tint="-0.249977111117893"/>
      <sz val="11"/>
      <scheme val="minor"/>
    </font>
    <font>
      <name val="Calibri"/>
      <family val="2"/>
      <color theme="0" tint="-0.249977111117893"/>
      <sz val="11"/>
      <scheme val="minor"/>
    </font>
    <font>
      <name val="Calibri"/>
      <b val="1"/>
      <color rgb="FF000000"/>
      <sz val="11"/>
    </font>
    <font>
      <name val="Calibri"/>
      <color rgb="FF000000"/>
      <sz val="11"/>
    </font>
    <font>
      <name val="Calibri"/>
      <b val="1"/>
      <color rgb="FFFFFFFF"/>
      <sz val="11"/>
    </font>
    <font>
      <name val="Calibri"/>
      <i val="1"/>
      <color rgb="FFFF0000"/>
      <sz val="11"/>
    </font>
    <font>
      <name val="Calibri"/>
      <i val="1"/>
      <color rgb="FF000000"/>
      <sz val="11"/>
    </font>
    <font>
      <name val="Calibri"/>
      <sz val="10"/>
    </font>
    <font>
      <name val="Calibri"/>
      <b val="1"/>
      <color rgb="FFFF0000"/>
      <sz val="11"/>
    </font>
    <font>
      <name val="Calibri"/>
      <color rgb="FFFFFFFF"/>
      <sz val="11"/>
    </font>
    <font>
      <name val="Calibri"/>
      <b val="1"/>
      <color rgb="FF0000FF"/>
      <sz val="11"/>
    </font>
    <font>
      <name val="Calibri"/>
      <color rgb="FF0000FF"/>
      <sz val="11"/>
    </font>
    <font>
      <name val="Times New Roman"/>
      <color rgb="FF000000"/>
      <sz val="8.5"/>
    </font>
    <font>
      <name val="Times New Roman"/>
      <b val="1"/>
      <color rgb="FF000000"/>
      <sz val="8.5"/>
    </font>
    <font>
      <name val="Aptos Narrow"/>
      <b val="1"/>
      <color rgb="FFFFFFFF"/>
      <sz val="11"/>
    </font>
    <font>
      <name val="Aptos Narrow"/>
      <b val="1"/>
      <sz val="11"/>
    </font>
    <font>
      <name val="Aptos Narrow"/>
      <b val="1"/>
      <color rgb="FF000000"/>
      <sz val="11"/>
    </font>
    <font>
      <name val="Aptos Narrow"/>
      <color rgb="FF000000"/>
      <sz val="11"/>
    </font>
    <font>
      <name val="Aptos Narrow"/>
      <i val="1"/>
      <color rgb="FFFF0000"/>
      <sz val="11"/>
    </font>
    <font>
      <name val="Aptos Narrow"/>
      <color rgb="FFFFFFFF"/>
      <sz val="11"/>
    </font>
    <font>
      <name val="Aptos Narrow"/>
      <b val="1"/>
      <color rgb="FFFF0000"/>
      <sz val="11"/>
    </font>
  </fonts>
  <fills count="80">
    <fill>
      <patternFill/>
    </fill>
    <fill>
      <patternFill patternType="gray125"/>
    </fill>
    <fill>
      <patternFill patternType="solid">
        <fgColor theme="4"/>
        <bgColor theme="4"/>
      </patternFill>
    </fill>
    <fill>
      <patternFill patternType="solid">
        <fgColor theme="2" tint="-0.499984740745262"/>
        <bgColor theme="4"/>
      </patternFill>
    </fill>
    <fill>
      <patternFill patternType="solid">
        <fgColor theme="4" tint="0.7999816888943144"/>
        <bgColor theme="4" tint="0.7999816888943144"/>
      </patternFill>
    </fill>
    <fill>
      <patternFill patternType="solid">
        <fgColor theme="2"/>
        <bgColor indexed="64"/>
      </patternFill>
    </fill>
    <fill>
      <patternFill patternType="solid">
        <fgColor theme="9" tint="0.3999755851924192"/>
        <bgColor indexed="64"/>
      </patternFill>
    </fill>
    <fill>
      <patternFill patternType="solid">
        <fgColor theme="5" tint="-0.249977111117893"/>
        <bgColor indexed="64"/>
      </patternFill>
    </fill>
    <fill>
      <patternFill patternType="solid">
        <fgColor theme="8" tint="0.3999755851924192"/>
        <bgColor indexed="64"/>
      </patternFill>
    </fill>
    <fill>
      <patternFill patternType="solid">
        <fgColor theme="6" tint="0.3999755851924192"/>
        <bgColor indexed="64"/>
      </patternFill>
    </fill>
    <fill>
      <patternFill patternType="solid">
        <fgColor theme="0" tint="-0.1499984740745262"/>
        <bgColor indexed="64"/>
      </patternFill>
    </fill>
    <fill>
      <patternFill patternType="solid">
        <fgColor rgb="FFFFFF00"/>
        <bgColor indexed="64"/>
      </patternFill>
    </fill>
    <fill>
      <patternFill patternType="solid">
        <fgColor theme="4" tint="0.7999816888943144"/>
        <bgColor indexed="64"/>
      </patternFill>
    </fill>
    <fill>
      <patternFill patternType="solid">
        <fgColor theme="6" tint="0.5999938962981048"/>
        <bgColor indexed="64"/>
      </patternFill>
    </fill>
    <fill>
      <patternFill patternType="solid">
        <fgColor theme="7" tint="0.3999755851924192"/>
        <bgColor indexed="64"/>
      </patternFill>
    </fill>
    <fill>
      <patternFill patternType="solid">
        <fgColor rgb="FF00B050"/>
        <bgColor indexed="64"/>
      </patternFill>
    </fill>
    <fill>
      <patternFill patternType="solid">
        <fgColor theme="7" tint="0.5999938962981048"/>
        <bgColor indexed="64"/>
      </patternFill>
    </fill>
    <fill>
      <patternFill patternType="solid">
        <fgColor theme="7" tint="0.7999816888943144"/>
        <bgColor indexed="64"/>
      </patternFill>
    </fill>
    <fill>
      <patternFill patternType="solid">
        <fgColor theme="9" tint="-0.499984740745262"/>
        <bgColor indexed="64"/>
      </patternFill>
    </fill>
    <fill>
      <patternFill patternType="solid">
        <fgColor theme="8" tint="-0.499984740745262"/>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theme="0"/>
        <bgColor indexed="64"/>
      </patternFill>
    </fill>
    <fill>
      <patternFill patternType="solid">
        <fgColor theme="9" tint="0.7999816888943144"/>
        <bgColor indexed="64"/>
      </patternFill>
    </fill>
    <fill>
      <patternFill patternType="solid">
        <fgColor theme="4" tint="-0.249977111117893"/>
        <bgColor indexed="64"/>
      </patternFill>
    </fill>
    <fill>
      <patternFill patternType="solid">
        <fgColor theme="3" tint="0.7999816888943144"/>
        <bgColor indexed="64"/>
      </patternFill>
    </fill>
    <fill>
      <patternFill patternType="solid">
        <fgColor theme="8" tint="0.7999816888943144"/>
        <bgColor indexed="64"/>
      </patternFill>
    </fill>
    <fill>
      <patternFill patternType="solid">
        <fgColor theme="2" tint="-0.09997863704336681"/>
        <bgColor indexed="64"/>
      </patternFill>
    </fill>
    <fill>
      <patternFill patternType="solid">
        <fgColor theme="0" tint="-0.499984740745262"/>
        <bgColor indexed="64"/>
      </patternFill>
    </fill>
    <fill>
      <patternFill patternType="solid">
        <fgColor theme="0" tint="-0.0499893185216834"/>
        <bgColor indexed="64"/>
      </patternFill>
    </fill>
    <fill>
      <patternFill patternType="solid">
        <fgColor theme="7" tint="-0.499984740745262"/>
        <bgColor indexed="64"/>
      </patternFill>
    </fill>
    <fill>
      <patternFill patternType="solid">
        <fgColor theme="5" tint="0.7999816888943144"/>
        <bgColor indexed="64"/>
      </patternFill>
    </fill>
    <fill>
      <patternFill patternType="solid">
        <fgColor theme="5" tint="0.3999755851924192"/>
        <bgColor indexed="64"/>
      </patternFill>
    </fill>
    <fill>
      <patternFill patternType="solid">
        <fgColor theme="6" tint="0.7999816888943144"/>
        <bgColor indexed="64"/>
      </patternFill>
    </fill>
    <fill>
      <patternFill patternType="solid">
        <fgColor theme="3" tint="0.3999755851924192"/>
        <bgColor indexed="64"/>
      </patternFill>
    </fill>
    <fill>
      <patternFill patternType="solid">
        <fgColor theme="5" tint="0.5999938962981048"/>
        <bgColor indexed="64"/>
      </patternFill>
    </fill>
    <fill>
      <patternFill patternType="solid">
        <fgColor rgb="FF1F4E79"/>
      </patternFill>
    </fill>
    <fill>
      <patternFill patternType="solid">
        <fgColor theme="4" tint="0.5999938962981048"/>
        <bgColor theme="4" tint="0.5999938962981048"/>
      </patternFill>
    </fill>
    <fill>
      <patternFill patternType="solid">
        <fgColor rgb="FFFFC000"/>
        <bgColor indexed="64"/>
      </patternFill>
    </fill>
    <fill>
      <patternFill patternType="solid">
        <fgColor theme="9"/>
        <bgColor theme="9"/>
      </patternFill>
    </fill>
    <fill>
      <patternFill patternType="solid">
        <fgColor theme="9" tint="0.7999816888943144"/>
        <bgColor theme="9" tint="0.7999816888943144"/>
      </patternFill>
    </fill>
    <fill>
      <patternFill patternType="solid">
        <fgColor theme="4" tint="0.7999816888943144"/>
        <bgColor theme="9"/>
      </patternFill>
    </fill>
    <fill>
      <patternFill patternType="solid">
        <fgColor theme="4" tint="0.7999816888943144"/>
        <bgColor theme="9" tint="0.7999816888943144"/>
      </patternFill>
    </fill>
    <fill>
      <patternFill patternType="solid">
        <fgColor theme="9" tint="0.5999938962981048"/>
        <bgColor indexed="64"/>
      </patternFill>
    </fill>
    <fill>
      <patternFill patternType="solid">
        <fgColor theme="9" tint="0.5999938962981048"/>
        <bgColor theme="9"/>
      </patternFill>
    </fill>
    <fill>
      <patternFill patternType="solid">
        <fgColor rgb="FF1F4E78"/>
        <bgColor rgb="FF000000"/>
      </patternFill>
    </fill>
    <fill>
      <patternFill patternType="solid">
        <fgColor rgb="FF2F75B5"/>
        <bgColor rgb="FF000000"/>
      </patternFill>
    </fill>
    <fill>
      <patternFill patternType="solid">
        <fgColor rgb="FF375623"/>
        <bgColor rgb="FF000000"/>
      </patternFill>
    </fill>
    <fill>
      <patternFill patternType="solid">
        <fgColor rgb="FF806000"/>
        <bgColor rgb="FF000000"/>
      </patternFill>
    </fill>
    <fill>
      <patternFill patternType="solid">
        <fgColor rgb="FFD9D9D9"/>
        <bgColor rgb="FF000000"/>
      </patternFill>
    </fill>
    <fill>
      <patternFill patternType="solid">
        <fgColor rgb="FFFFF2CC"/>
        <bgColor rgb="FF000000"/>
      </patternFill>
    </fill>
    <fill>
      <patternFill patternType="solid">
        <fgColor rgb="FFE2EFDA"/>
        <bgColor rgb="FF000000"/>
      </patternFill>
    </fill>
    <fill>
      <patternFill patternType="solid">
        <fgColor rgb="FFDDEBF7"/>
        <bgColor rgb="FF000000"/>
      </patternFill>
    </fill>
    <fill>
      <patternFill patternType="solid">
        <fgColor rgb="FFF2F2F2"/>
        <bgColor rgb="FF000000"/>
      </patternFill>
    </fill>
    <fill>
      <patternFill patternType="solid">
        <fgColor rgb="FFD6DCE4"/>
        <bgColor rgb="FF000000"/>
      </patternFill>
    </fill>
    <fill>
      <patternFill patternType="solid">
        <fgColor rgb="FFFFC000"/>
        <bgColor rgb="FF000000"/>
      </patternFill>
    </fill>
    <fill>
      <patternFill patternType="solid">
        <fgColor rgb="FFFFFF00"/>
        <bgColor rgb="FF000000"/>
      </patternFill>
    </fill>
    <fill>
      <patternFill patternType="solid">
        <fgColor rgb="FFFCE4D6"/>
        <bgColor rgb="FF000000"/>
      </patternFill>
    </fill>
    <fill>
      <patternFill patternType="solid">
        <fgColor rgb="FFD0CECE"/>
        <bgColor rgb="FF000000"/>
      </patternFill>
    </fill>
    <fill>
      <patternFill patternType="solid">
        <fgColor rgb="FFE2F0D9"/>
        <bgColor rgb="FFFFFFFF"/>
      </patternFill>
    </fill>
    <fill>
      <patternFill patternType="solid">
        <fgColor rgb="FF385724"/>
        <bgColor rgb="FFFFFFFF"/>
      </patternFill>
    </fill>
    <fill>
      <patternFill patternType="solid">
        <fgColor rgb="FFF2F2F2"/>
        <bgColor rgb="FFFFFFFF"/>
      </patternFill>
    </fill>
    <fill>
      <patternFill patternType="solid">
        <fgColor rgb="FFDEEBF7"/>
        <bgColor rgb="FFFFFFFF"/>
      </patternFill>
    </fill>
    <fill>
      <patternFill patternType="solid">
        <fgColor rgb="FFFFF2CC"/>
        <bgColor rgb="FFFFFFFF"/>
      </patternFill>
    </fill>
    <fill>
      <patternFill patternType="solid">
        <fgColor rgb="FFFBE5D6"/>
        <bgColor rgb="FFFFFFFF"/>
      </patternFill>
    </fill>
    <fill>
      <patternFill patternType="solid">
        <fgColor rgb="FFFFC000"/>
        <bgColor rgb="FFFFFFFF"/>
      </patternFill>
    </fill>
    <fill>
      <patternFill patternType="solid">
        <fgColor rgb="FFF4B183"/>
        <bgColor rgb="FFFFFFFF"/>
      </patternFill>
    </fill>
    <fill>
      <patternFill patternType="solid">
        <fgColor rgb="FFD9D9D9"/>
        <bgColor rgb="FFFFFFFF"/>
      </patternFill>
    </fill>
    <fill>
      <patternFill patternType="solid">
        <fgColor rgb="FF92D050"/>
        <bgColor rgb="FFFFFFFF"/>
      </patternFill>
    </fill>
    <fill>
      <patternFill patternType="solid">
        <fgColor rgb="FF275417"/>
        <bgColor rgb="FFFFFFFF"/>
      </patternFill>
    </fill>
    <fill>
      <patternFill patternType="solid">
        <fgColor rgb="FFFBE3D6"/>
        <bgColor rgb="FFFFFFFF"/>
      </patternFill>
    </fill>
    <fill>
      <patternFill patternType="solid">
        <fgColor rgb="FFC2F1C8"/>
        <bgColor rgb="FFFFFFFF"/>
      </patternFill>
    </fill>
    <fill>
      <patternFill patternType="solid">
        <fgColor rgb="FFCAEEFB"/>
        <bgColor rgb="FFFFFFFF"/>
      </patternFill>
    </fill>
    <fill>
      <patternFill patternType="solid">
        <fgColor rgb="FFF2CFEE"/>
        <bgColor rgb="FFFFFFFF"/>
      </patternFill>
    </fill>
    <fill>
      <patternFill patternType="solid">
        <fgColor rgb="FFB8D4F0"/>
        <bgColor rgb="FFFFFFFF"/>
      </patternFill>
    </fill>
    <fill>
      <patternFill patternType="solid">
        <fgColor rgb="FFD86ECC"/>
        <bgColor rgb="FFFFFFFF"/>
      </patternFill>
    </fill>
    <fill>
      <patternFill patternType="solid">
        <fgColor rgb="FFC1E5F5"/>
        <bgColor rgb="FFFFFFFF"/>
      </patternFill>
    </fill>
    <fill>
      <patternFill patternType="solid">
        <fgColor rgb="FFDCEAF7"/>
        <bgColor rgb="FFFFFFFF"/>
      </patternFill>
    </fill>
    <fill>
      <patternFill patternType="solid">
        <fgColor rgb="FFD9F2D0"/>
        <bgColor rgb="FFFFFFFF"/>
      </patternFill>
    </fill>
    <fill>
      <patternFill patternType="solid">
        <fgColor rgb="FFF2AA84"/>
        <bgColor rgb="FFFFFFFF"/>
      </patternFill>
    </fill>
  </fills>
  <borders count="54">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right/>
      <top style="thin">
        <color indexed="64"/>
      </top>
      <bottom style="medium">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D9D9D9"/>
      </left>
      <right style="thin">
        <color rgb="FFD9D9D9"/>
      </right>
      <top style="thin">
        <color rgb="FFD9D9D9"/>
      </top>
      <bottom style="thin">
        <color rgb="FFD9D9D9"/>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9" tint="0.3999755851924192"/>
      </left>
      <right/>
      <top style="thin">
        <color theme="9" tint="0.3999755851924192"/>
      </top>
      <bottom style="thin">
        <color theme="9" tint="0.3999755851924192"/>
      </bottom>
      <diagonal/>
    </border>
    <border>
      <left/>
      <right/>
      <top style="thin">
        <color theme="9" tint="0.3999755851924192"/>
      </top>
      <bottom style="thin">
        <color theme="9" tint="0.3999755851924192"/>
      </bottom>
      <diagonal/>
    </border>
    <border>
      <left style="thin">
        <color theme="9" tint="0.3999755851924192"/>
      </left>
      <right/>
      <top style="thin">
        <color theme="9" tint="0.3999755851924192"/>
      </top>
      <bottom/>
      <diagonal/>
    </border>
    <border>
      <left/>
      <right/>
      <top style="thin">
        <color theme="9" tint="0.3999755851924192"/>
      </top>
      <bottom/>
      <diagonal/>
    </border>
    <border>
      <left/>
      <right/>
      <top style="thin">
        <color indexed="64"/>
      </top>
      <bottom style="double">
        <color indexed="64"/>
      </bottom>
      <diagonal/>
    </border>
    <border>
      <left/>
      <right/>
      <top/>
      <bottom style="thin"/>
      <diagonal/>
    </border>
    <border>
      <left style="medium"/>
      <right/>
      <top style="medium"/>
      <bottom/>
      <diagonal/>
    </border>
    <border>
      <left/>
      <right style="medium"/>
      <top style="medium"/>
      <bottom/>
      <diagonal/>
    </border>
    <border>
      <left style="medium"/>
      <right/>
      <top/>
      <bottom/>
      <diagonal/>
    </border>
    <border>
      <left/>
      <right style="medium"/>
      <top/>
      <bottom/>
      <diagonal/>
    </border>
    <border>
      <left style="medium"/>
      <right/>
      <top/>
      <bottom style="medium"/>
      <diagonal/>
    </border>
    <border>
      <left/>
      <right style="medium"/>
      <top/>
      <bottom style="medium"/>
      <diagonal/>
    </border>
    <border>
      <left style="thin"/>
      <right/>
      <top style="thin"/>
      <bottom style="medium"/>
      <diagonal/>
    </border>
    <border>
      <left/>
      <right/>
      <top style="thin"/>
      <bottom style="medium"/>
      <diagonal/>
    </border>
    <border>
      <left/>
      <right style="thin"/>
      <top style="thin"/>
      <bottom style="mediu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medium"/>
      <bottom/>
      <diagonal/>
    </border>
    <border>
      <left style="medium"/>
      <right style="medium"/>
      <top style="medium"/>
      <bottom/>
      <diagonal/>
    </border>
    <border>
      <left style="medium"/>
      <right style="medium"/>
      <top/>
      <bottom/>
      <diagonal/>
    </border>
    <border>
      <left/>
      <right/>
      <top/>
      <bottom style="medium"/>
      <diagonal/>
    </border>
    <border>
      <left style="medium"/>
      <right style="medium"/>
      <top/>
      <bottom style="medium"/>
      <diagonal/>
    </border>
  </borders>
  <cellStyleXfs count="6">
    <xf numFmtId="0" fontId="1" fillId="0" borderId="0"/>
    <xf numFmtId="43" fontId="1" fillId="0" borderId="0"/>
    <xf numFmtId="9" fontId="1" fillId="0" borderId="0"/>
    <xf numFmtId="9" fontId="1" fillId="0" borderId="0"/>
    <xf numFmtId="43" fontId="1" fillId="0" borderId="0"/>
    <xf numFmtId="44" fontId="1" fillId="0" borderId="0"/>
  </cellStyleXfs>
  <cellXfs count="1034">
    <xf numFmtId="0" fontId="0" fillId="0" borderId="0" pivotButton="0" quotePrefix="0" xfId="0"/>
    <xf numFmtId="0" fontId="2" fillId="2" borderId="1" pivotButton="0" quotePrefix="0" xfId="0"/>
    <xf numFmtId="0" fontId="2" fillId="2" borderId="2" pivotButton="0" quotePrefix="0" xfId="0"/>
    <xf numFmtId="0" fontId="2" fillId="3" borderId="3" pivotButton="0" quotePrefix="0" xfId="0"/>
    <xf numFmtId="0" fontId="0" fillId="4" borderId="1" pivotButton="0" quotePrefix="0" xfId="0"/>
    <xf numFmtId="14" fontId="0" fillId="4" borderId="2" pivotButton="0" quotePrefix="0" xfId="0"/>
    <xf numFmtId="0" fontId="0" fillId="4" borderId="2" pivotButton="0" quotePrefix="0" xfId="0"/>
    <xf numFmtId="16" fontId="0" fillId="4" borderId="2" pivotButton="0" quotePrefix="0" xfId="0"/>
    <xf numFmtId="43" fontId="0" fillId="4" borderId="2" pivotButton="0" quotePrefix="0" xfId="1"/>
    <xf numFmtId="4" fontId="0" fillId="4" borderId="2" pivotButton="0" quotePrefix="0" xfId="0"/>
    <xf numFmtId="0" fontId="0" fillId="5" borderId="3" pivotButton="0" quotePrefix="0" xfId="0"/>
    <xf numFmtId="0" fontId="0" fillId="0" borderId="1" pivotButton="0" quotePrefix="0" xfId="0"/>
    <xf numFmtId="14" fontId="0" fillId="0" borderId="2" pivotButton="0" quotePrefix="0" xfId="0"/>
    <xf numFmtId="0" fontId="0" fillId="0" borderId="2" pivotButton="0" quotePrefix="0" xfId="0"/>
    <xf numFmtId="16" fontId="0" fillId="0" borderId="2" pivotButton="0" quotePrefix="0" xfId="0"/>
    <xf numFmtId="43" fontId="0" fillId="0" borderId="2" pivotButton="0" quotePrefix="0" xfId="1"/>
    <xf numFmtId="4" fontId="0" fillId="0" borderId="2" pivotButton="0" quotePrefix="0" xfId="0"/>
    <xf numFmtId="0" fontId="0" fillId="0" borderId="2" applyAlignment="1" pivotButton="0" quotePrefix="0" xfId="0">
      <alignment wrapText="1"/>
    </xf>
    <xf numFmtId="0" fontId="0" fillId="4" borderId="2" applyAlignment="1" pivotButton="0" quotePrefix="0" xfId="0">
      <alignment wrapText="1"/>
    </xf>
    <xf numFmtId="164" fontId="0" fillId="4" borderId="2" pivotButton="0" quotePrefix="0" xfId="1"/>
    <xf numFmtId="164" fontId="0" fillId="0" borderId="2" pivotButton="0" quotePrefix="0" xfId="1"/>
    <xf numFmtId="0" fontId="0" fillId="0" borderId="0" pivotButton="1" quotePrefix="0" xfId="0"/>
    <xf numFmtId="14" fontId="0" fillId="0" borderId="0" pivotButton="0" quotePrefix="0" xfId="0"/>
    <xf numFmtId="0" fontId="0" fillId="0" borderId="0" applyAlignment="1" pivotButton="0" quotePrefix="0" xfId="0">
      <alignment horizontal="left"/>
    </xf>
    <xf numFmtId="4" fontId="0" fillId="0" borderId="0" pivotButton="0" quotePrefix="0" xfId="0"/>
    <xf numFmtId="43" fontId="0" fillId="0"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horizontal="center"/>
    </xf>
    <xf numFmtId="10" fontId="0" fillId="0" borderId="0" pivotButton="0" quotePrefix="0" xfId="0"/>
    <xf numFmtId="164" fontId="0" fillId="0" borderId="0" pivotButton="0" quotePrefix="0" xfId="1"/>
    <xf numFmtId="0" fontId="4" fillId="0" borderId="0" pivotButton="0" quotePrefix="0" xfId="0"/>
    <xf numFmtId="43" fontId="0" fillId="0" borderId="0" pivotButton="0" quotePrefix="0" xfId="1"/>
    <xf numFmtId="0" fontId="0" fillId="0" borderId="0" applyAlignment="1" pivotButton="0" quotePrefix="0" xfId="0">
      <alignment horizontal="center" wrapText="1"/>
    </xf>
    <xf numFmtId="0" fontId="4" fillId="6" borderId="0" applyAlignment="1" pivotButton="0" quotePrefix="0" xfId="0">
      <alignment wrapText="1"/>
    </xf>
    <xf numFmtId="0" fontId="0" fillId="6" borderId="0" applyAlignment="1" pivotButton="0" quotePrefix="0" xfId="0">
      <alignment wrapText="1"/>
    </xf>
    <xf numFmtId="0" fontId="0" fillId="6" borderId="0" applyAlignment="1" pivotButton="0" quotePrefix="0" xfId="0">
      <alignment horizontal="center" wrapText="1"/>
    </xf>
    <xf numFmtId="0" fontId="0" fillId="7" borderId="0" pivotButton="0" quotePrefix="0" xfId="0"/>
    <xf numFmtId="0" fontId="4" fillId="8" borderId="0" pivotButton="0" quotePrefix="0" xfId="0"/>
    <xf numFmtId="43" fontId="0" fillId="8" borderId="0" pivotButton="0" quotePrefix="0" xfId="0"/>
    <xf numFmtId="43" fontId="0" fillId="8" borderId="0" pivotButton="0" quotePrefix="0" xfId="1"/>
    <xf numFmtId="0" fontId="0" fillId="8" borderId="0" pivotButton="0" quotePrefix="0" xfId="0"/>
    <xf numFmtId="43" fontId="4" fillId="9" borderId="0" pivotButton="0" quotePrefix="0" xfId="1"/>
    <xf numFmtId="43" fontId="0" fillId="9" borderId="0" pivotButton="0" quotePrefix="0" xfId="1"/>
    <xf numFmtId="0" fontId="4" fillId="10" borderId="0" applyAlignment="1" pivotButton="0" quotePrefix="0" xfId="0">
      <alignment wrapText="1"/>
    </xf>
    <xf numFmtId="0" fontId="0" fillId="10" borderId="0" applyAlignment="1" pivotButton="0" quotePrefix="0" xfId="0">
      <alignment wrapText="1"/>
    </xf>
    <xf numFmtId="0" fontId="0" fillId="10" borderId="0" applyAlignment="1" pivotButton="0" quotePrefix="0" xfId="0">
      <alignment horizontal="center" wrapText="1"/>
    </xf>
    <xf numFmtId="0" fontId="0" fillId="7" borderId="0" applyAlignment="1" pivotButton="0" quotePrefix="0" xfId="0">
      <alignment wrapText="1"/>
    </xf>
    <xf numFmtId="0" fontId="0" fillId="11" borderId="0" applyAlignment="1" pivotButton="0" quotePrefix="0" xfId="0">
      <alignment wrapText="1"/>
    </xf>
    <xf numFmtId="43" fontId="0" fillId="10" borderId="0" applyAlignment="1" pivotButton="0" quotePrefix="0" xfId="1">
      <alignment horizontal="center" wrapText="1"/>
    </xf>
    <xf numFmtId="4" fontId="0" fillId="10" borderId="0" applyAlignment="1" pivotButton="0" quotePrefix="0" xfId="0">
      <alignment horizontal="center" wrapText="1"/>
    </xf>
    <xf numFmtId="43" fontId="0" fillId="10" borderId="0" applyAlignment="1" pivotButton="0" quotePrefix="0" xfId="0">
      <alignment horizontal="center" wrapText="1"/>
    </xf>
    <xf numFmtId="0" fontId="4" fillId="12" borderId="4" pivotButton="0" quotePrefix="0" xfId="0"/>
    <xf numFmtId="0" fontId="4" fillId="12" borderId="4" applyAlignment="1" pivotButton="0" quotePrefix="0" xfId="0">
      <alignment horizontal="center" wrapText="1"/>
    </xf>
    <xf numFmtId="0" fontId="4" fillId="12" borderId="4" applyAlignment="1" pivotButton="0" quotePrefix="0" xfId="0">
      <alignment horizontal="center"/>
    </xf>
    <xf numFmtId="0" fontId="0" fillId="11" borderId="0" pivotButton="0" quotePrefix="0" xfId="0"/>
    <xf numFmtId="10" fontId="0" fillId="0" borderId="0" pivotButton="0" quotePrefix="0" xfId="2"/>
    <xf numFmtId="166" fontId="0" fillId="0" borderId="0" pivotButton="0" quotePrefix="0" xfId="2"/>
    <xf numFmtId="43" fontId="6" fillId="13" borderId="0" pivotButton="0" quotePrefix="0" xfId="1"/>
    <xf numFmtId="43" fontId="0" fillId="14" borderId="0" pivotButton="0" quotePrefix="0" xfId="1"/>
    <xf numFmtId="43" fontId="0" fillId="9" borderId="0" pivotButton="0" quotePrefix="0" xfId="0"/>
    <xf numFmtId="43" fontId="0" fillId="0" borderId="0" pivotButton="0" quotePrefix="0" xfId="1"/>
    <xf numFmtId="43" fontId="4" fillId="12" borderId="4" pivotButton="0" quotePrefix="0" xfId="0"/>
    <xf numFmtId="10" fontId="4" fillId="12" borderId="4" pivotButton="0" quotePrefix="0" xfId="0"/>
    <xf numFmtId="43" fontId="4" fillId="15" borderId="4" pivotButton="0" quotePrefix="0" xfId="0"/>
    <xf numFmtId="43" fontId="3" fillId="0" borderId="0" pivotButton="0" quotePrefix="0" xfId="0"/>
    <xf numFmtId="0" fontId="7" fillId="0" borderId="0" pivotButton="0" quotePrefix="0" xfId="0"/>
    <xf numFmtId="0" fontId="7" fillId="14" borderId="0" pivotButton="0" quotePrefix="0" xfId="0"/>
    <xf numFmtId="0" fontId="7" fillId="16" borderId="0" pivotButton="0" quotePrefix="0" xfId="0"/>
    <xf numFmtId="167" fontId="0" fillId="0" borderId="0" pivotButton="0" quotePrefix="0" xfId="0"/>
    <xf numFmtId="168" fontId="0" fillId="0" borderId="0" pivotButton="0" quotePrefix="0" xfId="0"/>
    <xf numFmtId="10" fontId="0" fillId="0" borderId="0" pivotButton="0" quotePrefix="0" xfId="1"/>
    <xf numFmtId="164" fontId="0" fillId="0" borderId="5" pivotButton="0" quotePrefix="0" xfId="1"/>
    <xf numFmtId="10" fontId="0" fillId="0" borderId="5" pivotButton="0" quotePrefix="0" xfId="1"/>
    <xf numFmtId="164" fontId="0" fillId="0" borderId="0" pivotButton="0" quotePrefix="0" xfId="1"/>
    <xf numFmtId="10" fontId="0" fillId="0" borderId="0" pivotButton="0" quotePrefix="0" xfId="1"/>
    <xf numFmtId="0" fontId="4" fillId="0" borderId="0" applyAlignment="1" pivotButton="0" quotePrefix="0" xfId="0">
      <alignment horizontal="center" wrapText="1"/>
    </xf>
    <xf numFmtId="10" fontId="7" fillId="0" borderId="0" pivotButton="0" quotePrefix="0" xfId="2"/>
    <xf numFmtId="166" fontId="7" fillId="0" borderId="0" pivotButton="0" quotePrefix="0" xfId="2"/>
    <xf numFmtId="14" fontId="7" fillId="0" borderId="0" applyAlignment="1" pivotButton="0" quotePrefix="0" xfId="0">
      <alignment horizontal="left"/>
    </xf>
    <xf numFmtId="169" fontId="0" fillId="0" borderId="0" pivotButton="0" quotePrefix="0" xfId="3"/>
    <xf numFmtId="164" fontId="0" fillId="0" borderId="0" pivotButton="0" quotePrefix="0" xfId="4"/>
    <xf numFmtId="14" fontId="7" fillId="12" borderId="6" applyAlignment="1" pivotButton="0" quotePrefix="0" xfId="0">
      <alignment horizontal="left"/>
    </xf>
    <xf numFmtId="164" fontId="0" fillId="0" borderId="0" applyAlignment="1" pivotButton="0" quotePrefix="0" xfId="4">
      <alignment horizontal="left"/>
    </xf>
    <xf numFmtId="169" fontId="4" fillId="0" borderId="0" applyAlignment="1" pivotButton="0" quotePrefix="0" xfId="3">
      <alignment horizontal="right"/>
    </xf>
    <xf numFmtId="4" fontId="4" fillId="0" borderId="0" pivotButton="0" quotePrefix="0" xfId="0"/>
    <xf numFmtId="169" fontId="0" fillId="11" borderId="0" applyAlignment="1" pivotButton="0" quotePrefix="0" xfId="3">
      <alignment horizontal="left"/>
    </xf>
    <xf numFmtId="43" fontId="4" fillId="0" borderId="0" applyAlignment="1" pivotButton="0" quotePrefix="0" xfId="0">
      <alignment horizontal="center"/>
    </xf>
    <xf numFmtId="43" fontId="4" fillId="0" borderId="0" pivotButton="0" quotePrefix="0" xfId="0"/>
    <xf numFmtId="2" fontId="0" fillId="0" borderId="0" pivotButton="0" quotePrefix="0" xfId="0"/>
    <xf numFmtId="0" fontId="9" fillId="0" borderId="5" applyAlignment="1" pivotButton="0" quotePrefix="0" xfId="0">
      <alignment horizontal="center"/>
    </xf>
    <xf numFmtId="0" fontId="9" fillId="0" borderId="5" applyAlignment="1" pivotButton="0" quotePrefix="0" xfId="0">
      <alignment horizontal="center" wrapText="1"/>
    </xf>
    <xf numFmtId="43" fontId="9" fillId="0" borderId="5" applyAlignment="1" pivotButton="0" quotePrefix="0" xfId="4">
      <alignment horizontal="center" wrapText="1"/>
    </xf>
    <xf numFmtId="0" fontId="9" fillId="7" borderId="5" applyAlignment="1" pivotButton="0" quotePrefix="0" xfId="0">
      <alignment horizontal="center" wrapText="1"/>
    </xf>
    <xf numFmtId="0" fontId="9" fillId="0" borderId="0" pivotButton="0" quotePrefix="0" xfId="0"/>
    <xf numFmtId="43" fontId="0" fillId="0" borderId="0" pivotButton="0" quotePrefix="0" xfId="4"/>
    <xf numFmtId="43" fontId="0" fillId="0" borderId="0" pivotButton="0" quotePrefix="0" xfId="4"/>
    <xf numFmtId="170" fontId="0" fillId="0" borderId="0" pivotButton="0" quotePrefix="0" xfId="3"/>
    <xf numFmtId="10" fontId="0" fillId="0" borderId="0" pivotButton="0" quotePrefix="0" xfId="3"/>
    <xf numFmtId="0" fontId="0" fillId="14" borderId="0" pivotButton="0" quotePrefix="0" xfId="0"/>
    <xf numFmtId="170" fontId="0" fillId="0" borderId="0" pivotButton="0" quotePrefix="0" xfId="2"/>
    <xf numFmtId="164" fontId="4" fillId="0" borderId="0" pivotButton="0" quotePrefix="0" xfId="0"/>
    <xf numFmtId="10" fontId="4" fillId="0" borderId="0" pivotButton="0" quotePrefix="0" xfId="0"/>
    <xf numFmtId="0" fontId="2" fillId="18" borderId="0" pivotButton="0" quotePrefix="0" xfId="0"/>
    <xf numFmtId="10" fontId="0" fillId="0" borderId="0" pivotButton="0" quotePrefix="0" xfId="1"/>
    <xf numFmtId="10" fontId="0" fillId="0" borderId="5" pivotButton="0" quotePrefix="0" xfId="1"/>
    <xf numFmtId="0" fontId="4" fillId="0" borderId="5" applyAlignment="1" pivotButton="0" quotePrefix="0" xfId="0">
      <alignment horizontal="center" wrapText="1"/>
    </xf>
    <xf numFmtId="0" fontId="0" fillId="19" borderId="0" pivotButton="0" quotePrefix="0" xfId="0"/>
    <xf numFmtId="0" fontId="2" fillId="20" borderId="0" applyAlignment="1" pivotButton="0" quotePrefix="0" xfId="0">
      <alignment horizontal="left"/>
    </xf>
    <xf numFmtId="0" fontId="2" fillId="20" borderId="0" applyAlignment="1" pivotButton="0" quotePrefix="0" xfId="0">
      <alignment horizontal="centerContinuous"/>
    </xf>
    <xf numFmtId="0" fontId="4" fillId="0" borderId="0" applyAlignment="1" pivotButton="0" quotePrefix="0" xfId="0">
      <alignment horizontal="right"/>
    </xf>
    <xf numFmtId="0" fontId="4" fillId="0" borderId="0" applyAlignment="1" pivotButton="0" quotePrefix="0" xfId="0">
      <alignment horizontal="center"/>
    </xf>
    <xf numFmtId="0" fontId="4" fillId="16" borderId="0" applyAlignment="1" pivotButton="0" quotePrefix="0" xfId="0">
      <alignment horizontal="center"/>
    </xf>
    <xf numFmtId="0" fontId="0" fillId="11" borderId="0" applyAlignment="1" pivotButton="0" quotePrefix="0" xfId="0">
      <alignment horizontal="center" wrapText="1"/>
    </xf>
    <xf numFmtId="0" fontId="0" fillId="8" borderId="0" applyAlignment="1" pivotButton="0" quotePrefix="0" xfId="0">
      <alignment horizontal="center" wrapText="1"/>
    </xf>
    <xf numFmtId="0" fontId="0" fillId="21" borderId="0" pivotButton="0" quotePrefix="0" xfId="0"/>
    <xf numFmtId="43" fontId="0" fillId="21" borderId="0" pivotButton="0" quotePrefix="0" xfId="1"/>
    <xf numFmtId="166" fontId="0" fillId="21" borderId="0" pivotButton="0" quotePrefix="0" xfId="2"/>
    <xf numFmtId="14" fontId="0" fillId="21" borderId="0" pivotButton="0" quotePrefix="0" xfId="0"/>
    <xf numFmtId="43" fontId="0" fillId="21" borderId="0" pivotButton="0" quotePrefix="0" xfId="0"/>
    <xf numFmtId="10" fontId="0" fillId="21" borderId="0" pivotButton="0" quotePrefix="0" xfId="2"/>
    <xf numFmtId="3" fontId="0" fillId="0" borderId="0" pivotButton="0" quotePrefix="0" xfId="0"/>
    <xf numFmtId="0" fontId="0" fillId="0" borderId="5" pivotButton="0" quotePrefix="0" xfId="0"/>
    <xf numFmtId="0" fontId="10" fillId="22" borderId="0" applyAlignment="1" pivotButton="0" quotePrefix="0" xfId="0">
      <alignment horizontal="centerContinuous" vertical="center"/>
    </xf>
    <xf numFmtId="0" fontId="6" fillId="22" borderId="0" applyAlignment="1" pivotButton="0" quotePrefix="0" xfId="0">
      <alignment horizontal="centerContinuous"/>
    </xf>
    <xf numFmtId="0" fontId="11" fillId="22" borderId="0" applyAlignment="1" pivotButton="0" quotePrefix="0" xfId="0">
      <alignment horizontal="centerContinuous" vertical="center" wrapText="1"/>
    </xf>
    <xf numFmtId="0" fontId="12" fillId="22" borderId="0" applyAlignment="1" pivotButton="0" quotePrefix="0" xfId="0">
      <alignment horizontal="centerContinuous" vertical="center"/>
    </xf>
    <xf numFmtId="0" fontId="10" fillId="22" borderId="0" applyAlignment="1" pivotButton="0" quotePrefix="0" xfId="0">
      <alignment vertical="center"/>
    </xf>
    <xf numFmtId="0" fontId="6" fillId="22" borderId="0" pivotButton="0" quotePrefix="0" xfId="0"/>
    <xf numFmtId="0" fontId="11" fillId="22" borderId="0" applyAlignment="1" pivotButton="0" quotePrefix="0" xfId="0">
      <alignment horizontal="left" vertical="center" indent="3"/>
    </xf>
    <xf numFmtId="0" fontId="10" fillId="22" borderId="6" applyAlignment="1" pivotButton="0" quotePrefix="0" xfId="0">
      <alignment horizontal="center" vertical="center" wrapText="1"/>
    </xf>
    <xf numFmtId="0" fontId="13" fillId="22" borderId="6" applyAlignment="1" pivotButton="0" quotePrefix="0" xfId="0">
      <alignment horizontal="left" vertical="center" wrapText="1"/>
    </xf>
    <xf numFmtId="171" fontId="13" fillId="22" borderId="6" applyAlignment="1" pivotButton="0" quotePrefix="0" xfId="5">
      <alignment horizontal="center" vertical="center" wrapText="1"/>
    </xf>
    <xf numFmtId="171" fontId="13" fillId="22" borderId="6" applyAlignment="1" pivotButton="0" quotePrefix="0" xfId="0">
      <alignment horizontal="center" vertical="center" wrapText="1"/>
    </xf>
    <xf numFmtId="171" fontId="13" fillId="0" borderId="6" applyAlignment="1" pivotButton="0" quotePrefix="0" xfId="5">
      <alignment horizontal="center" vertical="center" wrapText="1"/>
    </xf>
    <xf numFmtId="43" fontId="13" fillId="22" borderId="6" applyAlignment="1" pivotButton="0" quotePrefix="0" xfId="1">
      <alignment horizontal="center" vertical="center" wrapText="1"/>
    </xf>
    <xf numFmtId="0" fontId="10" fillId="22" borderId="6" applyAlignment="1" pivotButton="0" quotePrefix="0" xfId="0">
      <alignment horizontal="left" vertical="center" wrapText="1"/>
    </xf>
    <xf numFmtId="171" fontId="14" fillId="22" borderId="6" pivotButton="0" quotePrefix="0" xfId="0"/>
    <xf numFmtId="43" fontId="14" fillId="22" borderId="6" pivotButton="0" quotePrefix="0" xfId="1"/>
    <xf numFmtId="171" fontId="0" fillId="0" borderId="0" pivotButton="0" quotePrefix="0" xfId="0"/>
    <xf numFmtId="170" fontId="13" fillId="22" borderId="6" applyAlignment="1" pivotButton="0" quotePrefix="0" xfId="2">
      <alignment horizontal="center" vertical="center" wrapText="1"/>
    </xf>
    <xf numFmtId="0" fontId="13" fillId="22" borderId="6" applyAlignment="1" pivotButton="0" quotePrefix="0" xfId="0">
      <alignment horizontal="left" vertical="center"/>
    </xf>
    <xf numFmtId="0" fontId="10" fillId="22" borderId="6" applyAlignment="1" pivotButton="0" quotePrefix="0" xfId="0">
      <alignment horizontal="left" vertical="center"/>
    </xf>
    <xf numFmtId="172" fontId="13" fillId="22" borderId="6" applyAlignment="1" pivotButton="0" quotePrefix="0" xfId="5">
      <alignment horizontal="center" vertical="center" wrapText="1"/>
    </xf>
    <xf numFmtId="0" fontId="4" fillId="23" borderId="5" applyAlignment="1" pivotButton="0" quotePrefix="0" xfId="0">
      <alignment horizontal="center" wrapText="1"/>
    </xf>
    <xf numFmtId="164" fontId="0" fillId="23" borderId="0" pivotButton="0" quotePrefix="0" xfId="1"/>
    <xf numFmtId="164" fontId="0" fillId="23" borderId="5" pivotButton="0" quotePrefix="0" xfId="1"/>
    <xf numFmtId="164" fontId="4" fillId="23" borderId="0" pivotButton="0" quotePrefix="0" xfId="0"/>
    <xf numFmtId="164" fontId="0" fillId="0" borderId="0" pivotButton="1" quotePrefix="0" xfId="0"/>
    <xf numFmtId="164" fontId="0" fillId="0" borderId="0" applyAlignment="1" pivotButton="0" quotePrefix="0" xfId="0">
      <alignment horizontal="left"/>
    </xf>
    <xf numFmtId="164" fontId="0" fillId="0" borderId="0" applyAlignment="1" pivotButton="0" quotePrefix="0" xfId="0">
      <alignment horizontal="center"/>
    </xf>
    <xf numFmtId="14" fontId="0" fillId="0" borderId="0" applyAlignment="1" pivotButton="0" quotePrefix="0" xfId="0">
      <alignment horizontal="center"/>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14" fontId="4" fillId="23" borderId="5" applyAlignment="1" pivotButton="0" quotePrefix="0" xfId="0">
      <alignment horizontal="center" vertical="center"/>
    </xf>
    <xf numFmtId="0" fontId="0" fillId="0" borderId="0" applyAlignment="1" pivotButton="0" quotePrefix="0" xfId="0">
      <alignment horizontal="right"/>
    </xf>
    <xf numFmtId="164" fontId="0" fillId="0" borderId="5" applyAlignment="1" pivotButton="0" quotePrefix="0" xfId="0">
      <alignment horizontal="center" vertical="center"/>
    </xf>
    <xf numFmtId="164" fontId="0" fillId="0" borderId="0" applyAlignment="1" pivotButton="0" quotePrefix="0" xfId="0">
      <alignment horizontal="center" vertical="center"/>
    </xf>
    <xf numFmtId="14" fontId="4" fillId="0" borderId="0" applyAlignment="1" pivotButton="0" quotePrefix="0" xfId="0">
      <alignment horizontal="center" vertical="center"/>
    </xf>
    <xf numFmtId="164" fontId="1" fillId="0" borderId="0" applyAlignment="1" pivotButton="0" quotePrefix="0" xfId="1">
      <alignment horizontal="center" vertical="center"/>
    </xf>
    <xf numFmtId="164" fontId="0" fillId="0" borderId="0" applyAlignment="1" pivotButton="0" quotePrefix="0" xfId="1">
      <alignment horizontal="center" vertical="center"/>
    </xf>
    <xf numFmtId="164" fontId="1" fillId="0" borderId="5" applyAlignment="1" pivotButton="0" quotePrefix="0" xfId="1">
      <alignment horizontal="center" vertical="center"/>
    </xf>
    <xf numFmtId="164" fontId="0" fillId="0" borderId="5" pivotButton="0" quotePrefix="0" xfId="1"/>
    <xf numFmtId="0" fontId="15" fillId="0" borderId="0" pivotButton="0" quotePrefix="0" xfId="0"/>
    <xf numFmtId="0" fontId="0" fillId="17" borderId="0" applyAlignment="1" pivotButton="0" quotePrefix="0" xfId="0">
      <alignment horizontal="left"/>
    </xf>
    <xf numFmtId="0" fontId="0" fillId="17" borderId="5" applyAlignment="1" pivotButton="0" quotePrefix="0" xfId="0">
      <alignment horizontal="left"/>
    </xf>
    <xf numFmtId="164" fontId="0" fillId="0" borderId="0" pivotButton="0" quotePrefix="0" xfId="1"/>
    <xf numFmtId="164" fontId="4" fillId="0" borderId="0" applyAlignment="1" pivotButton="0" quotePrefix="0" xfId="0">
      <alignment horizontal="center"/>
    </xf>
    <xf numFmtId="10" fontId="0" fillId="0" borderId="0" applyAlignment="1" pivotButton="0" quotePrefix="0" xfId="0">
      <alignment horizontal="right"/>
    </xf>
    <xf numFmtId="0" fontId="0" fillId="0" borderId="14" pivotButton="0" quotePrefix="0" xfId="0"/>
    <xf numFmtId="164" fontId="0" fillId="0" borderId="15" pivotButton="0" quotePrefix="0" xfId="0"/>
    <xf numFmtId="0" fontId="0" fillId="0" borderId="16" pivotButton="0" quotePrefix="0" xfId="0"/>
    <xf numFmtId="3" fontId="0" fillId="0" borderId="17" pivotButton="0" quotePrefix="0" xfId="0"/>
    <xf numFmtId="10" fontId="0" fillId="0" borderId="17" pivotButton="0" quotePrefix="0" xfId="0"/>
    <xf numFmtId="164" fontId="4" fillId="0" borderId="17" pivotButton="0" quotePrefix="0" xfId="0"/>
    <xf numFmtId="0" fontId="4" fillId="0" borderId="16" applyAlignment="1" pivotButton="0" quotePrefix="0" xfId="0">
      <alignment horizontal="left" indent="1"/>
    </xf>
    <xf numFmtId="0" fontId="4" fillId="0" borderId="16" applyAlignment="1" pivotButton="0" quotePrefix="0" xfId="0">
      <alignment horizontal="left" indent="2"/>
    </xf>
    <xf numFmtId="0" fontId="2" fillId="0" borderId="14" pivotButton="0" quotePrefix="0" xfId="0"/>
    <xf numFmtId="43" fontId="2" fillId="0" borderId="0" applyAlignment="1" pivotButton="0" quotePrefix="0" xfId="1">
      <alignment horizontal="left" vertical="center"/>
    </xf>
    <xf numFmtId="0" fontId="4" fillId="0" borderId="14" pivotButton="0" quotePrefix="0" xfId="0"/>
    <xf numFmtId="0" fontId="0" fillId="0" borderId="17" pivotButton="0" quotePrefix="0" xfId="0"/>
    <xf numFmtId="164" fontId="0" fillId="0" borderId="17" pivotButton="0" quotePrefix="0" xfId="0"/>
    <xf numFmtId="0" fontId="4" fillId="0" borderId="19" pivotButton="0" quotePrefix="0" xfId="0"/>
    <xf numFmtId="0" fontId="0" fillId="0" borderId="20" pivotButton="0" quotePrefix="0" xfId="0"/>
    <xf numFmtId="43" fontId="2" fillId="24" borderId="20" applyAlignment="1" pivotButton="0" quotePrefix="0" xfId="1">
      <alignment horizontal="left" vertical="center"/>
    </xf>
    <xf numFmtId="14" fontId="2" fillId="24" borderId="20" applyAlignment="1" pivotButton="0" quotePrefix="0" xfId="0">
      <alignment horizontal="center" vertical="center"/>
    </xf>
    <xf numFmtId="169" fontId="0" fillId="0" borderId="0" pivotButton="0" quotePrefix="0" xfId="0"/>
    <xf numFmtId="164" fontId="0" fillId="0" borderId="18" pivotButton="0" quotePrefix="0" xfId="0"/>
    <xf numFmtId="0" fontId="0" fillId="0" borderId="19" pivotButton="0" quotePrefix="0" xfId="0"/>
    <xf numFmtId="3" fontId="2" fillId="0" borderId="20" pivotButton="0" quotePrefix="0" xfId="0"/>
    <xf numFmtId="14" fontId="0" fillId="0" borderId="20" applyAlignment="1" pivotButton="0" quotePrefix="0" xfId="0">
      <alignment horizontal="center"/>
    </xf>
    <xf numFmtId="14" fontId="0" fillId="0" borderId="21" applyAlignment="1" pivotButton="0" quotePrefix="0" xfId="0">
      <alignment horizontal="center"/>
    </xf>
    <xf numFmtId="10" fontId="2" fillId="0" borderId="20" pivotButton="0" quotePrefix="0" xfId="0"/>
    <xf numFmtId="0" fontId="2" fillId="0" borderId="19" pivotButton="0" quotePrefix="0" xfId="0"/>
    <xf numFmtId="0" fontId="2" fillId="0" borderId="0" applyAlignment="1" pivotButton="0" quotePrefix="0" xfId="0">
      <alignment horizontal="centerContinuous"/>
    </xf>
    <xf numFmtId="0" fontId="0" fillId="0" borderId="15" pivotButton="0" quotePrefix="0" xfId="0"/>
    <xf numFmtId="2" fontId="0" fillId="0" borderId="0" applyAlignment="1" pivotButton="0" quotePrefix="0" xfId="0">
      <alignment horizontal="centerContinuous"/>
    </xf>
    <xf numFmtId="173" fontId="0" fillId="0" borderId="0" pivotButton="0" quotePrefix="0" xfId="0"/>
    <xf numFmtId="164" fontId="0" fillId="0" borderId="17" pivotButton="0" quotePrefix="0" xfId="1"/>
    <xf numFmtId="164" fontId="0" fillId="0" borderId="18" pivotButton="0" quotePrefix="0" xfId="1"/>
    <xf numFmtId="0" fontId="15" fillId="0" borderId="0" applyAlignment="1" pivotButton="0" quotePrefix="0" xfId="0">
      <alignment horizontal="right"/>
    </xf>
    <xf numFmtId="164" fontId="4" fillId="12" borderId="15" pivotButton="0" quotePrefix="0" xfId="0"/>
    <xf numFmtId="164" fontId="2" fillId="19" borderId="21" applyAlignment="1" pivotButton="0" quotePrefix="0" xfId="0">
      <alignment horizontal="center"/>
    </xf>
    <xf numFmtId="164" fontId="2" fillId="19" borderId="21" applyAlignment="1" pivotButton="0" quotePrefix="0" xfId="0">
      <alignment horizontal="center" wrapText="1"/>
    </xf>
    <xf numFmtId="0" fontId="4" fillId="17" borderId="5" pivotButton="0" quotePrefix="0" xfId="0"/>
    <xf numFmtId="172" fontId="0" fillId="0" borderId="0" pivotButton="0" quotePrefix="0" xfId="0"/>
    <xf numFmtId="164" fontId="0" fillId="0" borderId="5" pivotButton="0" quotePrefix="0" xfId="0"/>
    <xf numFmtId="164" fontId="0" fillId="0" borderId="5" applyAlignment="1" pivotButton="0" quotePrefix="0" xfId="1">
      <alignment horizontal="center" vertical="center"/>
    </xf>
    <xf numFmtId="0" fontId="19" fillId="0" borderId="0" applyAlignment="1" pivotButton="0" quotePrefix="0" xfId="0">
      <alignment horizontal="right"/>
    </xf>
    <xf numFmtId="0" fontId="0" fillId="0" borderId="0" applyAlignment="1" pivotButton="0" quotePrefix="0" xfId="0">
      <alignment horizontal="left" indent="1"/>
    </xf>
    <xf numFmtId="164" fontId="0" fillId="25" borderId="0" pivotButton="0" quotePrefix="0" xfId="1"/>
    <xf numFmtId="164" fontId="0" fillId="25" borderId="5" pivotButton="0" quotePrefix="0" xfId="1"/>
    <xf numFmtId="2" fontId="0" fillId="0" borderId="15" applyAlignment="1" pivotButton="0" quotePrefix="0" xfId="0">
      <alignment horizontal="center"/>
    </xf>
    <xf numFmtId="164" fontId="4" fillId="12" borderId="23" pivotButton="0" quotePrefix="0" xfId="0"/>
    <xf numFmtId="164" fontId="0" fillId="27" borderId="0" pivotButton="0" quotePrefix="0" xfId="0"/>
    <xf numFmtId="0" fontId="20" fillId="27" borderId="0" pivotButton="0" quotePrefix="0" xfId="0"/>
    <xf numFmtId="164" fontId="0" fillId="0" borderId="0" applyAlignment="1" pivotButton="0" quotePrefix="0" xfId="1">
      <alignment horizontal="center" vertical="center"/>
    </xf>
    <xf numFmtId="164" fontId="0" fillId="0" borderId="15" applyAlignment="1" pivotButton="0" quotePrefix="0" xfId="1">
      <alignment horizontal="center" vertical="center"/>
    </xf>
    <xf numFmtId="164" fontId="4" fillId="23" borderId="5" applyAlignment="1" pivotButton="0" quotePrefix="0" xfId="1">
      <alignment horizontal="center" wrapText="1"/>
    </xf>
    <xf numFmtId="0" fontId="4" fillId="10" borderId="5" applyAlignment="1" pivotButton="0" quotePrefix="0" xfId="0">
      <alignment horizontal="center" vertical="center" wrapText="1"/>
    </xf>
    <xf numFmtId="0" fontId="2" fillId="19" borderId="0" applyAlignment="1" pivotButton="0" quotePrefix="0" xfId="0">
      <alignment horizontal="left"/>
    </xf>
    <xf numFmtId="164" fontId="4" fillId="0" borderId="5" applyAlignment="1" pivotButton="0" quotePrefix="0" xfId="1">
      <alignment horizontal="center" wrapText="1"/>
    </xf>
    <xf numFmtId="164" fontId="4" fillId="25" borderId="5" applyAlignment="1" pivotButton="0" quotePrefix="0" xfId="1">
      <alignment horizontal="center" wrapText="1"/>
    </xf>
    <xf numFmtId="0" fontId="8" fillId="19" borderId="5" applyAlignment="1" pivotButton="0" quotePrefix="0" xfId="0">
      <alignment horizontal="center"/>
    </xf>
    <xf numFmtId="14" fontId="0" fillId="28" borderId="6" applyAlignment="1" pivotButton="0" quotePrefix="0" xfId="0">
      <alignment horizontal="left"/>
    </xf>
    <xf numFmtId="164" fontId="0" fillId="0" borderId="0" applyAlignment="1" pivotButton="0" quotePrefix="0" xfId="1">
      <alignment horizontal="left"/>
    </xf>
    <xf numFmtId="169" fontId="0" fillId="0" borderId="0" pivotButton="0" quotePrefix="0" xfId="2"/>
    <xf numFmtId="0" fontId="0" fillId="6" borderId="0" pivotButton="0" quotePrefix="0" xfId="0"/>
    <xf numFmtId="169" fontId="0" fillId="11" borderId="0" applyAlignment="1" pivotButton="0" quotePrefix="0" xfId="2">
      <alignment horizontal="left"/>
    </xf>
    <xf numFmtId="169" fontId="0" fillId="0" borderId="0" applyAlignment="1" pivotButton="0" quotePrefix="0" xfId="2">
      <alignment horizontal="left"/>
    </xf>
    <xf numFmtId="169" fontId="4" fillId="0" borderId="0" applyAlignment="1" pivotButton="0" quotePrefix="0" xfId="2">
      <alignment horizontal="right"/>
    </xf>
    <xf numFmtId="169" fontId="4" fillId="0" borderId="0" applyAlignment="1" pivotButton="0" quotePrefix="0" xfId="2">
      <alignment horizontal="center"/>
    </xf>
    <xf numFmtId="10" fontId="4" fillId="0" borderId="0" applyAlignment="1" pivotButton="0" quotePrefix="0" xfId="0">
      <alignment horizontal="center"/>
    </xf>
    <xf numFmtId="169" fontId="1" fillId="0" borderId="0" applyAlignment="1" pivotButton="0" quotePrefix="0" xfId="2">
      <alignment horizontal="center" wrapText="1"/>
    </xf>
    <xf numFmtId="10" fontId="0" fillId="0" borderId="0" applyAlignment="1" pivotButton="0" quotePrefix="0" xfId="0">
      <alignment horizontal="center" wrapText="1"/>
    </xf>
    <xf numFmtId="43" fontId="4" fillId="11" borderId="0" pivotButton="0" quotePrefix="0" xfId="0"/>
    <xf numFmtId="166" fontId="4" fillId="0" borderId="0" pivotButton="0" quotePrefix="0" xfId="2"/>
    <xf numFmtId="174" fontId="0" fillId="0" borderId="0" pivotButton="0" quotePrefix="0" xfId="0"/>
    <xf numFmtId="43" fontId="0" fillId="0" borderId="0" pivotButton="0" quotePrefix="0" xfId="2"/>
    <xf numFmtId="164" fontId="4" fillId="26" borderId="5" applyAlignment="1" pivotButton="0" quotePrefix="0" xfId="1">
      <alignment horizontal="center" wrapText="1"/>
    </xf>
    <xf numFmtId="164" fontId="0" fillId="26" borderId="0" pivotButton="0" quotePrefix="0" xfId="1"/>
    <xf numFmtId="164" fontId="0" fillId="26" borderId="5" pivotButton="0" quotePrefix="0" xfId="1"/>
    <xf numFmtId="164" fontId="4" fillId="26" borderId="0" pivotButton="0" quotePrefix="0" xfId="0"/>
    <xf numFmtId="164" fontId="4" fillId="29" borderId="5" applyAlignment="1" pivotButton="0" quotePrefix="0" xfId="1">
      <alignment horizontal="center" wrapText="1"/>
    </xf>
    <xf numFmtId="164" fontId="0" fillId="29" borderId="0" pivotButton="0" quotePrefix="0" xfId="1"/>
    <xf numFmtId="164" fontId="0" fillId="29" borderId="5" pivotButton="0" quotePrefix="0" xfId="1"/>
    <xf numFmtId="164" fontId="4" fillId="29" borderId="0" pivotButton="0" quotePrefix="0" xfId="0"/>
    <xf numFmtId="164" fontId="0" fillId="26" borderId="0" pivotButton="0" quotePrefix="0" xfId="1"/>
    <xf numFmtId="0" fontId="4" fillId="0" borderId="5" applyAlignment="1" pivotButton="0" quotePrefix="0" xfId="0">
      <alignment horizontal="center" vertical="center" wrapText="1"/>
    </xf>
    <xf numFmtId="164" fontId="0" fillId="0" borderId="0" applyAlignment="1" pivotButton="0" quotePrefix="0" xfId="1">
      <alignment horizontal="right"/>
    </xf>
    <xf numFmtId="164" fontId="2" fillId="18" borderId="8" pivotButton="0" quotePrefix="0" xfId="1"/>
    <xf numFmtId="0" fontId="4" fillId="18" borderId="7" pivotButton="0" quotePrefix="0" xfId="0"/>
    <xf numFmtId="164" fontId="4" fillId="18" borderId="7" pivotButton="0" quotePrefix="0" xfId="1"/>
    <xf numFmtId="0" fontId="4" fillId="18" borderId="9" pivotButton="0" quotePrefix="0" xfId="0"/>
    <xf numFmtId="0" fontId="14" fillId="0" borderId="11" pivotButton="0" quotePrefix="0" xfId="0"/>
    <xf numFmtId="164" fontId="4" fillId="12" borderId="18" pivotButton="0" quotePrefix="0" xfId="0"/>
    <xf numFmtId="14" fontId="2" fillId="18" borderId="0" applyAlignment="1" pivotButton="0" quotePrefix="0" xfId="0">
      <alignment horizontal="center" vertical="center"/>
    </xf>
    <xf numFmtId="164" fontId="0" fillId="23" borderId="0" applyAlignment="1" pivotButton="0" quotePrefix="0" xfId="0">
      <alignment horizontal="center" vertical="center"/>
    </xf>
    <xf numFmtId="164" fontId="0" fillId="23" borderId="5" applyAlignment="1" pivotButton="0" quotePrefix="0" xfId="0">
      <alignment horizontal="center" vertical="center"/>
    </xf>
    <xf numFmtId="164" fontId="1" fillId="23" borderId="0" applyAlignment="1" pivotButton="0" quotePrefix="0" xfId="1">
      <alignment horizontal="center" vertical="center"/>
    </xf>
    <xf numFmtId="0" fontId="14" fillId="23" borderId="12" applyAlignment="1" pivotButton="0" quotePrefix="0" xfId="1">
      <alignment horizontal="centerContinuous"/>
    </xf>
    <xf numFmtId="0" fontId="14" fillId="23" borderId="5" applyAlignment="1" pivotButton="0" quotePrefix="0" xfId="0">
      <alignment horizontal="centerContinuous"/>
    </xf>
    <xf numFmtId="0" fontId="14" fillId="23" borderId="5" applyAlignment="1" pivotButton="0" quotePrefix="0" xfId="1">
      <alignment horizontal="centerContinuous"/>
    </xf>
    <xf numFmtId="3" fontId="17" fillId="18" borderId="0" pivotButton="0" quotePrefix="0" xfId="0"/>
    <xf numFmtId="164" fontId="17" fillId="18" borderId="0" pivotButton="0" quotePrefix="0" xfId="0"/>
    <xf numFmtId="0" fontId="4" fillId="23" borderId="5" applyAlignment="1" pivotButton="0" quotePrefix="0" xfId="0">
      <alignment vertical="top"/>
    </xf>
    <xf numFmtId="0" fontId="4" fillId="23" borderId="5" applyAlignment="1" pivotButton="0" quotePrefix="0" xfId="0">
      <alignment horizontal="center" vertical="top" wrapText="1"/>
    </xf>
    <xf numFmtId="0" fontId="2" fillId="18" borderId="0" applyAlignment="1" pivotButton="0" quotePrefix="0" xfId="0">
      <alignment horizontal="left" indent="1"/>
    </xf>
    <xf numFmtId="0" fontId="20" fillId="29" borderId="0" pivotButton="0" quotePrefix="0" xfId="0"/>
    <xf numFmtId="0" fontId="0" fillId="29" borderId="0" pivotButton="0" quotePrefix="0" xfId="0"/>
    <xf numFmtId="0" fontId="8" fillId="29" borderId="0" pivotButton="0" quotePrefix="0" xfId="0"/>
    <xf numFmtId="0" fontId="0" fillId="0" borderId="22" pivotButton="0" quotePrefix="0" xfId="0"/>
    <xf numFmtId="0" fontId="4" fillId="0" borderId="14" applyAlignment="1" pivotButton="0" quotePrefix="0" xfId="0">
      <alignment horizontal="left" indent="1"/>
    </xf>
    <xf numFmtId="14" fontId="14" fillId="12" borderId="5" applyAlignment="1" pivotButton="0" quotePrefix="0" xfId="0">
      <alignment horizontal="center" vertical="center"/>
    </xf>
    <xf numFmtId="164" fontId="0" fillId="0" borderId="23" pivotButton="0" quotePrefix="0" xfId="0"/>
    <xf numFmtId="164" fontId="0" fillId="0" borderId="23" pivotButton="0" quotePrefix="0" xfId="1"/>
    <xf numFmtId="3" fontId="0" fillId="0" borderId="5" pivotButton="0" quotePrefix="0" xfId="0"/>
    <xf numFmtId="10" fontId="0" fillId="0" borderId="5" pivotButton="0" quotePrefix="0" xfId="0"/>
    <xf numFmtId="164" fontId="21" fillId="10" borderId="0" applyAlignment="1" pivotButton="0" quotePrefix="0" xfId="1">
      <alignment horizontal="center" wrapText="1"/>
    </xf>
    <xf numFmtId="0" fontId="0" fillId="30" borderId="0" pivotButton="0" quotePrefix="0" xfId="0"/>
    <xf numFmtId="0" fontId="2" fillId="30" borderId="0" pivotButton="0" quotePrefix="0" xfId="0"/>
    <xf numFmtId="0" fontId="0" fillId="31" borderId="0" applyAlignment="1" pivotButton="0" quotePrefix="0" xfId="0">
      <alignment horizontal="left"/>
    </xf>
    <xf numFmtId="164" fontId="0" fillId="31" borderId="0" pivotButton="0" quotePrefix="0" xfId="1"/>
    <xf numFmtId="164" fontId="0" fillId="31" borderId="0" pivotButton="0" quotePrefix="0" xfId="1"/>
    <xf numFmtId="9" fontId="0" fillId="31" borderId="0" pivotButton="0" quotePrefix="0" xfId="0"/>
    <xf numFmtId="10" fontId="0" fillId="31" borderId="0" pivotButton="0" quotePrefix="0" xfId="1"/>
    <xf numFmtId="164" fontId="0" fillId="31" borderId="0" pivotButton="0" quotePrefix="0" xfId="0"/>
    <xf numFmtId="0" fontId="4" fillId="10" borderId="24" applyAlignment="1" pivotButton="0" quotePrefix="0" xfId="0">
      <alignment horizontal="center" vertical="center" wrapText="1"/>
    </xf>
    <xf numFmtId="0" fontId="4" fillId="10" borderId="25" applyAlignment="1" pivotButton="0" quotePrefix="0" xfId="0">
      <alignment horizontal="center" vertical="center" wrapText="1"/>
    </xf>
    <xf numFmtId="0" fontId="4" fillId="10" borderId="26" applyAlignment="1" pivotButton="0" quotePrefix="0" xfId="0">
      <alignment horizontal="center" vertical="center" wrapText="1"/>
    </xf>
    <xf numFmtId="164" fontId="20" fillId="31" borderId="10" pivotButton="0" quotePrefix="0" xfId="0"/>
    <xf numFmtId="10" fontId="20" fillId="31" borderId="0" pivotButton="0" quotePrefix="0" xfId="0"/>
    <xf numFmtId="10" fontId="20" fillId="31" borderId="11" pivotButton="0" quotePrefix="0" xfId="0"/>
    <xf numFmtId="0" fontId="0" fillId="29" borderId="0" applyAlignment="1" pivotButton="0" quotePrefix="0" xfId="0">
      <alignment horizontal="right"/>
    </xf>
    <xf numFmtId="10" fontId="20" fillId="31" borderId="10" pivotButton="0" quotePrefix="0" xfId="1"/>
    <xf numFmtId="10" fontId="20" fillId="31" borderId="0" pivotButton="0" quotePrefix="0" xfId="1"/>
    <xf numFmtId="169" fontId="20" fillId="31" borderId="11" pivotButton="0" quotePrefix="0" xfId="0"/>
    <xf numFmtId="10" fontId="20" fillId="29" borderId="8" pivotButton="0" quotePrefix="0" xfId="1"/>
    <xf numFmtId="10" fontId="20" fillId="29" borderId="7" pivotButton="0" quotePrefix="0" xfId="1"/>
    <xf numFmtId="169" fontId="20" fillId="29" borderId="9" pivotButton="0" quotePrefix="0" xfId="0"/>
    <xf numFmtId="10" fontId="20" fillId="29" borderId="10" pivotButton="0" quotePrefix="0" xfId="1"/>
    <xf numFmtId="10" fontId="20" fillId="29" borderId="0" pivotButton="0" quotePrefix="0" xfId="1"/>
    <xf numFmtId="169" fontId="20" fillId="29" borderId="11" pivotButton="0" quotePrefix="0" xfId="0"/>
    <xf numFmtId="10" fontId="20" fillId="29" borderId="12" pivotButton="0" quotePrefix="0" xfId="1"/>
    <xf numFmtId="10" fontId="20" fillId="29" borderId="5" pivotButton="0" quotePrefix="0" xfId="1"/>
    <xf numFmtId="169" fontId="20" fillId="29" borderId="13" pivotButton="0" quotePrefix="0" xfId="0"/>
    <xf numFmtId="164" fontId="20" fillId="29" borderId="10" pivotButton="0" quotePrefix="0" xfId="0"/>
    <xf numFmtId="10" fontId="20" fillId="29" borderId="0" pivotButton="0" quotePrefix="0" xfId="0"/>
    <xf numFmtId="10" fontId="20" fillId="29" borderId="11" pivotButton="0" quotePrefix="0" xfId="0"/>
    <xf numFmtId="164" fontId="20" fillId="29" borderId="12" pivotButton="0" quotePrefix="0" xfId="0"/>
    <xf numFmtId="10" fontId="20" fillId="29" borderId="5" pivotButton="0" quotePrefix="0" xfId="0"/>
    <xf numFmtId="10" fontId="20" fillId="29" borderId="13" pivotButton="0" quotePrefix="0" xfId="0"/>
    <xf numFmtId="164" fontId="21" fillId="0" borderId="0" applyAlignment="1" pivotButton="0" quotePrefix="0" xfId="1">
      <alignment horizontal="center" wrapText="1"/>
    </xf>
    <xf numFmtId="164" fontId="21" fillId="10" borderId="0" applyAlignment="1" pivotButton="0" quotePrefix="0" xfId="1">
      <alignment horizontal="centerContinuous" wrapText="1"/>
    </xf>
    <xf numFmtId="164" fontId="0" fillId="10" borderId="0" pivotButton="0" quotePrefix="0" xfId="0"/>
    <xf numFmtId="164" fontId="2" fillId="0" borderId="0" pivotButton="0" quotePrefix="0" xfId="1"/>
    <xf numFmtId="0" fontId="14" fillId="0" borderId="0" applyAlignment="1" pivotButton="0" quotePrefix="0" xfId="1">
      <alignment horizontal="centerContinuous"/>
    </xf>
    <xf numFmtId="0" fontId="2" fillId="30" borderId="8" pivotButton="0" quotePrefix="0" xfId="0"/>
    <xf numFmtId="0" fontId="2" fillId="30" borderId="7" pivotButton="0" quotePrefix="0" xfId="0"/>
    <xf numFmtId="0" fontId="0" fillId="30" borderId="7" pivotButton="0" quotePrefix="0" xfId="0"/>
    <xf numFmtId="0" fontId="0" fillId="30" borderId="9" pivotButton="0" quotePrefix="0" xfId="0"/>
    <xf numFmtId="0" fontId="4" fillId="10" borderId="12" applyAlignment="1" pivotButton="0" quotePrefix="0" xfId="0">
      <alignment horizontal="center" vertical="center" wrapText="1"/>
    </xf>
    <xf numFmtId="164" fontId="4" fillId="26" borderId="12" applyAlignment="1" pivotButton="0" quotePrefix="0" xfId="1">
      <alignment horizontal="center" wrapText="1"/>
    </xf>
    <xf numFmtId="164" fontId="22" fillId="10" borderId="11" applyAlignment="1" pivotButton="0" quotePrefix="0" xfId="1">
      <alignment horizontal="centerContinuous" wrapText="1"/>
    </xf>
    <xf numFmtId="164" fontId="0" fillId="26" borderId="10" pivotButton="0" quotePrefix="0" xfId="1"/>
    <xf numFmtId="164" fontId="0" fillId="31" borderId="10" pivotButton="0" quotePrefix="0" xfId="1"/>
    <xf numFmtId="164" fontId="0" fillId="26" borderId="12" pivotButton="0" quotePrefix="0" xfId="1"/>
    <xf numFmtId="164" fontId="21" fillId="10" borderId="11" applyAlignment="1" pivotButton="0" quotePrefix="0" xfId="1">
      <alignment horizontal="centerContinuous" wrapText="1"/>
    </xf>
    <xf numFmtId="164" fontId="0" fillId="26" borderId="8" pivotButton="0" quotePrefix="0" xfId="1"/>
    <xf numFmtId="164" fontId="0" fillId="26" borderId="9" pivotButton="0" quotePrefix="0" xfId="1"/>
    <xf numFmtId="164" fontId="0" fillId="26" borderId="11" pivotButton="0" quotePrefix="0" xfId="1"/>
    <xf numFmtId="164" fontId="0" fillId="26" borderId="13" pivotButton="0" quotePrefix="0" xfId="1"/>
    <xf numFmtId="164" fontId="0" fillId="31" borderId="11" pivotButton="0" quotePrefix="0" xfId="1"/>
    <xf numFmtId="164" fontId="4" fillId="0" borderId="0" pivotButton="0" quotePrefix="0" xfId="1"/>
    <xf numFmtId="164" fontId="4" fillId="26" borderId="10" applyAlignment="1" pivotButton="0" quotePrefix="0" xfId="1">
      <alignment horizontal="center" wrapText="1"/>
    </xf>
    <xf numFmtId="0" fontId="0" fillId="0" borderId="5" applyAlignment="1" pivotButton="0" quotePrefix="0" xfId="0">
      <alignment horizontal="centerContinuous"/>
    </xf>
    <xf numFmtId="164" fontId="4" fillId="26" borderId="13" applyAlignment="1" pivotButton="0" quotePrefix="0" xfId="1">
      <alignment horizontal="center" wrapText="1"/>
    </xf>
    <xf numFmtId="0" fontId="2" fillId="30" borderId="9" pivotButton="0" quotePrefix="0" xfId="0"/>
    <xf numFmtId="164" fontId="4" fillId="26" borderId="11" applyAlignment="1" pivotButton="0" quotePrefix="0" xfId="1">
      <alignment horizontal="center" wrapText="1"/>
    </xf>
    <xf numFmtId="0" fontId="4" fillId="10" borderId="13" applyAlignment="1" pivotButton="0" quotePrefix="0" xfId="0">
      <alignment horizontal="center" vertical="center" wrapText="1"/>
    </xf>
    <xf numFmtId="0" fontId="2" fillId="0" borderId="7" pivotButton="0" quotePrefix="0" xfId="0"/>
    <xf numFmtId="0" fontId="2" fillId="0" borderId="0" pivotButton="0" quotePrefix="0" xfId="0"/>
    <xf numFmtId="0" fontId="4" fillId="0" borderId="0" applyAlignment="1" pivotButton="0" quotePrefix="0" xfId="0">
      <alignment horizontal="center" vertical="center" wrapText="1"/>
    </xf>
    <xf numFmtId="14" fontId="0" fillId="0" borderId="15" applyAlignment="1" pivotButton="0" quotePrefix="0" xfId="0">
      <alignment horizontal="center"/>
    </xf>
    <xf numFmtId="0" fontId="4" fillId="23" borderId="19" pivotButton="0" quotePrefix="0" xfId="0"/>
    <xf numFmtId="0" fontId="0" fillId="23" borderId="20" pivotButton="0" quotePrefix="0" xfId="0"/>
    <xf numFmtId="0" fontId="0" fillId="23" borderId="20" applyAlignment="1" pivotButton="0" quotePrefix="0" xfId="0">
      <alignment horizontal="center" wrapText="1"/>
    </xf>
    <xf numFmtId="0" fontId="4" fillId="23" borderId="14" pivotButton="0" quotePrefix="0" xfId="0"/>
    <xf numFmtId="0" fontId="0" fillId="23" borderId="0" pivotButton="0" quotePrefix="0" xfId="0"/>
    <xf numFmtId="164" fontId="0" fillId="23" borderId="0" pivotButton="0" quotePrefix="0" xfId="1"/>
    <xf numFmtId="0" fontId="2" fillId="23" borderId="14" pivotButton="0" quotePrefix="0" xfId="0"/>
    <xf numFmtId="0" fontId="0" fillId="23" borderId="14" pivotButton="0" quotePrefix="0" xfId="0"/>
    <xf numFmtId="0" fontId="0" fillId="23" borderId="16" pivotButton="0" quotePrefix="0" xfId="0"/>
    <xf numFmtId="3" fontId="0" fillId="23" borderId="17" pivotButton="0" quotePrefix="0" xfId="0"/>
    <xf numFmtId="164" fontId="0" fillId="23" borderId="17" pivotButton="0" quotePrefix="0" xfId="1"/>
    <xf numFmtId="0" fontId="0" fillId="23" borderId="19" pivotButton="0" quotePrefix="0" xfId="0"/>
    <xf numFmtId="10" fontId="0" fillId="23" borderId="20" pivotButton="0" quotePrefix="0" xfId="0"/>
    <xf numFmtId="43" fontId="0" fillId="29" borderId="0" pivotButton="0" quotePrefix="0" xfId="0"/>
    <xf numFmtId="43" fontId="2" fillId="18" borderId="0" pivotButton="0" quotePrefix="0" xfId="0"/>
    <xf numFmtId="43" fontId="0" fillId="27" borderId="0" pivotButton="0" quotePrefix="0" xfId="0"/>
    <xf numFmtId="0" fontId="4" fillId="32" borderId="5" pivotButton="0" quotePrefix="0" xfId="0"/>
    <xf numFmtId="0" fontId="0" fillId="32" borderId="0" applyAlignment="1" pivotButton="0" quotePrefix="0" xfId="0">
      <alignment horizontal="left"/>
    </xf>
    <xf numFmtId="0" fontId="0" fillId="32" borderId="5" applyAlignment="1" pivotButton="0" quotePrefix="0" xfId="0">
      <alignment horizontal="left"/>
    </xf>
    <xf numFmtId="14" fontId="14" fillId="31" borderId="5" applyAlignment="1" pivotButton="0" quotePrefix="0" xfId="0">
      <alignment horizontal="center" vertical="center"/>
    </xf>
    <xf numFmtId="164" fontId="14" fillId="31" borderId="0" applyAlignment="1" pivotButton="0" quotePrefix="0" xfId="1">
      <alignment horizontal="center" vertical="center"/>
    </xf>
    <xf numFmtId="10" fontId="0" fillId="0" borderId="0" applyAlignment="1" pivotButton="0" quotePrefix="0" xfId="2">
      <alignment horizontal="left" vertical="top"/>
    </xf>
    <xf numFmtId="10" fontId="0" fillId="0" borderId="0" applyAlignment="1" pivotButton="0" quotePrefix="0" xfId="2">
      <alignment horizontal="right" vertical="top"/>
    </xf>
    <xf numFmtId="14" fontId="14" fillId="0" borderId="0" applyAlignment="1" pivotButton="0" quotePrefix="0" xfId="0">
      <alignment horizontal="center" vertical="center"/>
    </xf>
    <xf numFmtId="0" fontId="0" fillId="17" borderId="5" pivotButton="0" quotePrefix="0" xfId="0"/>
    <xf numFmtId="0" fontId="0" fillId="12" borderId="5" pivotButton="0" quotePrefix="0" xfId="0"/>
    <xf numFmtId="0" fontId="0" fillId="33" borderId="5" pivotButton="0" quotePrefix="0" xfId="0"/>
    <xf numFmtId="0" fontId="2" fillId="34" borderId="5" applyAlignment="1" pivotButton="0" quotePrefix="0" xfId="0">
      <alignment vertical="center"/>
    </xf>
    <xf numFmtId="0" fontId="4" fillId="0" borderId="25" applyAlignment="1" pivotButton="0" quotePrefix="0" xfId="0">
      <alignment horizontal="center" vertical="top" wrapText="1"/>
    </xf>
    <xf numFmtId="0" fontId="4" fillId="12" borderId="25" applyAlignment="1" pivotButton="0" quotePrefix="0" xfId="0">
      <alignment horizontal="center" vertical="top" wrapText="1"/>
    </xf>
    <xf numFmtId="0" fontId="4" fillId="23" borderId="25" applyAlignment="1" pivotButton="0" quotePrefix="0" xfId="0">
      <alignment horizontal="center" wrapText="1"/>
    </xf>
    <xf numFmtId="0" fontId="4" fillId="33" borderId="25" applyAlignment="1" pivotButton="0" quotePrefix="0" xfId="0">
      <alignment horizontal="center" vertical="top" wrapText="1"/>
    </xf>
    <xf numFmtId="0" fontId="4" fillId="10" borderId="5" applyAlignment="1" pivotButton="0" quotePrefix="0" xfId="0">
      <alignment horizontal="center" wrapText="1"/>
    </xf>
    <xf numFmtId="14" fontId="4" fillId="10" borderId="5" applyAlignment="1" pivotButton="0" quotePrefix="0" xfId="0">
      <alignment horizontal="center" wrapText="1"/>
    </xf>
    <xf numFmtId="164" fontId="4" fillId="10" borderId="5" pivotButton="0" quotePrefix="0" xfId="1"/>
    <xf numFmtId="164" fontId="4" fillId="12" borderId="5" pivotButton="0" quotePrefix="0" xfId="1"/>
    <xf numFmtId="164" fontId="4" fillId="23" borderId="5" pivotButton="0" quotePrefix="0" xfId="1"/>
    <xf numFmtId="164" fontId="4" fillId="33" borderId="5" pivotButton="0" quotePrefix="0" xfId="1"/>
    <xf numFmtId="164" fontId="3" fillId="10" borderId="0" pivotButton="0" quotePrefix="0" xfId="1"/>
    <xf numFmtId="164" fontId="3" fillId="10" borderId="0" pivotButton="0" quotePrefix="0" xfId="0"/>
    <xf numFmtId="10" fontId="3" fillId="10" borderId="0" pivotButton="0" quotePrefix="0" xfId="2"/>
    <xf numFmtId="10" fontId="3" fillId="33" borderId="0" pivotButton="0" quotePrefix="0" xfId="2"/>
    <xf numFmtId="164" fontId="0" fillId="12" borderId="0" pivotButton="0" quotePrefix="0" xfId="0"/>
    <xf numFmtId="10" fontId="0" fillId="33" borderId="0" pivotButton="0" quotePrefix="0" xfId="2"/>
    <xf numFmtId="0" fontId="0" fillId="12" borderId="0" pivotButton="0" quotePrefix="0" xfId="0"/>
    <xf numFmtId="0" fontId="0" fillId="33" borderId="0" pivotButton="0" quotePrefix="0" xfId="0"/>
    <xf numFmtId="0" fontId="23" fillId="0" borderId="0" pivotButton="0" quotePrefix="0" xfId="0"/>
    <xf numFmtId="0" fontId="24" fillId="0" borderId="0" pivotButton="0" quotePrefix="0" xfId="0"/>
    <xf numFmtId="0" fontId="4" fillId="35" borderId="0" pivotButton="0" quotePrefix="0" xfId="0"/>
    <xf numFmtId="0" fontId="0" fillId="35" borderId="0" pivotButton="0" quotePrefix="0" xfId="0"/>
    <xf numFmtId="0" fontId="25" fillId="28" borderId="0" applyAlignment="1" pivotButton="0" quotePrefix="0" xfId="0">
      <alignment vertical="center"/>
    </xf>
    <xf numFmtId="0" fontId="26" fillId="28" borderId="0" applyAlignment="1" pivotButton="0" quotePrefix="0" xfId="0">
      <alignment vertical="center" wrapText="1"/>
    </xf>
    <xf numFmtId="0" fontId="26" fillId="36" borderId="0" applyAlignment="1" pivotButton="0" quotePrefix="0" xfId="0">
      <alignment vertical="center" wrapText="1"/>
    </xf>
    <xf numFmtId="0" fontId="25" fillId="36" borderId="0" applyAlignment="1" pivotButton="0" quotePrefix="0" xfId="0">
      <alignment vertical="center" wrapText="1"/>
    </xf>
    <xf numFmtId="14" fontId="20" fillId="29" borderId="8" pivotButton="0" quotePrefix="0" xfId="0"/>
    <xf numFmtId="14" fontId="20" fillId="29" borderId="7" pivotButton="0" quotePrefix="0" xfId="0"/>
    <xf numFmtId="14" fontId="20" fillId="29" borderId="9" pivotButton="0" quotePrefix="0" xfId="0"/>
    <xf numFmtId="0" fontId="27" fillId="37" borderId="0" applyAlignment="1" pivotButton="0" quotePrefix="0" xfId="0">
      <alignment horizontal="left" vertical="center"/>
    </xf>
    <xf numFmtId="175" fontId="27" fillId="37" borderId="0" applyAlignment="1" pivotButton="0" quotePrefix="0" xfId="0">
      <alignment horizontal="left" vertical="center"/>
    </xf>
    <xf numFmtId="176" fontId="27" fillId="37" borderId="0" applyAlignment="1" pivotButton="0" quotePrefix="0" xfId="0">
      <alignment horizontal="right" vertical="center"/>
    </xf>
    <xf numFmtId="164" fontId="20" fillId="29" borderId="10" pivotButton="0" quotePrefix="0" xfId="1"/>
    <xf numFmtId="164" fontId="20" fillId="29" borderId="0" pivotButton="0" quotePrefix="0" xfId="1"/>
    <xf numFmtId="164" fontId="20" fillId="29" borderId="11" pivotButton="0" quotePrefix="0" xfId="1"/>
    <xf numFmtId="0" fontId="8" fillId="0" borderId="0" pivotButton="0" quotePrefix="0" xfId="0"/>
    <xf numFmtId="0" fontId="27" fillId="4" borderId="0" applyAlignment="1" pivotButton="0" quotePrefix="0" xfId="0">
      <alignment horizontal="left" vertical="center"/>
    </xf>
    <xf numFmtId="175" fontId="27" fillId="4" borderId="0" applyAlignment="1" pivotButton="0" quotePrefix="0" xfId="0">
      <alignment horizontal="left" vertical="center"/>
    </xf>
    <xf numFmtId="176" fontId="27" fillId="4" borderId="0" applyAlignment="1" pivotButton="0" quotePrefix="0" xfId="0">
      <alignment horizontal="right" vertical="center"/>
    </xf>
    <xf numFmtId="164" fontId="20" fillId="29" borderId="5" pivotButton="0" quotePrefix="0" xfId="0"/>
    <xf numFmtId="164" fontId="20" fillId="29" borderId="13" pivotButton="0" quotePrefix="0" xfId="0"/>
    <xf numFmtId="0" fontId="22" fillId="0" borderId="0" applyAlignment="1" pivotButton="0" quotePrefix="0" xfId="0">
      <alignment horizontal="center"/>
    </xf>
    <xf numFmtId="164" fontId="20" fillId="29" borderId="8" pivotButton="0" quotePrefix="0" xfId="1"/>
    <xf numFmtId="164" fontId="20" fillId="29" borderId="7" pivotButton="0" quotePrefix="0" xfId="1"/>
    <xf numFmtId="164" fontId="20" fillId="29" borderId="9" pivotButton="0" quotePrefix="0" xfId="1"/>
    <xf numFmtId="164" fontId="20" fillId="29" borderId="12" pivotButton="0" quotePrefix="0" xfId="1"/>
    <xf numFmtId="164" fontId="20" fillId="29" borderId="5" pivotButton="0" quotePrefix="0" xfId="1"/>
    <xf numFmtId="164" fontId="20" fillId="29" borderId="13" pivotButton="0" quotePrefix="0" xfId="1"/>
    <xf numFmtId="0" fontId="0" fillId="0" borderId="0" applyAlignment="1" pivotButton="0" quotePrefix="0" xfId="0">
      <alignment vertical="center"/>
    </xf>
    <xf numFmtId="14" fontId="0" fillId="0" borderId="0" applyAlignment="1" pivotButton="0" quotePrefix="0" xfId="0">
      <alignment vertical="center"/>
    </xf>
    <xf numFmtId="0" fontId="27" fillId="0" borderId="0" applyAlignment="1" pivotButton="0" quotePrefix="0" xfId="0">
      <alignment horizontal="left" vertical="center"/>
    </xf>
    <xf numFmtId="177" fontId="0" fillId="0" borderId="0" applyAlignment="1" pivotButton="0" quotePrefix="0" xfId="0">
      <alignment vertical="center"/>
    </xf>
    <xf numFmtId="0" fontId="26" fillId="36" borderId="27" applyAlignment="1" pivotButton="0" quotePrefix="0" xfId="0">
      <alignment vertical="center" wrapText="1"/>
    </xf>
    <xf numFmtId="0" fontId="0" fillId="0" borderId="27" applyAlignment="1" pivotButton="0" quotePrefix="0" xfId="0">
      <alignment vertical="center"/>
    </xf>
    <xf numFmtId="14" fontId="0" fillId="0" borderId="27" applyAlignment="1" pivotButton="0" quotePrefix="0" xfId="0">
      <alignment vertical="center"/>
    </xf>
    <xf numFmtId="177" fontId="0" fillId="0" borderId="27" applyAlignment="1" pivotButton="0" quotePrefix="0" xfId="0">
      <alignment vertical="center"/>
    </xf>
    <xf numFmtId="178" fontId="0" fillId="0" borderId="27" applyAlignment="1" pivotButton="0" quotePrefix="0" xfId="0">
      <alignment vertical="center"/>
    </xf>
    <xf numFmtId="167" fontId="0" fillId="0" borderId="27" applyAlignment="1" pivotButton="0" quotePrefix="0" xfId="0">
      <alignment vertical="center"/>
    </xf>
    <xf numFmtId="0" fontId="26" fillId="36" borderId="27" applyAlignment="1" pivotButton="0" quotePrefix="0" xfId="0">
      <alignment horizontal="center" vertical="center" wrapText="1"/>
    </xf>
    <xf numFmtId="3" fontId="0" fillId="0" borderId="27" applyAlignment="1" pivotButton="0" quotePrefix="0" xfId="0">
      <alignment vertical="center"/>
    </xf>
    <xf numFmtId="4" fontId="0" fillId="0" borderId="27" applyAlignment="1" pivotButton="0" quotePrefix="0" xfId="0">
      <alignment vertical="center"/>
    </xf>
    <xf numFmtId="10" fontId="0" fillId="0" borderId="27" applyAlignment="1" pivotButton="0" quotePrefix="0" xfId="0">
      <alignment vertical="center"/>
    </xf>
    <xf numFmtId="0" fontId="4" fillId="10" borderId="0" pivotButton="0" quotePrefix="0" xfId="0"/>
    <xf numFmtId="0" fontId="0" fillId="10" borderId="0" pivotButton="0" quotePrefix="0" xfId="0"/>
    <xf numFmtId="0" fontId="4" fillId="0" borderId="0" applyAlignment="1" pivotButton="0" quotePrefix="0" xfId="0">
      <alignment horizontal="center" vertical="center"/>
    </xf>
    <xf numFmtId="164" fontId="0" fillId="27" borderId="0" pivotButton="0" quotePrefix="0" xfId="1"/>
    <xf numFmtId="10" fontId="0" fillId="0" borderId="0" pivotButton="0" quotePrefix="0" xfId="2"/>
    <xf numFmtId="0" fontId="4" fillId="32" borderId="0" pivotButton="0" quotePrefix="0" xfId="0"/>
    <xf numFmtId="164" fontId="14" fillId="0" borderId="0" applyAlignment="1" pivotButton="0" quotePrefix="0" xfId="1">
      <alignment horizontal="center" vertical="center"/>
    </xf>
    <xf numFmtId="10" fontId="0" fillId="0" borderId="0" applyAlignment="1" pivotButton="0" quotePrefix="0" xfId="2">
      <alignment horizontal="left" vertical="top"/>
    </xf>
    <xf numFmtId="10" fontId="0" fillId="0" borderId="0" applyAlignment="1" pivotButton="0" quotePrefix="0" xfId="2">
      <alignment horizontal="right" vertical="top"/>
    </xf>
    <xf numFmtId="43" fontId="0" fillId="31" borderId="0" pivotButton="0" quotePrefix="0" xfId="1"/>
    <xf numFmtId="10" fontId="0" fillId="11" borderId="0" pivotButton="0" quotePrefix="0" xfId="1"/>
    <xf numFmtId="0" fontId="0" fillId="11" borderId="0" applyAlignment="1" pivotButton="0" quotePrefix="0" xfId="0">
      <alignment horizontal="left"/>
    </xf>
    <xf numFmtId="3" fontId="0" fillId="11" borderId="27" applyAlignment="1" pivotButton="0" quotePrefix="0" xfId="0">
      <alignment vertical="center"/>
    </xf>
    <xf numFmtId="4" fontId="0" fillId="11" borderId="27" applyAlignment="1" pivotButton="0" quotePrefix="0" xfId="0">
      <alignment vertical="center"/>
    </xf>
    <xf numFmtId="0" fontId="0" fillId="11" borderId="27" applyAlignment="1" pivotButton="0" quotePrefix="0" xfId="0">
      <alignment vertical="center"/>
    </xf>
    <xf numFmtId="10" fontId="0" fillId="11" borderId="27" applyAlignment="1" pivotButton="0" quotePrefix="0" xfId="0">
      <alignment vertical="center"/>
    </xf>
    <xf numFmtId="179" fontId="0" fillId="0" borderId="27" applyAlignment="1" pivotButton="0" quotePrefix="0" xfId="0">
      <alignment vertical="center"/>
    </xf>
    <xf numFmtId="179" fontId="0" fillId="0" borderId="0" pivotButton="0" quotePrefix="0" xfId="0"/>
    <xf numFmtId="0" fontId="3" fillId="0" borderId="0" pivotButton="0" quotePrefix="0" xfId="0"/>
    <xf numFmtId="0" fontId="0" fillId="0" borderId="28" pivotButton="0" quotePrefix="0" xfId="0"/>
    <xf numFmtId="9" fontId="0" fillId="0" borderId="29" pivotButton="0" quotePrefix="0" xfId="2"/>
    <xf numFmtId="14" fontId="0" fillId="31" borderId="0" pivotButton="0" quotePrefix="0" xfId="0"/>
    <xf numFmtId="0" fontId="3" fillId="31" borderId="0" pivotButton="0" quotePrefix="0" xfId="0"/>
    <xf numFmtId="0" fontId="0" fillId="31" borderId="0" pivotButton="0" quotePrefix="0" xfId="0"/>
    <xf numFmtId="179" fontId="0" fillId="31" borderId="0" applyAlignment="1" pivotButton="0" quotePrefix="0" xfId="0">
      <alignment vertical="center"/>
    </xf>
    <xf numFmtId="164" fontId="0" fillId="23" borderId="0" pivotButton="0" quotePrefix="0" xfId="0"/>
    <xf numFmtId="164" fontId="0" fillId="38" borderId="11" pivotButton="0" quotePrefix="0" xfId="1"/>
    <xf numFmtId="164" fontId="20" fillId="38" borderId="10" pivotButton="0" quotePrefix="0" xfId="0"/>
    <xf numFmtId="10" fontId="20" fillId="11" borderId="11" pivotButton="0" quotePrefix="0" xfId="0"/>
    <xf numFmtId="164" fontId="4" fillId="26" borderId="0" applyAlignment="1" pivotButton="0" quotePrefix="0" xfId="1">
      <alignment horizontal="center" wrapText="1"/>
    </xf>
    <xf numFmtId="164" fontId="20" fillId="29" borderId="8" pivotButton="0" quotePrefix="0" xfId="0"/>
    <xf numFmtId="10" fontId="20" fillId="29" borderId="9" pivotButton="0" quotePrefix="0" xfId="0"/>
    <xf numFmtId="10" fontId="0" fillId="0" borderId="0" pivotButton="0" quotePrefix="0" xfId="1"/>
    <xf numFmtId="10" fontId="0" fillId="11" borderId="5" pivotButton="0" quotePrefix="0" xfId="1"/>
    <xf numFmtId="0" fontId="14" fillId="0" borderId="0" applyAlignment="1" pivotButton="0" quotePrefix="0" xfId="0">
      <alignment horizontal="centerContinuous"/>
    </xf>
    <xf numFmtId="43" fontId="22" fillId="0" borderId="0" applyAlignment="1" pivotButton="0" quotePrefix="0" xfId="0">
      <alignment horizontal="center"/>
    </xf>
    <xf numFmtId="0" fontId="2" fillId="39" borderId="32" pivotButton="0" quotePrefix="0" xfId="0"/>
    <xf numFmtId="0" fontId="2" fillId="39" borderId="33" pivotButton="0" quotePrefix="0" xfId="0"/>
    <xf numFmtId="0" fontId="2" fillId="39" borderId="33" applyAlignment="1" pivotButton="0" quotePrefix="0" xfId="0">
      <alignment wrapText="1"/>
    </xf>
    <xf numFmtId="43" fontId="2" fillId="39" borderId="33" applyAlignment="1" pivotButton="0" quotePrefix="0" xfId="1">
      <alignment wrapText="1"/>
    </xf>
    <xf numFmtId="0" fontId="2" fillId="7" borderId="33" pivotButton="0" quotePrefix="0" xfId="0"/>
    <xf numFmtId="0" fontId="2" fillId="39" borderId="33" applyAlignment="1" pivotButton="0" quotePrefix="0" xfId="0">
      <alignment horizontal="center" wrapText="1"/>
    </xf>
    <xf numFmtId="0" fontId="14" fillId="41" borderId="33" applyAlignment="1" pivotButton="0" quotePrefix="0" xfId="0">
      <alignment horizontal="center" vertical="center" wrapText="1"/>
    </xf>
    <xf numFmtId="0" fontId="0" fillId="0" borderId="0" applyAlignment="1" pivotButton="0" quotePrefix="0" xfId="0">
      <alignment horizontal="center" vertical="center" wrapText="1"/>
    </xf>
    <xf numFmtId="0" fontId="0" fillId="40" borderId="32" pivotButton="0" quotePrefix="0" xfId="0"/>
    <xf numFmtId="0" fontId="0" fillId="40" borderId="33" pivotButton="0" quotePrefix="0" xfId="0"/>
    <xf numFmtId="43" fontId="0" fillId="40" borderId="33" pivotButton="0" quotePrefix="0" xfId="1"/>
    <xf numFmtId="170" fontId="0" fillId="40" borderId="33" pivotButton="0" quotePrefix="0" xfId="2"/>
    <xf numFmtId="169" fontId="0" fillId="40" borderId="33" pivotButton="0" quotePrefix="0" xfId="2"/>
    <xf numFmtId="180" fontId="0" fillId="40" borderId="33" pivotButton="0" quotePrefix="0" xfId="2"/>
    <xf numFmtId="43" fontId="0" fillId="40" borderId="33" pivotButton="0" quotePrefix="0" xfId="0"/>
    <xf numFmtId="4" fontId="0" fillId="40" borderId="33" pivotButton="0" quotePrefix="0" xfId="0"/>
    <xf numFmtId="4" fontId="0" fillId="42" borderId="33" pivotButton="0" quotePrefix="0" xfId="0"/>
    <xf numFmtId="3" fontId="0" fillId="42" borderId="33" pivotButton="0" quotePrefix="0" xfId="0"/>
    <xf numFmtId="10" fontId="0" fillId="42" borderId="33" pivotButton="0" quotePrefix="0" xfId="0"/>
    <xf numFmtId="0" fontId="0" fillId="0" borderId="32" pivotButton="0" quotePrefix="0" xfId="0"/>
    <xf numFmtId="0" fontId="0" fillId="0" borderId="33" pivotButton="0" quotePrefix="0" xfId="0"/>
    <xf numFmtId="43" fontId="0" fillId="0" borderId="33" pivotButton="0" quotePrefix="0" xfId="1"/>
    <xf numFmtId="170" fontId="0" fillId="0" borderId="33" pivotButton="0" quotePrefix="0" xfId="2"/>
    <xf numFmtId="169" fontId="0" fillId="0" borderId="33" pivotButton="0" quotePrefix="0" xfId="2"/>
    <xf numFmtId="10" fontId="0" fillId="0" borderId="33" pivotButton="0" quotePrefix="0" xfId="2"/>
    <xf numFmtId="43" fontId="0" fillId="0" borderId="33" pivotButton="0" quotePrefix="0" xfId="0"/>
    <xf numFmtId="4" fontId="0" fillId="0" borderId="33" pivotButton="0" quotePrefix="0" xfId="0"/>
    <xf numFmtId="4" fontId="0" fillId="12" borderId="33" pivotButton="0" quotePrefix="0" xfId="0"/>
    <xf numFmtId="10" fontId="0" fillId="40" borderId="33" pivotButton="0" quotePrefix="0" xfId="2"/>
    <xf numFmtId="164" fontId="0" fillId="42" borderId="33" pivotButton="0" quotePrefix="0" xfId="1"/>
    <xf numFmtId="0" fontId="28" fillId="0" borderId="0" pivotButton="0" quotePrefix="0" xfId="0"/>
    <xf numFmtId="3" fontId="0" fillId="12" borderId="33" pivotButton="0" quotePrefix="0" xfId="0"/>
    <xf numFmtId="164" fontId="0" fillId="12" borderId="33" pivotButton="0" quotePrefix="0" xfId="1"/>
    <xf numFmtId="43" fontId="28" fillId="0" borderId="0" pivotButton="0" quotePrefix="0" xfId="2"/>
    <xf numFmtId="0" fontId="0" fillId="0" borderId="30" pivotButton="0" quotePrefix="0" xfId="0"/>
    <xf numFmtId="0" fontId="0" fillId="0" borderId="31" pivotButton="0" quotePrefix="0" xfId="0"/>
    <xf numFmtId="43" fontId="0" fillId="0" borderId="31" pivotButton="0" quotePrefix="0" xfId="1"/>
    <xf numFmtId="170" fontId="0" fillId="0" borderId="31" pivotButton="0" quotePrefix="0" xfId="2"/>
    <xf numFmtId="43" fontId="0" fillId="0" borderId="31" pivotButton="0" quotePrefix="0" xfId="2"/>
    <xf numFmtId="169" fontId="0" fillId="0" borderId="31" pivotButton="0" quotePrefix="0" xfId="2"/>
    <xf numFmtId="10" fontId="0" fillId="0" borderId="31" pivotButton="0" quotePrefix="0" xfId="2"/>
    <xf numFmtId="43" fontId="0" fillId="0" borderId="31" pivotButton="0" quotePrefix="0" xfId="0"/>
    <xf numFmtId="4" fontId="0" fillId="0" borderId="31" pivotButton="0" quotePrefix="0" xfId="0"/>
    <xf numFmtId="164" fontId="0" fillId="12" borderId="31" pivotButton="0" quotePrefix="0" xfId="1"/>
    <xf numFmtId="0" fontId="22" fillId="0" borderId="0" pivotButton="0" quotePrefix="0" xfId="0"/>
    <xf numFmtId="0" fontId="0" fillId="26" borderId="0" applyAlignment="1" pivotButton="0" quotePrefix="0" xfId="0">
      <alignment horizontal="left"/>
    </xf>
    <xf numFmtId="43" fontId="0" fillId="31" borderId="10" pivotButton="0" quotePrefix="0" xfId="1"/>
    <xf numFmtId="181" fontId="4" fillId="0" borderId="0" pivotButton="0" quotePrefix="0" xfId="0"/>
    <xf numFmtId="164" fontId="4" fillId="0" borderId="0" applyAlignment="1" pivotButton="0" quotePrefix="0" xfId="0">
      <alignment horizontal="right"/>
    </xf>
    <xf numFmtId="164" fontId="4" fillId="11" borderId="0" pivotButton="0" quotePrefix="0" xfId="0"/>
    <xf numFmtId="4" fontId="0" fillId="12" borderId="0" pivotButton="0" quotePrefix="0" xfId="0"/>
    <xf numFmtId="3" fontId="0" fillId="12" borderId="0" pivotButton="0" quotePrefix="0" xfId="0"/>
    <xf numFmtId="10" fontId="0" fillId="12" borderId="0" pivotButton="0" quotePrefix="0" xfId="0"/>
    <xf numFmtId="10" fontId="0" fillId="12" borderId="0" pivotButton="0" quotePrefix="0" xfId="2"/>
    <xf numFmtId="164" fontId="0" fillId="12" borderId="0" pivotButton="0" quotePrefix="0" xfId="1"/>
    <xf numFmtId="182" fontId="0" fillId="0" borderId="0" pivotButton="0" quotePrefix="0" xfId="0"/>
    <xf numFmtId="177" fontId="0" fillId="0" borderId="0" pivotButton="0" quotePrefix="0" xfId="0"/>
    <xf numFmtId="14" fontId="20" fillId="29" borderId="0" pivotButton="0" quotePrefix="0" xfId="0"/>
    <xf numFmtId="164" fontId="20" fillId="29" borderId="0" pivotButton="0" quotePrefix="0" xfId="0"/>
    <xf numFmtId="10" fontId="0" fillId="0" borderId="5" pivotButton="0" quotePrefix="0" xfId="1"/>
    <xf numFmtId="10" fontId="0" fillId="26" borderId="0" pivotButton="0" quotePrefix="0" xfId="1"/>
    <xf numFmtId="164" fontId="0" fillId="26" borderId="0" pivotButton="0" quotePrefix="0" xfId="0"/>
    <xf numFmtId="0" fontId="4" fillId="26" borderId="0" applyAlignment="1" pivotButton="0" quotePrefix="0" xfId="0">
      <alignment horizontal="right"/>
    </xf>
    <xf numFmtId="164" fontId="0" fillId="0" borderId="34" pivotButton="0" quotePrefix="0" xfId="0"/>
    <xf numFmtId="164" fontId="3" fillId="0" borderId="0" pivotButton="0" quotePrefix="0" xfId="0"/>
    <xf numFmtId="164" fontId="0" fillId="0" borderId="0" pivotButton="0" quotePrefix="0" xfId="2"/>
    <xf numFmtId="0" fontId="29" fillId="0" borderId="0" applyAlignment="1" pivotButton="0" quotePrefix="0" xfId="0">
      <alignment horizontal="center"/>
    </xf>
    <xf numFmtId="41" fontId="0" fillId="0" borderId="0" pivotButton="0" quotePrefix="0" xfId="0"/>
    <xf numFmtId="0" fontId="4" fillId="43" borderId="0" pivotButton="0" quotePrefix="0" xfId="0"/>
    <xf numFmtId="0" fontId="4" fillId="43" borderId="0" applyAlignment="1" pivotButton="0" quotePrefix="0" xfId="0">
      <alignment wrapText="1"/>
    </xf>
    <xf numFmtId="43" fontId="4" fillId="43" borderId="0" applyAlignment="1" pivotButton="0" quotePrefix="0" xfId="1">
      <alignment wrapText="1"/>
    </xf>
    <xf numFmtId="0" fontId="4" fillId="43" borderId="0" applyAlignment="1" pivotButton="0" quotePrefix="0" xfId="0">
      <alignment horizontal="center" wrapText="1"/>
    </xf>
    <xf numFmtId="0" fontId="14" fillId="44" borderId="32" pivotButton="0" quotePrefix="0" xfId="0"/>
    <xf numFmtId="0" fontId="14" fillId="44" borderId="33" pivotButton="0" quotePrefix="0" xfId="0"/>
    <xf numFmtId="0" fontId="14" fillId="44" borderId="33" applyAlignment="1" pivotButton="0" quotePrefix="0" xfId="0">
      <alignment wrapText="1"/>
    </xf>
    <xf numFmtId="43" fontId="14" fillId="44" borderId="33" applyAlignment="1" pivotButton="0" quotePrefix="0" xfId="1">
      <alignment wrapText="1"/>
    </xf>
    <xf numFmtId="0" fontId="14" fillId="44" borderId="33" applyAlignment="1" pivotButton="0" quotePrefix="0" xfId="0">
      <alignment horizontal="center" wrapText="1"/>
    </xf>
    <xf numFmtId="0" fontId="28" fillId="0" borderId="0" pivotButton="0" quotePrefix="0" xfId="2"/>
    <xf numFmtId="164" fontId="18" fillId="0" borderId="0" pivotButton="0" quotePrefix="0" xfId="0"/>
    <xf numFmtId="41" fontId="3" fillId="0" borderId="7" pivotButton="0" quotePrefix="0" xfId="0"/>
    <xf numFmtId="0" fontId="3" fillId="0" borderId="0" applyAlignment="1" pivotButton="0" quotePrefix="0" xfId="0">
      <alignment horizontal="center"/>
    </xf>
    <xf numFmtId="41" fontId="3" fillId="38" borderId="7" pivotButton="0" quotePrefix="0" xfId="0"/>
    <xf numFmtId="41" fontId="3" fillId="38" borderId="0" pivotButton="0" quotePrefix="0" xfId="0"/>
    <xf numFmtId="14" fontId="0" fillId="0" borderId="0" applyAlignment="1" pivotButton="0" quotePrefix="0" xfId="0">
      <alignment horizontal="right"/>
    </xf>
    <xf numFmtId="164" fontId="20" fillId="29" borderId="7" pivotButton="0" quotePrefix="0" xfId="0"/>
    <xf numFmtId="164" fontId="20" fillId="38" borderId="0" pivotButton="0" quotePrefix="0" xfId="0"/>
    <xf numFmtId="164" fontId="21" fillId="10" borderId="10" applyAlignment="1" pivotButton="0" quotePrefix="0" xfId="1">
      <alignment horizontal="centerContinuous" wrapText="1"/>
    </xf>
    <xf numFmtId="164" fontId="0" fillId="0" borderId="21" pivotButton="0" quotePrefix="0" xfId="1"/>
    <xf numFmtId="164" fontId="0" fillId="0" borderId="15" pivotButton="0" quotePrefix="0" xfId="1"/>
    <xf numFmtId="10" fontId="0" fillId="0" borderId="15" pivotButton="0" quotePrefix="0" xfId="0"/>
    <xf numFmtId="43" fontId="0" fillId="0" borderId="0" pivotButton="0" quotePrefix="0" xfId="1"/>
    <xf numFmtId="0" fontId="4" fillId="10" borderId="10" applyAlignment="1" pivotButton="0" quotePrefix="0" xfId="0">
      <alignment horizontal="center" vertical="center" wrapText="1"/>
    </xf>
    <xf numFmtId="0" fontId="4" fillId="10" borderId="0" applyAlignment="1" pivotButton="0" quotePrefix="0" xfId="0">
      <alignment horizontal="center" vertical="center" wrapText="1"/>
    </xf>
    <xf numFmtId="164" fontId="4" fillId="26" borderId="8" applyAlignment="1" pivotButton="0" quotePrefix="0" xfId="1">
      <alignment horizontal="center" wrapText="1"/>
    </xf>
    <xf numFmtId="164" fontId="4" fillId="26" borderId="9" applyAlignment="1" pivotButton="0" quotePrefix="0" xfId="1">
      <alignment horizontal="center" wrapText="1"/>
    </xf>
    <xf numFmtId="0" fontId="8" fillId="19" borderId="0" applyAlignment="1" pivotButton="0" quotePrefix="0" xfId="0">
      <alignment horizontal="center"/>
    </xf>
    <xf numFmtId="164" fontId="0" fillId="0" borderId="0" pivotButton="0" quotePrefix="0" xfId="1"/>
    <xf numFmtId="0" fontId="30" fillId="0" borderId="0" pivotButton="0" quotePrefix="0" xfId="0"/>
    <xf numFmtId="0" fontId="31" fillId="0" borderId="0" pivotButton="0" quotePrefix="0" xfId="0"/>
    <xf numFmtId="0" fontId="25" fillId="45" borderId="0" applyAlignment="1" pivotButton="0" quotePrefix="0" xfId="0">
      <alignment horizontal="left"/>
    </xf>
    <xf numFmtId="0" fontId="32" fillId="45" borderId="0" pivotButton="0" quotePrefix="0" xfId="0"/>
    <xf numFmtId="0" fontId="32" fillId="0" borderId="0" pivotButton="0" quotePrefix="0" xfId="0"/>
    <xf numFmtId="0" fontId="25" fillId="46" borderId="0" applyAlignment="1" pivotButton="0" quotePrefix="0" xfId="0">
      <alignment horizontal="left"/>
    </xf>
    <xf numFmtId="0" fontId="25" fillId="46" borderId="0" applyAlignment="1" pivotButton="0" quotePrefix="0" xfId="0">
      <alignment horizontal="centerContinuous"/>
    </xf>
    <xf numFmtId="0" fontId="25" fillId="0" borderId="0" applyAlignment="1" pivotButton="0" quotePrefix="0" xfId="0">
      <alignment horizontal="centerContinuous"/>
    </xf>
    <xf numFmtId="0" fontId="25" fillId="47" borderId="0" pivotButton="0" quotePrefix="0" xfId="0"/>
    <xf numFmtId="0" fontId="25" fillId="48" borderId="8" pivotButton="0" quotePrefix="0" xfId="0"/>
    <xf numFmtId="0" fontId="25" fillId="48" borderId="7" pivotButton="0" quotePrefix="0" xfId="0"/>
    <xf numFmtId="0" fontId="32" fillId="48" borderId="7" pivotButton="0" quotePrefix="0" xfId="0"/>
    <xf numFmtId="0" fontId="32" fillId="48" borderId="9" pivotButton="0" quotePrefix="0" xfId="0"/>
    <xf numFmtId="0" fontId="25" fillId="0" borderId="7" pivotButton="0" quotePrefix="0" xfId="0"/>
    <xf numFmtId="0" fontId="25" fillId="48" borderId="9" pivotButton="0" quotePrefix="0" xfId="0"/>
    <xf numFmtId="0" fontId="25" fillId="0" borderId="0" pivotButton="0" quotePrefix="0" xfId="0"/>
    <xf numFmtId="0" fontId="33" fillId="45" borderId="5" applyAlignment="1" pivotButton="0" quotePrefix="0" xfId="0">
      <alignment horizontal="center"/>
    </xf>
    <xf numFmtId="0" fontId="34" fillId="49" borderId="5" applyAlignment="1" pivotButton="0" quotePrefix="0" xfId="0">
      <alignment horizontal="center" vertical="center" wrapText="1"/>
    </xf>
    <xf numFmtId="0" fontId="34" fillId="0" borderId="5" applyAlignment="1" pivotButton="0" quotePrefix="0" xfId="0">
      <alignment horizontal="center" vertical="center" wrapText="1"/>
    </xf>
    <xf numFmtId="0" fontId="34" fillId="49" borderId="12" applyAlignment="1" pivotButton="0" quotePrefix="0" xfId="0">
      <alignment horizontal="center" vertical="center" wrapText="1"/>
    </xf>
    <xf numFmtId="0" fontId="34" fillId="49" borderId="24" applyAlignment="1" pivotButton="0" quotePrefix="0" xfId="0">
      <alignment horizontal="center" vertical="center" wrapText="1"/>
    </xf>
    <xf numFmtId="0" fontId="34" fillId="49" borderId="25" applyAlignment="1" pivotButton="0" quotePrefix="0" xfId="0">
      <alignment horizontal="center" vertical="center" wrapText="1"/>
    </xf>
    <xf numFmtId="0" fontId="34" fillId="49" borderId="26" applyAlignment="1" pivotButton="0" quotePrefix="0" xfId="0">
      <alignment horizontal="center" vertical="center" wrapText="1"/>
    </xf>
    <xf numFmtId="0" fontId="34" fillId="49" borderId="13" applyAlignment="1" pivotButton="0" quotePrefix="0" xfId="0">
      <alignment horizontal="center" vertical="center" wrapText="1"/>
    </xf>
    <xf numFmtId="0" fontId="34" fillId="0" borderId="0" applyAlignment="1" pivotButton="0" quotePrefix="0" xfId="0">
      <alignment horizontal="center" vertical="center" wrapText="1"/>
    </xf>
    <xf numFmtId="0" fontId="34" fillId="50" borderId="5" pivotButton="0" quotePrefix="0" xfId="0"/>
    <xf numFmtId="0" fontId="34" fillId="51" borderId="5" applyAlignment="1" pivotButton="0" quotePrefix="0" xfId="0">
      <alignment horizontal="center" wrapText="1"/>
    </xf>
    <xf numFmtId="0" fontId="34" fillId="0" borderId="5" applyAlignment="1" pivotButton="0" quotePrefix="0" xfId="0">
      <alignment horizontal="center" wrapText="1"/>
    </xf>
    <xf numFmtId="164" fontId="34" fillId="51" borderId="5" applyAlignment="1" pivotButton="0" quotePrefix="0" xfId="1">
      <alignment horizontal="center" wrapText="1"/>
    </xf>
    <xf numFmtId="164" fontId="34" fillId="0" borderId="5" applyAlignment="1" pivotButton="0" quotePrefix="0" xfId="1">
      <alignment horizontal="center" wrapText="1"/>
    </xf>
    <xf numFmtId="164" fontId="34" fillId="52" borderId="5" applyAlignment="1" pivotButton="0" quotePrefix="0" xfId="1">
      <alignment horizontal="center" wrapText="1"/>
    </xf>
    <xf numFmtId="164" fontId="34" fillId="53" borderId="5" applyAlignment="1" pivotButton="0" quotePrefix="0" xfId="1">
      <alignment horizontal="center" wrapText="1"/>
    </xf>
    <xf numFmtId="164" fontId="34" fillId="54" borderId="5" applyAlignment="1" pivotButton="0" quotePrefix="0" xfId="1">
      <alignment horizontal="center" wrapText="1"/>
    </xf>
    <xf numFmtId="164" fontId="35" fillId="49" borderId="0" applyAlignment="1" pivotButton="0" quotePrefix="0" xfId="1">
      <alignment horizontal="center" wrapText="1"/>
    </xf>
    <xf numFmtId="164" fontId="34" fillId="52" borderId="12" applyAlignment="1" pivotButton="0" quotePrefix="0" xfId="1">
      <alignment horizontal="center" wrapText="1"/>
    </xf>
    <xf numFmtId="164" fontId="35" fillId="0" borderId="0" applyAlignment="1" pivotButton="0" quotePrefix="0" xfId="1">
      <alignment horizontal="center" wrapText="1"/>
    </xf>
    <xf numFmtId="164" fontId="35" fillId="49" borderId="0" applyAlignment="1" pivotButton="0" quotePrefix="0" xfId="1">
      <alignment horizontal="centerContinuous" wrapText="1"/>
    </xf>
    <xf numFmtId="164" fontId="36" fillId="49" borderId="11" applyAlignment="1" pivotButton="0" quotePrefix="0" xfId="1">
      <alignment horizontal="centerContinuous" wrapText="1"/>
    </xf>
    <xf numFmtId="164" fontId="34" fillId="52" borderId="10" applyAlignment="1" pivotButton="0" quotePrefix="0" xfId="1">
      <alignment horizontal="center" wrapText="1"/>
    </xf>
    <xf numFmtId="164" fontId="34" fillId="52" borderId="0" applyAlignment="1" pivotButton="0" quotePrefix="0" xfId="1">
      <alignment horizontal="center" wrapText="1"/>
    </xf>
    <xf numFmtId="164" fontId="35" fillId="49" borderId="11" applyAlignment="1" pivotButton="0" quotePrefix="0" xfId="1">
      <alignment horizontal="centerContinuous" wrapText="1"/>
    </xf>
    <xf numFmtId="164" fontId="34" fillId="52" borderId="11" applyAlignment="1" pivotButton="0" quotePrefix="0" xfId="1">
      <alignment horizontal="center" wrapText="1"/>
    </xf>
    <xf numFmtId="164" fontId="34" fillId="52" borderId="13" applyAlignment="1" pivotButton="0" quotePrefix="0" xfId="1">
      <alignment horizontal="center" wrapText="1"/>
    </xf>
    <xf numFmtId="0" fontId="32" fillId="50" borderId="0" applyAlignment="1" pivotButton="0" quotePrefix="0" xfId="0">
      <alignment horizontal="left"/>
    </xf>
    <xf numFmtId="164" fontId="32" fillId="51" borderId="0" pivotButton="0" quotePrefix="0" xfId="1"/>
    <xf numFmtId="164" fontId="32" fillId="0" borderId="0" pivotButton="0" quotePrefix="0" xfId="1"/>
    <xf numFmtId="10" fontId="32" fillId="0" borderId="0" pivotButton="0" quotePrefix="0" xfId="1"/>
    <xf numFmtId="10" fontId="32" fillId="0" borderId="0" pivotButton="0" quotePrefix="0" xfId="1"/>
    <xf numFmtId="164" fontId="32" fillId="52" borderId="0" pivotButton="0" quotePrefix="0" xfId="1"/>
    <xf numFmtId="164" fontId="32" fillId="53" borderId="0" pivotButton="0" quotePrefix="0" xfId="1"/>
    <xf numFmtId="164" fontId="32" fillId="54" borderId="0" pivotButton="0" quotePrefix="0" xfId="1"/>
    <xf numFmtId="10" fontId="37" fillId="53" borderId="8" pivotButton="0" quotePrefix="0" xfId="1"/>
    <xf numFmtId="10" fontId="37" fillId="53" borderId="7" pivotButton="0" quotePrefix="0" xfId="1"/>
    <xf numFmtId="169" fontId="37" fillId="53" borderId="9" pivotButton="0" quotePrefix="0" xfId="0"/>
    <xf numFmtId="164" fontId="32" fillId="52" borderId="10" pivotButton="0" quotePrefix="0" xfId="1"/>
    <xf numFmtId="164" fontId="32" fillId="0" borderId="0" pivotButton="0" quotePrefix="0" xfId="0"/>
    <xf numFmtId="164" fontId="37" fillId="53" borderId="10" pivotButton="0" quotePrefix="0" xfId="0"/>
    <xf numFmtId="10" fontId="37" fillId="53" borderId="0" pivotButton="0" quotePrefix="0" xfId="0"/>
    <xf numFmtId="10" fontId="37" fillId="53" borderId="11" pivotButton="0" quotePrefix="0" xfId="0"/>
    <xf numFmtId="164" fontId="32" fillId="52" borderId="8" pivotButton="0" quotePrefix="0" xfId="1"/>
    <xf numFmtId="164" fontId="32" fillId="52" borderId="9" pivotButton="0" quotePrefix="0" xfId="1"/>
    <xf numFmtId="164" fontId="37" fillId="53" borderId="8" pivotButton="0" quotePrefix="0" xfId="0"/>
    <xf numFmtId="10" fontId="37" fillId="53" borderId="9" pivotButton="0" quotePrefix="0" xfId="0"/>
    <xf numFmtId="164" fontId="32" fillId="52" borderId="11" pivotButton="0" quotePrefix="0" xfId="1"/>
    <xf numFmtId="10" fontId="37" fillId="53" borderId="10" pivotButton="0" quotePrefix="0" xfId="1"/>
    <xf numFmtId="10" fontId="37" fillId="53" borderId="0" pivotButton="0" quotePrefix="0" xfId="1"/>
    <xf numFmtId="169" fontId="37" fillId="53" borderId="11" pivotButton="0" quotePrefix="0" xfId="0"/>
    <xf numFmtId="0" fontId="32" fillId="52" borderId="0" applyAlignment="1" pivotButton="0" quotePrefix="0" xfId="0">
      <alignment horizontal="left"/>
    </xf>
    <xf numFmtId="164" fontId="32" fillId="55" borderId="11" pivotButton="0" quotePrefix="0" xfId="1"/>
    <xf numFmtId="164" fontId="37" fillId="55" borderId="10" pivotButton="0" quotePrefix="0" xfId="0"/>
    <xf numFmtId="10" fontId="37" fillId="56" borderId="11" pivotButton="0" quotePrefix="0" xfId="0"/>
    <xf numFmtId="0" fontId="32" fillId="57" borderId="0" applyAlignment="1" pivotButton="0" quotePrefix="0" xfId="0">
      <alignment horizontal="left"/>
    </xf>
    <xf numFmtId="164" fontId="32" fillId="57" borderId="0" pivotButton="0" quotePrefix="0" xfId="1"/>
    <xf numFmtId="10" fontId="32" fillId="57" borderId="0" pivotButton="0" quotePrefix="0" xfId="1"/>
    <xf numFmtId="9" fontId="32" fillId="57" borderId="0" pivotButton="0" quotePrefix="0" xfId="0"/>
    <xf numFmtId="10" fontId="37" fillId="57" borderId="10" pivotButton="0" quotePrefix="0" xfId="1"/>
    <xf numFmtId="10" fontId="37" fillId="57" borderId="0" pivotButton="0" quotePrefix="0" xfId="1"/>
    <xf numFmtId="169" fontId="37" fillId="57" borderId="11" pivotButton="0" quotePrefix="0" xfId="0"/>
    <xf numFmtId="43" fontId="32" fillId="57" borderId="10" pivotButton="0" quotePrefix="0" xfId="1"/>
    <xf numFmtId="43" fontId="32" fillId="57" borderId="0" pivotButton="0" quotePrefix="0" xfId="1"/>
    <xf numFmtId="164" fontId="32" fillId="57" borderId="0" pivotButton="0" quotePrefix="0" xfId="0"/>
    <xf numFmtId="164" fontId="37" fillId="57" borderId="10" pivotButton="0" quotePrefix="0" xfId="0"/>
    <xf numFmtId="10" fontId="37" fillId="57" borderId="0" pivotButton="0" quotePrefix="0" xfId="0"/>
    <xf numFmtId="10" fontId="37" fillId="57" borderId="11" pivotButton="0" quotePrefix="0" xfId="0"/>
    <xf numFmtId="164" fontId="32" fillId="57" borderId="10" pivotButton="0" quotePrefix="0" xfId="1"/>
    <xf numFmtId="164" fontId="32" fillId="57" borderId="11" pivotButton="0" quotePrefix="0" xfId="1"/>
    <xf numFmtId="0" fontId="32" fillId="50" borderId="5" applyAlignment="1" pivotButton="0" quotePrefix="0" xfId="0">
      <alignment horizontal="left"/>
    </xf>
    <xf numFmtId="164" fontId="32" fillId="51" borderId="5" pivotButton="0" quotePrefix="0" xfId="1"/>
    <xf numFmtId="164" fontId="32" fillId="0" borderId="5" pivotButton="0" quotePrefix="0" xfId="1"/>
    <xf numFmtId="10" fontId="32" fillId="56" borderId="5" pivotButton="0" quotePrefix="0" xfId="1"/>
    <xf numFmtId="10" fontId="32" fillId="0" borderId="5" pivotButton="0" quotePrefix="0" xfId="1"/>
    <xf numFmtId="10" fontId="32" fillId="0" borderId="5" pivotButton="0" quotePrefix="0" xfId="1"/>
    <xf numFmtId="164" fontId="32" fillId="52" borderId="5" pivotButton="0" quotePrefix="0" xfId="1"/>
    <xf numFmtId="164" fontId="32" fillId="53" borderId="5" pivotButton="0" quotePrefix="0" xfId="1"/>
    <xf numFmtId="164" fontId="32" fillId="54" borderId="5" pivotButton="0" quotePrefix="0" xfId="1"/>
    <xf numFmtId="10" fontId="37" fillId="53" borderId="12" pivotButton="0" quotePrefix="0" xfId="1"/>
    <xf numFmtId="10" fontId="37" fillId="53" borderId="5" pivotButton="0" quotePrefix="0" xfId="1"/>
    <xf numFmtId="169" fontId="37" fillId="53" borderId="13" pivotButton="0" quotePrefix="0" xfId="0"/>
    <xf numFmtId="164" fontId="32" fillId="52" borderId="12" pivotButton="0" quotePrefix="0" xfId="1"/>
    <xf numFmtId="164" fontId="32" fillId="0" borderId="5" pivotButton="0" quotePrefix="0" xfId="0"/>
    <xf numFmtId="164" fontId="37" fillId="53" borderId="12" pivotButton="0" quotePrefix="0" xfId="0"/>
    <xf numFmtId="10" fontId="37" fillId="53" borderId="5" pivotButton="0" quotePrefix="0" xfId="0"/>
    <xf numFmtId="10" fontId="37" fillId="53" borderId="13" pivotButton="0" quotePrefix="0" xfId="0"/>
    <xf numFmtId="164" fontId="32" fillId="52" borderId="13" pivotButton="0" quotePrefix="0" xfId="1"/>
    <xf numFmtId="164" fontId="34" fillId="51" borderId="0" pivotButton="0" quotePrefix="0" xfId="0"/>
    <xf numFmtId="164" fontId="34" fillId="0" borderId="0" pivotButton="0" quotePrefix="0" xfId="0"/>
    <xf numFmtId="10" fontId="34" fillId="0" borderId="0" pivotButton="0" quotePrefix="0" xfId="0"/>
    <xf numFmtId="164" fontId="34" fillId="52" borderId="0" pivotButton="0" quotePrefix="0" xfId="0"/>
    <xf numFmtId="181" fontId="34" fillId="0" borderId="0" pivotButton="0" quotePrefix="0" xfId="0"/>
    <xf numFmtId="0" fontId="34" fillId="0" borderId="0" pivotButton="0" quotePrefix="0" xfId="0"/>
    <xf numFmtId="0" fontId="34" fillId="0" borderId="0" applyAlignment="1" pivotButton="0" quotePrefix="0" xfId="0">
      <alignment horizontal="right"/>
    </xf>
    <xf numFmtId="43" fontId="38" fillId="0" borderId="0" pivotButton="0" quotePrefix="0" xfId="0"/>
    <xf numFmtId="0" fontId="38" fillId="0" borderId="0" pivotButton="0" quotePrefix="0" xfId="0"/>
    <xf numFmtId="0" fontId="39" fillId="0" borderId="0" applyAlignment="1" pivotButton="0" quotePrefix="0" xfId="0">
      <alignment horizontal="right"/>
    </xf>
    <xf numFmtId="43" fontId="32" fillId="58" borderId="0" pivotButton="0" quotePrefix="0" xfId="0"/>
    <xf numFmtId="164" fontId="32" fillId="49" borderId="0" pivotButton="0" quotePrefix="0" xfId="0"/>
    <xf numFmtId="0" fontId="32" fillId="0" borderId="0" applyAlignment="1" pivotButton="0" quotePrefix="0" xfId="0">
      <alignment horizontal="right"/>
    </xf>
    <xf numFmtId="0" fontId="32" fillId="0" borderId="5" applyAlignment="1" pivotButton="0" quotePrefix="0" xfId="0">
      <alignment horizontal="centerContinuous"/>
    </xf>
    <xf numFmtId="164" fontId="25" fillId="0" borderId="0" pivotButton="0" quotePrefix="0" xfId="1"/>
    <xf numFmtId="0" fontId="32" fillId="0" borderId="0" applyAlignment="1" pivotButton="0" quotePrefix="0" xfId="0">
      <alignment horizontal="left"/>
    </xf>
    <xf numFmtId="0" fontId="32" fillId="53" borderId="0" pivotButton="0" quotePrefix="0" xfId="0"/>
    <xf numFmtId="0" fontId="32" fillId="53" borderId="0" applyAlignment="1" pivotButton="0" quotePrefix="0" xfId="0">
      <alignment horizontal="right"/>
    </xf>
    <xf numFmtId="0" fontId="24" fillId="0" borderId="0" applyAlignment="1" pivotButton="0" quotePrefix="0" xfId="1">
      <alignment horizontal="centerContinuous"/>
    </xf>
    <xf numFmtId="164" fontId="34" fillId="53" borderId="0" pivotButton="0" quotePrefix="0" xfId="0"/>
    <xf numFmtId="164" fontId="25" fillId="47" borderId="8" pivotButton="0" quotePrefix="0" xfId="1"/>
    <xf numFmtId="0" fontId="34" fillId="47" borderId="7" pivotButton="0" quotePrefix="0" xfId="0"/>
    <xf numFmtId="164" fontId="34" fillId="47" borderId="7" pivotButton="0" quotePrefix="0" xfId="1"/>
    <xf numFmtId="0" fontId="34" fillId="47" borderId="9" pivotButton="0" quotePrefix="0" xfId="0"/>
    <xf numFmtId="0" fontId="32" fillId="0" borderId="10" pivotButton="0" quotePrefix="0" xfId="0"/>
    <xf numFmtId="164" fontId="32" fillId="0" borderId="0" applyAlignment="1" pivotButton="0" quotePrefix="0" xfId="1">
      <alignment horizontal="right"/>
    </xf>
    <xf numFmtId="0" fontId="32" fillId="0" borderId="11" pivotButton="0" quotePrefix="0" xfId="0"/>
    <xf numFmtId="164" fontId="34" fillId="0" borderId="0" applyAlignment="1" pivotButton="0" quotePrefix="0" xfId="0">
      <alignment horizontal="right"/>
    </xf>
    <xf numFmtId="164" fontId="34" fillId="0" borderId="0" pivotButton="0" quotePrefix="0" xfId="1"/>
    <xf numFmtId="0" fontId="24" fillId="0" borderId="0" applyAlignment="1" pivotButton="0" quotePrefix="0" xfId="0">
      <alignment horizontal="centerContinuous"/>
    </xf>
    <xf numFmtId="0" fontId="24" fillId="51" borderId="12" applyAlignment="1" pivotButton="0" quotePrefix="0" xfId="1">
      <alignment horizontal="centerContinuous"/>
    </xf>
    <xf numFmtId="0" fontId="24" fillId="51" borderId="5" applyAlignment="1" pivotButton="0" quotePrefix="0" xfId="0">
      <alignment horizontal="centerContinuous"/>
    </xf>
    <xf numFmtId="0" fontId="24" fillId="51" borderId="5" applyAlignment="1" pivotButton="0" quotePrefix="0" xfId="1">
      <alignment horizontal="centerContinuous"/>
    </xf>
    <xf numFmtId="0" fontId="24" fillId="0" borderId="11" pivotButton="0" quotePrefix="0" xfId="0"/>
    <xf numFmtId="0" fontId="32" fillId="0" borderId="12" pivotButton="0" quotePrefix="0" xfId="0"/>
    <xf numFmtId="0" fontId="32" fillId="0" borderId="5" pivotButton="0" quotePrefix="0" xfId="0"/>
    <xf numFmtId="0" fontId="32" fillId="0" borderId="13" pivotButton="0" quotePrefix="0" xfId="0"/>
    <xf numFmtId="0" fontId="4" fillId="38" borderId="5" applyAlignment="1" pivotButton="0" quotePrefix="0" xfId="0">
      <alignment horizontal="center" vertical="center" wrapText="1"/>
    </xf>
    <xf numFmtId="164" fontId="4" fillId="38" borderId="5" applyAlignment="1" pivotButton="0" quotePrefix="0" xfId="1">
      <alignment horizontal="center" wrapText="1"/>
    </xf>
    <xf numFmtId="164" fontId="0" fillId="38" borderId="0" pivotButton="0" quotePrefix="0" xfId="1"/>
    <xf numFmtId="0" fontId="0" fillId="38" borderId="0" applyAlignment="1" pivotButton="0" quotePrefix="0" xfId="0">
      <alignment horizontal="left"/>
    </xf>
    <xf numFmtId="164" fontId="0" fillId="38" borderId="0" pivotButton="0" quotePrefix="0" xfId="1"/>
    <xf numFmtId="10" fontId="0" fillId="38" borderId="0" pivotButton="0" quotePrefix="0" xfId="1"/>
    <xf numFmtId="10" fontId="0" fillId="38" borderId="0" pivotButton="0" quotePrefix="0" xfId="1"/>
    <xf numFmtId="164" fontId="0" fillId="38" borderId="0" pivotButton="0" quotePrefix="0" xfId="1"/>
    <xf numFmtId="164" fontId="0" fillId="38" borderId="0" pivotButton="0" quotePrefix="0" xfId="2"/>
    <xf numFmtId="10" fontId="20" fillId="38" borderId="10" pivotButton="0" quotePrefix="0" xfId="1"/>
    <xf numFmtId="10" fontId="20" fillId="38" borderId="0" pivotButton="0" quotePrefix="0" xfId="1"/>
    <xf numFmtId="169" fontId="20" fillId="38" borderId="11" pivotButton="0" quotePrefix="0" xfId="0"/>
    <xf numFmtId="164" fontId="0" fillId="38" borderId="10" pivotButton="0" quotePrefix="0" xfId="1"/>
    <xf numFmtId="164" fontId="0" fillId="38" borderId="0" pivotButton="0" quotePrefix="0" xfId="0"/>
    <xf numFmtId="10" fontId="20" fillId="38" borderId="0" pivotButton="0" quotePrefix="0" xfId="0"/>
    <xf numFmtId="10" fontId="20" fillId="38" borderId="11" pivotButton="0" quotePrefix="0" xfId="0"/>
    <xf numFmtId="0" fontId="0" fillId="38" borderId="0" pivotButton="0" quotePrefix="0" xfId="0"/>
    <xf numFmtId="164" fontId="0" fillId="32" borderId="0" pivotButton="0" quotePrefix="0" xfId="1"/>
    <xf numFmtId="10" fontId="0" fillId="32" borderId="0" pivotButton="0" quotePrefix="0" xfId="1"/>
    <xf numFmtId="164" fontId="0" fillId="32" borderId="0" pivotButton="0" quotePrefix="0" xfId="1"/>
    <xf numFmtId="164" fontId="0" fillId="32" borderId="0" pivotButton="0" quotePrefix="0" xfId="1"/>
    <xf numFmtId="164" fontId="0" fillId="32" borderId="0" pivotButton="0" quotePrefix="0" xfId="2"/>
    <xf numFmtId="10" fontId="20" fillId="32" borderId="10" pivotButton="0" quotePrefix="0" xfId="1"/>
    <xf numFmtId="10" fontId="20" fillId="32" borderId="0" pivotButton="0" quotePrefix="0" xfId="1"/>
    <xf numFmtId="169" fontId="20" fillId="32" borderId="11" pivotButton="0" quotePrefix="0" xfId="0"/>
    <xf numFmtId="164" fontId="0" fillId="32" borderId="10" pivotButton="0" quotePrefix="0" xfId="1"/>
    <xf numFmtId="164" fontId="0" fillId="32" borderId="0" pivotButton="0" quotePrefix="0" xfId="0"/>
    <xf numFmtId="10" fontId="20" fillId="32" borderId="0" pivotButton="0" quotePrefix="0" xfId="0"/>
    <xf numFmtId="10" fontId="20" fillId="32" borderId="11" pivotButton="0" quotePrefix="0" xfId="0"/>
    <xf numFmtId="164" fontId="0" fillId="32" borderId="11" pivotButton="0" quotePrefix="0" xfId="1"/>
    <xf numFmtId="164" fontId="20" fillId="32" borderId="0" pivotButton="0" quotePrefix="0" xfId="0"/>
    <xf numFmtId="0" fontId="0" fillId="32" borderId="0" pivotButton="0" quotePrefix="0" xfId="0"/>
    <xf numFmtId="0" fontId="0" fillId="23" borderId="0" applyAlignment="1" pivotButton="0" quotePrefix="0" xfId="0">
      <alignment horizontal="center" wrapText="1"/>
    </xf>
    <xf numFmtId="0" fontId="4" fillId="23" borderId="0" applyAlignment="1" pivotButton="0" quotePrefix="0" xfId="0">
      <alignment horizontal="center" vertical="center"/>
    </xf>
    <xf numFmtId="0" fontId="4" fillId="23" borderId="0" applyAlignment="1" pivotButton="0" quotePrefix="0" xfId="0">
      <alignment horizontal="center" wrapText="1"/>
    </xf>
    <xf numFmtId="0" fontId="4" fillId="23" borderId="0" applyAlignment="1" pivotButton="0" quotePrefix="0" xfId="0">
      <alignment horizontal="center"/>
    </xf>
    <xf numFmtId="3" fontId="0" fillId="23" borderId="0" pivotButton="0" quotePrefix="0" xfId="0"/>
    <xf numFmtId="10" fontId="0" fillId="23" borderId="0" pivotButton="0" quotePrefix="0" xfId="0"/>
    <xf numFmtId="0" fontId="0" fillId="23" borderId="0" applyAlignment="1" pivotButton="0" quotePrefix="0" xfId="0">
      <alignment horizontal="right"/>
    </xf>
    <xf numFmtId="1" fontId="0" fillId="0" borderId="0" applyAlignment="1" pivotButton="0" quotePrefix="0" xfId="0">
      <alignment horizontal="center"/>
    </xf>
    <xf numFmtId="2" fontId="0" fillId="0" borderId="0" applyAlignment="1" pivotButton="0" quotePrefix="0" xfId="0">
      <alignment horizontal="center"/>
    </xf>
    <xf numFmtId="43" fontId="20" fillId="32" borderId="10" pivotButton="0" quotePrefix="0" xfId="0"/>
    <xf numFmtId="0" fontId="0" fillId="17" borderId="0" applyAlignment="1" pivotButton="0" quotePrefix="0" xfId="0">
      <alignment horizontal="left"/>
    </xf>
    <xf numFmtId="10" fontId="0" fillId="0" borderId="0" pivotButton="0" quotePrefix="0" xfId="1"/>
    <xf numFmtId="164" fontId="0" fillId="29" borderId="0" pivotButton="0" quotePrefix="0" xfId="1"/>
    <xf numFmtId="169" fontId="20" fillId="29" borderId="0" pivotButton="0" quotePrefix="0" xfId="0"/>
    <xf numFmtId="164" fontId="0" fillId="0" borderId="0" pivotButton="0" quotePrefix="0" xfId="0"/>
    <xf numFmtId="164" fontId="20" fillId="29" borderId="0" pivotButton="0" quotePrefix="0" xfId="0"/>
    <xf numFmtId="10" fontId="20" fillId="29" borderId="0" pivotButton="0" quotePrefix="0" xfId="0"/>
    <xf numFmtId="0" fontId="0" fillId="0" borderId="0" pivotButton="0" quotePrefix="0" xfId="0"/>
    <xf numFmtId="10" fontId="0" fillId="0" borderId="0" pivotButton="0" quotePrefix="0" xfId="1"/>
    <xf numFmtId="164" fontId="0" fillId="0" borderId="0" pivotButton="0" quotePrefix="0" xfId="1"/>
    <xf numFmtId="164" fontId="0" fillId="0" borderId="0" pivotButton="0" quotePrefix="0" xfId="2"/>
    <xf numFmtId="164" fontId="4" fillId="0" borderId="0" pivotButton="0" quotePrefix="0" xfId="0"/>
    <xf numFmtId="10" fontId="4" fillId="0" borderId="0" pivotButton="0" quotePrefix="0" xfId="0"/>
    <xf numFmtId="9" fontId="4" fillId="0" borderId="0" pivotButton="0" quotePrefix="0" xfId="0"/>
    <xf numFmtId="164" fontId="4" fillId="23" borderId="0" pivotButton="0" quotePrefix="0" xfId="0"/>
    <xf numFmtId="164" fontId="4" fillId="26" borderId="0" pivotButton="0" quotePrefix="0" xfId="0"/>
    <xf numFmtId="181" fontId="4" fillId="0" borderId="0" pivotButton="0" quotePrefix="0" xfId="0"/>
    <xf numFmtId="164" fontId="4" fillId="38" borderId="0" pivotButton="0" quotePrefix="0" xfId="0"/>
    <xf numFmtId="164" fontId="0" fillId="0" borderId="5" pivotButton="0" quotePrefix="0" xfId="1"/>
    <xf numFmtId="164" fontId="0" fillId="0" borderId="5" pivotButton="0" quotePrefix="0" xfId="2"/>
    <xf numFmtId="169" fontId="20" fillId="29" borderId="5" pivotButton="0" quotePrefix="0" xfId="0"/>
    <xf numFmtId="164" fontId="0" fillId="38" borderId="5" pivotButton="0" quotePrefix="0" xfId="1"/>
    <xf numFmtId="0" fontId="0" fillId="11" borderId="5" applyAlignment="1" pivotButton="0" quotePrefix="0" xfId="0">
      <alignment horizontal="left"/>
    </xf>
    <xf numFmtId="164" fontId="0" fillId="32" borderId="5" pivotButton="0" quotePrefix="0" xfId="1"/>
    <xf numFmtId="10" fontId="0" fillId="32" borderId="5" pivotButton="0" quotePrefix="0" xfId="1"/>
    <xf numFmtId="164" fontId="0" fillId="32" borderId="5" pivotButton="0" quotePrefix="0" xfId="1"/>
    <xf numFmtId="164" fontId="0" fillId="32" borderId="5" pivotButton="0" quotePrefix="0" xfId="2"/>
    <xf numFmtId="10" fontId="20" fillId="32" borderId="12" pivotButton="0" quotePrefix="0" xfId="1"/>
    <xf numFmtId="10" fontId="20" fillId="32" borderId="5" pivotButton="0" quotePrefix="0" xfId="1"/>
    <xf numFmtId="169" fontId="20" fillId="32" borderId="13" pivotButton="0" quotePrefix="0" xfId="0"/>
    <xf numFmtId="164" fontId="0" fillId="32" borderId="12" pivotButton="0" quotePrefix="0" xfId="1"/>
    <xf numFmtId="164" fontId="0" fillId="32" borderId="5" pivotButton="0" quotePrefix="0" xfId="0"/>
    <xf numFmtId="43" fontId="20" fillId="32" borderId="12" pivotButton="0" quotePrefix="0" xfId="0"/>
    <xf numFmtId="10" fontId="20" fillId="32" borderId="5" pivotButton="0" quotePrefix="0" xfId="0"/>
    <xf numFmtId="10" fontId="20" fillId="32" borderId="13" pivotButton="0" quotePrefix="0" xfId="0"/>
    <xf numFmtId="164" fontId="0" fillId="32" borderId="13" pivotButton="0" quotePrefix="0" xfId="1"/>
    <xf numFmtId="0" fontId="0" fillId="32" borderId="5" pivotButton="0" quotePrefix="0" xfId="0"/>
    <xf numFmtId="164" fontId="21" fillId="10" borderId="7" applyAlignment="1" pivotButton="0" quotePrefix="0" xfId="1">
      <alignment horizontal="center" wrapText="1"/>
    </xf>
    <xf numFmtId="0" fontId="0" fillId="0" borderId="8" pivotButton="0" quotePrefix="0" xfId="0"/>
    <xf numFmtId="0" fontId="0" fillId="0" borderId="9" pivotButton="0" quotePrefix="0" xfId="0"/>
    <xf numFmtId="0" fontId="4" fillId="10" borderId="8" applyAlignment="1" pivotButton="0" quotePrefix="0" xfId="0">
      <alignment horizontal="center" vertical="center" wrapText="1"/>
    </xf>
    <xf numFmtId="0" fontId="4" fillId="10" borderId="7" applyAlignment="1" pivotButton="0" quotePrefix="0" xfId="0">
      <alignment horizontal="center" vertical="center" wrapText="1"/>
    </xf>
    <xf numFmtId="0" fontId="4" fillId="10" borderId="9" applyAlignment="1" pivotButton="0" quotePrefix="0" xfId="0">
      <alignment horizontal="center" vertical="center" wrapText="1"/>
    </xf>
    <xf numFmtId="164" fontId="21" fillId="10" borderId="8" applyAlignment="1" pivotButton="0" quotePrefix="0" xfId="1">
      <alignment horizontal="centerContinuous" wrapText="1"/>
    </xf>
    <xf numFmtId="164" fontId="21" fillId="10" borderId="7" applyAlignment="1" pivotButton="0" quotePrefix="0" xfId="1">
      <alignment horizontal="centerContinuous" wrapText="1"/>
    </xf>
    <xf numFmtId="164" fontId="22" fillId="10" borderId="9" applyAlignment="1" pivotButton="0" quotePrefix="0" xfId="1">
      <alignment horizontal="centerContinuous" wrapText="1"/>
    </xf>
    <xf numFmtId="10" fontId="20" fillId="38" borderId="0" pivotButton="0" quotePrefix="0" xfId="0"/>
    <xf numFmtId="10" fontId="20" fillId="32" borderId="0" pivotButton="0" quotePrefix="0" xfId="0"/>
    <xf numFmtId="0" fontId="0" fillId="0" borderId="7" pivotButton="0" quotePrefix="0" xfId="0"/>
    <xf numFmtId="0" fontId="4" fillId="10" borderId="0" applyAlignment="1" pivotButton="0" quotePrefix="0" xfId="0">
      <alignment horizontal="center" vertical="center" wrapText="1"/>
    </xf>
    <xf numFmtId="164" fontId="20" fillId="32" borderId="10" pivotButton="0" quotePrefix="0" xfId="0"/>
    <xf numFmtId="164" fontId="20" fillId="32" borderId="12" pivotButton="0" quotePrefix="0" xfId="0"/>
    <xf numFmtId="171" fontId="40" fillId="29" borderId="8" applyAlignment="1" pivotButton="0" quotePrefix="0" xfId="0">
      <alignment horizontal="left"/>
    </xf>
    <xf numFmtId="171" fontId="40" fillId="29" borderId="7" applyAlignment="1" pivotButton="0" quotePrefix="0" xfId="0">
      <alignment horizontal="left"/>
    </xf>
    <xf numFmtId="171" fontId="40" fillId="29" borderId="9" applyAlignment="1" pivotButton="0" quotePrefix="0" xfId="0">
      <alignment horizontal="left"/>
    </xf>
    <xf numFmtId="171" fontId="40" fillId="29" borderId="10" applyAlignment="1" pivotButton="0" quotePrefix="0" xfId="0">
      <alignment horizontal="left"/>
    </xf>
    <xf numFmtId="171" fontId="40" fillId="29" borderId="0" applyAlignment="1" pivotButton="0" quotePrefix="0" xfId="0">
      <alignment horizontal="left"/>
    </xf>
    <xf numFmtId="171" fontId="40" fillId="29" borderId="11" applyAlignment="1" pivotButton="0" quotePrefix="0" xfId="0">
      <alignment horizontal="left"/>
    </xf>
    <xf numFmtId="0" fontId="41" fillId="29" borderId="10" pivotButton="0" quotePrefix="0" xfId="0"/>
    <xf numFmtId="164" fontId="41" fillId="29" borderId="0" pivotButton="0" quotePrefix="0" xfId="1"/>
    <xf numFmtId="43" fontId="41" fillId="29" borderId="11" pivotButton="0" quotePrefix="0" xfId="1"/>
    <xf numFmtId="164" fontId="41" fillId="29" borderId="0" pivotButton="0" quotePrefix="0" xfId="0"/>
    <xf numFmtId="164" fontId="41" fillId="29" borderId="11" pivotButton="0" quotePrefix="0" xfId="0"/>
    <xf numFmtId="0" fontId="41" fillId="29" borderId="0" pivotButton="0" quotePrefix="0" xfId="0"/>
    <xf numFmtId="0" fontId="41" fillId="29" borderId="11" pivotButton="0" quotePrefix="0" xfId="0"/>
    <xf numFmtId="164" fontId="40" fillId="29" borderId="0" pivotButton="0" quotePrefix="0" xfId="0"/>
    <xf numFmtId="0" fontId="41" fillId="29" borderId="12" pivotButton="0" quotePrefix="0" xfId="0"/>
    <xf numFmtId="0" fontId="41" fillId="29" borderId="5" pivotButton="0" quotePrefix="0" xfId="0"/>
    <xf numFmtId="0" fontId="41" fillId="29" borderId="5" applyAlignment="1" pivotButton="0" quotePrefix="0" xfId="0">
      <alignment wrapText="1"/>
    </xf>
    <xf numFmtId="0" fontId="41" fillId="29" borderId="13" pivotButton="0" quotePrefix="0" xfId="0"/>
    <xf numFmtId="0" fontId="4" fillId="0" borderId="0" applyAlignment="1" pivotButton="0" quotePrefix="0" xfId="0">
      <alignment horizontal="center" wrapText="1"/>
    </xf>
    <xf numFmtId="0" fontId="0" fillId="31" borderId="14" applyAlignment="1" pivotButton="0" quotePrefix="0" xfId="0">
      <alignment horizontal="left"/>
    </xf>
    <xf numFmtId="3" fontId="0" fillId="0" borderId="0" pivotButton="0" quotePrefix="0" xfId="0"/>
    <xf numFmtId="10" fontId="0" fillId="0" borderId="0" pivotButton="0" quotePrefix="0" xfId="0"/>
    <xf numFmtId="3" fontId="2" fillId="0" borderId="0" pivotButton="0" quotePrefix="0" xfId="0"/>
    <xf numFmtId="10" fontId="2" fillId="0" borderId="0" pivotButton="0" quotePrefix="0" xfId="0"/>
    <xf numFmtId="14" fontId="2" fillId="0" borderId="0" applyAlignment="1" pivotButton="0" quotePrefix="0" xfId="0">
      <alignment horizontal="center" vertical="center"/>
    </xf>
    <xf numFmtId="0" fontId="4" fillId="23" borderId="0" pivotButton="0" quotePrefix="0" xfId="0"/>
    <xf numFmtId="0" fontId="42" fillId="0" borderId="0" pivotButton="0" quotePrefix="0" xfId="0"/>
    <xf numFmtId="0" fontId="42" fillId="59" borderId="35" applyAlignment="1" pivotButton="0" quotePrefix="0" xfId="0">
      <alignment vertical="top"/>
    </xf>
    <xf numFmtId="0" fontId="42" fillId="59" borderId="35" applyAlignment="1" pivotButton="0" quotePrefix="0" xfId="0">
      <alignment horizontal="center" vertical="top" wrapText="1"/>
    </xf>
    <xf numFmtId="43" fontId="43" fillId="0" borderId="0" pivotButton="0" quotePrefix="0" xfId="0"/>
    <xf numFmtId="0" fontId="44" fillId="60" borderId="0" applyAlignment="1" pivotButton="0" quotePrefix="0" xfId="0">
      <alignment horizontal="left" indent="1"/>
    </xf>
    <xf numFmtId="43" fontId="44" fillId="60" borderId="0" pivotButton="0" quotePrefix="0" xfId="0"/>
    <xf numFmtId="0" fontId="45" fillId="61" borderId="0" pivotButton="0" quotePrefix="0" xfId="0"/>
    <xf numFmtId="0" fontId="43" fillId="61" borderId="0" pivotButton="0" quotePrefix="0" xfId="0"/>
    <xf numFmtId="0" fontId="46" fillId="61" borderId="0" pivotButton="0" quotePrefix="0" xfId="0"/>
    <xf numFmtId="43" fontId="43" fillId="61" borderId="0" pivotButton="0" quotePrefix="0" xfId="0"/>
    <xf numFmtId="0" fontId="42" fillId="59" borderId="0" pivotButton="0" quotePrefix="0" xfId="0"/>
    <xf numFmtId="0" fontId="43" fillId="59" borderId="0" pivotButton="0" quotePrefix="0" xfId="0"/>
    <xf numFmtId="0" fontId="43" fillId="0" borderId="36" pivotButton="0" quotePrefix="0" xfId="0"/>
    <xf numFmtId="164" fontId="43" fillId="0" borderId="37" pivotButton="0" quotePrefix="0" xfId="0"/>
    <xf numFmtId="0" fontId="43" fillId="0" borderId="38" pivotButton="0" quotePrefix="0" xfId="0"/>
    <xf numFmtId="164" fontId="43" fillId="0" borderId="39" pivotButton="0" quotePrefix="0" xfId="0"/>
    <xf numFmtId="0" fontId="42" fillId="0" borderId="38" applyAlignment="1" pivotButton="0" quotePrefix="0" xfId="0">
      <alignment horizontal="left" indent="1"/>
    </xf>
    <xf numFmtId="10" fontId="43" fillId="0" borderId="39" pivotButton="0" quotePrefix="0" xfId="0"/>
    <xf numFmtId="0" fontId="43" fillId="0" borderId="40" pivotButton="0" quotePrefix="0" xfId="0"/>
    <xf numFmtId="164" fontId="43" fillId="0" borderId="41" pivotButton="0" quotePrefix="0" xfId="0"/>
    <xf numFmtId="0" fontId="43" fillId="0" borderId="0" applyAlignment="1" pivotButton="0" quotePrefix="0" xfId="0">
      <alignment horizontal="left" indent="1"/>
    </xf>
    <xf numFmtId="0" fontId="42" fillId="62" borderId="0" pivotButton="0" quotePrefix="0" xfId="0"/>
    <xf numFmtId="14" fontId="42" fillId="62" borderId="0" pivotButton="0" quotePrefix="0" xfId="0"/>
    <xf numFmtId="0" fontId="42" fillId="0" borderId="42" pivotButton="0" quotePrefix="0" xfId="0"/>
    <xf numFmtId="0" fontId="42" fillId="0" borderId="43" pivotButton="0" quotePrefix="0" xfId="0"/>
    <xf numFmtId="0" fontId="42" fillId="0" borderId="44" pivotButton="0" quotePrefix="0" xfId="0"/>
    <xf numFmtId="49" fontId="47" fillId="0" borderId="45" applyAlignment="1" applyProtection="1" pivotButton="0" quotePrefix="0" xfId="0">
      <alignment horizontal="left" vertical="center"/>
      <protection locked="0" hidden="0"/>
    </xf>
    <xf numFmtId="0" fontId="47" fillId="0" borderId="0" applyAlignment="1" applyProtection="1" pivotButton="0" quotePrefix="0" xfId="0">
      <alignment horizontal="left" vertical="center"/>
      <protection locked="0" hidden="0"/>
    </xf>
    <xf numFmtId="0" fontId="43" fillId="0" borderId="0" applyAlignment="1" pivotButton="0" quotePrefix="0" xfId="0">
      <alignment horizontal="left"/>
    </xf>
    <xf numFmtId="43" fontId="42" fillId="0" borderId="43" pivotButton="0" quotePrefix="0" xfId="0"/>
    <xf numFmtId="0" fontId="43" fillId="0" borderId="46" pivotButton="0" quotePrefix="0" xfId="0"/>
    <xf numFmtId="49" fontId="47" fillId="0" borderId="47" applyAlignment="1" applyProtection="1" pivotButton="0" quotePrefix="0" xfId="0">
      <alignment horizontal="left" vertical="center"/>
      <protection locked="0" hidden="0"/>
    </xf>
    <xf numFmtId="0" fontId="43" fillId="0" borderId="35" pivotButton="0" quotePrefix="0" xfId="0"/>
    <xf numFmtId="43" fontId="43" fillId="0" borderId="35" pivotButton="0" quotePrefix="0" xfId="0"/>
    <xf numFmtId="0" fontId="43" fillId="0" borderId="48" pivotButton="0" quotePrefix="0" xfId="0"/>
    <xf numFmtId="49" fontId="47" fillId="0" borderId="0" applyAlignment="1" applyProtection="1" pivotButton="0" quotePrefix="0" xfId="0">
      <alignment horizontal="left" vertical="center"/>
      <protection locked="0" hidden="0"/>
    </xf>
    <xf numFmtId="0" fontId="43" fillId="63" borderId="0" applyAlignment="1" pivotButton="0" quotePrefix="0" xfId="0">
      <alignment horizontal="left"/>
    </xf>
    <xf numFmtId="0" fontId="43" fillId="64" borderId="0" applyAlignment="1" pivotButton="0" quotePrefix="0" xfId="0">
      <alignment horizontal="left"/>
    </xf>
    <xf numFmtId="0" fontId="43" fillId="62" borderId="0" applyAlignment="1" pivotButton="0" quotePrefix="0" xfId="0">
      <alignment horizontal="left"/>
    </xf>
    <xf numFmtId="0" fontId="43" fillId="65" borderId="0" applyAlignment="1" pivotButton="0" quotePrefix="0" xfId="0">
      <alignment horizontal="left"/>
    </xf>
    <xf numFmtId="0" fontId="43" fillId="66" borderId="0" applyAlignment="1" pivotButton="0" quotePrefix="0" xfId="0">
      <alignment horizontal="left"/>
    </xf>
    <xf numFmtId="0" fontId="42" fillId="0" borderId="0" applyAlignment="1" pivotButton="0" quotePrefix="0" xfId="0">
      <alignment horizontal="right"/>
    </xf>
    <xf numFmtId="164" fontId="43" fillId="0" borderId="0" pivotButton="0" quotePrefix="0" xfId="0"/>
    <xf numFmtId="0" fontId="45" fillId="0" borderId="0" applyAlignment="1" pivotButton="0" quotePrefix="0" xfId="0">
      <alignment horizontal="center" wrapText="1"/>
    </xf>
    <xf numFmtId="0" fontId="44" fillId="0" borderId="36" pivotButton="0" quotePrefix="0" xfId="0"/>
    <xf numFmtId="0" fontId="44" fillId="0" borderId="49" pivotButton="0" quotePrefix="0" xfId="0"/>
    <xf numFmtId="0" fontId="48" fillId="67" borderId="49" applyAlignment="1" pivotButton="0" quotePrefix="0" xfId="0">
      <alignment wrapText="1"/>
    </xf>
    <xf numFmtId="0" fontId="49" fillId="0" borderId="49" pivotButton="0" quotePrefix="0" xfId="0"/>
    <xf numFmtId="0" fontId="48" fillId="67" borderId="49" pivotButton="0" quotePrefix="0" xfId="0"/>
    <xf numFmtId="0" fontId="49" fillId="0" borderId="37" pivotButton="0" quotePrefix="0" xfId="0"/>
    <xf numFmtId="0" fontId="48" fillId="0" borderId="36" pivotButton="0" quotePrefix="0" xfId="0"/>
    <xf numFmtId="0" fontId="49" fillId="0" borderId="50" pivotButton="0" quotePrefix="0" xfId="0"/>
    <xf numFmtId="0" fontId="42" fillId="0" borderId="35" pivotButton="0" quotePrefix="0" xfId="0"/>
    <xf numFmtId="0" fontId="42" fillId="0" borderId="35" applyAlignment="1" pivotButton="0" quotePrefix="0" xfId="0">
      <alignment horizontal="center" vertical="center" wrapText="1"/>
    </xf>
    <xf numFmtId="0" fontId="42" fillId="0" borderId="0" applyAlignment="1" pivotButton="0" quotePrefix="0" xfId="0">
      <alignment horizontal="center" vertical="center" wrapText="1"/>
    </xf>
    <xf numFmtId="0" fontId="42" fillId="0" borderId="38" applyAlignment="1" pivotButton="0" quotePrefix="0" xfId="0">
      <alignment horizontal="center" vertical="center" wrapText="1"/>
    </xf>
    <xf numFmtId="0" fontId="42" fillId="67" borderId="0" applyAlignment="1" pivotButton="0" quotePrefix="0" xfId="0">
      <alignment horizontal="center" vertical="center" wrapText="1"/>
    </xf>
    <xf numFmtId="0" fontId="42" fillId="0" borderId="39" applyAlignment="1" pivotButton="0" quotePrefix="0" xfId="0">
      <alignment horizontal="center" vertical="center" wrapText="1"/>
    </xf>
    <xf numFmtId="0" fontId="50" fillId="0" borderId="0" applyAlignment="1" pivotButton="0" quotePrefix="0" xfId="0">
      <alignment horizontal="center" vertical="center" wrapText="1"/>
    </xf>
    <xf numFmtId="0" fontId="42" fillId="0" borderId="51" applyAlignment="1" pivotButton="0" quotePrefix="0" xfId="0">
      <alignment horizontal="center" vertical="center" wrapText="1"/>
    </xf>
    <xf numFmtId="164" fontId="43" fillId="0" borderId="38" pivotButton="0" quotePrefix="0" xfId="0"/>
    <xf numFmtId="164" fontId="43" fillId="67" borderId="0" pivotButton="0" quotePrefix="0" xfId="0"/>
    <xf numFmtId="164" fontId="51" fillId="0" borderId="0" pivotButton="0" quotePrefix="0" xfId="0"/>
    <xf numFmtId="43" fontId="43" fillId="0" borderId="51" pivotButton="0" quotePrefix="0" xfId="0"/>
    <xf numFmtId="165" fontId="52" fillId="0" borderId="0" applyAlignment="1" pivotButton="0" quotePrefix="0" xfId="0">
      <alignment horizontal="right" vertical="center" wrapText="1"/>
    </xf>
    <xf numFmtId="43" fontId="43" fillId="0" borderId="38" pivotButton="0" quotePrefix="0" xfId="0"/>
    <xf numFmtId="43" fontId="43" fillId="0" borderId="0" applyAlignment="1" pivotButton="0" quotePrefix="0" xfId="0">
      <alignment horizontal="left" indent="2"/>
    </xf>
    <xf numFmtId="43" fontId="43" fillId="0" borderId="40" pivotButton="0" quotePrefix="0" xfId="0"/>
    <xf numFmtId="164" fontId="43" fillId="0" borderId="52" pivotButton="0" quotePrefix="0" xfId="0"/>
    <xf numFmtId="43" fontId="43" fillId="0" borderId="52" pivotButton="0" quotePrefix="0" xfId="0"/>
    <xf numFmtId="43" fontId="43" fillId="67" borderId="52" pivotButton="0" quotePrefix="0" xfId="0"/>
    <xf numFmtId="164" fontId="43" fillId="67" borderId="52" pivotButton="0" quotePrefix="0" xfId="0"/>
    <xf numFmtId="43" fontId="43" fillId="0" borderId="53" pivotButton="0" quotePrefix="0" xfId="0"/>
    <xf numFmtId="164" fontId="42" fillId="68" borderId="0" pivotButton="0" quotePrefix="0" xfId="0"/>
    <xf numFmtId="164" fontId="42" fillId="0" borderId="0" pivotButton="0" quotePrefix="0" xfId="0"/>
    <xf numFmtId="164" fontId="50" fillId="0" borderId="0" pivotButton="0" quotePrefix="0" xfId="0"/>
    <xf numFmtId="164" fontId="43" fillId="67" borderId="0" applyAlignment="1" pivotButton="0" quotePrefix="0" xfId="0">
      <alignment horizontal="right"/>
    </xf>
    <xf numFmtId="164" fontId="43" fillId="0" borderId="0" applyAlignment="1" pivotButton="0" quotePrefix="0" xfId="0">
      <alignment horizontal="right"/>
    </xf>
    <xf numFmtId="164" fontId="43" fillId="0" borderId="35" pivotButton="0" quotePrefix="0" xfId="0"/>
    <xf numFmtId="0" fontId="42" fillId="67" borderId="0" applyAlignment="1" pivotButton="0" quotePrefix="0" xfId="0">
      <alignment horizontal="right"/>
    </xf>
    <xf numFmtId="43" fontId="51" fillId="0" borderId="0" pivotButton="0" quotePrefix="0" xfId="0"/>
    <xf numFmtId="165" fontId="53" fillId="0" borderId="0" applyAlignment="1" pivotButton="0" quotePrefix="0" xfId="0">
      <alignment horizontal="right" vertical="center" wrapText="1"/>
    </xf>
    <xf numFmtId="165" fontId="52" fillId="67" borderId="0" applyAlignment="1" pivotButton="0" quotePrefix="0" xfId="0">
      <alignment horizontal="right" vertical="center" wrapText="1"/>
    </xf>
    <xf numFmtId="0" fontId="50" fillId="0" borderId="0" pivotButton="0" quotePrefix="0" xfId="0"/>
    <xf numFmtId="4" fontId="52" fillId="67" borderId="0" applyAlignment="1" pivotButton="0" quotePrefix="0" xfId="0">
      <alignment horizontal="right" vertical="center" wrapText="1"/>
    </xf>
    <xf numFmtId="4" fontId="52" fillId="0" borderId="0" applyAlignment="1" pivotButton="0" quotePrefix="0" xfId="0">
      <alignment horizontal="right" vertical="center" wrapText="1"/>
    </xf>
    <xf numFmtId="0" fontId="50" fillId="0" borderId="43" pivotButton="0" quotePrefix="0" xfId="0"/>
    <xf numFmtId="164" fontId="50" fillId="0" borderId="43" pivotButton="0" quotePrefix="0" xfId="0"/>
    <xf numFmtId="169" fontId="20" fillId="29" borderId="9" pivotButton="0" quotePrefix="0" xfId="0"/>
    <xf numFmtId="169" fontId="20" fillId="29" borderId="11" pivotButton="0" quotePrefix="0" xfId="0"/>
    <xf numFmtId="169" fontId="20" fillId="38" borderId="11" pivotButton="0" quotePrefix="0" xfId="0"/>
    <xf numFmtId="169" fontId="20" fillId="32" borderId="11" pivotButton="0" quotePrefix="0" xfId="0"/>
    <xf numFmtId="169" fontId="20" fillId="29" borderId="0" pivotButton="0" quotePrefix="0" xfId="0"/>
    <xf numFmtId="169" fontId="20" fillId="32" borderId="13" pivotButton="0" quotePrefix="0" xfId="0"/>
    <xf numFmtId="181" fontId="4" fillId="0" borderId="0" pivotButton="0" quotePrefix="0" xfId="0"/>
    <xf numFmtId="169" fontId="20" fillId="29" borderId="5" pivotButton="0" quotePrefix="0" xfId="0"/>
    <xf numFmtId="171" fontId="40" fillId="29" borderId="8" applyAlignment="1" pivotButton="0" quotePrefix="0" xfId="0">
      <alignment horizontal="left"/>
    </xf>
    <xf numFmtId="171" fontId="40" fillId="29" borderId="7" applyAlignment="1" pivotButton="0" quotePrefix="0" xfId="0">
      <alignment horizontal="left"/>
    </xf>
    <xf numFmtId="171" fontId="40" fillId="29" borderId="9" applyAlignment="1" pivotButton="0" quotePrefix="0" xfId="0">
      <alignment horizontal="left"/>
    </xf>
    <xf numFmtId="171" fontId="40" fillId="29" borderId="10" applyAlignment="1" pivotButton="0" quotePrefix="0" xfId="0">
      <alignment horizontal="left"/>
    </xf>
    <xf numFmtId="171" fontId="40" fillId="29" borderId="0" applyAlignment="1" pivotButton="0" quotePrefix="0" xfId="0">
      <alignment horizontal="left"/>
    </xf>
    <xf numFmtId="171" fontId="40" fillId="29" borderId="11" applyAlignment="1" pivotButton="0" quotePrefix="0" xfId="0">
      <alignment horizontal="left"/>
    </xf>
    <xf numFmtId="182" fontId="0" fillId="0" borderId="0" pivotButton="0" quotePrefix="0" xfId="0"/>
    <xf numFmtId="173" fontId="0" fillId="0" borderId="0" pivotButton="0" quotePrefix="0" xfId="0"/>
    <xf numFmtId="169" fontId="0" fillId="0" borderId="0" pivotButton="0" quotePrefix="0" xfId="0"/>
    <xf numFmtId="0" fontId="54" fillId="69" borderId="0" pivotButton="0" quotePrefix="0" xfId="0"/>
    <xf numFmtId="0" fontId="55" fillId="70" borderId="0" applyAlignment="1" pivotButton="0" quotePrefix="0" xfId="0">
      <alignment horizontal="center" wrapText="1"/>
    </xf>
    <xf numFmtId="0" fontId="55" fillId="71" borderId="0" applyAlignment="1" pivotButton="0" quotePrefix="0" xfId="0">
      <alignment horizontal="center" wrapText="1"/>
    </xf>
    <xf numFmtId="0" fontId="56" fillId="0" borderId="0" pivotButton="0" quotePrefix="0" xfId="0"/>
    <xf numFmtId="0" fontId="56" fillId="67" borderId="35" applyAlignment="1" pivotButton="0" quotePrefix="0" xfId="0">
      <alignment horizontal="center" vertical="center" wrapText="1"/>
    </xf>
    <xf numFmtId="0" fontId="56" fillId="70" borderId="35" applyAlignment="1" pivotButton="0" quotePrefix="0" xfId="0">
      <alignment horizontal="center" vertical="center" wrapText="1"/>
    </xf>
    <xf numFmtId="0" fontId="56" fillId="71" borderId="35" applyAlignment="1" pivotButton="0" quotePrefix="0" xfId="0">
      <alignment horizontal="center" vertical="center" wrapText="1"/>
    </xf>
    <xf numFmtId="0" fontId="56" fillId="67" borderId="0" applyAlignment="1" pivotButton="0" quotePrefix="0" xfId="0">
      <alignment horizontal="center" vertical="center" wrapText="1"/>
    </xf>
    <xf numFmtId="164" fontId="56" fillId="0" borderId="35" applyAlignment="1" pivotButton="0" quotePrefix="0" xfId="0">
      <alignment horizontal="center" wrapText="1"/>
    </xf>
    <xf numFmtId="164" fontId="56" fillId="70" borderId="35" applyAlignment="1" pivotButton="0" quotePrefix="0" xfId="0">
      <alignment horizontal="center" wrapText="1"/>
    </xf>
    <xf numFmtId="164" fontId="56" fillId="71" borderId="35" applyAlignment="1" pivotButton="0" quotePrefix="0" xfId="0">
      <alignment horizontal="center" wrapText="1"/>
    </xf>
    <xf numFmtId="0" fontId="57" fillId="72" borderId="0" applyAlignment="1" pivotButton="0" quotePrefix="0" xfId="0">
      <alignment horizontal="left"/>
    </xf>
    <xf numFmtId="164" fontId="57" fillId="0" borderId="0" pivotButton="0" quotePrefix="0" xfId="0"/>
    <xf numFmtId="164" fontId="57" fillId="70" borderId="0" pivotButton="0" quotePrefix="0" xfId="0"/>
    <xf numFmtId="164" fontId="57" fillId="71" borderId="0" pivotButton="0" quotePrefix="0" xfId="0"/>
    <xf numFmtId="164" fontId="57" fillId="73" borderId="0" pivotButton="0" quotePrefix="0" xfId="0"/>
    <xf numFmtId="164" fontId="57" fillId="61" borderId="0" pivotButton="0" quotePrefix="0" xfId="0"/>
    <xf numFmtId="164" fontId="57" fillId="74" borderId="0" pivotButton="0" quotePrefix="0" xfId="0"/>
    <xf numFmtId="0" fontId="57" fillId="65" borderId="0" applyAlignment="1" pivotButton="0" quotePrefix="0" xfId="0">
      <alignment horizontal="left"/>
    </xf>
    <xf numFmtId="164" fontId="57" fillId="65" borderId="0" pivotButton="0" quotePrefix="0" xfId="0"/>
    <xf numFmtId="0" fontId="57" fillId="70" borderId="0" applyAlignment="1" pivotButton="0" quotePrefix="0" xfId="0">
      <alignment horizontal="left"/>
    </xf>
    <xf numFmtId="0" fontId="57" fillId="72" borderId="35" applyAlignment="1" pivotButton="0" quotePrefix="0" xfId="0">
      <alignment horizontal="left"/>
    </xf>
    <xf numFmtId="164" fontId="57" fillId="73" borderId="35" pivotButton="0" quotePrefix="0" xfId="0"/>
    <xf numFmtId="164" fontId="57" fillId="61" borderId="35" pivotButton="0" quotePrefix="0" xfId="0"/>
    <xf numFmtId="164" fontId="57" fillId="74" borderId="35" pivotButton="0" quotePrefix="0" xfId="0"/>
    <xf numFmtId="164" fontId="57" fillId="70" borderId="35" pivotButton="0" quotePrefix="0" xfId="0"/>
    <xf numFmtId="164" fontId="56" fillId="73" borderId="0" pivotButton="0" quotePrefix="0" xfId="0"/>
    <xf numFmtId="164" fontId="56" fillId="70" borderId="0" pivotButton="0" quotePrefix="0" xfId="0"/>
    <xf numFmtId="0" fontId="56" fillId="61" borderId="0" applyAlignment="1" pivotButton="0" quotePrefix="0" xfId="0">
      <alignment horizontal="right"/>
    </xf>
    <xf numFmtId="0" fontId="58" fillId="0" borderId="0" applyAlignment="1" pivotButton="0" quotePrefix="0" xfId="0">
      <alignment horizontal="center" wrapText="1"/>
    </xf>
    <xf numFmtId="0" fontId="54" fillId="75" borderId="36" pivotButton="0" quotePrefix="0" xfId="0"/>
    <xf numFmtId="0" fontId="54" fillId="75" borderId="49" pivotButton="0" quotePrefix="0" xfId="0"/>
    <xf numFmtId="0" fontId="59" fillId="75" borderId="49" pivotButton="0" quotePrefix="0" xfId="0"/>
    <xf numFmtId="0" fontId="59" fillId="75" borderId="37" pivotButton="0" quotePrefix="0" xfId="0"/>
    <xf numFmtId="0" fontId="60" fillId="76" borderId="36" pivotButton="0" quotePrefix="0" xfId="0"/>
    <xf numFmtId="0" fontId="59" fillId="76" borderId="49" pivotButton="0" quotePrefix="0" xfId="0"/>
    <xf numFmtId="0" fontId="59" fillId="76" borderId="37" pivotButton="0" quotePrefix="0" xfId="0"/>
    <xf numFmtId="0" fontId="59" fillId="77" borderId="50" pivotButton="0" quotePrefix="0" xfId="0"/>
    <xf numFmtId="0" fontId="56" fillId="72" borderId="35" pivotButton="0" quotePrefix="0" xfId="0"/>
    <xf numFmtId="0" fontId="56" fillId="0" borderId="35" applyAlignment="1" pivotButton="0" quotePrefix="0" xfId="0">
      <alignment horizontal="center" vertical="center" wrapText="1"/>
    </xf>
    <xf numFmtId="0" fontId="56" fillId="0" borderId="0" applyAlignment="1" pivotButton="0" quotePrefix="0" xfId="0">
      <alignment horizontal="center" vertical="center" wrapText="1"/>
    </xf>
    <xf numFmtId="0" fontId="56" fillId="78" borderId="0" applyAlignment="1" pivotButton="0" quotePrefix="0" xfId="0">
      <alignment horizontal="center" vertical="center" wrapText="1"/>
    </xf>
    <xf numFmtId="0" fontId="56" fillId="0" borderId="38" applyAlignment="1" pivotButton="0" quotePrefix="0" xfId="0">
      <alignment horizontal="center" vertical="center" wrapText="1"/>
    </xf>
    <xf numFmtId="0" fontId="56" fillId="0" borderId="39" applyAlignment="1" pivotButton="0" quotePrefix="0" xfId="0">
      <alignment horizontal="center" vertical="center" wrapText="1"/>
    </xf>
    <xf numFmtId="0" fontId="56" fillId="0" borderId="51" applyAlignment="1" pivotButton="0" quotePrefix="0" xfId="0">
      <alignment horizontal="center" vertical="center" wrapText="1"/>
    </xf>
    <xf numFmtId="164" fontId="57" fillId="78" borderId="0" pivotButton="0" quotePrefix="0" xfId="0"/>
    <xf numFmtId="164" fontId="57" fillId="0" borderId="38" pivotButton="0" quotePrefix="0" xfId="0"/>
    <xf numFmtId="164" fontId="57" fillId="0" borderId="39" pivotButton="0" quotePrefix="0" xfId="0"/>
    <xf numFmtId="43" fontId="57" fillId="0" borderId="51" pivotButton="0" quotePrefix="0" xfId="0"/>
    <xf numFmtId="0" fontId="57" fillId="73" borderId="0" applyAlignment="1" pivotButton="0" quotePrefix="0" xfId="0">
      <alignment horizontal="left"/>
    </xf>
    <xf numFmtId="43" fontId="57" fillId="77" borderId="51" pivotButton="0" quotePrefix="0" xfId="0"/>
    <xf numFmtId="0" fontId="57" fillId="79" borderId="0" applyAlignment="1" pivotButton="0" quotePrefix="0" xfId="0">
      <alignment horizontal="left"/>
    </xf>
    <xf numFmtId="164" fontId="57" fillId="79" borderId="0" pivotButton="0" quotePrefix="0" xfId="0"/>
    <xf numFmtId="43" fontId="57" fillId="78" borderId="0" pivotButton="0" quotePrefix="0" xfId="0"/>
    <xf numFmtId="43" fontId="57" fillId="0" borderId="38" pivotButton="0" quotePrefix="0" xfId="0"/>
    <xf numFmtId="43" fontId="57" fillId="0" borderId="0" applyAlignment="1" pivotButton="0" quotePrefix="0" xfId="0">
      <alignment horizontal="left" indent="2"/>
    </xf>
    <xf numFmtId="43" fontId="57" fillId="0" borderId="40" pivotButton="0" quotePrefix="0" xfId="0"/>
    <xf numFmtId="164" fontId="57" fillId="0" borderId="52" pivotButton="0" quotePrefix="0" xfId="0"/>
    <xf numFmtId="43" fontId="57" fillId="0" borderId="52" pivotButton="0" quotePrefix="0" xfId="0"/>
    <xf numFmtId="164" fontId="57" fillId="0" borderId="41" pivotButton="0" quotePrefix="0" xfId="0"/>
    <xf numFmtId="43" fontId="57" fillId="0" borderId="53" pivotButton="0" quotePrefix="0" xfId="0"/>
    <xf numFmtId="164" fontId="56" fillId="0" borderId="0" pivotButton="0" quotePrefix="0" xfId="0"/>
    <xf numFmtId="43" fontId="57" fillId="0" borderId="0" pivotButton="0" quotePrefix="0" xfId="0"/>
    <xf numFmtId="164" fontId="57" fillId="0" borderId="0" applyAlignment="1" pivotButton="0" quotePrefix="0" xfId="0">
      <alignment horizontal="right"/>
    </xf>
    <xf numFmtId="164" fontId="57" fillId="0" borderId="35" pivotButton="0" quotePrefix="0" xfId="0"/>
    <xf numFmtId="0" fontId="56" fillId="0" borderId="0" applyAlignment="1" pivotButton="0" quotePrefix="0" xfId="0">
      <alignment horizontal="right"/>
    </xf>
    <xf numFmtId="0" fontId="57" fillId="78" borderId="0" pivotButton="0" quotePrefix="0" xfId="0"/>
    <xf numFmtId="0" fontId="56" fillId="78" borderId="0" applyAlignment="1" pivotButton="0" quotePrefix="0" xfId="0">
      <alignment horizontal="right"/>
    </xf>
    <xf numFmtId="0" fontId="56" fillId="78" borderId="0" pivotButton="0" quotePrefix="0" xfId="0"/>
    <xf numFmtId="169" fontId="20" fillId="31" borderId="11" pivotButton="0" quotePrefix="0" xfId="0"/>
    <xf numFmtId="169" fontId="20" fillId="29" borderId="13" pivotButton="0" quotePrefix="0" xfId="0"/>
    <xf numFmtId="169" fontId="37" fillId="53" borderId="9" pivotButton="0" quotePrefix="0" xfId="0"/>
    <xf numFmtId="169" fontId="37" fillId="53" borderId="11" pivotButton="0" quotePrefix="0" xfId="0"/>
    <xf numFmtId="169" fontId="37" fillId="57" borderId="11" pivotButton="0" quotePrefix="0" xfId="0"/>
    <xf numFmtId="169" fontId="37" fillId="53" borderId="13" pivotButton="0" quotePrefix="0" xfId="0"/>
    <xf numFmtId="181" fontId="34" fillId="0" borderId="0" pivotButton="0" quotePrefix="0" xfId="0"/>
    <xf numFmtId="171" fontId="13" fillId="22" borderId="6" applyAlignment="1" pivotButton="0" quotePrefix="0" xfId="5">
      <alignment horizontal="center" vertical="center" wrapText="1"/>
    </xf>
    <xf numFmtId="171" fontId="13" fillId="22" borderId="6" applyAlignment="1" pivotButton="0" quotePrefix="0" xfId="0">
      <alignment horizontal="center" vertical="center" wrapText="1"/>
    </xf>
    <xf numFmtId="172" fontId="13" fillId="22" borderId="6" applyAlignment="1" pivotButton="0" quotePrefix="0" xfId="5">
      <alignment horizontal="center" vertical="center" wrapText="1"/>
    </xf>
    <xf numFmtId="171" fontId="13" fillId="0" borderId="6" applyAlignment="1" pivotButton="0" quotePrefix="0" xfId="5">
      <alignment horizontal="center" vertical="center" wrapText="1"/>
    </xf>
    <xf numFmtId="171" fontId="14" fillId="22" borderId="6" pivotButton="0" quotePrefix="0" xfId="0"/>
    <xf numFmtId="171" fontId="0" fillId="0" borderId="0" pivotButton="0" quotePrefix="0" xfId="0"/>
    <xf numFmtId="172" fontId="0" fillId="0" borderId="0" pivotButton="0" quotePrefix="0" xfId="0"/>
    <xf numFmtId="170" fontId="13" fillId="22" borderId="6" applyAlignment="1" pivotButton="0" quotePrefix="0" xfId="2">
      <alignment horizontal="center" vertical="center" wrapText="1"/>
    </xf>
    <xf numFmtId="169" fontId="0" fillId="0" borderId="0" pivotButton="0" quotePrefix="0" xfId="2"/>
    <xf numFmtId="169" fontId="0" fillId="11" borderId="0" applyAlignment="1" pivotButton="0" quotePrefix="0" xfId="2">
      <alignment horizontal="left"/>
    </xf>
    <xf numFmtId="169" fontId="0" fillId="0" borderId="0" applyAlignment="1" pivotButton="0" quotePrefix="0" xfId="2">
      <alignment horizontal="left"/>
    </xf>
    <xf numFmtId="169" fontId="4" fillId="0" borderId="0" applyAlignment="1" pivotButton="0" quotePrefix="0" xfId="2">
      <alignment horizontal="right"/>
    </xf>
    <xf numFmtId="169" fontId="4" fillId="0" borderId="0" applyAlignment="1" pivotButton="0" quotePrefix="0" xfId="2">
      <alignment horizontal="center"/>
    </xf>
    <xf numFmtId="169" fontId="1" fillId="0" borderId="0" applyAlignment="1" pivotButton="0" quotePrefix="0" xfId="2">
      <alignment horizontal="center" wrapText="1"/>
    </xf>
    <xf numFmtId="166" fontId="4" fillId="0" borderId="0" pivotButton="0" quotePrefix="0" xfId="2"/>
    <xf numFmtId="170" fontId="0" fillId="40" borderId="33" pivotButton="0" quotePrefix="0" xfId="2"/>
    <xf numFmtId="169" fontId="0" fillId="40" borderId="33" pivotButton="0" quotePrefix="0" xfId="2"/>
    <xf numFmtId="180" fontId="0" fillId="40" borderId="33" pivotButton="0" quotePrefix="0" xfId="2"/>
    <xf numFmtId="174" fontId="0" fillId="0" borderId="0" pivotButton="0" quotePrefix="0" xfId="0"/>
    <xf numFmtId="170" fontId="0" fillId="0" borderId="33" pivotButton="0" quotePrefix="0" xfId="2"/>
    <xf numFmtId="169" fontId="0" fillId="0" borderId="33" pivotButton="0" quotePrefix="0" xfId="2"/>
    <xf numFmtId="170" fontId="0" fillId="0" borderId="31" pivotButton="0" quotePrefix="0" xfId="2"/>
    <xf numFmtId="169" fontId="0" fillId="0" borderId="31" pivotButton="0" quotePrefix="0" xfId="2"/>
  </cellXfs>
  <cellStyles count="6">
    <cellStyle name="Normal" xfId="0" builtinId="0"/>
    <cellStyle name="Comma" xfId="1" builtinId="3"/>
    <cellStyle name="Percent" xfId="2" builtinId="5"/>
    <cellStyle name="Percent 2" xfId="3"/>
    <cellStyle name="Comma 2 2" xfId="4"/>
    <cellStyle name="Currency 2" xfId="5"/>
  </cellStyles>
  <dxfs count="30">
    <dxf>
      <numFmt numFmtId="164" formatCode="_(* #,##0_);_(* \(#,##0\);_(* &quot;-&quot;??_);_(@_)"/>
    </dxf>
    <dxf>
      <alignment horizontal="center"/>
    </dxf>
    <dxf>
      <numFmt numFmtId="164" formatCode="_(* #,##0_);_(* \(#,##0\);_(* &quot;-&quot;??_);_(@_)"/>
    </dxf>
    <dxf>
      <alignment horizontal="center"/>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alignment horizontal="center"/>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9" formatCode="m/d/yyyy"/>
    </dxf>
    <dxf>
      <numFmt numFmtId="19" formatCode="m/d/yyyy"/>
    </dxf>
    <dxf>
      <numFmt numFmtId="19" formatCode="m/d/yyyy"/>
    </dxf>
    <dxf>
      <numFmt numFmtId="164" formatCode="_(* #,##0_);_(* \(#,##0\);_(* &quot;-&quot;??_);_(@_)"/>
    </dxf>
    <dxf>
      <numFmt numFmtId="164" formatCode="_(* #,##0_);_(* \(#,##0\);_(* &quot;-&quot;??_);_(@_)"/>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Relationships xmlns="http://schemas.openxmlformats.org/package/2006/relationships"></Relationships>
</file>

<file path=xl/worksheets/_rels/sheet4.xml.rels><Relationships xmlns="http://schemas.openxmlformats.org/package/2006/relationships"></Relationships>
</file>

<file path=xl/worksheets/_rels/sheet5.xml.rels><Relationships xmlns="http://schemas.openxmlformats.org/package/2006/relationships"></Relationships>
</file>

<file path=xl/worksheets/_rels/sheet6.xml.rels><Relationships xmlns="http://schemas.openxmlformats.org/package/2006/relationships"></Relationships>
</file>

<file path=xl/worksheets/_rels/sheet11.xml.rels><Relationships xmlns="http://schemas.openxmlformats.org/package/2006/relationships"></Relationships>
</file>

<file path=xl/worksheets/_rels/sheet15.xml.rels><Relationships xmlns="http://schemas.openxmlformats.org/package/2006/relationships"></Relationships>
</file>

<file path=xl/worksheets/sheet1.xml><?xml version="1.0" encoding="utf-8"?>
<worksheet xmlns="http://schemas.openxmlformats.org/spreadsheetml/2006/main">
  <sheetPr>
    <tabColor theme="9" tint="0.3999755851924192"/>
    <outlinePr summaryBelow="1" summaryRight="1"/>
    <pageSetUpPr/>
  </sheetPr>
  <dimension ref="A1:K770"/>
  <sheetViews>
    <sheetView tabSelected="0" workbookViewId="0">
      <selection activeCell="A1" sqref="A1"/>
    </sheetView>
  </sheetViews>
  <sheetFormatPr baseColWidth="8" defaultRowHeight="14.5"/>
  <cols>
    <col width="78.81640625" bestFit="1" customWidth="1" style="759" min="1" max="1"/>
    <col width="26.54296875" customWidth="1" style="759" min="2" max="2"/>
    <col width="55.54296875" bestFit="1" customWidth="1" style="759" min="4" max="4"/>
    <col width="75.7265625" bestFit="1" customWidth="1" style="759" min="5" max="5"/>
    <col width="26.54296875" customWidth="1" style="759" min="6" max="6"/>
    <col width="39.54296875" bestFit="1" customWidth="1" style="759" min="7" max="7"/>
    <col width="14.7265625" bestFit="1" customWidth="1" style="759" min="8" max="8"/>
    <col width="83.26953125" bestFit="1" customWidth="1" style="759" min="10" max="10"/>
    <col width="11.54296875" bestFit="1" customWidth="1" style="759" min="11" max="11"/>
  </cols>
  <sheetData>
    <row r="1">
      <c r="A1" s="830" t="inlineStr">
        <is>
          <t>Summary close details for Legacy Knight</t>
        </is>
      </c>
    </row>
    <row r="2">
      <c r="A2" s="830" t="n"/>
    </row>
    <row r="3" ht="29" customHeight="1" s="759">
      <c r="A3" s="831" t="inlineStr">
        <is>
          <t>Partner Name</t>
        </is>
      </c>
      <c r="B3" s="832" t="inlineStr">
        <is>
          <t>Total Contribution - Investments</t>
        </is>
      </c>
      <c r="C3" s="832" t="inlineStr">
        <is>
          <t>Total Contributions - Management Fees</t>
        </is>
      </c>
      <c r="D3" s="832" t="inlineStr">
        <is>
          <t>Total Interest - Contributions (Investment)</t>
        </is>
      </c>
      <c r="E3" s="832" t="inlineStr">
        <is>
          <t>Total Interest - Contributions (Management Fees)</t>
        </is>
      </c>
      <c r="F3" s="832" t="inlineStr">
        <is>
          <t>Total Call</t>
        </is>
      </c>
    </row>
    <row r="4">
      <c r="A4" t="inlineStr">
        <is>
          <t>Legacy Knight Strategic Opportunities Fund LLC - CL Rail Series</t>
        </is>
      </c>
      <c r="B4" s="833">
        <f>'Subsequent Close'!T82-'Subsequent Close'!M82+'Subsequent Close'!W82-'Subsequent Close'!P82+'Subsequent Close'!X82-'Subsequent Close'!Q82</f>
        <v/>
      </c>
      <c r="C4" s="833">
        <f>'Subsequent Close - OLD B4 25k'!U82</f>
        <v/>
      </c>
      <c r="D4" s="833">
        <f>-'Closing Interest'!O25</f>
        <v/>
      </c>
      <c r="E4" s="833">
        <f>-'Management Fees - New Investor'!M20</f>
        <v/>
      </c>
      <c r="F4" s="833">
        <f>SUM(B4:E4)</f>
        <v/>
      </c>
    </row>
    <row r="5">
      <c r="A5" t="inlineStr">
        <is>
          <t>James Bloomingdale</t>
        </is>
      </c>
      <c r="B5" s="833">
        <f>'Subsequent Close'!T85+'Subsequent Close'!W85+'Subsequent Close'!X85</f>
        <v/>
      </c>
      <c r="C5" s="833">
        <f>'Subsequent Close'!U85</f>
        <v/>
      </c>
      <c r="D5" s="833">
        <f>-'Closing Interest'!O26</f>
        <v/>
      </c>
      <c r="E5" s="833">
        <f>-'Management Fees - New Investor'!M34</f>
        <v/>
      </c>
      <c r="F5" s="833">
        <f>SUM(B5:E5)</f>
        <v/>
      </c>
    </row>
    <row r="6">
      <c r="A6" s="834" t="inlineStr">
        <is>
          <t>Total Call</t>
        </is>
      </c>
      <c r="B6" s="835">
        <f>SUM(B4:B5)</f>
        <v/>
      </c>
      <c r="C6" s="835">
        <f>SUM(C4:C5)</f>
        <v/>
      </c>
      <c r="D6" s="835">
        <f>SUM(D4:D5)</f>
        <v/>
      </c>
      <c r="E6" s="835">
        <f>SUM(E4:E5)</f>
        <v/>
      </c>
      <c r="F6" s="835">
        <f>SUM(F4:F5)</f>
        <v/>
      </c>
    </row>
    <row r="7"/>
    <row r="8">
      <c r="A8" s="836" t="inlineStr">
        <is>
          <t>Checking</t>
        </is>
      </c>
      <c r="B8" s="837" t="n"/>
      <c r="C8" s="837" t="n"/>
      <c r="D8" s="837" t="n"/>
      <c r="E8" s="837" t="n"/>
    </row>
    <row r="9">
      <c r="A9" s="838" t="inlineStr">
        <is>
          <t>Difference from supporting workpapers (closing interest and management fee tabs)</t>
        </is>
      </c>
      <c r="B9" s="839">
        <f>B6+'Closing Interest'!O18</f>
        <v/>
      </c>
      <c r="C9" s="839">
        <f>C6-'Subsequent Close'!U86</f>
        <v/>
      </c>
      <c r="D9" s="839">
        <f>D6+'Closing Interest'!O29</f>
        <v/>
      </c>
      <c r="E9" s="839">
        <f>E6+'Management Fees - New Investor'!M20+'Management Fees - New Investor'!M34</f>
        <v/>
      </c>
    </row>
    <row r="10"/>
    <row r="11" ht="15" customHeight="1" s="759">
      <c r="A11" s="840" t="inlineStr">
        <is>
          <t>Legacy Knight</t>
        </is>
      </c>
      <c r="B11" s="841" t="n"/>
    </row>
    <row r="12">
      <c r="A12" s="842" t="inlineStr">
        <is>
          <t>Total contributed at rebalance date:</t>
        </is>
      </c>
      <c r="B12" s="843">
        <f>'Subsequent Close'!R86</f>
        <v/>
      </c>
    </row>
    <row r="13">
      <c r="A13" s="844" t="inlineStr">
        <is>
          <t>Total management fee contributions - other investors</t>
        </is>
      </c>
      <c r="B13" s="845">
        <f>-'Subsequent Close'!N86</f>
        <v/>
      </c>
    </row>
    <row r="14">
      <c r="A14" s="846" t="inlineStr">
        <is>
          <t>Total Investment Contributions for rebalance</t>
        </is>
      </c>
      <c r="B14" s="845">
        <f>SUM(B12:B13)</f>
        <v/>
      </c>
    </row>
    <row r="15">
      <c r="A15" s="844" t="n"/>
      <c r="B15" s="847">
        <f>'Subsequent Close'!I82-'Subsequent Close'!H82</f>
        <v/>
      </c>
    </row>
    <row r="16" ht="15" customHeight="1" s="759">
      <c r="A16" s="848" t="inlineStr">
        <is>
          <t>Total Investment Contribution by Legacy Knight:</t>
        </is>
      </c>
      <c r="B16" s="849">
        <f>B15*B14</f>
        <v/>
      </c>
    </row>
    <row r="17"/>
    <row r="18" ht="15" customHeight="1" s="759">
      <c r="A18" s="840" t="inlineStr">
        <is>
          <t>James Bloomingdale</t>
        </is>
      </c>
      <c r="B18" s="841" t="n"/>
    </row>
    <row r="19">
      <c r="A19" s="842" t="inlineStr">
        <is>
          <t>Total contributed at rebalance date:</t>
        </is>
      </c>
      <c r="B19" s="843">
        <f>B12</f>
        <v/>
      </c>
    </row>
    <row r="20">
      <c r="A20" s="844" t="inlineStr">
        <is>
          <t>Total management fee contributions - other investors</t>
        </is>
      </c>
      <c r="B20" s="845">
        <f>B13</f>
        <v/>
      </c>
    </row>
    <row r="21">
      <c r="A21" s="846" t="inlineStr">
        <is>
          <t>Total Investment Contributions for rebalance</t>
        </is>
      </c>
      <c r="B21" s="845">
        <f>SUM(B19:B20)</f>
        <v/>
      </c>
    </row>
    <row r="22">
      <c r="A22" s="844" t="n"/>
      <c r="B22" s="847">
        <f>'Subsequent Close'!I85</f>
        <v/>
      </c>
    </row>
    <row r="23" ht="15" customHeight="1" s="759">
      <c r="A23" s="848" t="inlineStr">
        <is>
          <t>Total Investment Contribution by James Bloomingdale</t>
        </is>
      </c>
      <c r="B23" s="849">
        <f>B22*B21</f>
        <v/>
      </c>
      <c r="C23" s="850" t="n"/>
    </row>
    <row r="24">
      <c r="B24" s="833" t="n"/>
    </row>
    <row r="25"/>
    <row r="26">
      <c r="A26" s="851" t="inlineStr">
        <is>
          <t>JE# LC05282601</t>
        </is>
      </c>
      <c r="B26" s="851" t="inlineStr">
        <is>
          <t>Date</t>
        </is>
      </c>
      <c r="C26" s="852" t="n">
        <v>46147</v>
      </c>
    </row>
    <row r="27" ht="15" customHeight="1" s="759">
      <c r="A27" s="853" t="inlineStr">
        <is>
          <t>Account#</t>
        </is>
      </c>
      <c r="B27" s="854" t="inlineStr">
        <is>
          <t>Debit</t>
        </is>
      </c>
      <c r="C27" s="854" t="inlineStr">
        <is>
          <t>Credit</t>
        </is>
      </c>
      <c r="D27" s="854" t="inlineStr">
        <is>
          <t>Memo</t>
        </is>
      </c>
      <c r="E27" s="855" t="inlineStr">
        <is>
          <t>Investor</t>
        </is>
      </c>
    </row>
    <row r="28">
      <c r="A28" s="856" t="inlineStr">
        <is>
          <t>301200 Contributions:Contribution - Investment</t>
        </is>
      </c>
      <c r="B28" s="833" t="n"/>
      <c r="C28" s="833">
        <f>ROUND(-'Subsequent Close'!T82+'Subsequent Close'!M82,2)</f>
        <v/>
      </c>
      <c r="D28" s="857" t="inlineStr">
        <is>
          <t>To record contribution - investment for Legacy Knight dtd 5/5/26</t>
        </is>
      </c>
      <c r="E28" s="858" t="inlineStr">
        <is>
          <t>Legacy Knight Strategic Opportunities Fund LLC - CL Rail Series</t>
        </is>
      </c>
    </row>
    <row r="29">
      <c r="A29" s="856" t="inlineStr">
        <is>
          <t>301300 Contributions:Contribution - Mgmt Fees</t>
        </is>
      </c>
      <c r="B29" s="833" t="n"/>
      <c r="C29" s="833">
        <f>ROUND(+'Subsequent Close'!N82-'Subsequent Close'!U82-'Subsequent Close'!V82,2)</f>
        <v/>
      </c>
      <c r="D29" s="857" t="inlineStr">
        <is>
          <t>To record contribution - management fee for Legacy Knight dtd 5/5/26</t>
        </is>
      </c>
      <c r="E29" s="858" t="inlineStr">
        <is>
          <t>Legacy Knight Strategic Opportunities Fund LLC - CL Rail Series</t>
        </is>
      </c>
    </row>
    <row r="30">
      <c r="A30" s="856" t="inlineStr">
        <is>
          <t>301800 Contributions:Contribution - Org Exp</t>
        </is>
      </c>
      <c r="B30" s="833" t="n"/>
      <c r="C30" s="833">
        <f>ROUND(+'Subsequent Close'!P82-'Subsequent Close'!W82,2)</f>
        <v/>
      </c>
      <c r="D30" s="857" t="inlineStr">
        <is>
          <t>To record contribution - org exp for Legacy Knight dtd 5/5/26</t>
        </is>
      </c>
      <c r="E30" s="858" t="inlineStr">
        <is>
          <t>Legacy Knight Strategic Opportunities Fund LLC - CL Rail Series</t>
        </is>
      </c>
    </row>
    <row r="31">
      <c r="A31" s="856" t="inlineStr">
        <is>
          <t>301100 Contributions:Contribution - General</t>
        </is>
      </c>
      <c r="B31" s="833" t="n"/>
      <c r="C31" s="833">
        <f>ROUND(+'Subsequent Close'!Q82-'Subsequent Close'!X82,2)</f>
        <v/>
      </c>
      <c r="D31" s="857" t="inlineStr">
        <is>
          <t>To record contribution - General for Legacy Knight dtd 5/5/26</t>
        </is>
      </c>
      <c r="E31" s="858" t="inlineStr">
        <is>
          <t>Legacy Knight Strategic Opportunities Fund LLC - CL Rail Series</t>
        </is>
      </c>
    </row>
    <row r="32">
      <c r="A32" s="856" t="inlineStr">
        <is>
          <t>210700 Payable - Other</t>
        </is>
      </c>
      <c r="B32" s="833" t="n"/>
      <c r="C32" s="833">
        <f>ROUND(+'Subsequent Close'!AS82,2)</f>
        <v/>
      </c>
      <c r="D32" s="857" t="inlineStr">
        <is>
          <t>To record payments re interest payable for Equalization distribution for Legacy Knight dtd 5/5/26</t>
        </is>
      </c>
      <c r="E32" s="858" t="inlineStr">
        <is>
          <t>Legacy Knight Strategic Opportunities Fund LLC - CL Rail Series</t>
        </is>
      </c>
    </row>
    <row r="33">
      <c r="A33" s="856" t="inlineStr">
        <is>
          <t>210700 Payable - Other</t>
        </is>
      </c>
      <c r="B33" s="833" t="n"/>
      <c r="C33" s="833">
        <f>ROUND(+'Subsequent Close'!BA82,2)</f>
        <v/>
      </c>
      <c r="D33" s="857" t="inlineStr">
        <is>
          <t>To record payments re interest payable for management fee due to subsequent closing for Legacy Knight dtd 5/5/26</t>
        </is>
      </c>
      <c r="E33" s="858" t="inlineStr">
        <is>
          <t>Legacy Knight Strategic Opportunities Fund LLC - CL Rail Series</t>
        </is>
      </c>
    </row>
    <row r="34">
      <c r="A34" s="856" t="inlineStr">
        <is>
          <t>12000 Accounts Receivable</t>
        </is>
      </c>
      <c r="B34" s="833">
        <f>SUM(C28:C33)</f>
        <v/>
      </c>
      <c r="C34" s="833" t="n"/>
      <c r="D34" s="857" t="inlineStr">
        <is>
          <t>To record cash received from Legacy Knight dtd 5/5/26</t>
        </is>
      </c>
      <c r="E34" s="858" t="inlineStr">
        <is>
          <t>Legacy Knight Strategic Opportunities Fund LLC - CL Rail Series</t>
        </is>
      </c>
    </row>
    <row r="35"/>
    <row r="36">
      <c r="B36" s="833" t="n"/>
      <c r="C36" s="833" t="n"/>
    </row>
    <row r="37">
      <c r="B37" s="833" t="n"/>
      <c r="C37" s="833" t="n"/>
    </row>
    <row r="38">
      <c r="A38" s="851" t="inlineStr">
        <is>
          <t>JE# LC05282602</t>
        </is>
      </c>
      <c r="B38" s="851" t="inlineStr">
        <is>
          <t>Date</t>
        </is>
      </c>
      <c r="C38" s="852" t="n">
        <v>46147</v>
      </c>
    </row>
    <row r="39" ht="15" customHeight="1" s="759">
      <c r="A39" s="853" t="inlineStr">
        <is>
          <t>Account#</t>
        </is>
      </c>
      <c r="B39" s="854" t="inlineStr">
        <is>
          <t>Debit</t>
        </is>
      </c>
      <c r="C39" s="854" t="inlineStr">
        <is>
          <t>Credit</t>
        </is>
      </c>
      <c r="D39" s="854" t="inlineStr">
        <is>
          <t>Memo</t>
        </is>
      </c>
      <c r="E39" s="855" t="inlineStr">
        <is>
          <t>Investor</t>
        </is>
      </c>
    </row>
    <row r="40">
      <c r="A40" s="856" t="inlineStr">
        <is>
          <t>301200 Contributions:Contribution - Investment</t>
        </is>
      </c>
      <c r="B40" s="833" t="n"/>
      <c r="C40" s="833">
        <f>ROUND(-'Subsequent Close'!T85,2)</f>
        <v/>
      </c>
      <c r="D40" s="857" t="inlineStr">
        <is>
          <t>To record contribution - investment for James Bloomingdale dtd 5/5/26</t>
        </is>
      </c>
      <c r="E40" s="858" t="inlineStr">
        <is>
          <t>James Bloomingdale</t>
        </is>
      </c>
    </row>
    <row r="41">
      <c r="A41" s="856" t="inlineStr">
        <is>
          <t>301300 Contributions:Contribution - Mgmt Fees</t>
        </is>
      </c>
      <c r="B41" s="833" t="n"/>
      <c r="C41" s="833">
        <f>ROUND(-'Subsequent Close'!U85,2)</f>
        <v/>
      </c>
      <c r="D41" s="857" t="inlineStr">
        <is>
          <t>To record contribution - management fee for James Bloomingdale dtd 5/5/26</t>
        </is>
      </c>
      <c r="E41" s="858" t="inlineStr">
        <is>
          <t>James Bloomingdale</t>
        </is>
      </c>
    </row>
    <row r="42">
      <c r="A42" s="856" t="inlineStr">
        <is>
          <t>301800 Contributions:Contribution - Org Exp</t>
        </is>
      </c>
      <c r="B42" s="833" t="n"/>
      <c r="C42" s="833">
        <f>ROUND(-'Subsequent Close'!W85,2)</f>
        <v/>
      </c>
      <c r="D42" s="857" t="inlineStr">
        <is>
          <t>To record contribution - org exp for James Bloomingdale dtd 5/5/26</t>
        </is>
      </c>
      <c r="E42" s="858" t="inlineStr">
        <is>
          <t>James Bloomingdale</t>
        </is>
      </c>
    </row>
    <row r="43">
      <c r="A43" s="856" t="inlineStr">
        <is>
          <t>301100 Contributions:Contribution - General</t>
        </is>
      </c>
      <c r="B43" s="833" t="n"/>
      <c r="C43" s="833">
        <f>ROUND(-'Subsequent Close'!X85,2)</f>
        <v/>
      </c>
      <c r="D43" s="857" t="inlineStr">
        <is>
          <t>To record contribution - General for James Bloomingdale dtd 5/5/26</t>
        </is>
      </c>
      <c r="E43" s="858" t="inlineStr">
        <is>
          <t>James Bloomingdale</t>
        </is>
      </c>
    </row>
    <row r="44">
      <c r="A44" s="856" t="inlineStr">
        <is>
          <t>210700 Payable - Other</t>
        </is>
      </c>
      <c r="B44" s="833" t="n"/>
      <c r="C44" s="833">
        <f>ROUND(+'Subsequent Close'!AS85,2)</f>
        <v/>
      </c>
      <c r="D44" s="857" t="inlineStr">
        <is>
          <t>To record payments re interest payable for Equalization distribution for James Bloomingdale dtd 5/5/26</t>
        </is>
      </c>
      <c r="E44" s="858" t="inlineStr">
        <is>
          <t>James Bloomingdale</t>
        </is>
      </c>
    </row>
    <row r="45">
      <c r="A45" s="856" t="inlineStr">
        <is>
          <t>210700 Payable - Other</t>
        </is>
      </c>
      <c r="B45" s="833" t="n"/>
      <c r="C45" s="833">
        <f>ROUND(+'Subsequent Close'!BA85,2)</f>
        <v/>
      </c>
      <c r="D45" s="857" t="inlineStr">
        <is>
          <t>To record payments re interest payable for management fee due to subsequent closing for James Bloomingdale dtd 5/5/26</t>
        </is>
      </c>
      <c r="E45" s="858" t="inlineStr">
        <is>
          <t>James Bloomingdale</t>
        </is>
      </c>
    </row>
    <row r="46">
      <c r="A46" s="856" t="inlineStr">
        <is>
          <t>12000 Accounts Receivable</t>
        </is>
      </c>
      <c r="B46" s="833">
        <f>SUM(C40:C45)</f>
        <v/>
      </c>
      <c r="C46" s="833" t="n"/>
      <c r="D46" s="857" t="inlineStr">
        <is>
          <t>To record cash recivable from James Bloomingdale dtd 5/5/26</t>
        </is>
      </c>
      <c r="E46" s="858" t="inlineStr">
        <is>
          <t>James Bloomingdale</t>
        </is>
      </c>
    </row>
    <row r="47"/>
    <row r="48">
      <c r="A48" s="851" t="inlineStr">
        <is>
          <t>JE# LC05282603</t>
        </is>
      </c>
      <c r="B48" s="851" t="inlineStr">
        <is>
          <t>Date</t>
        </is>
      </c>
      <c r="C48" s="852" t="n">
        <v>46161</v>
      </c>
      <c r="G48" t="inlineStr">
        <is>
          <t>Summary of JE</t>
        </is>
      </c>
      <c r="H48" s="833">
        <f>SUM(H50:H68)</f>
        <v/>
      </c>
      <c r="I48" s="833">
        <f>SUM(I50:I68)</f>
        <v/>
      </c>
      <c r="J48" s="833">
        <f>+H48-I48</f>
        <v/>
      </c>
    </row>
    <row r="49" ht="15" customHeight="1" s="759">
      <c r="A49" s="853" t="inlineStr">
        <is>
          <t>Account#</t>
        </is>
      </c>
      <c r="B49" s="854" t="inlineStr">
        <is>
          <t>Debit</t>
        </is>
      </c>
      <c r="C49" s="854" t="inlineStr">
        <is>
          <t>Credit</t>
        </is>
      </c>
      <c r="D49" s="854" t="inlineStr">
        <is>
          <t>Memo</t>
        </is>
      </c>
      <c r="E49" s="855" t="inlineStr">
        <is>
          <t>Investor</t>
        </is>
      </c>
      <c r="G49" s="853" t="inlineStr">
        <is>
          <t>Acct#</t>
        </is>
      </c>
      <c r="H49" s="859" t="inlineStr">
        <is>
          <t>Debit</t>
        </is>
      </c>
      <c r="I49" s="859" t="inlineStr">
        <is>
          <t>Credit</t>
        </is>
      </c>
      <c r="J49" s="855" t="n"/>
    </row>
    <row r="50">
      <c r="A50" s="856" t="inlineStr">
        <is>
          <t>100200 Cash Checking</t>
        </is>
      </c>
      <c r="C50" s="833">
        <f>-ROUND(_xlfn.XLOOKUP(E50,'May 26 Distribution Checking'!A:A,'May 26 Distribution Checking'!Y:Y),2)</f>
        <v/>
      </c>
      <c r="D50" t="inlineStr">
        <is>
          <t>To record total of equalization distribution per Legacy Knight Subsequent Closing in Q2'26.</t>
        </is>
      </c>
      <c r="E50" t="inlineStr">
        <is>
          <t>1999 Britta Biesecker Declaration of Trust DTD 5/12/99</t>
        </is>
      </c>
      <c r="G50" s="856" t="inlineStr">
        <is>
          <t>100200 Cash Checking</t>
        </is>
      </c>
      <c r="H50" s="833" t="n"/>
      <c r="I50" s="833">
        <f>SUMIFS(C:C,A:A,G50,D:D,J50)</f>
        <v/>
      </c>
      <c r="J50" s="860" t="inlineStr">
        <is>
          <t>To record total of equalization distribution per Legacy Knight Subsequent Closing in Q2'26.</t>
        </is>
      </c>
    </row>
    <row r="51">
      <c r="A51" s="856" t="inlineStr">
        <is>
          <t>100200 Cash Checking</t>
        </is>
      </c>
      <c r="C51" s="833">
        <f>-ROUND(_xlfn.XLOOKUP(E51,'May 26 Distribution Checking'!A:A,'May 26 Distribution Checking'!Y:Y),2)</f>
        <v/>
      </c>
      <c r="D51" t="inlineStr">
        <is>
          <t>To record total of equalization distribution per Legacy Knight Subsequent Closing in Q2'26.</t>
        </is>
      </c>
      <c r="E51" t="inlineStr">
        <is>
          <t>1999 Frederick N Biesecker II Declaration of Trust DTD 5/12/99</t>
        </is>
      </c>
      <c r="G51" s="856" t="inlineStr">
        <is>
          <t>301200 Contributions:Contribution - Investment</t>
        </is>
      </c>
      <c r="H51" s="833">
        <f>SUMIFS(B:B,A:A,G51,D:D,J51)</f>
        <v/>
      </c>
      <c r="I51" s="833">
        <f>SUMIFS(C:C,A:A,G51,D:D,J51)</f>
        <v/>
      </c>
      <c r="J51" s="860" t="inlineStr">
        <is>
          <t>To record changes in contribution due to Legacy Knight Subsequent Closing.</t>
        </is>
      </c>
    </row>
    <row r="52">
      <c r="A52" s="856" t="inlineStr">
        <is>
          <t>100200 Cash Checking</t>
        </is>
      </c>
      <c r="C52" s="833">
        <f>-ROUND(_xlfn.XLOOKUP(E52,'May 26 Distribution Checking'!A:A,'May 26 Distribution Checking'!Y:Y),2)</f>
        <v/>
      </c>
      <c r="D52" t="inlineStr">
        <is>
          <t>To record total of equalization distribution per Legacy Knight Subsequent Closing in Q2'26.</t>
        </is>
      </c>
      <c r="E52" t="inlineStr">
        <is>
          <t>1999 Lissa Biesecker Longacre Declaration of Trust DTD 5/12/99</t>
        </is>
      </c>
      <c r="G52" s="856" t="inlineStr">
        <is>
          <t>301800 Contributions:Contribution - Org Exp</t>
        </is>
      </c>
      <c r="H52" s="833">
        <f>SUMIFS(B:B,A:A,G52,D:D,J52)</f>
        <v/>
      </c>
      <c r="I52" s="833">
        <f>SUMIFS(C:C,A:A,G52,D:D,J52)</f>
        <v/>
      </c>
      <c r="J52" s="860" t="inlineStr">
        <is>
          <t>To record changes in contribution due to Legacy Knight Subsequent Closing.</t>
        </is>
      </c>
    </row>
    <row r="53">
      <c r="A53" s="856" t="inlineStr">
        <is>
          <t>100200 Cash Checking</t>
        </is>
      </c>
      <c r="C53" s="833">
        <f>-ROUND(_xlfn.XLOOKUP(E53,'May 26 Distribution Checking'!A:A,'May 26 Distribution Checking'!Y:Y),2)</f>
        <v/>
      </c>
      <c r="D53" t="inlineStr">
        <is>
          <t>To record total of equalization distribution per Legacy Knight Subsequent Closing in Q2'26.</t>
        </is>
      </c>
      <c r="E53" t="inlineStr">
        <is>
          <t>Abigail Levy</t>
        </is>
      </c>
      <c r="G53" s="856" t="inlineStr">
        <is>
          <t>301100 Contributions:Contribution - General</t>
        </is>
      </c>
      <c r="H53" s="833">
        <f>SUMIFS(B:B,A:A,G53,D:D,J53)</f>
        <v/>
      </c>
      <c r="I53" s="833">
        <f>SUMIFS(C:C,A:A,G53,D:D,J53)</f>
        <v/>
      </c>
      <c r="J53" s="860" t="inlineStr">
        <is>
          <t>To record changes in contribution due to Legacy Knight Subsequent Closing.</t>
        </is>
      </c>
    </row>
    <row r="54">
      <c r="A54" s="856" t="inlineStr">
        <is>
          <t>100200 Cash Checking</t>
        </is>
      </c>
      <c r="C54" s="833">
        <f>-ROUND(_xlfn.XLOOKUP(E54,'May 26 Distribution Checking'!A:A,'May 26 Distribution Checking'!Y:Y),2)</f>
        <v/>
      </c>
      <c r="D54" t="inlineStr">
        <is>
          <t>To record total of equalization distribution per Legacy Knight Subsequent Closing in Q2'26.</t>
        </is>
      </c>
      <c r="E54" t="inlineStr">
        <is>
          <t>AKWT LLC</t>
        </is>
      </c>
      <c r="G54" s="856" t="inlineStr">
        <is>
          <t>210700 Payable - Other</t>
        </is>
      </c>
      <c r="H54" s="833">
        <f>SUMIFS(B:B,A:A,G54,D:D,J54)</f>
        <v/>
      </c>
      <c r="I54" s="833">
        <f>SUMIFS(C:C,A:A,G54,D:D,J54)</f>
        <v/>
      </c>
      <c r="J54" s="860" t="inlineStr">
        <is>
          <t>To record distribution interest payment for Legacy Knight Subsequent Closing</t>
        </is>
      </c>
    </row>
    <row r="55">
      <c r="A55" s="856" t="inlineStr">
        <is>
          <t>100200 Cash Checking</t>
        </is>
      </c>
      <c r="C55" s="833">
        <f>-ROUND(_xlfn.XLOOKUP(E55,'May 26 Distribution Checking'!A:A,'May 26 Distribution Checking'!Y:Y),2)</f>
        <v/>
      </c>
      <c r="D55" t="inlineStr">
        <is>
          <t>To record total of equalization distribution per Legacy Knight Subsequent Closing in Q2'26.</t>
        </is>
      </c>
      <c r="E55" t="inlineStr">
        <is>
          <t>Alexander S. Bloomingdale</t>
        </is>
      </c>
      <c r="G55" s="856" t="inlineStr">
        <is>
          <t>210700 Payable - Other</t>
        </is>
      </c>
      <c r="H55" s="833">
        <f>SUMIFS(B:B,A:A,G55,D:D,J55)</f>
        <v/>
      </c>
      <c r="I55" s="833">
        <f>SUMIFS(C:C,A:A,G55,D:D,J55)</f>
        <v/>
      </c>
      <c r="J55" s="860" t="inlineStr">
        <is>
          <t>To record management interest payment for Legacy Knight Subsequent Closing</t>
        </is>
      </c>
    </row>
    <row r="56">
      <c r="A56" s="856" t="inlineStr">
        <is>
          <t>100200 Cash Checking</t>
        </is>
      </c>
      <c r="C56" s="833">
        <f>-ROUND(_xlfn.XLOOKUP(E56,'May 26 Distribution Checking'!A:A,'May 26 Distribution Checking'!Y:Y),2)</f>
        <v/>
      </c>
      <c r="D56" t="inlineStr">
        <is>
          <t>To record total of equalization distribution per Legacy Knight Subsequent Closing in Q2'26.</t>
        </is>
      </c>
      <c r="E56" t="inlineStr">
        <is>
          <t>Alexander Sharpe Moore</t>
        </is>
      </c>
      <c r="G56" s="856" t="inlineStr">
        <is>
          <t>301200 Contributions:Contribution - Investment</t>
        </is>
      </c>
      <c r="H56" s="833">
        <f>SUMIFS(B:B,A:A,G56,D:D,J56)</f>
        <v/>
      </c>
      <c r="I56" s="833">
        <f>SUMIFS(C:C,A:A,G56,D:D,J56)</f>
        <v/>
      </c>
      <c r="J56" s="860" t="inlineStr">
        <is>
          <t xml:space="preserve">To record true-up due to Odyssey commitment overstatement in Q1'26.  </t>
        </is>
      </c>
    </row>
    <row r="57">
      <c r="A57" s="856" t="inlineStr">
        <is>
          <t>100200 Cash Checking</t>
        </is>
      </c>
      <c r="C57" s="833">
        <f>-ROUND(_xlfn.XLOOKUP(E57,'May 26 Distribution Checking'!A:A,'May 26 Distribution Checking'!Y:Y),2)</f>
        <v/>
      </c>
      <c r="D57" t="inlineStr">
        <is>
          <t>To record total of equalization distribution per Legacy Knight Subsequent Closing in Q2'26.</t>
        </is>
      </c>
      <c r="E57" t="inlineStr">
        <is>
          <t>All Dogs Go To Heaven, LLC</t>
        </is>
      </c>
      <c r="G57" s="856" t="inlineStr">
        <is>
          <t>301800 Contributions:Contribution - Org Exp</t>
        </is>
      </c>
      <c r="H57" s="833">
        <f>SUMIFS(B:B,A:A,G57,D:D,J57)</f>
        <v/>
      </c>
      <c r="I57" s="833">
        <f>SUMIFS(C:C,A:A,G57,D:D,J57)</f>
        <v/>
      </c>
      <c r="J57" s="860" t="inlineStr">
        <is>
          <t xml:space="preserve">To record true-up due to Odyssey commitment overstatement in Q1'26.  </t>
        </is>
      </c>
    </row>
    <row r="58">
      <c r="A58" s="856" t="inlineStr">
        <is>
          <t>100200 Cash Checking</t>
        </is>
      </c>
      <c r="C58" s="833">
        <f>-ROUND(_xlfn.XLOOKUP(E58,'May 26 Distribution Checking'!A:A,'May 26 Distribution Checking'!Y:Y),2)</f>
        <v/>
      </c>
      <c r="D58" t="inlineStr">
        <is>
          <t>To record total of equalization distribution per Legacy Knight Subsequent Closing in Q2'26.</t>
        </is>
      </c>
      <c r="E58" t="inlineStr">
        <is>
          <t>Alten Investments LLC</t>
        </is>
      </c>
      <c r="G58" s="856" t="inlineStr">
        <is>
          <t>301100 Contributions:Contribution - General</t>
        </is>
      </c>
      <c r="H58" s="833">
        <f>SUMIFS(B:B,A:A,G58,D:D,J58)</f>
        <v/>
      </c>
      <c r="I58" s="833">
        <f>SUMIFS(C:C,A:A,G58,D:D,J58)</f>
        <v/>
      </c>
      <c r="J58" s="860" t="inlineStr">
        <is>
          <t xml:space="preserve">To record true-up due to Odyssey commitment overstatement in Q1'26.  </t>
        </is>
      </c>
    </row>
    <row r="59">
      <c r="A59" s="856" t="inlineStr">
        <is>
          <t>100200 Cash Checking</t>
        </is>
      </c>
      <c r="C59" s="833">
        <f>-ROUND(_xlfn.XLOOKUP(E59,'May 26 Distribution Checking'!A:A,'May 26 Distribution Checking'!Y:Y),2)</f>
        <v/>
      </c>
      <c r="D59" t="inlineStr">
        <is>
          <t>To record total of equalization distribution per Legacy Knight Subsequent Closing in Q2'26.</t>
        </is>
      </c>
      <c r="E59" t="inlineStr">
        <is>
          <t>Avery Ryan Klann</t>
        </is>
      </c>
      <c r="G59" s="856" t="inlineStr">
        <is>
          <t>301200 Contributions:Contribution - Investment</t>
        </is>
      </c>
      <c r="H59" s="833">
        <f>SUMIFS(B:B,A:A,G59,D:D,J59)</f>
        <v/>
      </c>
      <c r="I59" s="833">
        <f>SUMIFS(C:C,A:A,G59,D:D,J59)</f>
        <v/>
      </c>
      <c r="J59" s="860" t="inlineStr">
        <is>
          <t>To record capital call for 2 millions offsetting Legacy Knight Sub Close dtd 5/19/2026</t>
        </is>
      </c>
    </row>
    <row r="60">
      <c r="A60" s="856" t="inlineStr">
        <is>
          <t>100200 Cash Checking</t>
        </is>
      </c>
      <c r="C60" s="833">
        <f>-ROUND(_xlfn.XLOOKUP(E60,'May 26 Distribution Checking'!A:A,'May 26 Distribution Checking'!Y:Y),2)</f>
        <v/>
      </c>
      <c r="D60" t="inlineStr">
        <is>
          <t>To record total of equalization distribution per Legacy Knight Subsequent Closing in Q2'26.</t>
        </is>
      </c>
      <c r="E60" t="inlineStr">
        <is>
          <t>BBR Real Assets Fund 2024 LLC</t>
        </is>
      </c>
      <c r="G60" s="856" t="inlineStr">
        <is>
          <t>230100 Distributions Payable</t>
        </is>
      </c>
      <c r="H60" s="833">
        <f>SUMIFS(B:B,A:A,G60,D:D,J60)</f>
        <v/>
      </c>
      <c r="I60" s="833">
        <f>SUMIFS(C:C,A:A,G60,D:D,J60)</f>
        <v/>
      </c>
      <c r="J60" s="860" t="inlineStr">
        <is>
          <t>To record overpayment from Legacy Knight as distribution payable dtd 5/19/2026</t>
        </is>
      </c>
    </row>
    <row r="61">
      <c r="A61" s="856" t="inlineStr">
        <is>
          <t>100200 Cash Checking</t>
        </is>
      </c>
      <c r="C61" s="833">
        <f>-ROUND(_xlfn.XLOOKUP(E61,'May 26 Distribution Checking'!A:A,'May 26 Distribution Checking'!Y:Y),2)</f>
        <v/>
      </c>
      <c r="D61" t="inlineStr">
        <is>
          <t>To record total of equalization distribution per Legacy Knight Subsequent Closing in Q2'26.</t>
        </is>
      </c>
      <c r="E61" t="inlineStr">
        <is>
          <t>Belclaire Asset Management, LLC</t>
        </is>
      </c>
      <c r="G61" s="856" t="inlineStr">
        <is>
          <t>100200 Cash Checking</t>
        </is>
      </c>
      <c r="H61" s="833">
        <f>SUMIFS(B:B,A:A,G61,D:D,J61)</f>
        <v/>
      </c>
      <c r="I61" s="833">
        <f>SUMIFS(C:C,A:A,G61,D:D,J61)</f>
        <v/>
      </c>
      <c r="J61" s="860" t="inlineStr">
        <is>
          <t>To record refund due to Overstatement for Odyssey commitment in Q2'26</t>
        </is>
      </c>
    </row>
    <row r="62">
      <c r="A62" s="856" t="inlineStr">
        <is>
          <t>100200 Cash Checking</t>
        </is>
      </c>
      <c r="C62" s="833">
        <f>-ROUND(_xlfn.XLOOKUP(E62,'May 26 Distribution Checking'!A:A,'May 26 Distribution Checking'!Y:Y),2)</f>
        <v/>
      </c>
      <c r="D62" t="inlineStr">
        <is>
          <t>To record total of equalization distribution per Legacy Knight Subsequent Closing in Q2'26.</t>
        </is>
      </c>
      <c r="E62" t="inlineStr">
        <is>
          <t>Benaiah Inc.</t>
        </is>
      </c>
      <c r="G62" s="856" t="inlineStr">
        <is>
          <t>12000 Accounts Receivable</t>
        </is>
      </c>
      <c r="H62" s="833">
        <f>SUMIFS(B:B,A:A,G62,D:D,J62)</f>
        <v/>
      </c>
      <c r="I62" s="833">
        <f>SUMIFS(C:C,A:A,G62,D:D,J62)</f>
        <v/>
      </c>
      <c r="J62" s="860" t="inlineStr">
        <is>
          <t>To record capital call related to Legacy Knight Sub Close dtd 5/5/26</t>
        </is>
      </c>
    </row>
    <row r="63">
      <c r="A63" s="856" t="inlineStr">
        <is>
          <t>100200 Cash Checking</t>
        </is>
      </c>
      <c r="C63" s="833">
        <f>-ROUND(_xlfn.XLOOKUP(E63,'May 26 Distribution Checking'!A:A,'May 26 Distribution Checking'!Y:Y),2)</f>
        <v/>
      </c>
      <c r="D63" t="inlineStr">
        <is>
          <t>To record total of equalization distribution per Legacy Knight Subsequent Closing in Q2'26.</t>
        </is>
      </c>
      <c r="E63" t="inlineStr">
        <is>
          <t>Benjamin Johnson</t>
        </is>
      </c>
      <c r="G63" s="856" t="inlineStr">
        <is>
          <t>100200 Cash Checking</t>
        </is>
      </c>
      <c r="H63" s="833">
        <f>SUMIFS(B:B,A:A,G63,D:D,J63)</f>
        <v/>
      </c>
      <c r="I63" s="833" t="n"/>
      <c r="J63" s="860" t="inlineStr">
        <is>
          <t>To record payment received from Legacy Knight related to Legacy Knight Sub Close dtd 5/5/26</t>
        </is>
      </c>
      <c r="K63" s="833" t="n"/>
    </row>
    <row r="64">
      <c r="A64" s="856" t="inlineStr">
        <is>
          <t>100200 Cash Checking</t>
        </is>
      </c>
      <c r="C64" s="833">
        <f>-ROUND(_xlfn.XLOOKUP(E64,'May 26 Distribution Checking'!A:A,'May 26 Distribution Checking'!Y:Y),2)</f>
        <v/>
      </c>
      <c r="D64" t="inlineStr">
        <is>
          <t>To record total of equalization distribution per Legacy Knight Subsequent Closing in Q2'26.</t>
        </is>
      </c>
      <c r="E64" t="inlineStr">
        <is>
          <t>Bloomingdale Family Trust Share #3</t>
        </is>
      </c>
      <c r="G64" s="856" t="inlineStr">
        <is>
          <t>301200 Contributions:Contribution - Investment</t>
        </is>
      </c>
      <c r="H64" s="833">
        <f>SUMIFS(B:B,A:A,G64,D:D,J64)</f>
        <v/>
      </c>
      <c r="I64" s="833" t="n"/>
      <c r="J64" s="860" t="inlineStr">
        <is>
          <t xml:space="preserve">To record true-up for Odyssey due to Odyssey commitment overstatement in Q1'26.  </t>
        </is>
      </c>
    </row>
    <row r="65">
      <c r="A65" s="856" t="inlineStr">
        <is>
          <t>100200 Cash Checking</t>
        </is>
      </c>
      <c r="C65" s="833">
        <f>-ROUND(_xlfn.XLOOKUP(E65,'May 26 Distribution Checking'!A:A,'May 26 Distribution Checking'!Y:Y),2)</f>
        <v/>
      </c>
      <c r="D65" t="inlineStr">
        <is>
          <t>To record total of equalization distribution per Legacy Knight Subsequent Closing in Q2'26.</t>
        </is>
      </c>
      <c r="E65" t="inlineStr">
        <is>
          <t>Brian Carroll 2011 Long-Term Trust</t>
        </is>
      </c>
      <c r="G65" s="856" t="inlineStr">
        <is>
          <t>301800 Contributions:Contribution - Org Exp</t>
        </is>
      </c>
      <c r="H65" s="833">
        <f>SUMIFS(B:B,A:A,G65,D:D,J65)</f>
        <v/>
      </c>
      <c r="I65" s="833" t="n"/>
      <c r="J65" s="860" t="inlineStr">
        <is>
          <t xml:space="preserve">To record true-up for Odyssey due to Odyssey commitment overstatement in Q1'26.  </t>
        </is>
      </c>
    </row>
    <row r="66">
      <c r="A66" s="856" t="inlineStr">
        <is>
          <t>100200 Cash Checking</t>
        </is>
      </c>
      <c r="C66" s="833">
        <f>-ROUND(_xlfn.XLOOKUP(E66,'May 26 Distribution Checking'!A:A,'May 26 Distribution Checking'!Y:Y),2)</f>
        <v/>
      </c>
      <c r="D66" t="inlineStr">
        <is>
          <t>To record total of equalization distribution per Legacy Knight Subsequent Closing in Q2'26.</t>
        </is>
      </c>
      <c r="E66" t="inlineStr">
        <is>
          <t>Bryan C. White LLC</t>
        </is>
      </c>
      <c r="G66" s="856" t="inlineStr">
        <is>
          <t>301100 Contributions:Contribution - General</t>
        </is>
      </c>
      <c r="H66" s="833">
        <f>SUMIFS(B:B,A:A,G66,D:D,J66)</f>
        <v/>
      </c>
      <c r="I66" s="833" t="n"/>
      <c r="J66" s="860" t="inlineStr">
        <is>
          <t xml:space="preserve">To record true-up for Odyssey due to Odyssey commitment overstatement in Q1'26.  </t>
        </is>
      </c>
    </row>
    <row r="67">
      <c r="A67" s="856" t="inlineStr">
        <is>
          <t>100200 Cash Checking</t>
        </is>
      </c>
      <c r="C67" s="833">
        <f>-ROUND(_xlfn.XLOOKUP(E67,'May 26 Distribution Checking'!A:A,'May 26 Distribution Checking'!Y:Y),2)</f>
        <v/>
      </c>
      <c r="D67" t="inlineStr">
        <is>
          <t>To record total of equalization distribution per Legacy Knight Subsequent Closing in Q2'26.</t>
        </is>
      </c>
      <c r="E67" t="inlineStr">
        <is>
          <t>Cameron J. Tringale</t>
        </is>
      </c>
      <c r="G67" s="856" t="inlineStr">
        <is>
          <t>Uncategorized Expenses</t>
        </is>
      </c>
      <c r="H67" s="833" t="n"/>
      <c r="I67" s="833">
        <f>SUMIFS(C:C,A:A,G67,D:D,J67)</f>
        <v/>
      </c>
      <c r="J67" s="860" t="inlineStr">
        <is>
          <t xml:space="preserve">To record true-up for Odyssey due to Odyssey commitment overstatement in Q1'26.  </t>
        </is>
      </c>
    </row>
    <row r="68">
      <c r="A68" s="856" t="inlineStr">
        <is>
          <t>100200 Cash Checking</t>
        </is>
      </c>
      <c r="C68" s="833">
        <f>-ROUND(_xlfn.XLOOKUP(E68,'May 26 Distribution Checking'!A:A,'May 26 Distribution Checking'!Y:Y),2)</f>
        <v/>
      </c>
      <c r="D68" t="inlineStr">
        <is>
          <t>To record total of equalization distribution per Legacy Knight Subsequent Closing in Q2'26.</t>
        </is>
      </c>
      <c r="E68" t="inlineStr">
        <is>
          <t>Charing Hatcherville LLC</t>
        </is>
      </c>
      <c r="G68" s="861" t="inlineStr">
        <is>
          <t>12000 Accounts Receivable</t>
        </is>
      </c>
      <c r="H68" s="862" t="n">
        <v>255.17</v>
      </c>
      <c r="I68" s="863">
        <f>SUMIFS(C:C,A:A,G68,D:D,J68)</f>
        <v/>
      </c>
      <c r="J68" s="864" t="inlineStr">
        <is>
          <t>To record capital call receivable for James Bloomingdale dtd 5/19/2026.</t>
        </is>
      </c>
    </row>
    <row r="69">
      <c r="A69" s="856" t="inlineStr">
        <is>
          <t>100200 Cash Checking</t>
        </is>
      </c>
      <c r="C69" s="833">
        <f>-ROUND(_xlfn.XLOOKUP(E69,'May 26 Distribution Checking'!A:A,'May 26 Distribution Checking'!Y:Y),2)</f>
        <v/>
      </c>
      <c r="D69" t="inlineStr">
        <is>
          <t>To record total of equalization distribution per Legacy Knight Subsequent Closing in Q2'26.</t>
        </is>
      </c>
      <c r="E69" t="inlineStr">
        <is>
          <t>Charing Silsbee, LLC</t>
        </is>
      </c>
    </row>
    <row r="70">
      <c r="A70" s="856" t="inlineStr">
        <is>
          <t>100200 Cash Checking</t>
        </is>
      </c>
      <c r="C70" s="833">
        <f>-ROUND(_xlfn.XLOOKUP(E70,'May 26 Distribution Checking'!A:A,'May 26 Distribution Checking'!Y:Y),2)</f>
        <v/>
      </c>
      <c r="D70" t="inlineStr">
        <is>
          <t>To record total of equalization distribution per Legacy Knight Subsequent Closing in Q2'26.</t>
        </is>
      </c>
      <c r="E70" t="inlineStr">
        <is>
          <t>Chase F. Monroe</t>
        </is>
      </c>
    </row>
    <row r="71">
      <c r="A71" s="856" t="inlineStr">
        <is>
          <t>100200 Cash Checking</t>
        </is>
      </c>
      <c r="C71" s="833">
        <f>-ROUND(_xlfn.XLOOKUP(E71,'May 26 Distribution Checking'!A:A,'May 26 Distribution Checking'!Y:Y),2)</f>
        <v/>
      </c>
      <c r="D71" t="inlineStr">
        <is>
          <t>To record total of equalization distribution per Legacy Knight Subsequent Closing in Q2'26.</t>
        </is>
      </c>
      <c r="E71" t="inlineStr">
        <is>
          <t>Chase The Lion, Inc.</t>
        </is>
      </c>
      <c r="H71" s="833" t="n"/>
      <c r="I71" s="833" t="n"/>
      <c r="J71" s="833" t="n"/>
    </row>
    <row r="72">
      <c r="A72" s="856" t="inlineStr">
        <is>
          <t>100200 Cash Checking</t>
        </is>
      </c>
      <c r="C72" s="833">
        <f>-ROUND(_xlfn.XLOOKUP(E72,'May 26 Distribution Checking'!A:A,'May 26 Distribution Checking'!Y:Y),2)</f>
        <v/>
      </c>
      <c r="D72" t="inlineStr">
        <is>
          <t>To record total of equalization distribution per Legacy Knight Subsequent Closing in Q2'26.</t>
        </is>
      </c>
      <c r="E72" t="inlineStr">
        <is>
          <t>Chris Schaaf</t>
        </is>
      </c>
    </row>
    <row r="73">
      <c r="A73" s="856" t="inlineStr">
        <is>
          <t>100200 Cash Checking</t>
        </is>
      </c>
      <c r="C73" s="833">
        <f>-ROUND(_xlfn.XLOOKUP(E73,'May 26 Distribution Checking'!A:A,'May 26 Distribution Checking'!Y:Y),2)</f>
        <v/>
      </c>
      <c r="D73" t="inlineStr">
        <is>
          <t>To record total of equalization distribution per Legacy Knight Subsequent Closing in Q2'26.</t>
        </is>
      </c>
      <c r="E73" t="inlineStr">
        <is>
          <t>Christopher J. Campbell</t>
        </is>
      </c>
      <c r="H73" s="833" t="n"/>
      <c r="I73" s="833" t="n"/>
      <c r="J73" s="833" t="n"/>
    </row>
    <row r="74">
      <c r="A74" s="856" t="inlineStr">
        <is>
          <t>100200 Cash Checking</t>
        </is>
      </c>
      <c r="C74" s="833">
        <f>-ROUND(_xlfn.XLOOKUP(E74,'May 26 Distribution Checking'!A:A,'May 26 Distribution Checking'!Y:Y),2)</f>
        <v/>
      </c>
      <c r="D74" t="inlineStr">
        <is>
          <t>To record total of equalization distribution per Legacy Knight Subsequent Closing in Q2'26.</t>
        </is>
      </c>
      <c r="E74" t="inlineStr">
        <is>
          <t>Christopher Johnson</t>
        </is>
      </c>
      <c r="H74" s="833" t="n"/>
      <c r="I74" s="833" t="n"/>
      <c r="J74" s="833" t="n"/>
    </row>
    <row r="75">
      <c r="A75" s="856" t="inlineStr">
        <is>
          <t>100200 Cash Checking</t>
        </is>
      </c>
      <c r="C75" s="833">
        <f>-ROUND(_xlfn.XLOOKUP(E75,'May 26 Distribution Checking'!A:A,'May 26 Distribution Checking'!Y:Y),2)</f>
        <v/>
      </c>
      <c r="D75" t="inlineStr">
        <is>
          <t>To record total of equalization distribution per Legacy Knight Subsequent Closing in Q2'26.</t>
        </is>
      </c>
      <c r="E75" t="inlineStr">
        <is>
          <t>CLIP Sponsor LLC</t>
        </is>
      </c>
      <c r="G75" s="865" t="n"/>
    </row>
    <row r="76">
      <c r="A76" s="856" t="inlineStr">
        <is>
          <t>100200 Cash Checking</t>
        </is>
      </c>
      <c r="C76" s="833">
        <f>-ROUND(_xlfn.XLOOKUP(E76,'May 26 Distribution Checking'!A:A,'May 26 Distribution Checking'!Y:Y),2)</f>
        <v/>
      </c>
      <c r="D76" t="inlineStr">
        <is>
          <t>To record total of equalization distribution per Legacy Knight Subsequent Closing in Q2'26.</t>
        </is>
      </c>
      <c r="E76" t="inlineStr">
        <is>
          <t>CLR Silsbee Sponsor LLC</t>
        </is>
      </c>
      <c r="G76" s="865" t="n"/>
      <c r="H76" s="833" t="n"/>
      <c r="J76" s="833" t="n"/>
    </row>
    <row r="77">
      <c r="A77" s="856" t="inlineStr">
        <is>
          <t>100200 Cash Checking</t>
        </is>
      </c>
      <c r="C77" s="833">
        <f>-ROUND(_xlfn.XLOOKUP(E77,'May 26 Distribution Checking'!A:A,'May 26 Distribution Checking'!Y:Y),2)</f>
        <v/>
      </c>
      <c r="D77" t="inlineStr">
        <is>
          <t>To record total of equalization distribution per Legacy Knight Subsequent Closing in Q2'26.</t>
        </is>
      </c>
      <c r="E77" t="inlineStr">
        <is>
          <t>Daniel Ross</t>
        </is>
      </c>
    </row>
    <row r="78">
      <c r="A78" s="856" t="inlineStr">
        <is>
          <t>100200 Cash Checking</t>
        </is>
      </c>
      <c r="C78" s="833">
        <f>-ROUND(_xlfn.XLOOKUP(E78,'May 26 Distribution Checking'!A:A,'May 26 Distribution Checking'!Y:Y),2)</f>
        <v/>
      </c>
      <c r="D78" t="inlineStr">
        <is>
          <t>To record total of equalization distribution per Legacy Knight Subsequent Closing in Q2'26.</t>
        </is>
      </c>
      <c r="E78" t="inlineStr">
        <is>
          <t>Endurance Companies LLC</t>
        </is>
      </c>
    </row>
    <row r="79">
      <c r="A79" s="856" t="inlineStr">
        <is>
          <t>100200 Cash Checking</t>
        </is>
      </c>
      <c r="C79" s="833">
        <f>-ROUND(_xlfn.XLOOKUP(E79,'May 26 Distribution Checking'!A:A,'May 26 Distribution Checking'!Y:Y),2)</f>
        <v/>
      </c>
      <c r="D79" t="inlineStr">
        <is>
          <t>To record total of equalization distribution per Legacy Knight Subsequent Closing in Q2'26.</t>
        </is>
      </c>
      <c r="E79" t="inlineStr">
        <is>
          <t>Forem Capital, LLC</t>
        </is>
      </c>
    </row>
    <row r="80">
      <c r="A80" s="856" t="inlineStr">
        <is>
          <t>100200 Cash Checking</t>
        </is>
      </c>
      <c r="C80" s="833">
        <f>-ROUND(_xlfn.XLOOKUP(E80,'May 26 Distribution Checking'!A:A,'May 26 Distribution Checking'!Y:Y),2)</f>
        <v/>
      </c>
      <c r="D80" t="inlineStr">
        <is>
          <t>To record total of equalization distribution per Legacy Knight Subsequent Closing in Q2'26.</t>
        </is>
      </c>
      <c r="E80" t="inlineStr">
        <is>
          <t>Francis Brawley</t>
        </is>
      </c>
    </row>
    <row r="81">
      <c r="A81" s="856" t="inlineStr">
        <is>
          <t>100200 Cash Checking</t>
        </is>
      </c>
      <c r="C81" s="833">
        <f>-ROUND(_xlfn.XLOOKUP(E81,'May 26 Distribution Checking'!A:A,'May 26 Distribution Checking'!Y:Y),2)</f>
        <v/>
      </c>
      <c r="D81" t="inlineStr">
        <is>
          <t>To record total of equalization distribution per Legacy Knight Subsequent Closing in Q2'26.</t>
        </is>
      </c>
      <c r="E81" t="inlineStr">
        <is>
          <t>Geoffrey and Elizabeth Bloomingdale Living Trust</t>
        </is>
      </c>
    </row>
    <row r="82">
      <c r="A82" s="856" t="inlineStr">
        <is>
          <t>100200 Cash Checking</t>
        </is>
      </c>
      <c r="C82" s="833">
        <f>-ROUND(_xlfn.XLOOKUP(E82,'May 26 Distribution Checking'!A:A,'May 26 Distribution Checking'!Y:Y),2)</f>
        <v/>
      </c>
      <c r="D82" t="inlineStr">
        <is>
          <t>To record total of equalization distribution per Legacy Knight Subsequent Closing in Q2'26.</t>
        </is>
      </c>
      <c r="E82" t="inlineStr">
        <is>
          <t>Greene 2000 Family Trust</t>
        </is>
      </c>
    </row>
    <row r="83">
      <c r="A83" s="856" t="inlineStr">
        <is>
          <t>100200 Cash Checking</t>
        </is>
      </c>
      <c r="C83" s="833">
        <f>-ROUND(_xlfn.XLOOKUP(E83,'May 26 Distribution Checking'!A:A,'May 26 Distribution Checking'!Y:Y),2)</f>
        <v/>
      </c>
      <c r="D83" t="inlineStr">
        <is>
          <t>To record total of equalization distribution per Legacy Knight Subsequent Closing in Q2'26.</t>
        </is>
      </c>
      <c r="E83" t="inlineStr">
        <is>
          <t>Greene Marital Trust</t>
        </is>
      </c>
    </row>
    <row r="84">
      <c r="A84" s="856" t="inlineStr">
        <is>
          <t>100200 Cash Checking</t>
        </is>
      </c>
      <c r="C84" s="833">
        <f>-ROUND(_xlfn.XLOOKUP(E84,'May 26 Distribution Checking'!A:A,'May 26 Distribution Checking'!Y:Y),2)</f>
        <v/>
      </c>
      <c r="D84" t="inlineStr">
        <is>
          <t>To record total of equalization distribution per Legacy Knight Subsequent Closing in Q2'26.</t>
        </is>
      </c>
      <c r="E84" t="inlineStr">
        <is>
          <t>Gregory Brent Wood</t>
        </is>
      </c>
    </row>
    <row r="85">
      <c r="A85" s="856" t="inlineStr">
        <is>
          <t>100200 Cash Checking</t>
        </is>
      </c>
      <c r="C85" s="833">
        <f>-ROUND(_xlfn.XLOOKUP(E85,'May 26 Distribution Checking'!A:A,'May 26 Distribution Checking'!Y:Y),2)</f>
        <v/>
      </c>
      <c r="D85" t="inlineStr">
        <is>
          <t>To record total of equalization distribution per Legacy Knight Subsequent Closing in Q2'26.</t>
        </is>
      </c>
      <c r="E85" t="inlineStr">
        <is>
          <t>Hundley Family Trust</t>
        </is>
      </c>
    </row>
    <row r="86">
      <c r="A86" s="856" t="inlineStr">
        <is>
          <t>100200 Cash Checking</t>
        </is>
      </c>
      <c r="C86" s="833">
        <f>-ROUND(_xlfn.XLOOKUP(E86,'May 26 Distribution Checking'!A:A,'May 26 Distribution Checking'!Y:Y),2)</f>
        <v/>
      </c>
      <c r="D86" t="inlineStr">
        <is>
          <t>To record total of equalization distribution per Legacy Knight Subsequent Closing in Q2'26.</t>
        </is>
      </c>
      <c r="E86" t="inlineStr">
        <is>
          <t>In God We Trust 2017 Living Trust</t>
        </is>
      </c>
    </row>
    <row r="87">
      <c r="A87" s="856" t="inlineStr">
        <is>
          <t>100200 Cash Checking</t>
        </is>
      </c>
      <c r="C87" s="833">
        <f>-ROUND(_xlfn.XLOOKUP(E87,'May 26 Distribution Checking'!A:A,'May 26 Distribution Checking'!Y:Y),2)</f>
        <v/>
      </c>
      <c r="D87" t="inlineStr">
        <is>
          <t>To record total of equalization distribution per Legacy Knight Subsequent Closing in Q2'26.</t>
        </is>
      </c>
      <c r="E87" t="inlineStr">
        <is>
          <t>James Campbell and Patricia Campbell</t>
        </is>
      </c>
    </row>
    <row r="88">
      <c r="A88" s="856" t="inlineStr">
        <is>
          <t>100200 Cash Checking</t>
        </is>
      </c>
      <c r="C88" s="833">
        <f>-ROUND(_xlfn.XLOOKUP(E88,'May 26 Distribution Checking'!A:A,'May 26 Distribution Checking'!Y:Y),2)</f>
        <v/>
      </c>
      <c r="D88" t="inlineStr">
        <is>
          <t>To record total of equalization distribution per Legacy Knight Subsequent Closing in Q2'26.</t>
        </is>
      </c>
      <c r="E88" t="inlineStr">
        <is>
          <t>James Kane</t>
        </is>
      </c>
    </row>
    <row r="89">
      <c r="A89" s="856" t="inlineStr">
        <is>
          <t>100200 Cash Checking</t>
        </is>
      </c>
      <c r="C89" s="833">
        <f>-ROUND(_xlfn.XLOOKUP(E89,'May 26 Distribution Checking'!A:A,'May 26 Distribution Checking'!Y:Y),2)</f>
        <v/>
      </c>
      <c r="D89" t="inlineStr">
        <is>
          <t>To record total of equalization distribution per Legacy Knight Subsequent Closing in Q2'26.</t>
        </is>
      </c>
      <c r="E89" t="inlineStr">
        <is>
          <t>James Thorp</t>
        </is>
      </c>
    </row>
    <row r="90">
      <c r="A90" s="856" t="inlineStr">
        <is>
          <t>100200 Cash Checking</t>
        </is>
      </c>
      <c r="C90" s="833">
        <f>-ROUND(_xlfn.XLOOKUP(E90,'May 26 Distribution Checking'!A:A,'May 26 Distribution Checking'!Y:Y),2)</f>
        <v/>
      </c>
      <c r="D90" t="inlineStr">
        <is>
          <t>To record total of equalization distribution per Legacy Knight Subsequent Closing in Q2'26.</t>
        </is>
      </c>
      <c r="E90" t="inlineStr">
        <is>
          <t>Jeffrey A. Lipsitz Revocable Trust</t>
        </is>
      </c>
    </row>
    <row r="91">
      <c r="A91" s="856" t="inlineStr">
        <is>
          <t>100200 Cash Checking</t>
        </is>
      </c>
      <c r="C91" s="833">
        <f>-ROUND(_xlfn.XLOOKUP(E91,'May 26 Distribution Checking'!A:A,'May 26 Distribution Checking'!Y:Y),2)</f>
        <v/>
      </c>
      <c r="D91" t="inlineStr">
        <is>
          <t>To record total of equalization distribution per Legacy Knight Subsequent Closing in Q2'26.</t>
        </is>
      </c>
      <c r="E91" t="inlineStr">
        <is>
          <t>Jeffrey D Furber Revocable Trust</t>
        </is>
      </c>
    </row>
    <row r="92">
      <c r="A92" s="856" t="inlineStr">
        <is>
          <t>100200 Cash Checking</t>
        </is>
      </c>
      <c r="C92" s="833">
        <f>-ROUND(_xlfn.XLOOKUP(E92,'May 26 Distribution Checking'!A:A,'May 26 Distribution Checking'!Y:Y),2)</f>
        <v/>
      </c>
      <c r="D92" t="inlineStr">
        <is>
          <t>To record total of equalization distribution per Legacy Knight Subsequent Closing in Q2'26.</t>
        </is>
      </c>
      <c r="E92" t="inlineStr">
        <is>
          <t>Jeremy M. Jacobs Trust U/A/D April 1, 1973 fbo Margaret L. Reichenback</t>
        </is>
      </c>
    </row>
    <row r="93">
      <c r="A93" s="856" t="inlineStr">
        <is>
          <t>100200 Cash Checking</t>
        </is>
      </c>
      <c r="C93" s="833">
        <f>-ROUND(_xlfn.XLOOKUP(E93,'May 26 Distribution Checking'!A:A,'May 26 Distribution Checking'!Y:Y),2)</f>
        <v/>
      </c>
      <c r="D93" t="inlineStr">
        <is>
          <t>To record total of equalization distribution per Legacy Knight Subsequent Closing in Q2'26.</t>
        </is>
      </c>
      <c r="E93" t="inlineStr">
        <is>
          <t>John Mark Comer</t>
        </is>
      </c>
    </row>
    <row r="94">
      <c r="A94" s="856" t="inlineStr">
        <is>
          <t>100200 Cash Checking</t>
        </is>
      </c>
      <c r="C94" s="833">
        <f>-ROUND(_xlfn.XLOOKUP(E94,'May 26 Distribution Checking'!A:A,'May 26 Distribution Checking'!Y:Y),2)</f>
        <v/>
      </c>
      <c r="D94" t="inlineStr">
        <is>
          <t>To record total of equalization distribution per Legacy Knight Subsequent Closing in Q2'26.</t>
        </is>
      </c>
      <c r="E94" t="inlineStr">
        <is>
          <t>Landscape I, LP</t>
        </is>
      </c>
    </row>
    <row r="95">
      <c r="A95" s="856" t="inlineStr">
        <is>
          <t>100200 Cash Checking</t>
        </is>
      </c>
      <c r="C95" s="833">
        <f>-ROUND(_xlfn.XLOOKUP(E95,'May 26 Distribution Checking'!A:A,'May 26 Distribution Checking'!Y:Y),2)</f>
        <v/>
      </c>
      <c r="D95" t="inlineStr">
        <is>
          <t>To record total of equalization distribution per Legacy Knight Subsequent Closing in Q2'26.</t>
        </is>
      </c>
      <c r="E95" t="inlineStr">
        <is>
          <t>Lisa Bell Trust, Elisabeth B. Bell, Trustee</t>
        </is>
      </c>
    </row>
    <row r="96">
      <c r="A96" s="856" t="inlineStr">
        <is>
          <t>100200 Cash Checking</t>
        </is>
      </c>
      <c r="C96" s="833">
        <f>-ROUND(_xlfn.XLOOKUP(E96,'May 26 Distribution Checking'!A:A,'May 26 Distribution Checking'!Y:Y),2)</f>
        <v/>
      </c>
      <c r="D96" t="inlineStr">
        <is>
          <t>To record total of equalization distribution per Legacy Knight Subsequent Closing in Q2'26.</t>
        </is>
      </c>
      <c r="E96" t="inlineStr">
        <is>
          <t>Madten Investments LLC</t>
        </is>
      </c>
    </row>
    <row r="97">
      <c r="A97" s="856" t="inlineStr">
        <is>
          <t>100200 Cash Checking</t>
        </is>
      </c>
      <c r="C97" s="833">
        <f>-ROUND(_xlfn.XLOOKUP(E97,'May 26 Distribution Checking'!A:A,'May 26 Distribution Checking'!Y:Y),2)</f>
        <v/>
      </c>
      <c r="D97" t="inlineStr">
        <is>
          <t>To record total of equalization distribution per Legacy Knight Subsequent Closing in Q2'26.</t>
        </is>
      </c>
      <c r="E97" t="inlineStr">
        <is>
          <t>Matt McCoy</t>
        </is>
      </c>
    </row>
    <row r="98">
      <c r="A98" s="856" t="inlineStr">
        <is>
          <t>100200 Cash Checking</t>
        </is>
      </c>
      <c r="C98" s="833">
        <f>-ROUND(_xlfn.XLOOKUP(E98,'May 26 Distribution Checking'!A:A,'May 26 Distribution Checking'!Y:Y),2)</f>
        <v/>
      </c>
      <c r="D98" t="inlineStr">
        <is>
          <t>To record total of equalization distribution per Legacy Knight Subsequent Closing in Q2'26.</t>
        </is>
      </c>
      <c r="E98" t="inlineStr">
        <is>
          <t>Matterhorn Holdings, LLC</t>
        </is>
      </c>
    </row>
    <row r="99">
      <c r="A99" s="856" t="inlineStr">
        <is>
          <t>100200 Cash Checking</t>
        </is>
      </c>
      <c r="C99" s="833">
        <f>-ROUND(_xlfn.XLOOKUP(E99,'May 26 Distribution Checking'!A:A,'May 26 Distribution Checking'!Y:Y),2)</f>
        <v/>
      </c>
      <c r="D99" t="inlineStr">
        <is>
          <t>To record total of equalization distribution per Legacy Knight Subsequent Closing in Q2'26.</t>
        </is>
      </c>
      <c r="E99" t="inlineStr">
        <is>
          <t>Max O. Reinbach III</t>
        </is>
      </c>
    </row>
    <row r="100">
      <c r="A100" s="856" t="inlineStr">
        <is>
          <t>100200 Cash Checking</t>
        </is>
      </c>
      <c r="C100" s="833">
        <f>-ROUND(_xlfn.XLOOKUP(E100,'May 26 Distribution Checking'!A:A,'May 26 Distribution Checking'!Y:Y),2)</f>
        <v/>
      </c>
      <c r="D100" t="inlineStr">
        <is>
          <t>To record total of equalization distribution per Legacy Knight Subsequent Closing in Q2'26.</t>
        </is>
      </c>
      <c r="E100" t="inlineStr">
        <is>
          <t>Meghann C. Robinson</t>
        </is>
      </c>
    </row>
    <row r="101">
      <c r="A101" s="856" t="inlineStr">
        <is>
          <t>100200 Cash Checking</t>
        </is>
      </c>
      <c r="C101" s="833">
        <f>-ROUND(_xlfn.XLOOKUP(E101,'May 26 Distribution Checking'!A:A,'May 26 Distribution Checking'!Y:Y),2)</f>
        <v/>
      </c>
      <c r="D101" t="inlineStr">
        <is>
          <t>To record total of equalization distribution per Legacy Knight Subsequent Closing in Q2'26.</t>
        </is>
      </c>
      <c r="E101" t="inlineStr">
        <is>
          <t>Nahas Investments II LLC</t>
        </is>
      </c>
    </row>
    <row r="102">
      <c r="A102" s="856" t="inlineStr">
        <is>
          <t>100200 Cash Checking</t>
        </is>
      </c>
      <c r="C102" s="833">
        <f>-ROUND(_xlfn.XLOOKUP(E102,'May 26 Distribution Checking'!A:A,'May 26 Distribution Checking'!Y:Y),2)</f>
        <v/>
      </c>
      <c r="D102" t="inlineStr">
        <is>
          <t>To record total of equalization distribution per Legacy Knight Subsequent Closing in Q2'26.</t>
        </is>
      </c>
      <c r="E102" t="inlineStr">
        <is>
          <t>Odyssey Holdings, LLC</t>
        </is>
      </c>
    </row>
    <row r="103">
      <c r="A103" s="856" t="inlineStr">
        <is>
          <t>100200 Cash Checking</t>
        </is>
      </c>
      <c r="C103" s="833">
        <f>-ROUND(_xlfn.XLOOKUP(E103,'May 26 Distribution Checking'!A:A,'May 26 Distribution Checking'!Y:Y),2)</f>
        <v/>
      </c>
      <c r="D103" t="inlineStr">
        <is>
          <t>To record total of equalization distribution per Legacy Knight Subsequent Closing in Q2'26.</t>
        </is>
      </c>
      <c r="E103" t="inlineStr">
        <is>
          <t>Pease River Holdings LLC</t>
        </is>
      </c>
    </row>
    <row r="104">
      <c r="A104" s="856" t="inlineStr">
        <is>
          <t>100200 Cash Checking</t>
        </is>
      </c>
      <c r="C104" s="833">
        <f>-ROUND(_xlfn.XLOOKUP(E104,'May 26 Distribution Checking'!A:A,'May 26 Distribution Checking'!Y:Y),2)</f>
        <v/>
      </c>
      <c r="D104" t="inlineStr">
        <is>
          <t>To record total of equalization distribution per Legacy Knight Subsequent Closing in Q2'26.</t>
        </is>
      </c>
      <c r="E104" t="inlineStr">
        <is>
          <t>PT Burros, LLC</t>
        </is>
      </c>
    </row>
    <row r="105">
      <c r="A105" s="856" t="inlineStr">
        <is>
          <t>100200 Cash Checking</t>
        </is>
      </c>
      <c r="C105" s="833">
        <f>-ROUND(_xlfn.XLOOKUP(E105,'May 26 Distribution Checking'!A:A,'May 26 Distribution Checking'!Y:Y),2)</f>
        <v/>
      </c>
      <c r="D105" t="inlineStr">
        <is>
          <t>To record total of equalization distribution per Legacy Knight Subsequent Closing in Q2'26.</t>
        </is>
      </c>
      <c r="E105" t="inlineStr">
        <is>
          <t>Robert D. Falese III</t>
        </is>
      </c>
    </row>
    <row r="106">
      <c r="A106" s="856" t="inlineStr">
        <is>
          <t>100200 Cash Checking</t>
        </is>
      </c>
      <c r="C106" s="833">
        <f>-ROUND(_xlfn.XLOOKUP(E106,'May 26 Distribution Checking'!A:A,'May 26 Distribution Checking'!Y:Y),2)</f>
        <v/>
      </c>
      <c r="D106" t="inlineStr">
        <is>
          <t>To record total of equalization distribution per Legacy Knight Subsequent Closing in Q2'26.</t>
        </is>
      </c>
      <c r="E106" t="inlineStr">
        <is>
          <t>Robert Parker Yates</t>
        </is>
      </c>
    </row>
    <row r="107">
      <c r="A107" s="856" t="inlineStr">
        <is>
          <t>100200 Cash Checking</t>
        </is>
      </c>
      <c r="C107" s="833">
        <f>-ROUND(_xlfn.XLOOKUP(E107,'May 26 Distribution Checking'!A:A,'May 26 Distribution Checking'!Y:Y),2)</f>
        <v/>
      </c>
      <c r="D107" t="inlineStr">
        <is>
          <t>To record total of equalization distribution per Legacy Knight Subsequent Closing in Q2'26.</t>
        </is>
      </c>
      <c r="E107" t="inlineStr">
        <is>
          <t>Robert S. Shafir &amp; Donna R. Shafir TEN/COM</t>
        </is>
      </c>
    </row>
    <row r="108">
      <c r="A108" s="856" t="inlineStr">
        <is>
          <t>100200 Cash Checking</t>
        </is>
      </c>
      <c r="C108" s="833">
        <f>-ROUND(_xlfn.XLOOKUP(E108,'May 26 Distribution Checking'!A:A,'May 26 Distribution Checking'!Y:Y),2)</f>
        <v/>
      </c>
      <c r="D108" t="inlineStr">
        <is>
          <t>To record total of equalization distribution per Legacy Knight Subsequent Closing in Q2'26.</t>
        </is>
      </c>
      <c r="E108" t="inlineStr">
        <is>
          <t>Robert S. Shafir 2011 Children's Trust</t>
        </is>
      </c>
    </row>
    <row r="109">
      <c r="A109" s="856" t="inlineStr">
        <is>
          <t>100200 Cash Checking</t>
        </is>
      </c>
      <c r="C109" s="833">
        <f>-ROUND(_xlfn.XLOOKUP(E109,'May 26 Distribution Checking'!A:A,'May 26 Distribution Checking'!Y:Y),2)</f>
        <v/>
      </c>
      <c r="D109" t="inlineStr">
        <is>
          <t>To record total of equalization distribution per Legacy Knight Subsequent Closing in Q2'26.</t>
        </is>
      </c>
      <c r="E109" t="inlineStr">
        <is>
          <t>Romar Partners, LP</t>
        </is>
      </c>
    </row>
    <row r="110">
      <c r="A110" s="856" t="inlineStr">
        <is>
          <t>100200 Cash Checking</t>
        </is>
      </c>
      <c r="C110" s="833">
        <f>-ROUND(_xlfn.XLOOKUP(E110,'May 26 Distribution Checking'!A:A,'May 26 Distribution Checking'!Y:Y),2)</f>
        <v/>
      </c>
      <c r="D110" t="inlineStr">
        <is>
          <t>To record total of equalization distribution per Legacy Knight Subsequent Closing in Q2'26.</t>
        </is>
      </c>
      <c r="E110" t="inlineStr">
        <is>
          <t>Steven and Chani Laufer 2012 Dynasty Trust</t>
        </is>
      </c>
    </row>
    <row r="111">
      <c r="A111" s="856" t="inlineStr">
        <is>
          <t>100200 Cash Checking</t>
        </is>
      </c>
      <c r="C111" s="833">
        <f>-ROUND(_xlfn.XLOOKUP(E111,'May 26 Distribution Checking'!A:A,'May 26 Distribution Checking'!Y:Y),2)</f>
        <v/>
      </c>
      <c r="D111" t="inlineStr">
        <is>
          <t>To record total of equalization distribution per Legacy Knight Subsequent Closing in Q2'26.</t>
        </is>
      </c>
      <c r="E111" t="inlineStr">
        <is>
          <t>Steven M. Laufer 2012 Trust</t>
        </is>
      </c>
    </row>
    <row r="112">
      <c r="A112" s="856" t="inlineStr">
        <is>
          <t>100200 Cash Checking</t>
        </is>
      </c>
      <c r="C112" s="833">
        <f>-ROUND(_xlfn.XLOOKUP(E112,'May 26 Distribution Checking'!A:A,'May 26 Distribution Checking'!Y:Y),2)</f>
        <v/>
      </c>
      <c r="D112" t="inlineStr">
        <is>
          <t>To record total of equalization distribution per Legacy Knight Subsequent Closing in Q2'26.</t>
        </is>
      </c>
      <c r="E112" t="inlineStr">
        <is>
          <t>Stewart Tate</t>
        </is>
      </c>
    </row>
    <row r="113">
      <c r="A113" s="856" t="inlineStr">
        <is>
          <t>100200 Cash Checking</t>
        </is>
      </c>
      <c r="C113" s="833">
        <f>-ROUND(_xlfn.XLOOKUP(E113,'May 26 Distribution Checking'!A:A,'May 26 Distribution Checking'!Y:Y),2)</f>
        <v/>
      </c>
      <c r="D113" t="inlineStr">
        <is>
          <t>To record total of equalization distribution per Legacy Knight Subsequent Closing in Q2'26.</t>
        </is>
      </c>
      <c r="E113" t="inlineStr">
        <is>
          <t>TC Wilson Family Trust</t>
        </is>
      </c>
    </row>
    <row r="114">
      <c r="A114" s="856" t="inlineStr">
        <is>
          <t>100200 Cash Checking</t>
        </is>
      </c>
      <c r="C114" s="833">
        <f>-ROUND(_xlfn.XLOOKUP(E114,'May 26 Distribution Checking'!A:A,'May 26 Distribution Checking'!Y:Y),2)</f>
        <v/>
      </c>
      <c r="D114" t="inlineStr">
        <is>
          <t>To record total of equalization distribution per Legacy Knight Subsequent Closing in Q2'26.</t>
        </is>
      </c>
      <c r="E114" t="inlineStr">
        <is>
          <t>The 2015 Pipe Reality Delaware Trust</t>
        </is>
      </c>
    </row>
    <row r="115">
      <c r="A115" s="856" t="inlineStr">
        <is>
          <t>100200 Cash Checking</t>
        </is>
      </c>
      <c r="C115" s="833">
        <f>-ROUND(_xlfn.XLOOKUP(E115,'May 26 Distribution Checking'!A:A,'May 26 Distribution Checking'!Y:Y),2)</f>
        <v/>
      </c>
      <c r="D115" t="inlineStr">
        <is>
          <t>To record total of equalization distribution per Legacy Knight Subsequent Closing in Q2'26.</t>
        </is>
      </c>
      <c r="E115" t="inlineStr">
        <is>
          <t>The David L. Schnadig 2017 Trust</t>
        </is>
      </c>
    </row>
    <row r="116">
      <c r="A116" s="856" t="inlineStr">
        <is>
          <t>100200 Cash Checking</t>
        </is>
      </c>
      <c r="C116" s="833">
        <f>-ROUND(_xlfn.XLOOKUP(E116,'May 26 Distribution Checking'!A:A,'May 26 Distribution Checking'!Y:Y),2)</f>
        <v/>
      </c>
      <c r="D116" t="inlineStr">
        <is>
          <t>To record total of equalization distribution per Legacy Knight Subsequent Closing in Q2'26.</t>
        </is>
      </c>
      <c r="E116" t="inlineStr">
        <is>
          <t>The Diane Rosen 2021 Irrevocable Family Trust</t>
        </is>
      </c>
    </row>
    <row r="117">
      <c r="A117" s="856" t="inlineStr">
        <is>
          <t>100200 Cash Checking</t>
        </is>
      </c>
      <c r="C117" s="833">
        <f>-ROUND(_xlfn.XLOOKUP(E117,'May 26 Distribution Checking'!A:A,'May 26 Distribution Checking'!Y:Y),2)</f>
        <v/>
      </c>
      <c r="D117" t="inlineStr">
        <is>
          <t>To record total of equalization distribution per Legacy Knight Subsequent Closing in Q2'26.</t>
        </is>
      </c>
      <c r="E117" t="inlineStr">
        <is>
          <t>The Mark T. Kirchdorfer 2015 Family Delaware Dynasty Trust</t>
        </is>
      </c>
    </row>
    <row r="118">
      <c r="A118" s="856" t="inlineStr">
        <is>
          <t>100200 Cash Checking</t>
        </is>
      </c>
      <c r="C118" s="833">
        <f>-ROUND(_xlfn.XLOOKUP(E118,'May 26 Distribution Checking'!A:A,'May 26 Distribution Checking'!Y:Y),2)</f>
        <v/>
      </c>
      <c r="D118" t="inlineStr">
        <is>
          <t>To record total of equalization distribution per Legacy Knight Subsequent Closing in Q2'26.</t>
        </is>
      </c>
      <c r="E118" t="inlineStr">
        <is>
          <t>University of Southern California</t>
        </is>
      </c>
    </row>
    <row r="119">
      <c r="A119" s="856" t="inlineStr">
        <is>
          <t>100200 Cash Checking</t>
        </is>
      </c>
      <c r="C119" s="833">
        <f>-ROUND(_xlfn.XLOOKUP(E119,'May 26 Distribution Checking'!A:A,'May 26 Distribution Checking'!Y:Y),2)</f>
        <v/>
      </c>
      <c r="D119" t="inlineStr">
        <is>
          <t>To record total of equalization distribution per Legacy Knight Subsequent Closing in Q2'26.</t>
        </is>
      </c>
      <c r="E119" t="inlineStr">
        <is>
          <t>Walker D. Zimmerman</t>
        </is>
      </c>
    </row>
    <row r="120">
      <c r="A120" s="856" t="inlineStr">
        <is>
          <t>100200 Cash Checking</t>
        </is>
      </c>
      <c r="C120" s="833">
        <f>-ROUND(_xlfn.XLOOKUP(E120,'May 26 Distribution Checking'!A:A,'May 26 Distribution Checking'!Y:Y),2)</f>
        <v/>
      </c>
      <c r="D120" t="inlineStr">
        <is>
          <t>To record total of equalization distribution per Legacy Knight Subsequent Closing in Q2'26.</t>
        </is>
      </c>
      <c r="E120" t="inlineStr">
        <is>
          <t>Wilson Family Trust DTD 3-6-1987</t>
        </is>
      </c>
    </row>
    <row r="121">
      <c r="A121" s="856" t="inlineStr">
        <is>
          <t>100200 Cash Checking</t>
        </is>
      </c>
      <c r="C121" s="833">
        <f>-ROUND(_xlfn.XLOOKUP(E121,'May 26 Distribution Checking'!A:A,'May 26 Distribution Checking'!Y:Y),2)</f>
        <v/>
      </c>
      <c r="D121" t="inlineStr">
        <is>
          <t>To record total of equalization distribution per Legacy Knight Subsequent Closing in Q2'26.</t>
        </is>
      </c>
      <c r="E121" t="inlineStr">
        <is>
          <t>Wilson GST Exempt Trust</t>
        </is>
      </c>
    </row>
    <row r="122">
      <c r="A122" s="856" t="inlineStr">
        <is>
          <t>100200 Cash Checking</t>
        </is>
      </c>
      <c r="C122" s="833">
        <f>-ROUND(_xlfn.XLOOKUP(E122,'May 26 Distribution Checking'!A:A,'May 26 Distribution Checking'!Y:Y),2)</f>
        <v/>
      </c>
      <c r="D122" t="inlineStr">
        <is>
          <t>To record total of equalization distribution per Legacy Knight Subsequent Closing in Q2'26.</t>
        </is>
      </c>
      <c r="E122" t="inlineStr">
        <is>
          <t>Texas Emerging Managers Private Markets Program, L.P. (2025-1 RE Investment Series)</t>
        </is>
      </c>
    </row>
    <row r="123">
      <c r="A123" s="856" t="inlineStr">
        <is>
          <t>100200 Cash Checking</t>
        </is>
      </c>
      <c r="C123" s="833">
        <f>-ROUND(_xlfn.XLOOKUP(E123,'May 26 Distribution Checking'!A:A,'May 26 Distribution Checking'!Y:Y),2)</f>
        <v/>
      </c>
      <c r="D123" t="inlineStr">
        <is>
          <t>To record total of equalization distribution per Legacy Knight Subsequent Closing in Q2'26.</t>
        </is>
      </c>
      <c r="E123" t="inlineStr">
        <is>
          <t>GCM Grosvenor NJ RE Emerging Managers Program, LP (2023-1 Investment Series)</t>
        </is>
      </c>
    </row>
    <row r="124">
      <c r="A124" s="856" t="inlineStr">
        <is>
          <t>100200 Cash Checking</t>
        </is>
      </c>
      <c r="C124" s="833">
        <f>-ROUND(_xlfn.XLOOKUP(E124,'May 26 Distribution Checking'!A:A,'May 26 Distribution Checking'!Y:Y),2)</f>
        <v/>
      </c>
      <c r="D124" t="inlineStr">
        <is>
          <t>To record total of equalization distribution per Legacy Knight Subsequent Closing in Q2'26.</t>
        </is>
      </c>
      <c r="E124" t="inlineStr">
        <is>
          <t>GCM Grosvenor - NYSTRS Real Estate Investment Partners, L.P. (2024-1 Series)</t>
        </is>
      </c>
    </row>
    <row r="125">
      <c r="A125" s="856" t="inlineStr">
        <is>
          <t>100200 Cash Checking</t>
        </is>
      </c>
      <c r="C125" s="833">
        <f>-ROUND(_xlfn.XLOOKUP(E125,'May 26 Distribution Checking'!A:A,'May 26 Distribution Checking'!Y:Y),2)</f>
        <v/>
      </c>
      <c r="D125" t="inlineStr">
        <is>
          <t>To record total of equalization distribution per Legacy Knight Subsequent Closing in Q2'26.</t>
        </is>
      </c>
      <c r="E125" t="inlineStr">
        <is>
          <t>CRPTF-GCM Middle-Market RE Partnership, L.P. (2025-01 Investment Series)</t>
        </is>
      </c>
    </row>
    <row r="126">
      <c r="A126" s="856" t="inlineStr">
        <is>
          <t>100200 Cash Checking</t>
        </is>
      </c>
      <c r="C126" s="833">
        <f>-ROUND(_xlfn.XLOOKUP(E126,'May 26 Distribution Checking'!A:A,'May 26 Distribution Checking'!Y:Y),2)</f>
        <v/>
      </c>
      <c r="D126" t="inlineStr">
        <is>
          <t>To record total of equalization distribution per Legacy Knight Subsequent Closing in Q2'26.</t>
        </is>
      </c>
      <c r="E126" t="inlineStr">
        <is>
          <t>Argos Holdings, LLC</t>
        </is>
      </c>
    </row>
    <row r="127">
      <c r="A127" s="856" t="inlineStr">
        <is>
          <t>100200 Cash Checking</t>
        </is>
      </c>
      <c r="C127" s="833">
        <f>-ROUND(_xlfn.XLOOKUP(E127,'May 26 Distribution Checking'!A:A,'May 26 Distribution Checking'!Y:Y),2)</f>
        <v/>
      </c>
      <c r="D127" t="inlineStr">
        <is>
          <t>To record total of equalization distribution per Legacy Knight Subsequent Closing in Q2'26.</t>
        </is>
      </c>
      <c r="E127" t="inlineStr">
        <is>
          <t>Palmatum HR Illiquid, LLC</t>
        </is>
      </c>
    </row>
    <row r="128">
      <c r="A128" s="856" t="inlineStr">
        <is>
          <t>230100 Distributions Payable</t>
        </is>
      </c>
      <c r="C128" s="833" t="n">
        <v>6707.82</v>
      </c>
      <c r="D128" t="inlineStr">
        <is>
          <t>To record overpayment from Legacy Knight as distribution payable dtd 5/19/2026</t>
        </is>
      </c>
      <c r="E128" t="inlineStr">
        <is>
          <t>Legacy Knight Strategic Opportunities Fund LLC - CL Rail Series</t>
        </is>
      </c>
    </row>
    <row r="129">
      <c r="A129" s="856" t="inlineStr">
        <is>
          <t>301200 Contributions:Contribution - Investment</t>
        </is>
      </c>
      <c r="B129">
        <f>ROUND(-_xlfn.XLOOKUP('Sub Close Summary'!E129,'Subsequent Close'!A:A,'Subsequent Close'!M:M)+_xlfn.XLOOKUP('Sub Close Summary'!E129,'Subsequent Close'!A:A,'Subsequent Close'!T:T),2)</f>
        <v/>
      </c>
      <c r="D129" t="inlineStr">
        <is>
          <t>To record changes in contribution due to Legacy Knight Subsequent Closing.</t>
        </is>
      </c>
      <c r="E129" t="inlineStr">
        <is>
          <t>1999 Britta Biesecker Declaration of Trust DTD 5/12/99</t>
        </is>
      </c>
    </row>
    <row r="130">
      <c r="A130" s="856" t="inlineStr">
        <is>
          <t>301200 Contributions:Contribution - Investment</t>
        </is>
      </c>
      <c r="B130">
        <f>ROUND(-_xlfn.XLOOKUP('Sub Close Summary'!E130,'Subsequent Close'!A:A,'Subsequent Close'!M:M)+_xlfn.XLOOKUP('Sub Close Summary'!E130,'Subsequent Close'!A:A,'Subsequent Close'!T:T),2)</f>
        <v/>
      </c>
      <c r="D130" t="inlineStr">
        <is>
          <t>To record changes in contribution due to Legacy Knight Subsequent Closing.</t>
        </is>
      </c>
      <c r="E130" t="inlineStr">
        <is>
          <t>1999 Frederick N Biesecker II Declaration of Trust DTD 5/12/99</t>
        </is>
      </c>
    </row>
    <row r="131">
      <c r="A131" s="856" t="inlineStr">
        <is>
          <t>301200 Contributions:Contribution - Investment</t>
        </is>
      </c>
      <c r="B131">
        <f>ROUND(-_xlfn.XLOOKUP('Sub Close Summary'!E131,'Subsequent Close'!A:A,'Subsequent Close'!M:M)+_xlfn.XLOOKUP('Sub Close Summary'!E131,'Subsequent Close'!A:A,'Subsequent Close'!T:T),2)</f>
        <v/>
      </c>
      <c r="D131" t="inlineStr">
        <is>
          <t>To record changes in contribution due to Legacy Knight Subsequent Closing.</t>
        </is>
      </c>
      <c r="E131" t="inlineStr">
        <is>
          <t>1999 Lissa Biesecker Longacre Declaration of Trust DTD 5/12/99</t>
        </is>
      </c>
    </row>
    <row r="132">
      <c r="A132" s="856" t="inlineStr">
        <is>
          <t>301200 Contributions:Contribution - Investment</t>
        </is>
      </c>
      <c r="B132">
        <f>ROUND(-_xlfn.XLOOKUP('Sub Close Summary'!E132,'Subsequent Close'!A:A,'Subsequent Close'!M:M)+_xlfn.XLOOKUP('Sub Close Summary'!E132,'Subsequent Close'!A:A,'Subsequent Close'!T:T),2)</f>
        <v/>
      </c>
      <c r="D132" t="inlineStr">
        <is>
          <t>To record changes in contribution due to Legacy Knight Subsequent Closing.</t>
        </is>
      </c>
      <c r="E132" t="inlineStr">
        <is>
          <t>Abigail Levy</t>
        </is>
      </c>
    </row>
    <row r="133">
      <c r="A133" s="856" t="inlineStr">
        <is>
          <t>301200 Contributions:Contribution - Investment</t>
        </is>
      </c>
      <c r="B133">
        <f>ROUND(-_xlfn.XLOOKUP('Sub Close Summary'!E133,'Subsequent Close'!A:A,'Subsequent Close'!M:M)+_xlfn.XLOOKUP('Sub Close Summary'!E133,'Subsequent Close'!A:A,'Subsequent Close'!T:T),2)</f>
        <v/>
      </c>
      <c r="D133" t="inlineStr">
        <is>
          <t>To record changes in contribution due to Legacy Knight Subsequent Closing.</t>
        </is>
      </c>
      <c r="E133" t="inlineStr">
        <is>
          <t>AKWT LLC</t>
        </is>
      </c>
    </row>
    <row r="134">
      <c r="A134" s="856" t="inlineStr">
        <is>
          <t>301200 Contributions:Contribution - Investment</t>
        </is>
      </c>
      <c r="B134">
        <f>ROUND(-_xlfn.XLOOKUP('Sub Close Summary'!E134,'Subsequent Close'!A:A,'Subsequent Close'!M:M)+_xlfn.XLOOKUP('Sub Close Summary'!E134,'Subsequent Close'!A:A,'Subsequent Close'!T:T),2)</f>
        <v/>
      </c>
      <c r="D134" t="inlineStr">
        <is>
          <t>To record changes in contribution due to Legacy Knight Subsequent Closing.</t>
        </is>
      </c>
      <c r="E134" t="inlineStr">
        <is>
          <t>Alexander S. Bloomingdale</t>
        </is>
      </c>
    </row>
    <row r="135">
      <c r="A135" s="856" t="inlineStr">
        <is>
          <t>301200 Contributions:Contribution - Investment</t>
        </is>
      </c>
      <c r="B135">
        <f>ROUND(-_xlfn.XLOOKUP('Sub Close Summary'!E135,'Subsequent Close'!A:A,'Subsequent Close'!M:M)+_xlfn.XLOOKUP('Sub Close Summary'!E135,'Subsequent Close'!A:A,'Subsequent Close'!T:T),2)</f>
        <v/>
      </c>
      <c r="D135" t="inlineStr">
        <is>
          <t>To record changes in contribution due to Legacy Knight Subsequent Closing.</t>
        </is>
      </c>
      <c r="E135" t="inlineStr">
        <is>
          <t>Alexander Sharpe Moore</t>
        </is>
      </c>
    </row>
    <row r="136">
      <c r="A136" s="856" t="inlineStr">
        <is>
          <t>301200 Contributions:Contribution - Investment</t>
        </is>
      </c>
      <c r="B136">
        <f>ROUND(-_xlfn.XLOOKUP('Sub Close Summary'!E136,'Subsequent Close'!A:A,'Subsequent Close'!M:M)+_xlfn.XLOOKUP('Sub Close Summary'!E136,'Subsequent Close'!A:A,'Subsequent Close'!T:T),2)</f>
        <v/>
      </c>
      <c r="D136" t="inlineStr">
        <is>
          <t>To record changes in contribution due to Legacy Knight Subsequent Closing.</t>
        </is>
      </c>
      <c r="E136" t="inlineStr">
        <is>
          <t>All Dogs Go To Heaven, LLC</t>
        </is>
      </c>
    </row>
    <row r="137">
      <c r="A137" s="856" t="inlineStr">
        <is>
          <t>301200 Contributions:Contribution - Investment</t>
        </is>
      </c>
      <c r="B137">
        <f>ROUND(-_xlfn.XLOOKUP('Sub Close Summary'!E137,'Subsequent Close'!A:A,'Subsequent Close'!M:M)+_xlfn.XLOOKUP('Sub Close Summary'!E137,'Subsequent Close'!A:A,'Subsequent Close'!T:T),2)</f>
        <v/>
      </c>
      <c r="D137" t="inlineStr">
        <is>
          <t>To record changes in contribution due to Legacy Knight Subsequent Closing.</t>
        </is>
      </c>
      <c r="E137" t="inlineStr">
        <is>
          <t>Alten Investments LLC</t>
        </is>
      </c>
    </row>
    <row r="138">
      <c r="A138" s="856" t="inlineStr">
        <is>
          <t>301200 Contributions:Contribution - Investment</t>
        </is>
      </c>
      <c r="B138">
        <f>ROUND(-_xlfn.XLOOKUP('Sub Close Summary'!E138,'Subsequent Close'!A:A,'Subsequent Close'!M:M)+_xlfn.XLOOKUP('Sub Close Summary'!E138,'Subsequent Close'!A:A,'Subsequent Close'!T:T),2)</f>
        <v/>
      </c>
      <c r="D138" t="inlineStr">
        <is>
          <t>To record changes in contribution due to Legacy Knight Subsequent Closing.</t>
        </is>
      </c>
      <c r="E138" t="inlineStr">
        <is>
          <t>Avery Ryan Klann</t>
        </is>
      </c>
    </row>
    <row r="139">
      <c r="A139" s="856" t="inlineStr">
        <is>
          <t>301200 Contributions:Contribution - Investment</t>
        </is>
      </c>
      <c r="B139">
        <f>ROUND(-_xlfn.XLOOKUP('Sub Close Summary'!E139,'Subsequent Close'!A:A,'Subsequent Close'!M:M)+_xlfn.XLOOKUP('Sub Close Summary'!E139,'Subsequent Close'!A:A,'Subsequent Close'!T:T),2)</f>
        <v/>
      </c>
      <c r="D139" t="inlineStr">
        <is>
          <t>To record changes in contribution due to Legacy Knight Subsequent Closing.</t>
        </is>
      </c>
      <c r="E139" t="inlineStr">
        <is>
          <t>BBR Real Assets Fund 2024 LLC</t>
        </is>
      </c>
    </row>
    <row r="140">
      <c r="A140" s="856" t="inlineStr">
        <is>
          <t>301200 Contributions:Contribution - Investment</t>
        </is>
      </c>
      <c r="B140">
        <f>ROUND(-_xlfn.XLOOKUP('Sub Close Summary'!E140,'Subsequent Close'!A:A,'Subsequent Close'!M:M)+_xlfn.XLOOKUP('Sub Close Summary'!E140,'Subsequent Close'!A:A,'Subsequent Close'!T:T),2)</f>
        <v/>
      </c>
      <c r="D140" t="inlineStr">
        <is>
          <t>To record changes in contribution due to Legacy Knight Subsequent Closing.</t>
        </is>
      </c>
      <c r="E140" t="inlineStr">
        <is>
          <t>Belclaire Asset Management, LLC</t>
        </is>
      </c>
    </row>
    <row r="141">
      <c r="A141" s="856" t="inlineStr">
        <is>
          <t>301200 Contributions:Contribution - Investment</t>
        </is>
      </c>
      <c r="B141">
        <f>ROUND(-_xlfn.XLOOKUP('Sub Close Summary'!E141,'Subsequent Close'!A:A,'Subsequent Close'!M:M)+_xlfn.XLOOKUP('Sub Close Summary'!E141,'Subsequent Close'!A:A,'Subsequent Close'!T:T),2)</f>
        <v/>
      </c>
      <c r="D141" t="inlineStr">
        <is>
          <t>To record changes in contribution due to Legacy Knight Subsequent Closing.</t>
        </is>
      </c>
      <c r="E141" t="inlineStr">
        <is>
          <t>Benaiah Inc.</t>
        </is>
      </c>
    </row>
    <row r="142">
      <c r="A142" s="856" t="inlineStr">
        <is>
          <t>301200 Contributions:Contribution - Investment</t>
        </is>
      </c>
      <c r="B142">
        <f>ROUND(-_xlfn.XLOOKUP('Sub Close Summary'!E142,'Subsequent Close'!A:A,'Subsequent Close'!M:M)+_xlfn.XLOOKUP('Sub Close Summary'!E142,'Subsequent Close'!A:A,'Subsequent Close'!T:T),2)</f>
        <v/>
      </c>
      <c r="D142" t="inlineStr">
        <is>
          <t>To record changes in contribution due to Legacy Knight Subsequent Closing.</t>
        </is>
      </c>
      <c r="E142" t="inlineStr">
        <is>
          <t>Benjamin Johnson</t>
        </is>
      </c>
    </row>
    <row r="143">
      <c r="A143" s="856" t="inlineStr">
        <is>
          <t>301200 Contributions:Contribution - Investment</t>
        </is>
      </c>
      <c r="B143">
        <f>ROUND(-_xlfn.XLOOKUP('Sub Close Summary'!E143,'Subsequent Close'!A:A,'Subsequent Close'!M:M)+_xlfn.XLOOKUP('Sub Close Summary'!E143,'Subsequent Close'!A:A,'Subsequent Close'!T:T),2)</f>
        <v/>
      </c>
      <c r="D143" t="inlineStr">
        <is>
          <t>To record changes in contribution due to Legacy Knight Subsequent Closing.</t>
        </is>
      </c>
      <c r="E143" t="inlineStr">
        <is>
          <t>Bloomingdale Family Trust Share #3</t>
        </is>
      </c>
    </row>
    <row r="144">
      <c r="A144" s="856" t="inlineStr">
        <is>
          <t>301200 Contributions:Contribution - Investment</t>
        </is>
      </c>
      <c r="B144">
        <f>ROUND(-_xlfn.XLOOKUP('Sub Close Summary'!E144,'Subsequent Close'!A:A,'Subsequent Close'!M:M)+_xlfn.XLOOKUP('Sub Close Summary'!E144,'Subsequent Close'!A:A,'Subsequent Close'!T:T),2)</f>
        <v/>
      </c>
      <c r="D144" t="inlineStr">
        <is>
          <t>To record changes in contribution due to Legacy Knight Subsequent Closing.</t>
        </is>
      </c>
      <c r="E144" t="inlineStr">
        <is>
          <t>Brian Carroll 2011 Long-Term Trust</t>
        </is>
      </c>
    </row>
    <row r="145">
      <c r="A145" s="856" t="inlineStr">
        <is>
          <t>301200 Contributions:Contribution - Investment</t>
        </is>
      </c>
      <c r="B145">
        <f>ROUND(-_xlfn.XLOOKUP('Sub Close Summary'!E145,'Subsequent Close'!A:A,'Subsequent Close'!M:M)+_xlfn.XLOOKUP('Sub Close Summary'!E145,'Subsequent Close'!A:A,'Subsequent Close'!T:T),2)</f>
        <v/>
      </c>
      <c r="D145" t="inlineStr">
        <is>
          <t>To record changes in contribution due to Legacy Knight Subsequent Closing.</t>
        </is>
      </c>
      <c r="E145" t="inlineStr">
        <is>
          <t>Bryan C. White LLC</t>
        </is>
      </c>
    </row>
    <row r="146">
      <c r="A146" s="856" t="inlineStr">
        <is>
          <t>301200 Contributions:Contribution - Investment</t>
        </is>
      </c>
      <c r="B146">
        <f>ROUND(-_xlfn.XLOOKUP('Sub Close Summary'!E146,'Subsequent Close'!A:A,'Subsequent Close'!M:M)+_xlfn.XLOOKUP('Sub Close Summary'!E146,'Subsequent Close'!A:A,'Subsequent Close'!T:T),2)</f>
        <v/>
      </c>
      <c r="D146" t="inlineStr">
        <is>
          <t>To record changes in contribution due to Legacy Knight Subsequent Closing.</t>
        </is>
      </c>
      <c r="E146" t="inlineStr">
        <is>
          <t>Cameron J. Tringale</t>
        </is>
      </c>
    </row>
    <row r="147">
      <c r="A147" s="856" t="inlineStr">
        <is>
          <t>301200 Contributions:Contribution - Investment</t>
        </is>
      </c>
      <c r="B147">
        <f>ROUND(-_xlfn.XLOOKUP('Sub Close Summary'!E147,'Subsequent Close'!A:A,'Subsequent Close'!M:M)+_xlfn.XLOOKUP('Sub Close Summary'!E147,'Subsequent Close'!A:A,'Subsequent Close'!T:T),2)</f>
        <v/>
      </c>
      <c r="D147" t="inlineStr">
        <is>
          <t>To record changes in contribution due to Legacy Knight Subsequent Closing.</t>
        </is>
      </c>
      <c r="E147" t="inlineStr">
        <is>
          <t>Charing Hatcherville LLC</t>
        </is>
      </c>
    </row>
    <row r="148">
      <c r="A148" s="856" t="inlineStr">
        <is>
          <t>301200 Contributions:Contribution - Investment</t>
        </is>
      </c>
      <c r="B148">
        <f>ROUND(-_xlfn.XLOOKUP('Sub Close Summary'!E148,'Subsequent Close'!A:A,'Subsequent Close'!M:M)+_xlfn.XLOOKUP('Sub Close Summary'!E148,'Subsequent Close'!A:A,'Subsequent Close'!T:T),2)</f>
        <v/>
      </c>
      <c r="D148" t="inlineStr">
        <is>
          <t>To record changes in contribution due to Legacy Knight Subsequent Closing.</t>
        </is>
      </c>
      <c r="E148" t="inlineStr">
        <is>
          <t>Charing Silsbee, LLC</t>
        </is>
      </c>
    </row>
    <row r="149">
      <c r="A149" s="856" t="inlineStr">
        <is>
          <t>301200 Contributions:Contribution - Investment</t>
        </is>
      </c>
      <c r="B149">
        <f>ROUND(-_xlfn.XLOOKUP('Sub Close Summary'!E149,'Subsequent Close'!A:A,'Subsequent Close'!M:M)+_xlfn.XLOOKUP('Sub Close Summary'!E149,'Subsequent Close'!A:A,'Subsequent Close'!T:T),2)</f>
        <v/>
      </c>
      <c r="D149" t="inlineStr">
        <is>
          <t>To record changes in contribution due to Legacy Knight Subsequent Closing.</t>
        </is>
      </c>
      <c r="E149" t="inlineStr">
        <is>
          <t>Chase F. Monroe</t>
        </is>
      </c>
    </row>
    <row r="150">
      <c r="A150" s="856" t="inlineStr">
        <is>
          <t>301200 Contributions:Contribution - Investment</t>
        </is>
      </c>
      <c r="B150">
        <f>ROUND(-_xlfn.XLOOKUP('Sub Close Summary'!E150,'Subsequent Close'!A:A,'Subsequent Close'!M:M)+_xlfn.XLOOKUP('Sub Close Summary'!E150,'Subsequent Close'!A:A,'Subsequent Close'!T:T),2)</f>
        <v/>
      </c>
      <c r="D150" t="inlineStr">
        <is>
          <t>To record changes in contribution due to Legacy Knight Subsequent Closing.</t>
        </is>
      </c>
      <c r="E150" t="inlineStr">
        <is>
          <t>Chase The Lion, Inc.</t>
        </is>
      </c>
    </row>
    <row r="151">
      <c r="A151" s="856" t="inlineStr">
        <is>
          <t>301200 Contributions:Contribution - Investment</t>
        </is>
      </c>
      <c r="B151">
        <f>ROUND(-_xlfn.XLOOKUP('Sub Close Summary'!E151,'Subsequent Close'!A:A,'Subsequent Close'!M:M)+_xlfn.XLOOKUP('Sub Close Summary'!E151,'Subsequent Close'!A:A,'Subsequent Close'!T:T),2)</f>
        <v/>
      </c>
      <c r="D151" t="inlineStr">
        <is>
          <t>To record changes in contribution due to Legacy Knight Subsequent Closing.</t>
        </is>
      </c>
      <c r="E151" t="inlineStr">
        <is>
          <t>Chris Schaaf</t>
        </is>
      </c>
    </row>
    <row r="152">
      <c r="A152" s="856" t="inlineStr">
        <is>
          <t>301200 Contributions:Contribution - Investment</t>
        </is>
      </c>
      <c r="B152">
        <f>ROUND(-_xlfn.XLOOKUP('Sub Close Summary'!E152,'Subsequent Close'!A:A,'Subsequent Close'!M:M)+_xlfn.XLOOKUP('Sub Close Summary'!E152,'Subsequent Close'!A:A,'Subsequent Close'!T:T),2)</f>
        <v/>
      </c>
      <c r="D152" t="inlineStr">
        <is>
          <t>To record changes in contribution due to Legacy Knight Subsequent Closing.</t>
        </is>
      </c>
      <c r="E152" t="inlineStr">
        <is>
          <t>Christopher J. Campbell</t>
        </is>
      </c>
    </row>
    <row r="153">
      <c r="A153" s="856" t="inlineStr">
        <is>
          <t>301200 Contributions:Contribution - Investment</t>
        </is>
      </c>
      <c r="B153">
        <f>ROUND(-_xlfn.XLOOKUP('Sub Close Summary'!E153,'Subsequent Close'!A:A,'Subsequent Close'!M:M)+_xlfn.XLOOKUP('Sub Close Summary'!E153,'Subsequent Close'!A:A,'Subsequent Close'!T:T),2)</f>
        <v/>
      </c>
      <c r="D153" t="inlineStr">
        <is>
          <t>To record changes in contribution due to Legacy Knight Subsequent Closing.</t>
        </is>
      </c>
      <c r="E153" t="inlineStr">
        <is>
          <t>Christopher Johnson</t>
        </is>
      </c>
    </row>
    <row r="154">
      <c r="A154" s="856" t="inlineStr">
        <is>
          <t>301200 Contributions:Contribution - Investment</t>
        </is>
      </c>
      <c r="B154">
        <f>ROUND(-_xlfn.XLOOKUP('Sub Close Summary'!E154,'Subsequent Close'!A:A,'Subsequent Close'!M:M)+_xlfn.XLOOKUP('Sub Close Summary'!E154,'Subsequent Close'!A:A,'Subsequent Close'!T:T),2)</f>
        <v/>
      </c>
      <c r="D154" t="inlineStr">
        <is>
          <t>To record changes in contribution due to Legacy Knight Subsequent Closing.</t>
        </is>
      </c>
      <c r="E154" t="inlineStr">
        <is>
          <t>CLIP Sponsor LLC</t>
        </is>
      </c>
    </row>
    <row r="155">
      <c r="A155" s="856" t="inlineStr">
        <is>
          <t>301200 Contributions:Contribution - Investment</t>
        </is>
      </c>
      <c r="B155">
        <f>ROUND(-_xlfn.XLOOKUP('Sub Close Summary'!E155,'Subsequent Close'!A:A,'Subsequent Close'!M:M)+_xlfn.XLOOKUP('Sub Close Summary'!E155,'Subsequent Close'!A:A,'Subsequent Close'!T:T),2)</f>
        <v/>
      </c>
      <c r="D155" t="inlineStr">
        <is>
          <t>To record changes in contribution due to Legacy Knight Subsequent Closing.</t>
        </is>
      </c>
      <c r="E155" t="inlineStr">
        <is>
          <t>CLR Silsbee Sponsor LLC</t>
        </is>
      </c>
    </row>
    <row r="156">
      <c r="A156" s="856" t="inlineStr">
        <is>
          <t>301200 Contributions:Contribution - Investment</t>
        </is>
      </c>
      <c r="B156">
        <f>ROUND(-_xlfn.XLOOKUP('Sub Close Summary'!E156,'Subsequent Close'!A:A,'Subsequent Close'!M:M)+_xlfn.XLOOKUP('Sub Close Summary'!E156,'Subsequent Close'!A:A,'Subsequent Close'!T:T),2)</f>
        <v/>
      </c>
      <c r="D156" t="inlineStr">
        <is>
          <t>To record changes in contribution due to Legacy Knight Subsequent Closing.</t>
        </is>
      </c>
      <c r="E156" t="inlineStr">
        <is>
          <t>Daniel Ross</t>
        </is>
      </c>
    </row>
    <row r="157">
      <c r="A157" s="856" t="inlineStr">
        <is>
          <t>301200 Contributions:Contribution - Investment</t>
        </is>
      </c>
      <c r="B157">
        <f>ROUND(-_xlfn.XLOOKUP('Sub Close Summary'!E157,'Subsequent Close'!A:A,'Subsequent Close'!M:M)+_xlfn.XLOOKUP('Sub Close Summary'!E157,'Subsequent Close'!A:A,'Subsequent Close'!T:T),2)</f>
        <v/>
      </c>
      <c r="D157" t="inlineStr">
        <is>
          <t>To record changes in contribution due to Legacy Knight Subsequent Closing.</t>
        </is>
      </c>
      <c r="E157" t="inlineStr">
        <is>
          <t>Endurance Companies LLC</t>
        </is>
      </c>
    </row>
    <row r="158">
      <c r="A158" s="856" t="inlineStr">
        <is>
          <t>301200 Contributions:Contribution - Investment</t>
        </is>
      </c>
      <c r="B158">
        <f>ROUND(-_xlfn.XLOOKUP('Sub Close Summary'!E158,'Subsequent Close'!A:A,'Subsequent Close'!M:M)+_xlfn.XLOOKUP('Sub Close Summary'!E158,'Subsequent Close'!A:A,'Subsequent Close'!T:T),2)</f>
        <v/>
      </c>
      <c r="D158" t="inlineStr">
        <is>
          <t>To record changes in contribution due to Legacy Knight Subsequent Closing.</t>
        </is>
      </c>
      <c r="E158" t="inlineStr">
        <is>
          <t>Forem Capital, LLC</t>
        </is>
      </c>
    </row>
    <row r="159">
      <c r="A159" s="856" t="inlineStr">
        <is>
          <t>301200 Contributions:Contribution - Investment</t>
        </is>
      </c>
      <c r="B159">
        <f>ROUND(-_xlfn.XLOOKUP('Sub Close Summary'!E159,'Subsequent Close'!A:A,'Subsequent Close'!M:M)+_xlfn.XLOOKUP('Sub Close Summary'!E159,'Subsequent Close'!A:A,'Subsequent Close'!T:T),2)</f>
        <v/>
      </c>
      <c r="D159" t="inlineStr">
        <is>
          <t>To record changes in contribution due to Legacy Knight Subsequent Closing.</t>
        </is>
      </c>
      <c r="E159" t="inlineStr">
        <is>
          <t>Francis Brawley</t>
        </is>
      </c>
    </row>
    <row r="160">
      <c r="A160" s="856" t="inlineStr">
        <is>
          <t>301200 Contributions:Contribution - Investment</t>
        </is>
      </c>
      <c r="B160">
        <f>ROUND(-_xlfn.XLOOKUP('Sub Close Summary'!E160,'Subsequent Close'!A:A,'Subsequent Close'!M:M)+_xlfn.XLOOKUP('Sub Close Summary'!E160,'Subsequent Close'!A:A,'Subsequent Close'!T:T),2)</f>
        <v/>
      </c>
      <c r="D160" t="inlineStr">
        <is>
          <t>To record changes in contribution due to Legacy Knight Subsequent Closing.</t>
        </is>
      </c>
      <c r="E160" t="inlineStr">
        <is>
          <t>Geoffrey and Elizabeth Bloomingdale Living Trust</t>
        </is>
      </c>
    </row>
    <row r="161">
      <c r="A161" s="856" t="inlineStr">
        <is>
          <t>301200 Contributions:Contribution - Investment</t>
        </is>
      </c>
      <c r="B161">
        <f>ROUND(-_xlfn.XLOOKUP('Sub Close Summary'!E161,'Subsequent Close'!A:A,'Subsequent Close'!M:M)+_xlfn.XLOOKUP('Sub Close Summary'!E161,'Subsequent Close'!A:A,'Subsequent Close'!T:T),2)</f>
        <v/>
      </c>
      <c r="D161" t="inlineStr">
        <is>
          <t>To record changes in contribution due to Legacy Knight Subsequent Closing.</t>
        </is>
      </c>
      <c r="E161" t="inlineStr">
        <is>
          <t>Greene 2000 Family Trust</t>
        </is>
      </c>
    </row>
    <row r="162">
      <c r="A162" s="856" t="inlineStr">
        <is>
          <t>301200 Contributions:Contribution - Investment</t>
        </is>
      </c>
      <c r="B162">
        <f>ROUND(-_xlfn.XLOOKUP('Sub Close Summary'!E162,'Subsequent Close'!A:A,'Subsequent Close'!M:M)+_xlfn.XLOOKUP('Sub Close Summary'!E162,'Subsequent Close'!A:A,'Subsequent Close'!T:T),2)</f>
        <v/>
      </c>
      <c r="D162" t="inlineStr">
        <is>
          <t>To record changes in contribution due to Legacy Knight Subsequent Closing.</t>
        </is>
      </c>
      <c r="E162" t="inlineStr">
        <is>
          <t>Greene Marital Trust</t>
        </is>
      </c>
    </row>
    <row r="163">
      <c r="A163" s="856" t="inlineStr">
        <is>
          <t>301200 Contributions:Contribution - Investment</t>
        </is>
      </c>
      <c r="B163">
        <f>ROUND(-_xlfn.XLOOKUP('Sub Close Summary'!E163,'Subsequent Close'!A:A,'Subsequent Close'!M:M)+_xlfn.XLOOKUP('Sub Close Summary'!E163,'Subsequent Close'!A:A,'Subsequent Close'!T:T),2)</f>
        <v/>
      </c>
      <c r="D163" t="inlineStr">
        <is>
          <t>To record changes in contribution due to Legacy Knight Subsequent Closing.</t>
        </is>
      </c>
      <c r="E163" t="inlineStr">
        <is>
          <t>Gregory Brent Wood</t>
        </is>
      </c>
    </row>
    <row r="164">
      <c r="A164" s="856" t="inlineStr">
        <is>
          <t>301200 Contributions:Contribution - Investment</t>
        </is>
      </c>
      <c r="B164">
        <f>ROUND(-_xlfn.XLOOKUP('Sub Close Summary'!E164,'Subsequent Close'!A:A,'Subsequent Close'!M:M)+_xlfn.XLOOKUP('Sub Close Summary'!E164,'Subsequent Close'!A:A,'Subsequent Close'!T:T),2)</f>
        <v/>
      </c>
      <c r="D164" t="inlineStr">
        <is>
          <t>To record changes in contribution due to Legacy Knight Subsequent Closing.</t>
        </is>
      </c>
      <c r="E164" t="inlineStr">
        <is>
          <t>Hundley Family Trust</t>
        </is>
      </c>
    </row>
    <row r="165">
      <c r="A165" s="856" t="inlineStr">
        <is>
          <t>301200 Contributions:Contribution - Investment</t>
        </is>
      </c>
      <c r="B165">
        <f>ROUND(-_xlfn.XLOOKUP('Sub Close Summary'!E165,'Subsequent Close'!A:A,'Subsequent Close'!M:M)+_xlfn.XLOOKUP('Sub Close Summary'!E165,'Subsequent Close'!A:A,'Subsequent Close'!T:T),2)</f>
        <v/>
      </c>
      <c r="D165" t="inlineStr">
        <is>
          <t>To record changes in contribution due to Legacy Knight Subsequent Closing.</t>
        </is>
      </c>
      <c r="E165" t="inlineStr">
        <is>
          <t>In God We Trust 2017 Living Trust</t>
        </is>
      </c>
    </row>
    <row r="166">
      <c r="A166" s="856" t="inlineStr">
        <is>
          <t>301200 Contributions:Contribution - Investment</t>
        </is>
      </c>
      <c r="B166">
        <f>ROUND(-_xlfn.XLOOKUP('Sub Close Summary'!E166,'Subsequent Close'!A:A,'Subsequent Close'!M:M)+_xlfn.XLOOKUP('Sub Close Summary'!E166,'Subsequent Close'!A:A,'Subsequent Close'!T:T),2)</f>
        <v/>
      </c>
      <c r="D166" t="inlineStr">
        <is>
          <t>To record changes in contribution due to Legacy Knight Subsequent Closing.</t>
        </is>
      </c>
      <c r="E166" t="inlineStr">
        <is>
          <t>James Campbell and Patricia Campbell</t>
        </is>
      </c>
    </row>
    <row r="167">
      <c r="A167" s="856" t="inlineStr">
        <is>
          <t>301200 Contributions:Contribution - Investment</t>
        </is>
      </c>
      <c r="B167">
        <f>ROUND(-_xlfn.XLOOKUP('Sub Close Summary'!E167,'Subsequent Close'!A:A,'Subsequent Close'!M:M)+_xlfn.XLOOKUP('Sub Close Summary'!E167,'Subsequent Close'!A:A,'Subsequent Close'!T:T),2)</f>
        <v/>
      </c>
      <c r="D167" t="inlineStr">
        <is>
          <t>To record changes in contribution due to Legacy Knight Subsequent Closing.</t>
        </is>
      </c>
      <c r="E167" t="inlineStr">
        <is>
          <t>James Kane</t>
        </is>
      </c>
    </row>
    <row r="168">
      <c r="A168" s="856" t="inlineStr">
        <is>
          <t>301200 Contributions:Contribution - Investment</t>
        </is>
      </c>
      <c r="B168">
        <f>ROUND(-_xlfn.XLOOKUP('Sub Close Summary'!E168,'Subsequent Close'!A:A,'Subsequent Close'!M:M)+_xlfn.XLOOKUP('Sub Close Summary'!E168,'Subsequent Close'!A:A,'Subsequent Close'!T:T),2)</f>
        <v/>
      </c>
      <c r="D168" t="inlineStr">
        <is>
          <t>To record changes in contribution due to Legacy Knight Subsequent Closing.</t>
        </is>
      </c>
      <c r="E168" t="inlineStr">
        <is>
          <t>James Thorp</t>
        </is>
      </c>
    </row>
    <row r="169">
      <c r="A169" s="856" t="inlineStr">
        <is>
          <t>301200 Contributions:Contribution - Investment</t>
        </is>
      </c>
      <c r="B169">
        <f>ROUND(-_xlfn.XLOOKUP('Sub Close Summary'!E169,'Subsequent Close'!A:A,'Subsequent Close'!M:M)+_xlfn.XLOOKUP('Sub Close Summary'!E169,'Subsequent Close'!A:A,'Subsequent Close'!T:T),2)</f>
        <v/>
      </c>
      <c r="D169" t="inlineStr">
        <is>
          <t>To record changes in contribution due to Legacy Knight Subsequent Closing.</t>
        </is>
      </c>
      <c r="E169" t="inlineStr">
        <is>
          <t>Jeffrey A. Lipsitz Revocable Trust</t>
        </is>
      </c>
    </row>
    <row r="170">
      <c r="A170" s="856" t="inlineStr">
        <is>
          <t>301200 Contributions:Contribution - Investment</t>
        </is>
      </c>
      <c r="B170">
        <f>ROUND(-_xlfn.XLOOKUP('Sub Close Summary'!E170,'Subsequent Close'!A:A,'Subsequent Close'!M:M)+_xlfn.XLOOKUP('Sub Close Summary'!E170,'Subsequent Close'!A:A,'Subsequent Close'!T:T),2)</f>
        <v/>
      </c>
      <c r="D170" t="inlineStr">
        <is>
          <t>To record changes in contribution due to Legacy Knight Subsequent Closing.</t>
        </is>
      </c>
      <c r="E170" t="inlineStr">
        <is>
          <t>Jeffrey D Furber Revocable Trust</t>
        </is>
      </c>
    </row>
    <row r="171">
      <c r="A171" s="856" t="inlineStr">
        <is>
          <t>301200 Contributions:Contribution - Investment</t>
        </is>
      </c>
      <c r="B171">
        <f>ROUND(-_xlfn.XLOOKUP('Sub Close Summary'!E171,'Subsequent Close'!A:A,'Subsequent Close'!M:M)+_xlfn.XLOOKUP('Sub Close Summary'!E171,'Subsequent Close'!A:A,'Subsequent Close'!T:T),2)</f>
        <v/>
      </c>
      <c r="D171" t="inlineStr">
        <is>
          <t>To record changes in contribution due to Legacy Knight Subsequent Closing.</t>
        </is>
      </c>
      <c r="E171" t="inlineStr">
        <is>
          <t>Jeremy M. Jacobs Trust U/A/D April 1, 1973 fbo Margaret L. Reichenback</t>
        </is>
      </c>
    </row>
    <row r="172">
      <c r="A172" s="856" t="inlineStr">
        <is>
          <t>301200 Contributions:Contribution - Investment</t>
        </is>
      </c>
      <c r="B172">
        <f>ROUND(-_xlfn.XLOOKUP('Sub Close Summary'!E172,'Subsequent Close'!A:A,'Subsequent Close'!M:M)+_xlfn.XLOOKUP('Sub Close Summary'!E172,'Subsequent Close'!A:A,'Subsequent Close'!T:T),2)</f>
        <v/>
      </c>
      <c r="D172" t="inlineStr">
        <is>
          <t>To record changes in contribution due to Legacy Knight Subsequent Closing.</t>
        </is>
      </c>
      <c r="E172" t="inlineStr">
        <is>
          <t>John Mark Comer</t>
        </is>
      </c>
    </row>
    <row r="173">
      <c r="A173" s="856" t="inlineStr">
        <is>
          <t>301200 Contributions:Contribution - Investment</t>
        </is>
      </c>
      <c r="B173">
        <f>ROUND(-_xlfn.XLOOKUP('Sub Close Summary'!E173,'Subsequent Close'!A:A,'Subsequent Close'!M:M)+_xlfn.XLOOKUP('Sub Close Summary'!E173,'Subsequent Close'!A:A,'Subsequent Close'!T:T),2)</f>
        <v/>
      </c>
      <c r="D173" t="inlineStr">
        <is>
          <t>To record changes in contribution due to Legacy Knight Subsequent Closing.</t>
        </is>
      </c>
      <c r="E173" t="inlineStr">
        <is>
          <t>Landscape I, LP</t>
        </is>
      </c>
    </row>
    <row r="174">
      <c r="A174" s="856" t="inlineStr">
        <is>
          <t>301200 Contributions:Contribution - Investment</t>
        </is>
      </c>
      <c r="B174">
        <f>ROUND(-_xlfn.XLOOKUP('Sub Close Summary'!E174,'Subsequent Close'!A:A,'Subsequent Close'!M:M)+_xlfn.XLOOKUP('Sub Close Summary'!E174,'Subsequent Close'!A:A,'Subsequent Close'!T:T),2)</f>
        <v/>
      </c>
      <c r="D174" t="inlineStr">
        <is>
          <t>To record changes in contribution due to Legacy Knight Subsequent Closing.</t>
        </is>
      </c>
      <c r="E174" t="inlineStr">
        <is>
          <t>Lisa Bell Trust, Elisabeth B. Bell, Trustee</t>
        </is>
      </c>
    </row>
    <row r="175">
      <c r="A175" s="856" t="inlineStr">
        <is>
          <t>301200 Contributions:Contribution - Investment</t>
        </is>
      </c>
      <c r="B175">
        <f>ROUND(-_xlfn.XLOOKUP('Sub Close Summary'!E175,'Subsequent Close'!A:A,'Subsequent Close'!M:M)+_xlfn.XLOOKUP('Sub Close Summary'!E175,'Subsequent Close'!A:A,'Subsequent Close'!T:T),2)</f>
        <v/>
      </c>
      <c r="D175" t="inlineStr">
        <is>
          <t>To record changes in contribution due to Legacy Knight Subsequent Closing.</t>
        </is>
      </c>
      <c r="E175" t="inlineStr">
        <is>
          <t>Madten Investments LLC</t>
        </is>
      </c>
    </row>
    <row r="176">
      <c r="A176" s="856" t="inlineStr">
        <is>
          <t>301200 Contributions:Contribution - Investment</t>
        </is>
      </c>
      <c r="B176">
        <f>ROUND(-_xlfn.XLOOKUP('Sub Close Summary'!E176,'Subsequent Close'!A:A,'Subsequent Close'!M:M)+_xlfn.XLOOKUP('Sub Close Summary'!E176,'Subsequent Close'!A:A,'Subsequent Close'!T:T),2)</f>
        <v/>
      </c>
      <c r="D176" t="inlineStr">
        <is>
          <t>To record changes in contribution due to Legacy Knight Subsequent Closing.</t>
        </is>
      </c>
      <c r="E176" t="inlineStr">
        <is>
          <t>Matt McCoy</t>
        </is>
      </c>
    </row>
    <row r="177">
      <c r="A177" s="856" t="inlineStr">
        <is>
          <t>301200 Contributions:Contribution - Investment</t>
        </is>
      </c>
      <c r="B177">
        <f>ROUND(-_xlfn.XLOOKUP('Sub Close Summary'!E177,'Subsequent Close'!A:A,'Subsequent Close'!M:M)+_xlfn.XLOOKUP('Sub Close Summary'!E177,'Subsequent Close'!A:A,'Subsequent Close'!T:T),2)</f>
        <v/>
      </c>
      <c r="D177" t="inlineStr">
        <is>
          <t>To record changes in contribution due to Legacy Knight Subsequent Closing.</t>
        </is>
      </c>
      <c r="E177" t="inlineStr">
        <is>
          <t>Matterhorn Holdings, LLC</t>
        </is>
      </c>
    </row>
    <row r="178">
      <c r="A178" s="856" t="inlineStr">
        <is>
          <t>301200 Contributions:Contribution - Investment</t>
        </is>
      </c>
      <c r="B178">
        <f>ROUND(-_xlfn.XLOOKUP('Sub Close Summary'!E178,'Subsequent Close'!A:A,'Subsequent Close'!M:M)+_xlfn.XLOOKUP('Sub Close Summary'!E178,'Subsequent Close'!A:A,'Subsequent Close'!T:T),2)</f>
        <v/>
      </c>
      <c r="D178" t="inlineStr">
        <is>
          <t>To record changes in contribution due to Legacy Knight Subsequent Closing.</t>
        </is>
      </c>
      <c r="E178" t="inlineStr">
        <is>
          <t>Max O. Reinbach III</t>
        </is>
      </c>
    </row>
    <row r="179">
      <c r="A179" s="856" t="inlineStr">
        <is>
          <t>301200 Contributions:Contribution - Investment</t>
        </is>
      </c>
      <c r="B179">
        <f>ROUND(-_xlfn.XLOOKUP('Sub Close Summary'!E179,'Subsequent Close'!A:A,'Subsequent Close'!M:M)+_xlfn.XLOOKUP('Sub Close Summary'!E179,'Subsequent Close'!A:A,'Subsequent Close'!T:T),2)</f>
        <v/>
      </c>
      <c r="D179" t="inlineStr">
        <is>
          <t>To record changes in contribution due to Legacy Knight Subsequent Closing.</t>
        </is>
      </c>
      <c r="E179" t="inlineStr">
        <is>
          <t>Meghann C. Robinson</t>
        </is>
      </c>
    </row>
    <row r="180">
      <c r="A180" s="856" t="inlineStr">
        <is>
          <t>301200 Contributions:Contribution - Investment</t>
        </is>
      </c>
      <c r="B180">
        <f>ROUND(-_xlfn.XLOOKUP('Sub Close Summary'!E180,'Subsequent Close'!A:A,'Subsequent Close'!M:M)+_xlfn.XLOOKUP('Sub Close Summary'!E180,'Subsequent Close'!A:A,'Subsequent Close'!T:T),2)</f>
        <v/>
      </c>
      <c r="D180" t="inlineStr">
        <is>
          <t>To record changes in contribution due to Legacy Knight Subsequent Closing.</t>
        </is>
      </c>
      <c r="E180" t="inlineStr">
        <is>
          <t>Nahas Investments II LLC</t>
        </is>
      </c>
    </row>
    <row r="181">
      <c r="A181" s="856" t="inlineStr">
        <is>
          <t>301200 Contributions:Contribution - Investment</t>
        </is>
      </c>
      <c r="B181">
        <f>ROUND(-_xlfn.XLOOKUP('Sub Close Summary'!E181,'Subsequent Close'!A:A,'Subsequent Close'!M:M)+_xlfn.XLOOKUP('Sub Close Summary'!E181,'Subsequent Close'!A:A,'Subsequent Close'!T:T),2)</f>
        <v/>
      </c>
      <c r="D181" t="inlineStr">
        <is>
          <t>To record changes in contribution due to Legacy Knight Subsequent Closing.</t>
        </is>
      </c>
      <c r="E181" t="inlineStr">
        <is>
          <t>Odyssey Holdings, LLC</t>
        </is>
      </c>
    </row>
    <row r="182">
      <c r="A182" s="856" t="inlineStr">
        <is>
          <t>301200 Contributions:Contribution - Investment</t>
        </is>
      </c>
      <c r="B182">
        <f>ROUND(-_xlfn.XLOOKUP('Sub Close Summary'!E182,'Subsequent Close'!A:A,'Subsequent Close'!M:M)+_xlfn.XLOOKUP('Sub Close Summary'!E182,'Subsequent Close'!A:A,'Subsequent Close'!T:T),2)</f>
        <v/>
      </c>
      <c r="D182" t="inlineStr">
        <is>
          <t>To record changes in contribution due to Legacy Knight Subsequent Closing.</t>
        </is>
      </c>
      <c r="E182" t="inlineStr">
        <is>
          <t>Pease River Holdings LLC</t>
        </is>
      </c>
    </row>
    <row r="183">
      <c r="A183" s="856" t="inlineStr">
        <is>
          <t>301200 Contributions:Contribution - Investment</t>
        </is>
      </c>
      <c r="B183">
        <f>ROUND(-_xlfn.XLOOKUP('Sub Close Summary'!E183,'Subsequent Close'!A:A,'Subsequent Close'!M:M)+_xlfn.XLOOKUP('Sub Close Summary'!E183,'Subsequent Close'!A:A,'Subsequent Close'!T:T),2)</f>
        <v/>
      </c>
      <c r="D183" t="inlineStr">
        <is>
          <t>To record changes in contribution due to Legacy Knight Subsequent Closing.</t>
        </is>
      </c>
      <c r="E183" t="inlineStr">
        <is>
          <t>PT Burros, LLC</t>
        </is>
      </c>
    </row>
    <row r="184">
      <c r="A184" s="856" t="inlineStr">
        <is>
          <t>301200 Contributions:Contribution - Investment</t>
        </is>
      </c>
      <c r="B184">
        <f>ROUND(-_xlfn.XLOOKUP('Sub Close Summary'!E184,'Subsequent Close'!A:A,'Subsequent Close'!M:M)+_xlfn.XLOOKUP('Sub Close Summary'!E184,'Subsequent Close'!A:A,'Subsequent Close'!T:T),2)</f>
        <v/>
      </c>
      <c r="D184" t="inlineStr">
        <is>
          <t>To record changes in contribution due to Legacy Knight Subsequent Closing.</t>
        </is>
      </c>
      <c r="E184" t="inlineStr">
        <is>
          <t>Robert D. Falese III</t>
        </is>
      </c>
    </row>
    <row r="185">
      <c r="A185" s="856" t="inlineStr">
        <is>
          <t>301200 Contributions:Contribution - Investment</t>
        </is>
      </c>
      <c r="B185">
        <f>ROUND(-_xlfn.XLOOKUP('Sub Close Summary'!E185,'Subsequent Close'!A:A,'Subsequent Close'!M:M)+_xlfn.XLOOKUP('Sub Close Summary'!E185,'Subsequent Close'!A:A,'Subsequent Close'!T:T),2)</f>
        <v/>
      </c>
      <c r="D185" t="inlineStr">
        <is>
          <t>To record changes in contribution due to Legacy Knight Subsequent Closing.</t>
        </is>
      </c>
      <c r="E185" t="inlineStr">
        <is>
          <t>Robert Parker Yates</t>
        </is>
      </c>
    </row>
    <row r="186">
      <c r="A186" s="856" t="inlineStr">
        <is>
          <t>301200 Contributions:Contribution - Investment</t>
        </is>
      </c>
      <c r="B186">
        <f>ROUND(-_xlfn.XLOOKUP('Sub Close Summary'!E186,'Subsequent Close'!A:A,'Subsequent Close'!M:M)+_xlfn.XLOOKUP('Sub Close Summary'!E186,'Subsequent Close'!A:A,'Subsequent Close'!T:T),2)</f>
        <v/>
      </c>
      <c r="D186" t="inlineStr">
        <is>
          <t>To record changes in contribution due to Legacy Knight Subsequent Closing.</t>
        </is>
      </c>
      <c r="E186" t="inlineStr">
        <is>
          <t>Robert S. Shafir &amp; Donna R. Shafir TEN/COM</t>
        </is>
      </c>
    </row>
    <row r="187">
      <c r="A187" s="856" t="inlineStr">
        <is>
          <t>301200 Contributions:Contribution - Investment</t>
        </is>
      </c>
      <c r="B187">
        <f>ROUND(-_xlfn.XLOOKUP('Sub Close Summary'!E187,'Subsequent Close'!A:A,'Subsequent Close'!M:M)+_xlfn.XLOOKUP('Sub Close Summary'!E187,'Subsequent Close'!A:A,'Subsequent Close'!T:T),2)</f>
        <v/>
      </c>
      <c r="D187" t="inlineStr">
        <is>
          <t>To record changes in contribution due to Legacy Knight Subsequent Closing.</t>
        </is>
      </c>
      <c r="E187" t="inlineStr">
        <is>
          <t>Robert S. Shafir 2011 Children's Trust</t>
        </is>
      </c>
    </row>
    <row r="188">
      <c r="A188" s="856" t="inlineStr">
        <is>
          <t>301200 Contributions:Contribution - Investment</t>
        </is>
      </c>
      <c r="B188">
        <f>ROUND(-_xlfn.XLOOKUP('Sub Close Summary'!E188,'Subsequent Close'!A:A,'Subsequent Close'!M:M)+_xlfn.XLOOKUP('Sub Close Summary'!E188,'Subsequent Close'!A:A,'Subsequent Close'!T:T),2)</f>
        <v/>
      </c>
      <c r="D188" t="inlineStr">
        <is>
          <t>To record changes in contribution due to Legacy Knight Subsequent Closing.</t>
        </is>
      </c>
      <c r="E188" t="inlineStr">
        <is>
          <t>Romar Partners, LP</t>
        </is>
      </c>
    </row>
    <row r="189">
      <c r="A189" s="856" t="inlineStr">
        <is>
          <t>301200 Contributions:Contribution - Investment</t>
        </is>
      </c>
      <c r="B189">
        <f>ROUND(-_xlfn.XLOOKUP('Sub Close Summary'!E189,'Subsequent Close'!A:A,'Subsequent Close'!M:M)+_xlfn.XLOOKUP('Sub Close Summary'!E189,'Subsequent Close'!A:A,'Subsequent Close'!T:T),2)</f>
        <v/>
      </c>
      <c r="D189" t="inlineStr">
        <is>
          <t>To record changes in contribution due to Legacy Knight Subsequent Closing.</t>
        </is>
      </c>
      <c r="E189" t="inlineStr">
        <is>
          <t>Steven and Chani Laufer 2012 Dynasty Trust</t>
        </is>
      </c>
    </row>
    <row r="190">
      <c r="A190" s="856" t="inlineStr">
        <is>
          <t>301200 Contributions:Contribution - Investment</t>
        </is>
      </c>
      <c r="B190">
        <f>ROUND(-_xlfn.XLOOKUP('Sub Close Summary'!E190,'Subsequent Close'!A:A,'Subsequent Close'!M:M)+_xlfn.XLOOKUP('Sub Close Summary'!E190,'Subsequent Close'!A:A,'Subsequent Close'!T:T),2)</f>
        <v/>
      </c>
      <c r="D190" t="inlineStr">
        <is>
          <t>To record changes in contribution due to Legacy Knight Subsequent Closing.</t>
        </is>
      </c>
      <c r="E190" t="inlineStr">
        <is>
          <t>Steven M. Laufer 2012 Trust</t>
        </is>
      </c>
    </row>
    <row r="191">
      <c r="A191" s="856" t="inlineStr">
        <is>
          <t>301200 Contributions:Contribution - Investment</t>
        </is>
      </c>
      <c r="B191">
        <f>ROUND(-_xlfn.XLOOKUP('Sub Close Summary'!E191,'Subsequent Close'!A:A,'Subsequent Close'!M:M)+_xlfn.XLOOKUP('Sub Close Summary'!E191,'Subsequent Close'!A:A,'Subsequent Close'!T:T),2)</f>
        <v/>
      </c>
      <c r="D191" t="inlineStr">
        <is>
          <t>To record changes in contribution due to Legacy Knight Subsequent Closing.</t>
        </is>
      </c>
      <c r="E191" t="inlineStr">
        <is>
          <t>Stewart Tate</t>
        </is>
      </c>
    </row>
    <row r="192">
      <c r="A192" s="856" t="inlineStr">
        <is>
          <t>301200 Contributions:Contribution - Investment</t>
        </is>
      </c>
      <c r="B192">
        <f>ROUND(-_xlfn.XLOOKUP('Sub Close Summary'!E192,'Subsequent Close'!A:A,'Subsequent Close'!M:M)+_xlfn.XLOOKUP('Sub Close Summary'!E192,'Subsequent Close'!A:A,'Subsequent Close'!T:T),2)</f>
        <v/>
      </c>
      <c r="D192" t="inlineStr">
        <is>
          <t>To record changes in contribution due to Legacy Knight Subsequent Closing.</t>
        </is>
      </c>
      <c r="E192" t="inlineStr">
        <is>
          <t>TC Wilson Family Trust</t>
        </is>
      </c>
    </row>
    <row r="193">
      <c r="A193" s="856" t="inlineStr">
        <is>
          <t>301200 Contributions:Contribution - Investment</t>
        </is>
      </c>
      <c r="B193">
        <f>ROUND(-_xlfn.XLOOKUP('Sub Close Summary'!E193,'Subsequent Close'!A:A,'Subsequent Close'!M:M)+_xlfn.XLOOKUP('Sub Close Summary'!E193,'Subsequent Close'!A:A,'Subsequent Close'!T:T),2)</f>
        <v/>
      </c>
      <c r="D193" t="inlineStr">
        <is>
          <t>To record changes in contribution due to Legacy Knight Subsequent Closing.</t>
        </is>
      </c>
      <c r="E193" t="inlineStr">
        <is>
          <t>The 2015 Pipe Reality Delaware Trust</t>
        </is>
      </c>
    </row>
    <row r="194">
      <c r="A194" s="856" t="inlineStr">
        <is>
          <t>301200 Contributions:Contribution - Investment</t>
        </is>
      </c>
      <c r="B194">
        <f>ROUND(-_xlfn.XLOOKUP('Sub Close Summary'!E194,'Subsequent Close'!A:A,'Subsequent Close'!M:M)+_xlfn.XLOOKUP('Sub Close Summary'!E194,'Subsequent Close'!A:A,'Subsequent Close'!T:T),2)</f>
        <v/>
      </c>
      <c r="D194" t="inlineStr">
        <is>
          <t>To record changes in contribution due to Legacy Knight Subsequent Closing.</t>
        </is>
      </c>
      <c r="E194" t="inlineStr">
        <is>
          <t>The David L. Schnadig 2017 Trust</t>
        </is>
      </c>
    </row>
    <row r="195">
      <c r="A195" s="856" t="inlineStr">
        <is>
          <t>301200 Contributions:Contribution - Investment</t>
        </is>
      </c>
      <c r="B195">
        <f>ROUND(-_xlfn.XLOOKUP('Sub Close Summary'!E195,'Subsequent Close'!A:A,'Subsequent Close'!M:M)+_xlfn.XLOOKUP('Sub Close Summary'!E195,'Subsequent Close'!A:A,'Subsequent Close'!T:T),2)</f>
        <v/>
      </c>
      <c r="D195" t="inlineStr">
        <is>
          <t>To record changes in contribution due to Legacy Knight Subsequent Closing.</t>
        </is>
      </c>
      <c r="E195" t="inlineStr">
        <is>
          <t>The Diane Rosen 2021 Irrevocable Family Trust</t>
        </is>
      </c>
    </row>
    <row r="196">
      <c r="A196" s="856" t="inlineStr">
        <is>
          <t>301200 Contributions:Contribution - Investment</t>
        </is>
      </c>
      <c r="B196">
        <f>ROUND(-_xlfn.XLOOKUP('Sub Close Summary'!E196,'Subsequent Close'!A:A,'Subsequent Close'!M:M)+_xlfn.XLOOKUP('Sub Close Summary'!E196,'Subsequent Close'!A:A,'Subsequent Close'!T:T),2)</f>
        <v/>
      </c>
      <c r="D196" t="inlineStr">
        <is>
          <t>To record changes in contribution due to Legacy Knight Subsequent Closing.</t>
        </is>
      </c>
      <c r="E196" t="inlineStr">
        <is>
          <t>The Mark T. Kirchdorfer 2015 Family Delaware Dynasty Trust</t>
        </is>
      </c>
    </row>
    <row r="197">
      <c r="A197" s="856" t="inlineStr">
        <is>
          <t>301200 Contributions:Contribution - Investment</t>
        </is>
      </c>
      <c r="B197">
        <f>ROUND(-_xlfn.XLOOKUP('Sub Close Summary'!E197,'Subsequent Close'!A:A,'Subsequent Close'!M:M)+_xlfn.XLOOKUP('Sub Close Summary'!E197,'Subsequent Close'!A:A,'Subsequent Close'!T:T),2)</f>
        <v/>
      </c>
      <c r="D197" t="inlineStr">
        <is>
          <t>To record changes in contribution due to Legacy Knight Subsequent Closing.</t>
        </is>
      </c>
      <c r="E197" t="inlineStr">
        <is>
          <t>University of Southern California</t>
        </is>
      </c>
    </row>
    <row r="198">
      <c r="A198" s="856" t="inlineStr">
        <is>
          <t>301200 Contributions:Contribution - Investment</t>
        </is>
      </c>
      <c r="B198">
        <f>ROUND(-_xlfn.XLOOKUP('Sub Close Summary'!E198,'Subsequent Close'!A:A,'Subsequent Close'!M:M)+_xlfn.XLOOKUP('Sub Close Summary'!E198,'Subsequent Close'!A:A,'Subsequent Close'!T:T),2)</f>
        <v/>
      </c>
      <c r="D198" t="inlineStr">
        <is>
          <t>To record changes in contribution due to Legacy Knight Subsequent Closing.</t>
        </is>
      </c>
      <c r="E198" t="inlineStr">
        <is>
          <t>Walker D. Zimmerman</t>
        </is>
      </c>
    </row>
    <row r="199">
      <c r="A199" s="856" t="inlineStr">
        <is>
          <t>301200 Contributions:Contribution - Investment</t>
        </is>
      </c>
      <c r="B199">
        <f>ROUND(-_xlfn.XLOOKUP('Sub Close Summary'!E199,'Subsequent Close'!A:A,'Subsequent Close'!M:M)+_xlfn.XLOOKUP('Sub Close Summary'!E199,'Subsequent Close'!A:A,'Subsequent Close'!T:T),2)</f>
        <v/>
      </c>
      <c r="D199" t="inlineStr">
        <is>
          <t>To record changes in contribution due to Legacy Knight Subsequent Closing.</t>
        </is>
      </c>
      <c r="E199" t="inlineStr">
        <is>
          <t>Wilson Family Trust DTD 3-6-1987</t>
        </is>
      </c>
    </row>
    <row r="200">
      <c r="A200" s="856" t="inlineStr">
        <is>
          <t>301200 Contributions:Contribution - Investment</t>
        </is>
      </c>
      <c r="B200">
        <f>ROUND(-_xlfn.XLOOKUP('Sub Close Summary'!E200,'Subsequent Close'!A:A,'Subsequent Close'!M:M)+_xlfn.XLOOKUP('Sub Close Summary'!E200,'Subsequent Close'!A:A,'Subsequent Close'!T:T),2)</f>
        <v/>
      </c>
      <c r="D200" t="inlineStr">
        <is>
          <t>To record changes in contribution due to Legacy Knight Subsequent Closing.</t>
        </is>
      </c>
      <c r="E200" t="inlineStr">
        <is>
          <t>Wilson GST Exempt Trust</t>
        </is>
      </c>
    </row>
    <row r="201">
      <c r="A201" s="856" t="inlineStr">
        <is>
          <t>301200 Contributions:Contribution - Investment</t>
        </is>
      </c>
      <c r="B201">
        <f>ROUND(-_xlfn.XLOOKUP('Sub Close Summary'!E201,'Subsequent Close'!A:A,'Subsequent Close'!M:M)+_xlfn.XLOOKUP('Sub Close Summary'!E201,'Subsequent Close'!A:A,'Subsequent Close'!T:T),2)</f>
        <v/>
      </c>
      <c r="D201" t="inlineStr">
        <is>
          <t>To record changes in contribution due to Legacy Knight Subsequent Closing.</t>
        </is>
      </c>
      <c r="E201" t="inlineStr">
        <is>
          <t>Texas Emerging Managers Private Markets Program, L.P. (2025-1 RE Investment Series)</t>
        </is>
      </c>
    </row>
    <row r="202">
      <c r="A202" s="856" t="inlineStr">
        <is>
          <t>301200 Contributions:Contribution - Investment</t>
        </is>
      </c>
      <c r="B202">
        <f>ROUND(-_xlfn.XLOOKUP('Sub Close Summary'!E202,'Subsequent Close'!A:A,'Subsequent Close'!M:M)+_xlfn.XLOOKUP('Sub Close Summary'!E202,'Subsequent Close'!A:A,'Subsequent Close'!T:T),2)</f>
        <v/>
      </c>
      <c r="D202" t="inlineStr">
        <is>
          <t>To record changes in contribution due to Legacy Knight Subsequent Closing.</t>
        </is>
      </c>
      <c r="E202" t="inlineStr">
        <is>
          <t>GCM Grosvenor NJ RE Emerging Managers Program, LP (2023-1 Investment Series)</t>
        </is>
      </c>
    </row>
    <row r="203">
      <c r="A203" s="856" t="inlineStr">
        <is>
          <t>301200 Contributions:Contribution - Investment</t>
        </is>
      </c>
      <c r="B203">
        <f>ROUND(-_xlfn.XLOOKUP('Sub Close Summary'!E203,'Subsequent Close'!A:A,'Subsequent Close'!M:M)+_xlfn.XLOOKUP('Sub Close Summary'!E203,'Subsequent Close'!A:A,'Subsequent Close'!T:T),2)</f>
        <v/>
      </c>
      <c r="D203" t="inlineStr">
        <is>
          <t>To record changes in contribution due to Legacy Knight Subsequent Closing.</t>
        </is>
      </c>
      <c r="E203" t="inlineStr">
        <is>
          <t>GCM Grosvenor - NYSTRS Real Estate Investment Partners, L.P. (2024-1 Series)</t>
        </is>
      </c>
    </row>
    <row r="204">
      <c r="A204" s="856" t="inlineStr">
        <is>
          <t>301200 Contributions:Contribution - Investment</t>
        </is>
      </c>
      <c r="B204">
        <f>ROUND(-_xlfn.XLOOKUP('Sub Close Summary'!E204,'Subsequent Close'!A:A,'Subsequent Close'!M:M)+_xlfn.XLOOKUP('Sub Close Summary'!E204,'Subsequent Close'!A:A,'Subsequent Close'!T:T),2)</f>
        <v/>
      </c>
      <c r="D204" t="inlineStr">
        <is>
          <t>To record changes in contribution due to Legacy Knight Subsequent Closing.</t>
        </is>
      </c>
      <c r="E204" t="inlineStr">
        <is>
          <t>CRPTF-GCM Middle-Market RE Partnership, L.P. (2025-01 Investment Series)</t>
        </is>
      </c>
    </row>
    <row r="205">
      <c r="A205" s="856" t="inlineStr">
        <is>
          <t>301200 Contributions:Contribution - Investment</t>
        </is>
      </c>
      <c r="B205">
        <f>ROUND(-_xlfn.XLOOKUP('Sub Close Summary'!E205,'Subsequent Close'!A:A,'Subsequent Close'!M:M)+_xlfn.XLOOKUP('Sub Close Summary'!E205,'Subsequent Close'!A:A,'Subsequent Close'!T:T),2)</f>
        <v/>
      </c>
      <c r="D205" t="inlineStr">
        <is>
          <t>To record changes in contribution due to Legacy Knight Subsequent Closing.</t>
        </is>
      </c>
      <c r="E205" t="inlineStr">
        <is>
          <t>Argos Holdings, LLC</t>
        </is>
      </c>
    </row>
    <row r="206">
      <c r="A206" s="856" t="inlineStr">
        <is>
          <t>301200 Contributions:Contribution - Investment</t>
        </is>
      </c>
      <c r="B206">
        <f>ROUND(-_xlfn.XLOOKUP('Sub Close Summary'!E206,'Subsequent Close'!A:A,'Subsequent Close'!M:M)+_xlfn.XLOOKUP('Sub Close Summary'!E206,'Subsequent Close'!A:A,'Subsequent Close'!T:T),2)</f>
        <v/>
      </c>
      <c r="D206" t="inlineStr">
        <is>
          <t>To record changes in contribution due to Legacy Knight Subsequent Closing.</t>
        </is>
      </c>
      <c r="E206" t="inlineStr">
        <is>
          <t>Palmatum HR Illiquid, LLC</t>
        </is>
      </c>
    </row>
    <row r="207">
      <c r="A207" s="856" t="inlineStr">
        <is>
          <t>301800 Contributions:Contribution - Org Exp</t>
        </is>
      </c>
      <c r="B207">
        <f>ROUND(_xlfn.XLOOKUP(E207,'Subsequent Close'!A:A,'Subsequent Close'!W:W)-_xlfn.XLOOKUP('Sub Close Summary'!E207,'Subsequent Close'!A:A,'Subsequent Close'!P:P),2)</f>
        <v/>
      </c>
      <c r="D207" t="inlineStr">
        <is>
          <t>To record changes in contribution due to Legacy Knight Subsequent Closing.</t>
        </is>
      </c>
      <c r="E207" t="inlineStr">
        <is>
          <t>1999 Britta Biesecker Declaration of Trust DTD 5/12/99</t>
        </is>
      </c>
    </row>
    <row r="208">
      <c r="A208" s="856" t="inlineStr">
        <is>
          <t>301800 Contributions:Contribution - Org Exp</t>
        </is>
      </c>
      <c r="B208">
        <f>ROUND(_xlfn.XLOOKUP(E208,'Subsequent Close'!A:A,'Subsequent Close'!W:W)-_xlfn.XLOOKUP('Sub Close Summary'!E208,'Subsequent Close'!A:A,'Subsequent Close'!P:P),2)</f>
        <v/>
      </c>
      <c r="D208" t="inlineStr">
        <is>
          <t>To record changes in contribution due to Legacy Knight Subsequent Closing.</t>
        </is>
      </c>
      <c r="E208" t="inlineStr">
        <is>
          <t>1999 Frederick N Biesecker II Declaration of Trust DTD 5/12/99</t>
        </is>
      </c>
    </row>
    <row r="209">
      <c r="A209" s="856" t="inlineStr">
        <is>
          <t>301800 Contributions:Contribution - Org Exp</t>
        </is>
      </c>
      <c r="B209">
        <f>ROUND(_xlfn.XLOOKUP(E209,'Subsequent Close'!A:A,'Subsequent Close'!W:W)-_xlfn.XLOOKUP('Sub Close Summary'!E209,'Subsequent Close'!A:A,'Subsequent Close'!P:P),2)</f>
        <v/>
      </c>
      <c r="D209" t="inlineStr">
        <is>
          <t>To record changes in contribution due to Legacy Knight Subsequent Closing.</t>
        </is>
      </c>
      <c r="E209" t="inlineStr">
        <is>
          <t>1999 Lissa Biesecker Longacre Declaration of Trust DTD 5/12/99</t>
        </is>
      </c>
    </row>
    <row r="210">
      <c r="A210" s="856" t="inlineStr">
        <is>
          <t>301800 Contributions:Contribution - Org Exp</t>
        </is>
      </c>
      <c r="B210">
        <f>ROUND(_xlfn.XLOOKUP(E210,'Subsequent Close'!A:A,'Subsequent Close'!W:W)-_xlfn.XLOOKUP('Sub Close Summary'!E210,'Subsequent Close'!A:A,'Subsequent Close'!P:P),2)</f>
        <v/>
      </c>
      <c r="D210" t="inlineStr">
        <is>
          <t>To record changes in contribution due to Legacy Knight Subsequent Closing.</t>
        </is>
      </c>
      <c r="E210" t="inlineStr">
        <is>
          <t>Abigail Levy</t>
        </is>
      </c>
    </row>
    <row r="211">
      <c r="A211" s="856" t="inlineStr">
        <is>
          <t>301800 Contributions:Contribution - Org Exp</t>
        </is>
      </c>
      <c r="B211">
        <f>ROUND(_xlfn.XLOOKUP(E211,'Subsequent Close'!A:A,'Subsequent Close'!W:W)-_xlfn.XLOOKUP('Sub Close Summary'!E211,'Subsequent Close'!A:A,'Subsequent Close'!P:P),2)</f>
        <v/>
      </c>
      <c r="D211" t="inlineStr">
        <is>
          <t>To record changes in contribution due to Legacy Knight Subsequent Closing.</t>
        </is>
      </c>
      <c r="E211" t="inlineStr">
        <is>
          <t>AKWT LLC</t>
        </is>
      </c>
    </row>
    <row r="212">
      <c r="A212" s="856" t="inlineStr">
        <is>
          <t>301800 Contributions:Contribution - Org Exp</t>
        </is>
      </c>
      <c r="B212">
        <f>ROUND(_xlfn.XLOOKUP(E212,'Subsequent Close'!A:A,'Subsequent Close'!W:W)-_xlfn.XLOOKUP('Sub Close Summary'!E212,'Subsequent Close'!A:A,'Subsequent Close'!P:P),2)</f>
        <v/>
      </c>
      <c r="D212" t="inlineStr">
        <is>
          <t>To record changes in contribution due to Legacy Knight Subsequent Closing.</t>
        </is>
      </c>
      <c r="E212" t="inlineStr">
        <is>
          <t>Alexander S. Bloomingdale</t>
        </is>
      </c>
    </row>
    <row r="213">
      <c r="A213" s="856" t="inlineStr">
        <is>
          <t>301800 Contributions:Contribution - Org Exp</t>
        </is>
      </c>
      <c r="B213">
        <f>ROUND(_xlfn.XLOOKUP(E213,'Subsequent Close'!A:A,'Subsequent Close'!W:W)-_xlfn.XLOOKUP('Sub Close Summary'!E213,'Subsequent Close'!A:A,'Subsequent Close'!P:P),2)</f>
        <v/>
      </c>
      <c r="D213" t="inlineStr">
        <is>
          <t>To record changes in contribution due to Legacy Knight Subsequent Closing.</t>
        </is>
      </c>
      <c r="E213" t="inlineStr">
        <is>
          <t>Alexander Sharpe Moore</t>
        </is>
      </c>
    </row>
    <row r="214">
      <c r="A214" s="856" t="inlineStr">
        <is>
          <t>301800 Contributions:Contribution - Org Exp</t>
        </is>
      </c>
      <c r="B214">
        <f>ROUND(_xlfn.XLOOKUP(E214,'Subsequent Close'!A:A,'Subsequent Close'!W:W)-_xlfn.XLOOKUP('Sub Close Summary'!E214,'Subsequent Close'!A:A,'Subsequent Close'!P:P),2)</f>
        <v/>
      </c>
      <c r="D214" t="inlineStr">
        <is>
          <t>To record changes in contribution due to Legacy Knight Subsequent Closing.</t>
        </is>
      </c>
      <c r="E214" t="inlineStr">
        <is>
          <t>All Dogs Go To Heaven, LLC</t>
        </is>
      </c>
    </row>
    <row r="215">
      <c r="A215" s="856" t="inlineStr">
        <is>
          <t>301800 Contributions:Contribution - Org Exp</t>
        </is>
      </c>
      <c r="B215">
        <f>ROUND(_xlfn.XLOOKUP(E215,'Subsequent Close'!A:A,'Subsequent Close'!W:W)-_xlfn.XLOOKUP('Sub Close Summary'!E215,'Subsequent Close'!A:A,'Subsequent Close'!P:P),2)</f>
        <v/>
      </c>
      <c r="D215" t="inlineStr">
        <is>
          <t>To record changes in contribution due to Legacy Knight Subsequent Closing.</t>
        </is>
      </c>
      <c r="E215" t="inlineStr">
        <is>
          <t>Alten Investments LLC</t>
        </is>
      </c>
    </row>
    <row r="216">
      <c r="A216" s="856" t="inlineStr">
        <is>
          <t>301800 Contributions:Contribution - Org Exp</t>
        </is>
      </c>
      <c r="B216">
        <f>ROUND(_xlfn.XLOOKUP(E216,'Subsequent Close'!A:A,'Subsequent Close'!W:W)-_xlfn.XLOOKUP('Sub Close Summary'!E216,'Subsequent Close'!A:A,'Subsequent Close'!P:P),2)</f>
        <v/>
      </c>
      <c r="D216" t="inlineStr">
        <is>
          <t>To record changes in contribution due to Legacy Knight Subsequent Closing.</t>
        </is>
      </c>
      <c r="E216" t="inlineStr">
        <is>
          <t>Avery Ryan Klann</t>
        </is>
      </c>
    </row>
    <row r="217">
      <c r="A217" s="856" t="inlineStr">
        <is>
          <t>301800 Contributions:Contribution - Org Exp</t>
        </is>
      </c>
      <c r="B217">
        <f>ROUND(_xlfn.XLOOKUP(E217,'Subsequent Close'!A:A,'Subsequent Close'!W:W)-_xlfn.XLOOKUP('Sub Close Summary'!E217,'Subsequent Close'!A:A,'Subsequent Close'!P:P),2)</f>
        <v/>
      </c>
      <c r="D217" t="inlineStr">
        <is>
          <t>To record changes in contribution due to Legacy Knight Subsequent Closing.</t>
        </is>
      </c>
      <c r="E217" t="inlineStr">
        <is>
          <t>BBR Real Assets Fund 2024 LLC</t>
        </is>
      </c>
    </row>
    <row r="218">
      <c r="A218" s="856" t="inlineStr">
        <is>
          <t>301800 Contributions:Contribution - Org Exp</t>
        </is>
      </c>
      <c r="B218">
        <f>ROUND(_xlfn.XLOOKUP(E218,'Subsequent Close'!A:A,'Subsequent Close'!W:W)-_xlfn.XLOOKUP('Sub Close Summary'!E218,'Subsequent Close'!A:A,'Subsequent Close'!P:P),2)</f>
        <v/>
      </c>
      <c r="D218" t="inlineStr">
        <is>
          <t>To record changes in contribution due to Legacy Knight Subsequent Closing.</t>
        </is>
      </c>
      <c r="E218" t="inlineStr">
        <is>
          <t>Belclaire Asset Management, LLC</t>
        </is>
      </c>
    </row>
    <row r="219">
      <c r="A219" s="856" t="inlineStr">
        <is>
          <t>301800 Contributions:Contribution - Org Exp</t>
        </is>
      </c>
      <c r="B219">
        <f>ROUND(_xlfn.XLOOKUP(E219,'Subsequent Close'!A:A,'Subsequent Close'!W:W)-_xlfn.XLOOKUP('Sub Close Summary'!E219,'Subsequent Close'!A:A,'Subsequent Close'!P:P),2)</f>
        <v/>
      </c>
      <c r="D219" t="inlineStr">
        <is>
          <t>To record changes in contribution due to Legacy Knight Subsequent Closing.</t>
        </is>
      </c>
      <c r="E219" t="inlineStr">
        <is>
          <t>Benaiah Inc.</t>
        </is>
      </c>
    </row>
    <row r="220">
      <c r="A220" s="856" t="inlineStr">
        <is>
          <t>301800 Contributions:Contribution - Org Exp</t>
        </is>
      </c>
      <c r="B220">
        <f>ROUND(_xlfn.XLOOKUP(E220,'Subsequent Close'!A:A,'Subsequent Close'!W:W)-_xlfn.XLOOKUP('Sub Close Summary'!E220,'Subsequent Close'!A:A,'Subsequent Close'!P:P),2)</f>
        <v/>
      </c>
      <c r="D220" t="inlineStr">
        <is>
          <t>To record changes in contribution due to Legacy Knight Subsequent Closing.</t>
        </is>
      </c>
      <c r="E220" t="inlineStr">
        <is>
          <t>Benjamin Johnson</t>
        </is>
      </c>
    </row>
    <row r="221">
      <c r="A221" s="856" t="inlineStr">
        <is>
          <t>301800 Contributions:Contribution - Org Exp</t>
        </is>
      </c>
      <c r="B221">
        <f>ROUND(_xlfn.XLOOKUP(E221,'Subsequent Close'!A:A,'Subsequent Close'!W:W)-_xlfn.XLOOKUP('Sub Close Summary'!E221,'Subsequent Close'!A:A,'Subsequent Close'!P:P),2)</f>
        <v/>
      </c>
      <c r="D221" t="inlineStr">
        <is>
          <t>To record changes in contribution due to Legacy Knight Subsequent Closing.</t>
        </is>
      </c>
      <c r="E221" t="inlineStr">
        <is>
          <t>Bloomingdale Family Trust Share #3</t>
        </is>
      </c>
    </row>
    <row r="222">
      <c r="A222" s="856" t="inlineStr">
        <is>
          <t>301800 Contributions:Contribution - Org Exp</t>
        </is>
      </c>
      <c r="B222">
        <f>ROUND(_xlfn.XLOOKUP(E222,'Subsequent Close'!A:A,'Subsequent Close'!W:W)-_xlfn.XLOOKUP('Sub Close Summary'!E222,'Subsequent Close'!A:A,'Subsequent Close'!P:P),2)</f>
        <v/>
      </c>
      <c r="D222" t="inlineStr">
        <is>
          <t>To record changes in contribution due to Legacy Knight Subsequent Closing.</t>
        </is>
      </c>
      <c r="E222" t="inlineStr">
        <is>
          <t>Brian Carroll 2011 Long-Term Trust</t>
        </is>
      </c>
    </row>
    <row r="223">
      <c r="A223" s="856" t="inlineStr">
        <is>
          <t>301800 Contributions:Contribution - Org Exp</t>
        </is>
      </c>
      <c r="B223">
        <f>ROUND(_xlfn.XLOOKUP(E223,'Subsequent Close'!A:A,'Subsequent Close'!W:W)-_xlfn.XLOOKUP('Sub Close Summary'!E223,'Subsequent Close'!A:A,'Subsequent Close'!P:P),2)</f>
        <v/>
      </c>
      <c r="D223" t="inlineStr">
        <is>
          <t>To record changes in contribution due to Legacy Knight Subsequent Closing.</t>
        </is>
      </c>
      <c r="E223" t="inlineStr">
        <is>
          <t>Bryan C. White LLC</t>
        </is>
      </c>
    </row>
    <row r="224">
      <c r="A224" s="856" t="inlineStr">
        <is>
          <t>301800 Contributions:Contribution - Org Exp</t>
        </is>
      </c>
      <c r="B224">
        <f>ROUND(_xlfn.XLOOKUP(E224,'Subsequent Close'!A:A,'Subsequent Close'!W:W)-_xlfn.XLOOKUP('Sub Close Summary'!E224,'Subsequent Close'!A:A,'Subsequent Close'!P:P),2)</f>
        <v/>
      </c>
      <c r="D224" t="inlineStr">
        <is>
          <t>To record changes in contribution due to Legacy Knight Subsequent Closing.</t>
        </is>
      </c>
      <c r="E224" t="inlineStr">
        <is>
          <t>Cameron J. Tringale</t>
        </is>
      </c>
    </row>
    <row r="225">
      <c r="A225" s="856" t="inlineStr">
        <is>
          <t>301800 Contributions:Contribution - Org Exp</t>
        </is>
      </c>
      <c r="B225">
        <f>ROUND(_xlfn.XLOOKUP(E225,'Subsequent Close'!A:A,'Subsequent Close'!W:W)-_xlfn.XLOOKUP('Sub Close Summary'!E225,'Subsequent Close'!A:A,'Subsequent Close'!P:P),2)</f>
        <v/>
      </c>
      <c r="D225" t="inlineStr">
        <is>
          <t>To record changes in contribution due to Legacy Knight Subsequent Closing.</t>
        </is>
      </c>
      <c r="E225" t="inlineStr">
        <is>
          <t>Charing Hatcherville LLC</t>
        </is>
      </c>
    </row>
    <row r="226">
      <c r="A226" s="856" t="inlineStr">
        <is>
          <t>301800 Contributions:Contribution - Org Exp</t>
        </is>
      </c>
      <c r="B226">
        <f>ROUND(_xlfn.XLOOKUP(E226,'Subsequent Close'!A:A,'Subsequent Close'!W:W)-_xlfn.XLOOKUP('Sub Close Summary'!E226,'Subsequent Close'!A:A,'Subsequent Close'!P:P),2)</f>
        <v/>
      </c>
      <c r="D226" t="inlineStr">
        <is>
          <t>To record changes in contribution due to Legacy Knight Subsequent Closing.</t>
        </is>
      </c>
      <c r="E226" t="inlineStr">
        <is>
          <t>Charing Silsbee, LLC</t>
        </is>
      </c>
    </row>
    <row r="227">
      <c r="A227" s="856" t="inlineStr">
        <is>
          <t>301800 Contributions:Contribution - Org Exp</t>
        </is>
      </c>
      <c r="B227">
        <f>ROUND(_xlfn.XLOOKUP(E227,'Subsequent Close'!A:A,'Subsequent Close'!W:W)-_xlfn.XLOOKUP('Sub Close Summary'!E227,'Subsequent Close'!A:A,'Subsequent Close'!P:P),2)</f>
        <v/>
      </c>
      <c r="D227" t="inlineStr">
        <is>
          <t>To record changes in contribution due to Legacy Knight Subsequent Closing.</t>
        </is>
      </c>
      <c r="E227" t="inlineStr">
        <is>
          <t>Chase F. Monroe</t>
        </is>
      </c>
    </row>
    <row r="228">
      <c r="A228" s="856" t="inlineStr">
        <is>
          <t>301800 Contributions:Contribution - Org Exp</t>
        </is>
      </c>
      <c r="B228">
        <f>ROUND(_xlfn.XLOOKUP(E228,'Subsequent Close'!A:A,'Subsequent Close'!W:W)-_xlfn.XLOOKUP('Sub Close Summary'!E228,'Subsequent Close'!A:A,'Subsequent Close'!P:P),2)</f>
        <v/>
      </c>
      <c r="D228" t="inlineStr">
        <is>
          <t>To record changes in contribution due to Legacy Knight Subsequent Closing.</t>
        </is>
      </c>
      <c r="E228" t="inlineStr">
        <is>
          <t>Chase The Lion, Inc.</t>
        </is>
      </c>
    </row>
    <row r="229">
      <c r="A229" s="856" t="inlineStr">
        <is>
          <t>301800 Contributions:Contribution - Org Exp</t>
        </is>
      </c>
      <c r="B229">
        <f>ROUND(_xlfn.XLOOKUP(E229,'Subsequent Close'!A:A,'Subsequent Close'!W:W)-_xlfn.XLOOKUP('Sub Close Summary'!E229,'Subsequent Close'!A:A,'Subsequent Close'!P:P),2)</f>
        <v/>
      </c>
      <c r="D229" t="inlineStr">
        <is>
          <t>To record changes in contribution due to Legacy Knight Subsequent Closing.</t>
        </is>
      </c>
      <c r="E229" t="inlineStr">
        <is>
          <t>Chris Schaaf</t>
        </is>
      </c>
    </row>
    <row r="230">
      <c r="A230" s="856" t="inlineStr">
        <is>
          <t>301800 Contributions:Contribution - Org Exp</t>
        </is>
      </c>
      <c r="B230">
        <f>ROUND(_xlfn.XLOOKUP(E230,'Subsequent Close'!A:A,'Subsequent Close'!W:W)-_xlfn.XLOOKUP('Sub Close Summary'!E230,'Subsequent Close'!A:A,'Subsequent Close'!P:P),2)</f>
        <v/>
      </c>
      <c r="D230" t="inlineStr">
        <is>
          <t>To record changes in contribution due to Legacy Knight Subsequent Closing.</t>
        </is>
      </c>
      <c r="E230" t="inlineStr">
        <is>
          <t>Christopher J. Campbell</t>
        </is>
      </c>
    </row>
    <row r="231">
      <c r="A231" s="856" t="inlineStr">
        <is>
          <t>301800 Contributions:Contribution - Org Exp</t>
        </is>
      </c>
      <c r="B231">
        <f>ROUND(_xlfn.XLOOKUP(E231,'Subsequent Close'!A:A,'Subsequent Close'!W:W)-_xlfn.XLOOKUP('Sub Close Summary'!E231,'Subsequent Close'!A:A,'Subsequent Close'!P:P),2)</f>
        <v/>
      </c>
      <c r="D231" t="inlineStr">
        <is>
          <t>To record changes in contribution due to Legacy Knight Subsequent Closing.</t>
        </is>
      </c>
      <c r="E231" t="inlineStr">
        <is>
          <t>Christopher Johnson</t>
        </is>
      </c>
    </row>
    <row r="232">
      <c r="A232" s="856" t="inlineStr">
        <is>
          <t>301800 Contributions:Contribution - Org Exp</t>
        </is>
      </c>
      <c r="B232">
        <f>ROUND(_xlfn.XLOOKUP(E232,'Subsequent Close'!A:A,'Subsequent Close'!W:W)-_xlfn.XLOOKUP('Sub Close Summary'!E232,'Subsequent Close'!A:A,'Subsequent Close'!P:P),2)</f>
        <v/>
      </c>
      <c r="D232" t="inlineStr">
        <is>
          <t>To record changes in contribution due to Legacy Knight Subsequent Closing.</t>
        </is>
      </c>
      <c r="E232" t="inlineStr">
        <is>
          <t>CLIP Sponsor LLC</t>
        </is>
      </c>
    </row>
    <row r="233">
      <c r="A233" s="856" t="inlineStr">
        <is>
          <t>301800 Contributions:Contribution - Org Exp</t>
        </is>
      </c>
      <c r="B233">
        <f>ROUND(_xlfn.XLOOKUP(E233,'Subsequent Close'!A:A,'Subsequent Close'!W:W)-_xlfn.XLOOKUP('Sub Close Summary'!E233,'Subsequent Close'!A:A,'Subsequent Close'!P:P),2)</f>
        <v/>
      </c>
      <c r="D233" t="inlineStr">
        <is>
          <t>To record changes in contribution due to Legacy Knight Subsequent Closing.</t>
        </is>
      </c>
      <c r="E233" t="inlineStr">
        <is>
          <t>CLR Silsbee Sponsor LLC</t>
        </is>
      </c>
    </row>
    <row r="234">
      <c r="A234" s="856" t="inlineStr">
        <is>
          <t>301800 Contributions:Contribution - Org Exp</t>
        </is>
      </c>
      <c r="B234">
        <f>ROUND(_xlfn.XLOOKUP(E234,'Subsequent Close'!A:A,'Subsequent Close'!W:W)-_xlfn.XLOOKUP('Sub Close Summary'!E234,'Subsequent Close'!A:A,'Subsequent Close'!P:P),2)</f>
        <v/>
      </c>
      <c r="D234" t="inlineStr">
        <is>
          <t>To record changes in contribution due to Legacy Knight Subsequent Closing.</t>
        </is>
      </c>
      <c r="E234" t="inlineStr">
        <is>
          <t>Daniel Ross</t>
        </is>
      </c>
    </row>
    <row r="235">
      <c r="A235" s="856" t="inlineStr">
        <is>
          <t>301800 Contributions:Contribution - Org Exp</t>
        </is>
      </c>
      <c r="B235">
        <f>ROUND(_xlfn.XLOOKUP(E235,'Subsequent Close'!A:A,'Subsequent Close'!W:W)-_xlfn.XLOOKUP('Sub Close Summary'!E235,'Subsequent Close'!A:A,'Subsequent Close'!P:P),2)</f>
        <v/>
      </c>
      <c r="D235" t="inlineStr">
        <is>
          <t>To record changes in contribution due to Legacy Knight Subsequent Closing.</t>
        </is>
      </c>
      <c r="E235" t="inlineStr">
        <is>
          <t>Endurance Companies LLC</t>
        </is>
      </c>
    </row>
    <row r="236">
      <c r="A236" s="856" t="inlineStr">
        <is>
          <t>301800 Contributions:Contribution - Org Exp</t>
        </is>
      </c>
      <c r="B236">
        <f>ROUND(_xlfn.XLOOKUP(E236,'Subsequent Close'!A:A,'Subsequent Close'!W:W)-_xlfn.XLOOKUP('Sub Close Summary'!E236,'Subsequent Close'!A:A,'Subsequent Close'!P:P),2)</f>
        <v/>
      </c>
      <c r="D236" t="inlineStr">
        <is>
          <t>To record changes in contribution due to Legacy Knight Subsequent Closing.</t>
        </is>
      </c>
      <c r="E236" t="inlineStr">
        <is>
          <t>Forem Capital, LLC</t>
        </is>
      </c>
    </row>
    <row r="237">
      <c r="A237" s="856" t="inlineStr">
        <is>
          <t>301800 Contributions:Contribution - Org Exp</t>
        </is>
      </c>
      <c r="B237">
        <f>ROUND(_xlfn.XLOOKUP(E237,'Subsequent Close'!A:A,'Subsequent Close'!W:W)-_xlfn.XLOOKUP('Sub Close Summary'!E237,'Subsequent Close'!A:A,'Subsequent Close'!P:P),2)</f>
        <v/>
      </c>
      <c r="D237" t="inlineStr">
        <is>
          <t>To record changes in contribution due to Legacy Knight Subsequent Closing.</t>
        </is>
      </c>
      <c r="E237" t="inlineStr">
        <is>
          <t>Francis Brawley</t>
        </is>
      </c>
    </row>
    <row r="238">
      <c r="A238" s="856" t="inlineStr">
        <is>
          <t>301800 Contributions:Contribution - Org Exp</t>
        </is>
      </c>
      <c r="B238">
        <f>ROUND(_xlfn.XLOOKUP(E238,'Subsequent Close'!A:A,'Subsequent Close'!W:W)-_xlfn.XLOOKUP('Sub Close Summary'!E238,'Subsequent Close'!A:A,'Subsequent Close'!P:P),2)</f>
        <v/>
      </c>
      <c r="D238" t="inlineStr">
        <is>
          <t>To record changes in contribution due to Legacy Knight Subsequent Closing.</t>
        </is>
      </c>
      <c r="E238" t="inlineStr">
        <is>
          <t>Geoffrey and Elizabeth Bloomingdale Living Trust</t>
        </is>
      </c>
    </row>
    <row r="239">
      <c r="A239" s="856" t="inlineStr">
        <is>
          <t>301800 Contributions:Contribution - Org Exp</t>
        </is>
      </c>
      <c r="B239">
        <f>ROUND(_xlfn.XLOOKUP(E239,'Subsequent Close'!A:A,'Subsequent Close'!W:W)-_xlfn.XLOOKUP('Sub Close Summary'!E239,'Subsequent Close'!A:A,'Subsequent Close'!P:P),2)</f>
        <v/>
      </c>
      <c r="D239" t="inlineStr">
        <is>
          <t>To record changes in contribution due to Legacy Knight Subsequent Closing.</t>
        </is>
      </c>
      <c r="E239" t="inlineStr">
        <is>
          <t>Greene 2000 Family Trust</t>
        </is>
      </c>
    </row>
    <row r="240">
      <c r="A240" s="856" t="inlineStr">
        <is>
          <t>301800 Contributions:Contribution - Org Exp</t>
        </is>
      </c>
      <c r="B240">
        <f>ROUND(_xlfn.XLOOKUP(E240,'Subsequent Close'!A:A,'Subsequent Close'!W:W)-_xlfn.XLOOKUP('Sub Close Summary'!E240,'Subsequent Close'!A:A,'Subsequent Close'!P:P),2)</f>
        <v/>
      </c>
      <c r="D240" t="inlineStr">
        <is>
          <t>To record changes in contribution due to Legacy Knight Subsequent Closing.</t>
        </is>
      </c>
      <c r="E240" t="inlineStr">
        <is>
          <t>Greene Marital Trust</t>
        </is>
      </c>
    </row>
    <row r="241">
      <c r="A241" s="856" t="inlineStr">
        <is>
          <t>301800 Contributions:Contribution - Org Exp</t>
        </is>
      </c>
      <c r="B241">
        <f>ROUND(_xlfn.XLOOKUP(E241,'Subsequent Close'!A:A,'Subsequent Close'!W:W)-_xlfn.XLOOKUP('Sub Close Summary'!E241,'Subsequent Close'!A:A,'Subsequent Close'!P:P),2)</f>
        <v/>
      </c>
      <c r="D241" t="inlineStr">
        <is>
          <t>To record changes in contribution due to Legacy Knight Subsequent Closing.</t>
        </is>
      </c>
      <c r="E241" t="inlineStr">
        <is>
          <t>Gregory Brent Wood</t>
        </is>
      </c>
    </row>
    <row r="242">
      <c r="A242" s="856" t="inlineStr">
        <is>
          <t>301800 Contributions:Contribution - Org Exp</t>
        </is>
      </c>
      <c r="B242">
        <f>ROUND(_xlfn.XLOOKUP(E242,'Subsequent Close'!A:A,'Subsequent Close'!W:W)-_xlfn.XLOOKUP('Sub Close Summary'!E242,'Subsequent Close'!A:A,'Subsequent Close'!P:P),2)</f>
        <v/>
      </c>
      <c r="D242" t="inlineStr">
        <is>
          <t>To record changes in contribution due to Legacy Knight Subsequent Closing.</t>
        </is>
      </c>
      <c r="E242" t="inlineStr">
        <is>
          <t>Hundley Family Trust</t>
        </is>
      </c>
    </row>
    <row r="243">
      <c r="A243" s="856" t="inlineStr">
        <is>
          <t>301800 Contributions:Contribution - Org Exp</t>
        </is>
      </c>
      <c r="B243">
        <f>ROUND(_xlfn.XLOOKUP(E243,'Subsequent Close'!A:A,'Subsequent Close'!W:W)-_xlfn.XLOOKUP('Sub Close Summary'!E243,'Subsequent Close'!A:A,'Subsequent Close'!P:P),2)</f>
        <v/>
      </c>
      <c r="D243" t="inlineStr">
        <is>
          <t>To record changes in contribution due to Legacy Knight Subsequent Closing.</t>
        </is>
      </c>
      <c r="E243" t="inlineStr">
        <is>
          <t>In God We Trust 2017 Living Trust</t>
        </is>
      </c>
    </row>
    <row r="244">
      <c r="A244" s="856" t="inlineStr">
        <is>
          <t>301800 Contributions:Contribution - Org Exp</t>
        </is>
      </c>
      <c r="B244">
        <f>ROUND(_xlfn.XLOOKUP(E244,'Subsequent Close'!A:A,'Subsequent Close'!W:W)-_xlfn.XLOOKUP('Sub Close Summary'!E244,'Subsequent Close'!A:A,'Subsequent Close'!P:P),2)</f>
        <v/>
      </c>
      <c r="D244" t="inlineStr">
        <is>
          <t>To record changes in contribution due to Legacy Knight Subsequent Closing.</t>
        </is>
      </c>
      <c r="E244" t="inlineStr">
        <is>
          <t>James Campbell and Patricia Campbell</t>
        </is>
      </c>
    </row>
    <row r="245">
      <c r="A245" s="856" t="inlineStr">
        <is>
          <t>301800 Contributions:Contribution - Org Exp</t>
        </is>
      </c>
      <c r="B245">
        <f>ROUND(_xlfn.XLOOKUP(E245,'Subsequent Close'!A:A,'Subsequent Close'!W:W)-_xlfn.XLOOKUP('Sub Close Summary'!E245,'Subsequent Close'!A:A,'Subsequent Close'!P:P),2)</f>
        <v/>
      </c>
      <c r="D245" t="inlineStr">
        <is>
          <t>To record changes in contribution due to Legacy Knight Subsequent Closing.</t>
        </is>
      </c>
      <c r="E245" t="inlineStr">
        <is>
          <t>James Kane</t>
        </is>
      </c>
    </row>
    <row r="246">
      <c r="A246" s="856" t="inlineStr">
        <is>
          <t>301800 Contributions:Contribution - Org Exp</t>
        </is>
      </c>
      <c r="B246">
        <f>ROUND(_xlfn.XLOOKUP(E246,'Subsequent Close'!A:A,'Subsequent Close'!W:W)-_xlfn.XLOOKUP('Sub Close Summary'!E246,'Subsequent Close'!A:A,'Subsequent Close'!P:P),2)</f>
        <v/>
      </c>
      <c r="D246" t="inlineStr">
        <is>
          <t>To record changes in contribution due to Legacy Knight Subsequent Closing.</t>
        </is>
      </c>
      <c r="E246" t="inlineStr">
        <is>
          <t>James Thorp</t>
        </is>
      </c>
    </row>
    <row r="247">
      <c r="A247" s="856" t="inlineStr">
        <is>
          <t>301800 Contributions:Contribution - Org Exp</t>
        </is>
      </c>
      <c r="B247">
        <f>ROUND(_xlfn.XLOOKUP(E247,'Subsequent Close'!A:A,'Subsequent Close'!W:W)-_xlfn.XLOOKUP('Sub Close Summary'!E247,'Subsequent Close'!A:A,'Subsequent Close'!P:P),2)</f>
        <v/>
      </c>
      <c r="D247" t="inlineStr">
        <is>
          <t>To record changes in contribution due to Legacy Knight Subsequent Closing.</t>
        </is>
      </c>
      <c r="E247" t="inlineStr">
        <is>
          <t>Jeffrey A. Lipsitz Revocable Trust</t>
        </is>
      </c>
    </row>
    <row r="248">
      <c r="A248" s="856" t="inlineStr">
        <is>
          <t>301800 Contributions:Contribution - Org Exp</t>
        </is>
      </c>
      <c r="B248">
        <f>ROUND(_xlfn.XLOOKUP(E248,'Subsequent Close'!A:A,'Subsequent Close'!W:W)-_xlfn.XLOOKUP('Sub Close Summary'!E248,'Subsequent Close'!A:A,'Subsequent Close'!P:P),2)</f>
        <v/>
      </c>
      <c r="D248" t="inlineStr">
        <is>
          <t>To record changes in contribution due to Legacy Knight Subsequent Closing.</t>
        </is>
      </c>
      <c r="E248" t="inlineStr">
        <is>
          <t>Jeffrey D Furber Revocable Trust</t>
        </is>
      </c>
    </row>
    <row r="249">
      <c r="A249" s="856" t="inlineStr">
        <is>
          <t>301800 Contributions:Contribution - Org Exp</t>
        </is>
      </c>
      <c r="B249">
        <f>ROUND(_xlfn.XLOOKUP(E249,'Subsequent Close'!A:A,'Subsequent Close'!W:W)-_xlfn.XLOOKUP('Sub Close Summary'!E249,'Subsequent Close'!A:A,'Subsequent Close'!P:P),2)</f>
        <v/>
      </c>
      <c r="D249" t="inlineStr">
        <is>
          <t>To record changes in contribution due to Legacy Knight Subsequent Closing.</t>
        </is>
      </c>
      <c r="E249" t="inlineStr">
        <is>
          <t>Jeremy M. Jacobs Trust U/A/D April 1, 1973 fbo Margaret L. Reichenback</t>
        </is>
      </c>
    </row>
    <row r="250">
      <c r="A250" s="856" t="inlineStr">
        <is>
          <t>301800 Contributions:Contribution - Org Exp</t>
        </is>
      </c>
      <c r="B250">
        <f>ROUND(_xlfn.XLOOKUP(E250,'Subsequent Close'!A:A,'Subsequent Close'!W:W)-_xlfn.XLOOKUP('Sub Close Summary'!E250,'Subsequent Close'!A:A,'Subsequent Close'!P:P),2)</f>
        <v/>
      </c>
      <c r="D250" t="inlineStr">
        <is>
          <t>To record changes in contribution due to Legacy Knight Subsequent Closing.</t>
        </is>
      </c>
      <c r="E250" t="inlineStr">
        <is>
          <t>John Mark Comer</t>
        </is>
      </c>
    </row>
    <row r="251">
      <c r="A251" s="856" t="inlineStr">
        <is>
          <t>301800 Contributions:Contribution - Org Exp</t>
        </is>
      </c>
      <c r="B251">
        <f>ROUND(_xlfn.XLOOKUP(E251,'Subsequent Close'!A:A,'Subsequent Close'!W:W)-_xlfn.XLOOKUP('Sub Close Summary'!E251,'Subsequent Close'!A:A,'Subsequent Close'!P:P),2)</f>
        <v/>
      </c>
      <c r="D251" t="inlineStr">
        <is>
          <t>To record changes in contribution due to Legacy Knight Subsequent Closing.</t>
        </is>
      </c>
      <c r="E251" t="inlineStr">
        <is>
          <t>Landscape I, LP</t>
        </is>
      </c>
    </row>
    <row r="252">
      <c r="A252" s="856" t="inlineStr">
        <is>
          <t>301800 Contributions:Contribution - Org Exp</t>
        </is>
      </c>
      <c r="B252">
        <f>ROUND(_xlfn.XLOOKUP(E252,'Subsequent Close'!A:A,'Subsequent Close'!W:W)-_xlfn.XLOOKUP('Sub Close Summary'!E252,'Subsequent Close'!A:A,'Subsequent Close'!P:P),2)</f>
        <v/>
      </c>
      <c r="D252" t="inlineStr">
        <is>
          <t>To record changes in contribution due to Legacy Knight Subsequent Closing.</t>
        </is>
      </c>
      <c r="E252" t="inlineStr">
        <is>
          <t>Lisa Bell Trust, Elisabeth B. Bell, Trustee</t>
        </is>
      </c>
    </row>
    <row r="253">
      <c r="A253" s="856" t="inlineStr">
        <is>
          <t>301800 Contributions:Contribution - Org Exp</t>
        </is>
      </c>
      <c r="B253">
        <f>ROUND(_xlfn.XLOOKUP(E253,'Subsequent Close'!A:A,'Subsequent Close'!W:W)-_xlfn.XLOOKUP('Sub Close Summary'!E253,'Subsequent Close'!A:A,'Subsequent Close'!P:P),2)</f>
        <v/>
      </c>
      <c r="D253" t="inlineStr">
        <is>
          <t>To record changes in contribution due to Legacy Knight Subsequent Closing.</t>
        </is>
      </c>
      <c r="E253" t="inlineStr">
        <is>
          <t>Madten Investments LLC</t>
        </is>
      </c>
    </row>
    <row r="254">
      <c r="A254" s="856" t="inlineStr">
        <is>
          <t>301800 Contributions:Contribution - Org Exp</t>
        </is>
      </c>
      <c r="B254">
        <f>ROUND(_xlfn.XLOOKUP(E254,'Subsequent Close'!A:A,'Subsequent Close'!W:W)-_xlfn.XLOOKUP('Sub Close Summary'!E254,'Subsequent Close'!A:A,'Subsequent Close'!P:P),2)</f>
        <v/>
      </c>
      <c r="D254" t="inlineStr">
        <is>
          <t>To record changes in contribution due to Legacy Knight Subsequent Closing.</t>
        </is>
      </c>
      <c r="E254" t="inlineStr">
        <is>
          <t>Matt McCoy</t>
        </is>
      </c>
    </row>
    <row r="255">
      <c r="A255" s="856" t="inlineStr">
        <is>
          <t>301800 Contributions:Contribution - Org Exp</t>
        </is>
      </c>
      <c r="B255">
        <f>ROUND(_xlfn.XLOOKUP(E255,'Subsequent Close'!A:A,'Subsequent Close'!W:W)-_xlfn.XLOOKUP('Sub Close Summary'!E255,'Subsequent Close'!A:A,'Subsequent Close'!P:P),2)</f>
        <v/>
      </c>
      <c r="D255" t="inlineStr">
        <is>
          <t>To record changes in contribution due to Legacy Knight Subsequent Closing.</t>
        </is>
      </c>
      <c r="E255" t="inlineStr">
        <is>
          <t>Matterhorn Holdings, LLC</t>
        </is>
      </c>
    </row>
    <row r="256">
      <c r="A256" s="856" t="inlineStr">
        <is>
          <t>301800 Contributions:Contribution - Org Exp</t>
        </is>
      </c>
      <c r="B256">
        <f>ROUND(_xlfn.XLOOKUP(E256,'Subsequent Close'!A:A,'Subsequent Close'!W:W)-_xlfn.XLOOKUP('Sub Close Summary'!E256,'Subsequent Close'!A:A,'Subsequent Close'!P:P),2)</f>
        <v/>
      </c>
      <c r="D256" t="inlineStr">
        <is>
          <t>To record changes in contribution due to Legacy Knight Subsequent Closing.</t>
        </is>
      </c>
      <c r="E256" t="inlineStr">
        <is>
          <t>Max O. Reinbach III</t>
        </is>
      </c>
    </row>
    <row r="257">
      <c r="A257" s="856" t="inlineStr">
        <is>
          <t>301800 Contributions:Contribution - Org Exp</t>
        </is>
      </c>
      <c r="B257">
        <f>ROUND(_xlfn.XLOOKUP(E257,'Subsequent Close'!A:A,'Subsequent Close'!W:W)-_xlfn.XLOOKUP('Sub Close Summary'!E257,'Subsequent Close'!A:A,'Subsequent Close'!P:P),2)</f>
        <v/>
      </c>
      <c r="D257" t="inlineStr">
        <is>
          <t>To record changes in contribution due to Legacy Knight Subsequent Closing.</t>
        </is>
      </c>
      <c r="E257" t="inlineStr">
        <is>
          <t>Meghann C. Robinson</t>
        </is>
      </c>
    </row>
    <row r="258">
      <c r="A258" s="856" t="inlineStr">
        <is>
          <t>301800 Contributions:Contribution - Org Exp</t>
        </is>
      </c>
      <c r="B258">
        <f>ROUND(_xlfn.XLOOKUP(E258,'Subsequent Close'!A:A,'Subsequent Close'!W:W)-_xlfn.XLOOKUP('Sub Close Summary'!E258,'Subsequent Close'!A:A,'Subsequent Close'!P:P),2)</f>
        <v/>
      </c>
      <c r="D258" t="inlineStr">
        <is>
          <t>To record changes in contribution due to Legacy Knight Subsequent Closing.</t>
        </is>
      </c>
      <c r="E258" t="inlineStr">
        <is>
          <t>Nahas Investments II LLC</t>
        </is>
      </c>
    </row>
    <row r="259">
      <c r="A259" s="856" t="inlineStr">
        <is>
          <t>301800 Contributions:Contribution - Org Exp</t>
        </is>
      </c>
      <c r="B259">
        <f>ROUND(_xlfn.XLOOKUP(E259,'Subsequent Close'!A:A,'Subsequent Close'!W:W)-_xlfn.XLOOKUP('Sub Close Summary'!E259,'Subsequent Close'!A:A,'Subsequent Close'!P:P),2)</f>
        <v/>
      </c>
      <c r="D259" t="inlineStr">
        <is>
          <t>To record changes in contribution due to Legacy Knight Subsequent Closing.</t>
        </is>
      </c>
      <c r="E259" t="inlineStr">
        <is>
          <t>Odyssey Holdings, LLC</t>
        </is>
      </c>
    </row>
    <row r="260">
      <c r="A260" s="856" t="inlineStr">
        <is>
          <t>301800 Contributions:Contribution - Org Exp</t>
        </is>
      </c>
      <c r="B260">
        <f>ROUND(_xlfn.XLOOKUP(E260,'Subsequent Close'!A:A,'Subsequent Close'!W:W)-_xlfn.XLOOKUP('Sub Close Summary'!E260,'Subsequent Close'!A:A,'Subsequent Close'!P:P),2)</f>
        <v/>
      </c>
      <c r="D260" t="inlineStr">
        <is>
          <t>To record changes in contribution due to Legacy Knight Subsequent Closing.</t>
        </is>
      </c>
      <c r="E260" t="inlineStr">
        <is>
          <t>Pease River Holdings LLC</t>
        </is>
      </c>
    </row>
    <row r="261">
      <c r="A261" s="856" t="inlineStr">
        <is>
          <t>301800 Contributions:Contribution - Org Exp</t>
        </is>
      </c>
      <c r="B261">
        <f>ROUND(_xlfn.XLOOKUP(E261,'Subsequent Close'!A:A,'Subsequent Close'!W:W)-_xlfn.XLOOKUP('Sub Close Summary'!E261,'Subsequent Close'!A:A,'Subsequent Close'!P:P),2)</f>
        <v/>
      </c>
      <c r="D261" t="inlineStr">
        <is>
          <t>To record changes in contribution due to Legacy Knight Subsequent Closing.</t>
        </is>
      </c>
      <c r="E261" t="inlineStr">
        <is>
          <t>PT Burros, LLC</t>
        </is>
      </c>
    </row>
    <row r="262">
      <c r="A262" s="856" t="inlineStr">
        <is>
          <t>301800 Contributions:Contribution - Org Exp</t>
        </is>
      </c>
      <c r="B262">
        <f>ROUND(_xlfn.XLOOKUP(E262,'Subsequent Close'!A:A,'Subsequent Close'!W:W)-_xlfn.XLOOKUP('Sub Close Summary'!E262,'Subsequent Close'!A:A,'Subsequent Close'!P:P),2)</f>
        <v/>
      </c>
      <c r="D262" t="inlineStr">
        <is>
          <t>To record changes in contribution due to Legacy Knight Subsequent Closing.</t>
        </is>
      </c>
      <c r="E262" t="inlineStr">
        <is>
          <t>Robert D. Falese III</t>
        </is>
      </c>
    </row>
    <row r="263">
      <c r="A263" s="856" t="inlineStr">
        <is>
          <t>301800 Contributions:Contribution - Org Exp</t>
        </is>
      </c>
      <c r="B263">
        <f>ROUND(_xlfn.XLOOKUP(E263,'Subsequent Close'!A:A,'Subsequent Close'!W:W)-_xlfn.XLOOKUP('Sub Close Summary'!E263,'Subsequent Close'!A:A,'Subsequent Close'!P:P),2)</f>
        <v/>
      </c>
      <c r="D263" t="inlineStr">
        <is>
          <t>To record changes in contribution due to Legacy Knight Subsequent Closing.</t>
        </is>
      </c>
      <c r="E263" t="inlineStr">
        <is>
          <t>Robert Parker Yates</t>
        </is>
      </c>
    </row>
    <row r="264">
      <c r="A264" s="856" t="inlineStr">
        <is>
          <t>301800 Contributions:Contribution - Org Exp</t>
        </is>
      </c>
      <c r="B264">
        <f>ROUND(_xlfn.XLOOKUP(E264,'Subsequent Close'!A:A,'Subsequent Close'!W:W)-_xlfn.XLOOKUP('Sub Close Summary'!E264,'Subsequent Close'!A:A,'Subsequent Close'!P:P),2)</f>
        <v/>
      </c>
      <c r="D264" t="inlineStr">
        <is>
          <t>To record changes in contribution due to Legacy Knight Subsequent Closing.</t>
        </is>
      </c>
      <c r="E264" t="inlineStr">
        <is>
          <t>Robert S. Shafir &amp; Donna R. Shafir TEN/COM</t>
        </is>
      </c>
    </row>
    <row r="265">
      <c r="A265" s="856" t="inlineStr">
        <is>
          <t>301800 Contributions:Contribution - Org Exp</t>
        </is>
      </c>
      <c r="B265">
        <f>ROUND(_xlfn.XLOOKUP(E265,'Subsequent Close'!A:A,'Subsequent Close'!W:W)-_xlfn.XLOOKUP('Sub Close Summary'!E265,'Subsequent Close'!A:A,'Subsequent Close'!P:P),2)</f>
        <v/>
      </c>
      <c r="D265" t="inlineStr">
        <is>
          <t>To record changes in contribution due to Legacy Knight Subsequent Closing.</t>
        </is>
      </c>
      <c r="E265" t="inlineStr">
        <is>
          <t>Robert S. Shafir 2011 Children's Trust</t>
        </is>
      </c>
    </row>
    <row r="266">
      <c r="A266" s="856" t="inlineStr">
        <is>
          <t>301800 Contributions:Contribution - Org Exp</t>
        </is>
      </c>
      <c r="B266">
        <f>ROUND(_xlfn.XLOOKUP(E266,'Subsequent Close'!A:A,'Subsequent Close'!W:W)-_xlfn.XLOOKUP('Sub Close Summary'!E266,'Subsequent Close'!A:A,'Subsequent Close'!P:P),2)</f>
        <v/>
      </c>
      <c r="D266" t="inlineStr">
        <is>
          <t>To record changes in contribution due to Legacy Knight Subsequent Closing.</t>
        </is>
      </c>
      <c r="E266" t="inlineStr">
        <is>
          <t>Romar Partners, LP</t>
        </is>
      </c>
    </row>
    <row r="267">
      <c r="A267" s="856" t="inlineStr">
        <is>
          <t>301800 Contributions:Contribution - Org Exp</t>
        </is>
      </c>
      <c r="B267">
        <f>ROUND(_xlfn.XLOOKUP(E267,'Subsequent Close'!A:A,'Subsequent Close'!W:W)-_xlfn.XLOOKUP('Sub Close Summary'!E267,'Subsequent Close'!A:A,'Subsequent Close'!P:P),2)</f>
        <v/>
      </c>
      <c r="D267" t="inlineStr">
        <is>
          <t>To record changes in contribution due to Legacy Knight Subsequent Closing.</t>
        </is>
      </c>
      <c r="E267" t="inlineStr">
        <is>
          <t>Steven and Chani Laufer 2012 Dynasty Trust</t>
        </is>
      </c>
    </row>
    <row r="268">
      <c r="A268" s="856" t="inlineStr">
        <is>
          <t>301800 Contributions:Contribution - Org Exp</t>
        </is>
      </c>
      <c r="B268">
        <f>ROUND(_xlfn.XLOOKUP(E268,'Subsequent Close'!A:A,'Subsequent Close'!W:W)-_xlfn.XLOOKUP('Sub Close Summary'!E268,'Subsequent Close'!A:A,'Subsequent Close'!P:P),2)</f>
        <v/>
      </c>
      <c r="D268" t="inlineStr">
        <is>
          <t>To record changes in contribution due to Legacy Knight Subsequent Closing.</t>
        </is>
      </c>
      <c r="E268" t="inlineStr">
        <is>
          <t>Steven M. Laufer 2012 Trust</t>
        </is>
      </c>
    </row>
    <row r="269">
      <c r="A269" s="856" t="inlineStr">
        <is>
          <t>301800 Contributions:Contribution - Org Exp</t>
        </is>
      </c>
      <c r="B269">
        <f>ROUND(_xlfn.XLOOKUP(E269,'Subsequent Close'!A:A,'Subsequent Close'!W:W)-_xlfn.XLOOKUP('Sub Close Summary'!E269,'Subsequent Close'!A:A,'Subsequent Close'!P:P),2)</f>
        <v/>
      </c>
      <c r="D269" t="inlineStr">
        <is>
          <t>To record changes in contribution due to Legacy Knight Subsequent Closing.</t>
        </is>
      </c>
      <c r="E269" t="inlineStr">
        <is>
          <t>Stewart Tate</t>
        </is>
      </c>
    </row>
    <row r="270">
      <c r="A270" s="856" t="inlineStr">
        <is>
          <t>301800 Contributions:Contribution - Org Exp</t>
        </is>
      </c>
      <c r="B270">
        <f>ROUND(_xlfn.XLOOKUP(E270,'Subsequent Close'!A:A,'Subsequent Close'!W:W)-_xlfn.XLOOKUP('Sub Close Summary'!E270,'Subsequent Close'!A:A,'Subsequent Close'!P:P),2)</f>
        <v/>
      </c>
      <c r="D270" t="inlineStr">
        <is>
          <t>To record changes in contribution due to Legacy Knight Subsequent Closing.</t>
        </is>
      </c>
      <c r="E270" t="inlineStr">
        <is>
          <t>TC Wilson Family Trust</t>
        </is>
      </c>
    </row>
    <row r="271">
      <c r="A271" s="856" t="inlineStr">
        <is>
          <t>301800 Contributions:Contribution - Org Exp</t>
        </is>
      </c>
      <c r="B271">
        <f>ROUND(_xlfn.XLOOKUP(E271,'Subsequent Close'!A:A,'Subsequent Close'!W:W)-_xlfn.XLOOKUP('Sub Close Summary'!E271,'Subsequent Close'!A:A,'Subsequent Close'!P:P),2)</f>
        <v/>
      </c>
      <c r="D271" t="inlineStr">
        <is>
          <t>To record changes in contribution due to Legacy Knight Subsequent Closing.</t>
        </is>
      </c>
      <c r="E271" t="inlineStr">
        <is>
          <t>The 2015 Pipe Reality Delaware Trust</t>
        </is>
      </c>
    </row>
    <row r="272">
      <c r="A272" s="856" t="inlineStr">
        <is>
          <t>301800 Contributions:Contribution - Org Exp</t>
        </is>
      </c>
      <c r="B272">
        <f>ROUND(_xlfn.XLOOKUP(E272,'Subsequent Close'!A:A,'Subsequent Close'!W:W)-_xlfn.XLOOKUP('Sub Close Summary'!E272,'Subsequent Close'!A:A,'Subsequent Close'!P:P),2)</f>
        <v/>
      </c>
      <c r="D272" t="inlineStr">
        <is>
          <t>To record changes in contribution due to Legacy Knight Subsequent Closing.</t>
        </is>
      </c>
      <c r="E272" t="inlineStr">
        <is>
          <t>The David L. Schnadig 2017 Trust</t>
        </is>
      </c>
    </row>
    <row r="273">
      <c r="A273" s="856" t="inlineStr">
        <is>
          <t>301800 Contributions:Contribution - Org Exp</t>
        </is>
      </c>
      <c r="B273">
        <f>ROUND(_xlfn.XLOOKUP(E273,'Subsequent Close'!A:A,'Subsequent Close'!W:W)-_xlfn.XLOOKUP('Sub Close Summary'!E273,'Subsequent Close'!A:A,'Subsequent Close'!P:P),2)</f>
        <v/>
      </c>
      <c r="D273" t="inlineStr">
        <is>
          <t>To record changes in contribution due to Legacy Knight Subsequent Closing.</t>
        </is>
      </c>
      <c r="E273" t="inlineStr">
        <is>
          <t>The Diane Rosen 2021 Irrevocable Family Trust</t>
        </is>
      </c>
    </row>
    <row r="274">
      <c r="A274" s="856" t="inlineStr">
        <is>
          <t>301800 Contributions:Contribution - Org Exp</t>
        </is>
      </c>
      <c r="B274">
        <f>ROUND(_xlfn.XLOOKUP(E274,'Subsequent Close'!A:A,'Subsequent Close'!W:W)-_xlfn.XLOOKUP('Sub Close Summary'!E274,'Subsequent Close'!A:A,'Subsequent Close'!P:P),2)</f>
        <v/>
      </c>
      <c r="D274" t="inlineStr">
        <is>
          <t>To record changes in contribution due to Legacy Knight Subsequent Closing.</t>
        </is>
      </c>
      <c r="E274" t="inlineStr">
        <is>
          <t>The Mark T. Kirchdorfer 2015 Family Delaware Dynasty Trust</t>
        </is>
      </c>
    </row>
    <row r="275">
      <c r="A275" s="856" t="inlineStr">
        <is>
          <t>301800 Contributions:Contribution - Org Exp</t>
        </is>
      </c>
      <c r="B275">
        <f>ROUND(_xlfn.XLOOKUP(E275,'Subsequent Close'!A:A,'Subsequent Close'!W:W)-_xlfn.XLOOKUP('Sub Close Summary'!E275,'Subsequent Close'!A:A,'Subsequent Close'!P:P),2)</f>
        <v/>
      </c>
      <c r="D275" t="inlineStr">
        <is>
          <t>To record changes in contribution due to Legacy Knight Subsequent Closing.</t>
        </is>
      </c>
      <c r="E275" t="inlineStr">
        <is>
          <t>University of Southern California</t>
        </is>
      </c>
    </row>
    <row r="276">
      <c r="A276" s="856" t="inlineStr">
        <is>
          <t>301800 Contributions:Contribution - Org Exp</t>
        </is>
      </c>
      <c r="B276">
        <f>ROUND(_xlfn.XLOOKUP(E276,'Subsequent Close'!A:A,'Subsequent Close'!W:W)-_xlfn.XLOOKUP('Sub Close Summary'!E276,'Subsequent Close'!A:A,'Subsequent Close'!P:P),2)</f>
        <v/>
      </c>
      <c r="D276" t="inlineStr">
        <is>
          <t>To record changes in contribution due to Legacy Knight Subsequent Closing.</t>
        </is>
      </c>
      <c r="E276" t="inlineStr">
        <is>
          <t>Walker D. Zimmerman</t>
        </is>
      </c>
    </row>
    <row r="277">
      <c r="A277" s="856" t="inlineStr">
        <is>
          <t>301800 Contributions:Contribution - Org Exp</t>
        </is>
      </c>
      <c r="B277">
        <f>ROUND(_xlfn.XLOOKUP(E277,'Subsequent Close'!A:A,'Subsequent Close'!W:W)-_xlfn.XLOOKUP('Sub Close Summary'!E277,'Subsequent Close'!A:A,'Subsequent Close'!P:P),2)</f>
        <v/>
      </c>
      <c r="D277" t="inlineStr">
        <is>
          <t>To record changes in contribution due to Legacy Knight Subsequent Closing.</t>
        </is>
      </c>
      <c r="E277" t="inlineStr">
        <is>
          <t>Wilson Family Trust DTD 3-6-1987</t>
        </is>
      </c>
    </row>
    <row r="278">
      <c r="A278" s="856" t="inlineStr">
        <is>
          <t>301800 Contributions:Contribution - Org Exp</t>
        </is>
      </c>
      <c r="B278">
        <f>ROUND(_xlfn.XLOOKUP(E278,'Subsequent Close'!A:A,'Subsequent Close'!W:W)-_xlfn.XLOOKUP('Sub Close Summary'!E278,'Subsequent Close'!A:A,'Subsequent Close'!P:P),2)</f>
        <v/>
      </c>
      <c r="D278" t="inlineStr">
        <is>
          <t>To record changes in contribution due to Legacy Knight Subsequent Closing.</t>
        </is>
      </c>
      <c r="E278" t="inlineStr">
        <is>
          <t>Wilson GST Exempt Trust</t>
        </is>
      </c>
    </row>
    <row r="279">
      <c r="A279" s="856" t="inlineStr">
        <is>
          <t>301800 Contributions:Contribution - Org Exp</t>
        </is>
      </c>
      <c r="B279">
        <f>ROUND(_xlfn.XLOOKUP(E279,'Subsequent Close'!A:A,'Subsequent Close'!W:W)-_xlfn.XLOOKUP('Sub Close Summary'!E279,'Subsequent Close'!A:A,'Subsequent Close'!P:P),2)</f>
        <v/>
      </c>
      <c r="D279" t="inlineStr">
        <is>
          <t>To record changes in contribution due to Legacy Knight Subsequent Closing.</t>
        </is>
      </c>
      <c r="E279" t="inlineStr">
        <is>
          <t>Texas Emerging Managers Private Markets Program, L.P. (2025-1 RE Investment Series)</t>
        </is>
      </c>
    </row>
    <row r="280">
      <c r="A280" s="856" t="inlineStr">
        <is>
          <t>301800 Contributions:Contribution - Org Exp</t>
        </is>
      </c>
      <c r="B280">
        <f>ROUND(_xlfn.XLOOKUP(E280,'Subsequent Close'!A:A,'Subsequent Close'!W:W)-_xlfn.XLOOKUP('Sub Close Summary'!E280,'Subsequent Close'!A:A,'Subsequent Close'!P:P),2)</f>
        <v/>
      </c>
      <c r="D280" t="inlineStr">
        <is>
          <t>To record changes in contribution due to Legacy Knight Subsequent Closing.</t>
        </is>
      </c>
      <c r="E280" t="inlineStr">
        <is>
          <t>GCM Grosvenor NJ RE Emerging Managers Program, LP (2023-1 Investment Series)</t>
        </is>
      </c>
    </row>
    <row r="281">
      <c r="A281" s="856" t="inlineStr">
        <is>
          <t>301800 Contributions:Contribution - Org Exp</t>
        </is>
      </c>
      <c r="B281">
        <f>ROUND(_xlfn.XLOOKUP(E281,'Subsequent Close'!A:A,'Subsequent Close'!W:W)-_xlfn.XLOOKUP('Sub Close Summary'!E281,'Subsequent Close'!A:A,'Subsequent Close'!P:P),2)</f>
        <v/>
      </c>
      <c r="D281" t="inlineStr">
        <is>
          <t>To record changes in contribution due to Legacy Knight Subsequent Closing.</t>
        </is>
      </c>
      <c r="E281" t="inlineStr">
        <is>
          <t>GCM Grosvenor - NYSTRS Real Estate Investment Partners, L.P. (2024-1 Series)</t>
        </is>
      </c>
    </row>
    <row r="282">
      <c r="A282" s="856" t="inlineStr">
        <is>
          <t>301800 Contributions:Contribution - Org Exp</t>
        </is>
      </c>
      <c r="B282">
        <f>ROUND(_xlfn.XLOOKUP(E282,'Subsequent Close'!A:A,'Subsequent Close'!W:W)-_xlfn.XLOOKUP('Sub Close Summary'!E282,'Subsequent Close'!A:A,'Subsequent Close'!P:P),2)</f>
        <v/>
      </c>
      <c r="D282" t="inlineStr">
        <is>
          <t>To record changes in contribution due to Legacy Knight Subsequent Closing.</t>
        </is>
      </c>
      <c r="E282" t="inlineStr">
        <is>
          <t>CRPTF-GCM Middle-Market RE Partnership, L.P. (2025-01 Investment Series)</t>
        </is>
      </c>
    </row>
    <row r="283">
      <c r="A283" s="856" t="inlineStr">
        <is>
          <t>301800 Contributions:Contribution - Org Exp</t>
        </is>
      </c>
      <c r="B283">
        <f>ROUND(_xlfn.XLOOKUP(E283,'Subsequent Close'!A:A,'Subsequent Close'!W:W)-_xlfn.XLOOKUP('Sub Close Summary'!E283,'Subsequent Close'!A:A,'Subsequent Close'!P:P),2)</f>
        <v/>
      </c>
      <c r="D283" t="inlineStr">
        <is>
          <t>To record changes in contribution due to Legacy Knight Subsequent Closing.</t>
        </is>
      </c>
      <c r="E283" t="inlineStr">
        <is>
          <t>Argos Holdings, LLC</t>
        </is>
      </c>
    </row>
    <row r="284">
      <c r="A284" s="856" t="inlineStr">
        <is>
          <t>301800 Contributions:Contribution - Org Exp</t>
        </is>
      </c>
      <c r="B284">
        <f>ROUND(_xlfn.XLOOKUP(E284,'Subsequent Close'!A:A,'Subsequent Close'!W:W)-_xlfn.XLOOKUP('Sub Close Summary'!E284,'Subsequent Close'!A:A,'Subsequent Close'!P:P),2)</f>
        <v/>
      </c>
      <c r="D284" t="inlineStr">
        <is>
          <t>To record changes in contribution due to Legacy Knight Subsequent Closing.</t>
        </is>
      </c>
      <c r="E284" t="inlineStr">
        <is>
          <t>Palmatum HR Illiquid, LLC</t>
        </is>
      </c>
    </row>
    <row r="285">
      <c r="A285" s="856" t="inlineStr">
        <is>
          <t>301100 Contributions:Contribution - General</t>
        </is>
      </c>
      <c r="B285">
        <f>ROUND(_xlfn.XLOOKUP(E285,'Subsequent Close'!A:A,'Subsequent Close'!X:X)-_xlfn.XLOOKUP('Sub Close Summary'!E285,'Subsequent Close'!A:A,'Subsequent Close'!Q:Q),2)</f>
        <v/>
      </c>
      <c r="D285" t="inlineStr">
        <is>
          <t>To record changes in contribution due to Legacy Knight Subsequent Closing.</t>
        </is>
      </c>
      <c r="E285" t="inlineStr">
        <is>
          <t>1999 Britta Biesecker Declaration of Trust DTD 5/12/99</t>
        </is>
      </c>
    </row>
    <row r="286">
      <c r="A286" s="856" t="inlineStr">
        <is>
          <t>301100 Contributions:Contribution - General</t>
        </is>
      </c>
      <c r="B286">
        <f>ROUND(_xlfn.XLOOKUP(E286,'Subsequent Close'!A:A,'Subsequent Close'!X:X)-_xlfn.XLOOKUP('Sub Close Summary'!E286,'Subsequent Close'!A:A,'Subsequent Close'!Q:Q),2)</f>
        <v/>
      </c>
      <c r="D286" t="inlineStr">
        <is>
          <t>To record changes in contribution due to Legacy Knight Subsequent Closing.</t>
        </is>
      </c>
      <c r="E286" t="inlineStr">
        <is>
          <t>1999 Frederick N Biesecker II Declaration of Trust DTD 5/12/99</t>
        </is>
      </c>
    </row>
    <row r="287">
      <c r="A287" s="856" t="inlineStr">
        <is>
          <t>301100 Contributions:Contribution - General</t>
        </is>
      </c>
      <c r="B287">
        <f>ROUND(_xlfn.XLOOKUP(E287,'Subsequent Close'!A:A,'Subsequent Close'!X:X)-_xlfn.XLOOKUP('Sub Close Summary'!E287,'Subsequent Close'!A:A,'Subsequent Close'!Q:Q),2)</f>
        <v/>
      </c>
      <c r="D287" t="inlineStr">
        <is>
          <t>To record changes in contribution due to Legacy Knight Subsequent Closing.</t>
        </is>
      </c>
      <c r="E287" t="inlineStr">
        <is>
          <t>1999 Lissa Biesecker Longacre Declaration of Trust DTD 5/12/99</t>
        </is>
      </c>
    </row>
    <row r="288">
      <c r="A288" s="856" t="inlineStr">
        <is>
          <t>301100 Contributions:Contribution - General</t>
        </is>
      </c>
      <c r="B288">
        <f>ROUND(_xlfn.XLOOKUP(E288,'Subsequent Close'!A:A,'Subsequent Close'!X:X)-_xlfn.XLOOKUP('Sub Close Summary'!E288,'Subsequent Close'!A:A,'Subsequent Close'!Q:Q),2)</f>
        <v/>
      </c>
      <c r="D288" t="inlineStr">
        <is>
          <t>To record changes in contribution due to Legacy Knight Subsequent Closing.</t>
        </is>
      </c>
      <c r="E288" t="inlineStr">
        <is>
          <t>Abigail Levy</t>
        </is>
      </c>
    </row>
    <row r="289">
      <c r="A289" s="856" t="inlineStr">
        <is>
          <t>301100 Contributions:Contribution - General</t>
        </is>
      </c>
      <c r="B289">
        <f>ROUND(_xlfn.XLOOKUP(E289,'Subsequent Close'!A:A,'Subsequent Close'!X:X)-_xlfn.XLOOKUP('Sub Close Summary'!E289,'Subsequent Close'!A:A,'Subsequent Close'!Q:Q),2)</f>
        <v/>
      </c>
      <c r="D289" t="inlineStr">
        <is>
          <t>To record changes in contribution due to Legacy Knight Subsequent Closing.</t>
        </is>
      </c>
      <c r="E289" t="inlineStr">
        <is>
          <t>AKWT LLC</t>
        </is>
      </c>
    </row>
    <row r="290">
      <c r="A290" s="856" t="inlineStr">
        <is>
          <t>301100 Contributions:Contribution - General</t>
        </is>
      </c>
      <c r="B290">
        <f>ROUND(_xlfn.XLOOKUP(E290,'Subsequent Close'!A:A,'Subsequent Close'!X:X)-_xlfn.XLOOKUP('Sub Close Summary'!E290,'Subsequent Close'!A:A,'Subsequent Close'!Q:Q),2)</f>
        <v/>
      </c>
      <c r="D290" t="inlineStr">
        <is>
          <t>To record changes in contribution due to Legacy Knight Subsequent Closing.</t>
        </is>
      </c>
      <c r="E290" t="inlineStr">
        <is>
          <t>Alexander S. Bloomingdale</t>
        </is>
      </c>
    </row>
    <row r="291">
      <c r="A291" s="856" t="inlineStr">
        <is>
          <t>301100 Contributions:Contribution - General</t>
        </is>
      </c>
      <c r="B291">
        <f>ROUND(_xlfn.XLOOKUP(E291,'Subsequent Close'!A:A,'Subsequent Close'!X:X)-_xlfn.XLOOKUP('Sub Close Summary'!E291,'Subsequent Close'!A:A,'Subsequent Close'!Q:Q),2)</f>
        <v/>
      </c>
      <c r="D291" t="inlineStr">
        <is>
          <t>To record changes in contribution due to Legacy Knight Subsequent Closing.</t>
        </is>
      </c>
      <c r="E291" t="inlineStr">
        <is>
          <t>Alexander Sharpe Moore</t>
        </is>
      </c>
    </row>
    <row r="292">
      <c r="A292" s="856" t="inlineStr">
        <is>
          <t>301100 Contributions:Contribution - General</t>
        </is>
      </c>
      <c r="B292">
        <f>ROUND(_xlfn.XLOOKUP(E292,'Subsequent Close'!A:A,'Subsequent Close'!X:X)-_xlfn.XLOOKUP('Sub Close Summary'!E292,'Subsequent Close'!A:A,'Subsequent Close'!Q:Q),2)</f>
        <v/>
      </c>
      <c r="D292" t="inlineStr">
        <is>
          <t>To record changes in contribution due to Legacy Knight Subsequent Closing.</t>
        </is>
      </c>
      <c r="E292" t="inlineStr">
        <is>
          <t>All Dogs Go To Heaven, LLC</t>
        </is>
      </c>
    </row>
    <row r="293">
      <c r="A293" s="856" t="inlineStr">
        <is>
          <t>301100 Contributions:Contribution - General</t>
        </is>
      </c>
      <c r="B293">
        <f>ROUND(_xlfn.XLOOKUP(E293,'Subsequent Close'!A:A,'Subsequent Close'!X:X)-_xlfn.XLOOKUP('Sub Close Summary'!E293,'Subsequent Close'!A:A,'Subsequent Close'!Q:Q),2)</f>
        <v/>
      </c>
      <c r="D293" t="inlineStr">
        <is>
          <t>To record changes in contribution due to Legacy Knight Subsequent Closing.</t>
        </is>
      </c>
      <c r="E293" t="inlineStr">
        <is>
          <t>Alten Investments LLC</t>
        </is>
      </c>
    </row>
    <row r="294">
      <c r="A294" s="856" t="inlineStr">
        <is>
          <t>301100 Contributions:Contribution - General</t>
        </is>
      </c>
      <c r="B294">
        <f>ROUND(_xlfn.XLOOKUP(E294,'Subsequent Close'!A:A,'Subsequent Close'!X:X)-_xlfn.XLOOKUP('Sub Close Summary'!E294,'Subsequent Close'!A:A,'Subsequent Close'!Q:Q),2)</f>
        <v/>
      </c>
      <c r="D294" t="inlineStr">
        <is>
          <t>To record changes in contribution due to Legacy Knight Subsequent Closing.</t>
        </is>
      </c>
      <c r="E294" t="inlineStr">
        <is>
          <t>Avery Ryan Klann</t>
        </is>
      </c>
    </row>
    <row r="295">
      <c r="A295" s="856" t="inlineStr">
        <is>
          <t>301100 Contributions:Contribution - General</t>
        </is>
      </c>
      <c r="B295">
        <f>ROUND(_xlfn.XLOOKUP(E295,'Subsequent Close'!A:A,'Subsequent Close'!X:X)-_xlfn.XLOOKUP('Sub Close Summary'!E295,'Subsequent Close'!A:A,'Subsequent Close'!Q:Q),2)</f>
        <v/>
      </c>
      <c r="D295" t="inlineStr">
        <is>
          <t>To record changes in contribution due to Legacy Knight Subsequent Closing.</t>
        </is>
      </c>
      <c r="E295" t="inlineStr">
        <is>
          <t>BBR Real Assets Fund 2024 LLC</t>
        </is>
      </c>
    </row>
    <row r="296">
      <c r="A296" s="856" t="inlineStr">
        <is>
          <t>301100 Contributions:Contribution - General</t>
        </is>
      </c>
      <c r="B296">
        <f>ROUND(_xlfn.XLOOKUP(E296,'Subsequent Close'!A:A,'Subsequent Close'!X:X)-_xlfn.XLOOKUP('Sub Close Summary'!E296,'Subsequent Close'!A:A,'Subsequent Close'!Q:Q),2)</f>
        <v/>
      </c>
      <c r="D296" t="inlineStr">
        <is>
          <t>To record changes in contribution due to Legacy Knight Subsequent Closing.</t>
        </is>
      </c>
      <c r="E296" t="inlineStr">
        <is>
          <t>Belclaire Asset Management, LLC</t>
        </is>
      </c>
    </row>
    <row r="297">
      <c r="A297" s="856" t="inlineStr">
        <is>
          <t>301100 Contributions:Contribution - General</t>
        </is>
      </c>
      <c r="B297">
        <f>ROUND(_xlfn.XLOOKUP(E297,'Subsequent Close'!A:A,'Subsequent Close'!X:X)-_xlfn.XLOOKUP('Sub Close Summary'!E297,'Subsequent Close'!A:A,'Subsequent Close'!Q:Q),2)</f>
        <v/>
      </c>
      <c r="D297" t="inlineStr">
        <is>
          <t>To record changes in contribution due to Legacy Knight Subsequent Closing.</t>
        </is>
      </c>
      <c r="E297" t="inlineStr">
        <is>
          <t>Benaiah Inc.</t>
        </is>
      </c>
    </row>
    <row r="298">
      <c r="A298" s="856" t="inlineStr">
        <is>
          <t>301100 Contributions:Contribution - General</t>
        </is>
      </c>
      <c r="B298">
        <f>ROUND(_xlfn.XLOOKUP(E298,'Subsequent Close'!A:A,'Subsequent Close'!X:X)-_xlfn.XLOOKUP('Sub Close Summary'!E298,'Subsequent Close'!A:A,'Subsequent Close'!Q:Q),2)</f>
        <v/>
      </c>
      <c r="D298" t="inlineStr">
        <is>
          <t>To record changes in contribution due to Legacy Knight Subsequent Closing.</t>
        </is>
      </c>
      <c r="E298" t="inlineStr">
        <is>
          <t>Benjamin Johnson</t>
        </is>
      </c>
    </row>
    <row r="299">
      <c r="A299" s="856" t="inlineStr">
        <is>
          <t>301100 Contributions:Contribution - General</t>
        </is>
      </c>
      <c r="B299">
        <f>ROUND(_xlfn.XLOOKUP(E299,'Subsequent Close'!A:A,'Subsequent Close'!X:X)-_xlfn.XLOOKUP('Sub Close Summary'!E299,'Subsequent Close'!A:A,'Subsequent Close'!Q:Q),2)</f>
        <v/>
      </c>
      <c r="D299" t="inlineStr">
        <is>
          <t>To record changes in contribution due to Legacy Knight Subsequent Closing.</t>
        </is>
      </c>
      <c r="E299" t="inlineStr">
        <is>
          <t>Bloomingdale Family Trust Share #3</t>
        </is>
      </c>
    </row>
    <row r="300">
      <c r="A300" s="856" t="inlineStr">
        <is>
          <t>301100 Contributions:Contribution - General</t>
        </is>
      </c>
      <c r="B300">
        <f>ROUND(_xlfn.XLOOKUP(E300,'Subsequent Close'!A:A,'Subsequent Close'!X:X)-_xlfn.XLOOKUP('Sub Close Summary'!E300,'Subsequent Close'!A:A,'Subsequent Close'!Q:Q),2)</f>
        <v/>
      </c>
      <c r="D300" t="inlineStr">
        <is>
          <t>To record changes in contribution due to Legacy Knight Subsequent Closing.</t>
        </is>
      </c>
      <c r="E300" t="inlineStr">
        <is>
          <t>Brian Carroll 2011 Long-Term Trust</t>
        </is>
      </c>
    </row>
    <row r="301">
      <c r="A301" s="856" t="inlineStr">
        <is>
          <t>301100 Contributions:Contribution - General</t>
        </is>
      </c>
      <c r="B301">
        <f>ROUND(_xlfn.XLOOKUP(E301,'Subsequent Close'!A:A,'Subsequent Close'!X:X)-_xlfn.XLOOKUP('Sub Close Summary'!E301,'Subsequent Close'!A:A,'Subsequent Close'!Q:Q),2)</f>
        <v/>
      </c>
      <c r="D301" t="inlineStr">
        <is>
          <t>To record changes in contribution due to Legacy Knight Subsequent Closing.</t>
        </is>
      </c>
      <c r="E301" t="inlineStr">
        <is>
          <t>Bryan C. White LLC</t>
        </is>
      </c>
    </row>
    <row r="302">
      <c r="A302" s="856" t="inlineStr">
        <is>
          <t>301100 Contributions:Contribution - General</t>
        </is>
      </c>
      <c r="B302">
        <f>ROUND(_xlfn.XLOOKUP(E302,'Subsequent Close'!A:A,'Subsequent Close'!X:X)-_xlfn.XLOOKUP('Sub Close Summary'!E302,'Subsequent Close'!A:A,'Subsequent Close'!Q:Q),2)</f>
        <v/>
      </c>
      <c r="D302" t="inlineStr">
        <is>
          <t>To record changes in contribution due to Legacy Knight Subsequent Closing.</t>
        </is>
      </c>
      <c r="E302" t="inlineStr">
        <is>
          <t>Cameron J. Tringale</t>
        </is>
      </c>
    </row>
    <row r="303">
      <c r="A303" s="856" t="inlineStr">
        <is>
          <t>301100 Contributions:Contribution - General</t>
        </is>
      </c>
      <c r="B303">
        <f>ROUND(_xlfn.XLOOKUP(E303,'Subsequent Close'!A:A,'Subsequent Close'!X:X)-_xlfn.XLOOKUP('Sub Close Summary'!E303,'Subsequent Close'!A:A,'Subsequent Close'!Q:Q),2)</f>
        <v/>
      </c>
      <c r="D303" t="inlineStr">
        <is>
          <t>To record changes in contribution due to Legacy Knight Subsequent Closing.</t>
        </is>
      </c>
      <c r="E303" t="inlineStr">
        <is>
          <t>Charing Hatcherville LLC</t>
        </is>
      </c>
    </row>
    <row r="304">
      <c r="A304" s="856" t="inlineStr">
        <is>
          <t>301100 Contributions:Contribution - General</t>
        </is>
      </c>
      <c r="B304">
        <f>ROUND(_xlfn.XLOOKUP(E304,'Subsequent Close'!A:A,'Subsequent Close'!X:X)-_xlfn.XLOOKUP('Sub Close Summary'!E304,'Subsequent Close'!A:A,'Subsequent Close'!Q:Q),2)</f>
        <v/>
      </c>
      <c r="D304" t="inlineStr">
        <is>
          <t>To record changes in contribution due to Legacy Knight Subsequent Closing.</t>
        </is>
      </c>
      <c r="E304" t="inlineStr">
        <is>
          <t>Charing Silsbee, LLC</t>
        </is>
      </c>
    </row>
    <row r="305">
      <c r="A305" s="856" t="inlineStr">
        <is>
          <t>301100 Contributions:Contribution - General</t>
        </is>
      </c>
      <c r="B305">
        <f>ROUND(_xlfn.XLOOKUP(E305,'Subsequent Close'!A:A,'Subsequent Close'!X:X)-_xlfn.XLOOKUP('Sub Close Summary'!E305,'Subsequent Close'!A:A,'Subsequent Close'!Q:Q),2)</f>
        <v/>
      </c>
      <c r="D305" t="inlineStr">
        <is>
          <t>To record changes in contribution due to Legacy Knight Subsequent Closing.</t>
        </is>
      </c>
      <c r="E305" t="inlineStr">
        <is>
          <t>Chase F. Monroe</t>
        </is>
      </c>
    </row>
    <row r="306">
      <c r="A306" s="856" t="inlineStr">
        <is>
          <t>301100 Contributions:Contribution - General</t>
        </is>
      </c>
      <c r="B306">
        <f>ROUND(_xlfn.XLOOKUP(E306,'Subsequent Close'!A:A,'Subsequent Close'!X:X)-_xlfn.XLOOKUP('Sub Close Summary'!E306,'Subsequent Close'!A:A,'Subsequent Close'!Q:Q),2)</f>
        <v/>
      </c>
      <c r="D306" t="inlineStr">
        <is>
          <t>To record changes in contribution due to Legacy Knight Subsequent Closing.</t>
        </is>
      </c>
      <c r="E306" t="inlineStr">
        <is>
          <t>Chase The Lion, Inc.</t>
        </is>
      </c>
    </row>
    <row r="307">
      <c r="A307" s="856" t="inlineStr">
        <is>
          <t>301100 Contributions:Contribution - General</t>
        </is>
      </c>
      <c r="B307">
        <f>ROUND(_xlfn.XLOOKUP(E307,'Subsequent Close'!A:A,'Subsequent Close'!X:X)-_xlfn.XLOOKUP('Sub Close Summary'!E307,'Subsequent Close'!A:A,'Subsequent Close'!Q:Q),2)</f>
        <v/>
      </c>
      <c r="D307" t="inlineStr">
        <is>
          <t>To record changes in contribution due to Legacy Knight Subsequent Closing.</t>
        </is>
      </c>
      <c r="E307" t="inlineStr">
        <is>
          <t>Chris Schaaf</t>
        </is>
      </c>
    </row>
    <row r="308">
      <c r="A308" s="856" t="inlineStr">
        <is>
          <t>301100 Contributions:Contribution - General</t>
        </is>
      </c>
      <c r="B308">
        <f>ROUND(_xlfn.XLOOKUP(E308,'Subsequent Close'!A:A,'Subsequent Close'!X:X)-_xlfn.XLOOKUP('Sub Close Summary'!E308,'Subsequent Close'!A:A,'Subsequent Close'!Q:Q),2)</f>
        <v/>
      </c>
      <c r="D308" t="inlineStr">
        <is>
          <t>To record changes in contribution due to Legacy Knight Subsequent Closing.</t>
        </is>
      </c>
      <c r="E308" t="inlineStr">
        <is>
          <t>Christopher J. Campbell</t>
        </is>
      </c>
    </row>
    <row r="309">
      <c r="A309" s="856" t="inlineStr">
        <is>
          <t>301100 Contributions:Contribution - General</t>
        </is>
      </c>
      <c r="B309">
        <f>ROUND(_xlfn.XLOOKUP(E309,'Subsequent Close'!A:A,'Subsequent Close'!X:X)-_xlfn.XLOOKUP('Sub Close Summary'!E309,'Subsequent Close'!A:A,'Subsequent Close'!Q:Q),2)</f>
        <v/>
      </c>
      <c r="D309" t="inlineStr">
        <is>
          <t>To record changes in contribution due to Legacy Knight Subsequent Closing.</t>
        </is>
      </c>
      <c r="E309" t="inlineStr">
        <is>
          <t>Christopher Johnson</t>
        </is>
      </c>
    </row>
    <row r="310">
      <c r="A310" s="856" t="inlineStr">
        <is>
          <t>301100 Contributions:Contribution - General</t>
        </is>
      </c>
      <c r="B310">
        <f>ROUND(_xlfn.XLOOKUP(E310,'Subsequent Close'!A:A,'Subsequent Close'!X:X)-_xlfn.XLOOKUP('Sub Close Summary'!E310,'Subsequent Close'!A:A,'Subsequent Close'!Q:Q),2)</f>
        <v/>
      </c>
      <c r="D310" t="inlineStr">
        <is>
          <t>To record changes in contribution due to Legacy Knight Subsequent Closing.</t>
        </is>
      </c>
      <c r="E310" t="inlineStr">
        <is>
          <t>CLIP Sponsor LLC</t>
        </is>
      </c>
    </row>
    <row r="311">
      <c r="A311" s="856" t="inlineStr">
        <is>
          <t>301100 Contributions:Contribution - General</t>
        </is>
      </c>
      <c r="B311">
        <f>ROUND(_xlfn.XLOOKUP(E311,'Subsequent Close'!A:A,'Subsequent Close'!X:X)-_xlfn.XLOOKUP('Sub Close Summary'!E311,'Subsequent Close'!A:A,'Subsequent Close'!Q:Q),2)</f>
        <v/>
      </c>
      <c r="D311" t="inlineStr">
        <is>
          <t>To record changes in contribution due to Legacy Knight Subsequent Closing.</t>
        </is>
      </c>
      <c r="E311" t="inlineStr">
        <is>
          <t>CLR Silsbee Sponsor LLC</t>
        </is>
      </c>
    </row>
    <row r="312">
      <c r="A312" s="856" t="inlineStr">
        <is>
          <t>301100 Contributions:Contribution - General</t>
        </is>
      </c>
      <c r="B312">
        <f>ROUND(_xlfn.XLOOKUP(E312,'Subsequent Close'!A:A,'Subsequent Close'!X:X)-_xlfn.XLOOKUP('Sub Close Summary'!E312,'Subsequent Close'!A:A,'Subsequent Close'!Q:Q),2)</f>
        <v/>
      </c>
      <c r="D312" t="inlineStr">
        <is>
          <t>To record changes in contribution due to Legacy Knight Subsequent Closing.</t>
        </is>
      </c>
      <c r="E312" t="inlineStr">
        <is>
          <t>Daniel Ross</t>
        </is>
      </c>
    </row>
    <row r="313">
      <c r="A313" s="856" t="inlineStr">
        <is>
          <t>301100 Contributions:Contribution - General</t>
        </is>
      </c>
      <c r="B313">
        <f>ROUND(_xlfn.XLOOKUP(E313,'Subsequent Close'!A:A,'Subsequent Close'!X:X)-_xlfn.XLOOKUP('Sub Close Summary'!E313,'Subsequent Close'!A:A,'Subsequent Close'!Q:Q),2)</f>
        <v/>
      </c>
      <c r="D313" t="inlineStr">
        <is>
          <t>To record changes in contribution due to Legacy Knight Subsequent Closing.</t>
        </is>
      </c>
      <c r="E313" t="inlineStr">
        <is>
          <t>Endurance Companies LLC</t>
        </is>
      </c>
    </row>
    <row r="314">
      <c r="A314" s="856" t="inlineStr">
        <is>
          <t>301100 Contributions:Contribution - General</t>
        </is>
      </c>
      <c r="B314">
        <f>ROUND(_xlfn.XLOOKUP(E314,'Subsequent Close'!A:A,'Subsequent Close'!X:X)-_xlfn.XLOOKUP('Sub Close Summary'!E314,'Subsequent Close'!A:A,'Subsequent Close'!Q:Q),2)</f>
        <v/>
      </c>
      <c r="D314" t="inlineStr">
        <is>
          <t>To record changes in contribution due to Legacy Knight Subsequent Closing.</t>
        </is>
      </c>
      <c r="E314" t="inlineStr">
        <is>
          <t>Forem Capital, LLC</t>
        </is>
      </c>
    </row>
    <row r="315">
      <c r="A315" s="856" t="inlineStr">
        <is>
          <t>301100 Contributions:Contribution - General</t>
        </is>
      </c>
      <c r="B315">
        <f>ROUND(_xlfn.XLOOKUP(E315,'Subsequent Close'!A:A,'Subsequent Close'!X:X)-_xlfn.XLOOKUP('Sub Close Summary'!E315,'Subsequent Close'!A:A,'Subsequent Close'!Q:Q),2)</f>
        <v/>
      </c>
      <c r="D315" t="inlineStr">
        <is>
          <t>To record changes in contribution due to Legacy Knight Subsequent Closing.</t>
        </is>
      </c>
      <c r="E315" t="inlineStr">
        <is>
          <t>Francis Brawley</t>
        </is>
      </c>
    </row>
    <row r="316">
      <c r="A316" s="856" t="inlineStr">
        <is>
          <t>301100 Contributions:Contribution - General</t>
        </is>
      </c>
      <c r="B316">
        <f>ROUND(_xlfn.XLOOKUP(E316,'Subsequent Close'!A:A,'Subsequent Close'!X:X)-_xlfn.XLOOKUP('Sub Close Summary'!E316,'Subsequent Close'!A:A,'Subsequent Close'!Q:Q),2)</f>
        <v/>
      </c>
      <c r="D316" t="inlineStr">
        <is>
          <t>To record changes in contribution due to Legacy Knight Subsequent Closing.</t>
        </is>
      </c>
      <c r="E316" t="inlineStr">
        <is>
          <t>Geoffrey and Elizabeth Bloomingdale Living Trust</t>
        </is>
      </c>
    </row>
    <row r="317">
      <c r="A317" s="856" t="inlineStr">
        <is>
          <t>301100 Contributions:Contribution - General</t>
        </is>
      </c>
      <c r="B317">
        <f>ROUND(_xlfn.XLOOKUP(E317,'Subsequent Close'!A:A,'Subsequent Close'!X:X)-_xlfn.XLOOKUP('Sub Close Summary'!E317,'Subsequent Close'!A:A,'Subsequent Close'!Q:Q),2)</f>
        <v/>
      </c>
      <c r="D317" t="inlineStr">
        <is>
          <t>To record changes in contribution due to Legacy Knight Subsequent Closing.</t>
        </is>
      </c>
      <c r="E317" t="inlineStr">
        <is>
          <t>Greene 2000 Family Trust</t>
        </is>
      </c>
    </row>
    <row r="318">
      <c r="A318" s="856" t="inlineStr">
        <is>
          <t>301100 Contributions:Contribution - General</t>
        </is>
      </c>
      <c r="B318">
        <f>ROUND(_xlfn.XLOOKUP(E318,'Subsequent Close'!A:A,'Subsequent Close'!X:X)-_xlfn.XLOOKUP('Sub Close Summary'!E318,'Subsequent Close'!A:A,'Subsequent Close'!Q:Q),2)</f>
        <v/>
      </c>
      <c r="D318" t="inlineStr">
        <is>
          <t>To record changes in contribution due to Legacy Knight Subsequent Closing.</t>
        </is>
      </c>
      <c r="E318" t="inlineStr">
        <is>
          <t>Greene Marital Trust</t>
        </is>
      </c>
    </row>
    <row r="319">
      <c r="A319" s="856" t="inlineStr">
        <is>
          <t>301100 Contributions:Contribution - General</t>
        </is>
      </c>
      <c r="B319">
        <f>ROUND(_xlfn.XLOOKUP(E319,'Subsequent Close'!A:A,'Subsequent Close'!X:X)-_xlfn.XLOOKUP('Sub Close Summary'!E319,'Subsequent Close'!A:A,'Subsequent Close'!Q:Q),2)</f>
        <v/>
      </c>
      <c r="D319" t="inlineStr">
        <is>
          <t>To record changes in contribution due to Legacy Knight Subsequent Closing.</t>
        </is>
      </c>
      <c r="E319" t="inlineStr">
        <is>
          <t>Gregory Brent Wood</t>
        </is>
      </c>
    </row>
    <row r="320">
      <c r="A320" s="856" t="inlineStr">
        <is>
          <t>301100 Contributions:Contribution - General</t>
        </is>
      </c>
      <c r="B320">
        <f>ROUND(_xlfn.XLOOKUP(E320,'Subsequent Close'!A:A,'Subsequent Close'!X:X)-_xlfn.XLOOKUP('Sub Close Summary'!E320,'Subsequent Close'!A:A,'Subsequent Close'!Q:Q),2)</f>
        <v/>
      </c>
      <c r="D320" t="inlineStr">
        <is>
          <t>To record changes in contribution due to Legacy Knight Subsequent Closing.</t>
        </is>
      </c>
      <c r="E320" t="inlineStr">
        <is>
          <t>Hundley Family Trust</t>
        </is>
      </c>
    </row>
    <row r="321">
      <c r="A321" s="856" t="inlineStr">
        <is>
          <t>301100 Contributions:Contribution - General</t>
        </is>
      </c>
      <c r="B321">
        <f>ROUND(_xlfn.XLOOKUP(E321,'Subsequent Close'!A:A,'Subsequent Close'!X:X)-_xlfn.XLOOKUP('Sub Close Summary'!E321,'Subsequent Close'!A:A,'Subsequent Close'!Q:Q),2)</f>
        <v/>
      </c>
      <c r="D321" t="inlineStr">
        <is>
          <t>To record changes in contribution due to Legacy Knight Subsequent Closing.</t>
        </is>
      </c>
      <c r="E321" t="inlineStr">
        <is>
          <t>In God We Trust 2017 Living Trust</t>
        </is>
      </c>
    </row>
    <row r="322">
      <c r="A322" s="856" t="inlineStr">
        <is>
          <t>301100 Contributions:Contribution - General</t>
        </is>
      </c>
      <c r="B322">
        <f>ROUND(_xlfn.XLOOKUP(E322,'Subsequent Close'!A:A,'Subsequent Close'!X:X)-_xlfn.XLOOKUP('Sub Close Summary'!E322,'Subsequent Close'!A:A,'Subsequent Close'!Q:Q),2)</f>
        <v/>
      </c>
      <c r="D322" t="inlineStr">
        <is>
          <t>To record changes in contribution due to Legacy Knight Subsequent Closing.</t>
        </is>
      </c>
      <c r="E322" t="inlineStr">
        <is>
          <t>James Campbell and Patricia Campbell</t>
        </is>
      </c>
    </row>
    <row r="323">
      <c r="A323" s="856" t="inlineStr">
        <is>
          <t>301100 Contributions:Contribution - General</t>
        </is>
      </c>
      <c r="B323">
        <f>ROUND(_xlfn.XLOOKUP(E323,'Subsequent Close'!A:A,'Subsequent Close'!X:X)-_xlfn.XLOOKUP('Sub Close Summary'!E323,'Subsequent Close'!A:A,'Subsequent Close'!Q:Q),2)</f>
        <v/>
      </c>
      <c r="D323" t="inlineStr">
        <is>
          <t>To record changes in contribution due to Legacy Knight Subsequent Closing.</t>
        </is>
      </c>
      <c r="E323" t="inlineStr">
        <is>
          <t>James Kane</t>
        </is>
      </c>
    </row>
    <row r="324">
      <c r="A324" s="856" t="inlineStr">
        <is>
          <t>301100 Contributions:Contribution - General</t>
        </is>
      </c>
      <c r="B324">
        <f>ROUND(_xlfn.XLOOKUP(E324,'Subsequent Close'!A:A,'Subsequent Close'!X:X)-_xlfn.XLOOKUP('Sub Close Summary'!E324,'Subsequent Close'!A:A,'Subsequent Close'!Q:Q),2)</f>
        <v/>
      </c>
      <c r="D324" t="inlineStr">
        <is>
          <t>To record changes in contribution due to Legacy Knight Subsequent Closing.</t>
        </is>
      </c>
      <c r="E324" t="inlineStr">
        <is>
          <t>James Thorp</t>
        </is>
      </c>
    </row>
    <row r="325">
      <c r="A325" s="856" t="inlineStr">
        <is>
          <t>301100 Contributions:Contribution - General</t>
        </is>
      </c>
      <c r="B325">
        <f>ROUND(_xlfn.XLOOKUP(E325,'Subsequent Close'!A:A,'Subsequent Close'!X:X)-_xlfn.XLOOKUP('Sub Close Summary'!E325,'Subsequent Close'!A:A,'Subsequent Close'!Q:Q),2)</f>
        <v/>
      </c>
      <c r="D325" t="inlineStr">
        <is>
          <t>To record changes in contribution due to Legacy Knight Subsequent Closing.</t>
        </is>
      </c>
      <c r="E325" t="inlineStr">
        <is>
          <t>Jeffrey A. Lipsitz Revocable Trust</t>
        </is>
      </c>
    </row>
    <row r="326">
      <c r="A326" s="856" t="inlineStr">
        <is>
          <t>301100 Contributions:Contribution - General</t>
        </is>
      </c>
      <c r="B326">
        <f>ROUND(_xlfn.XLOOKUP(E326,'Subsequent Close'!A:A,'Subsequent Close'!X:X)-_xlfn.XLOOKUP('Sub Close Summary'!E326,'Subsequent Close'!A:A,'Subsequent Close'!Q:Q),2)</f>
        <v/>
      </c>
      <c r="D326" t="inlineStr">
        <is>
          <t>To record changes in contribution due to Legacy Knight Subsequent Closing.</t>
        </is>
      </c>
      <c r="E326" t="inlineStr">
        <is>
          <t>Jeffrey D Furber Revocable Trust</t>
        </is>
      </c>
    </row>
    <row r="327">
      <c r="A327" s="856" t="inlineStr">
        <is>
          <t>301100 Contributions:Contribution - General</t>
        </is>
      </c>
      <c r="B327">
        <f>ROUND(_xlfn.XLOOKUP(E327,'Subsequent Close'!A:A,'Subsequent Close'!X:X)-_xlfn.XLOOKUP('Sub Close Summary'!E327,'Subsequent Close'!A:A,'Subsequent Close'!Q:Q),2)</f>
        <v/>
      </c>
      <c r="D327" t="inlineStr">
        <is>
          <t>To record changes in contribution due to Legacy Knight Subsequent Closing.</t>
        </is>
      </c>
      <c r="E327" t="inlineStr">
        <is>
          <t>Jeremy M. Jacobs Trust U/A/D April 1, 1973 fbo Margaret L. Reichenback</t>
        </is>
      </c>
    </row>
    <row r="328">
      <c r="A328" s="856" t="inlineStr">
        <is>
          <t>301100 Contributions:Contribution - General</t>
        </is>
      </c>
      <c r="B328">
        <f>ROUND(_xlfn.XLOOKUP(E328,'Subsequent Close'!A:A,'Subsequent Close'!X:X)-_xlfn.XLOOKUP('Sub Close Summary'!E328,'Subsequent Close'!A:A,'Subsequent Close'!Q:Q),2)</f>
        <v/>
      </c>
      <c r="D328" t="inlineStr">
        <is>
          <t>To record changes in contribution due to Legacy Knight Subsequent Closing.</t>
        </is>
      </c>
      <c r="E328" t="inlineStr">
        <is>
          <t>John Mark Comer</t>
        </is>
      </c>
    </row>
    <row r="329">
      <c r="A329" s="856" t="inlineStr">
        <is>
          <t>301100 Contributions:Contribution - General</t>
        </is>
      </c>
      <c r="B329">
        <f>ROUND(_xlfn.XLOOKUP(E329,'Subsequent Close'!A:A,'Subsequent Close'!X:X)-_xlfn.XLOOKUP('Sub Close Summary'!E329,'Subsequent Close'!A:A,'Subsequent Close'!Q:Q),2)</f>
        <v/>
      </c>
      <c r="D329" t="inlineStr">
        <is>
          <t>To record changes in contribution due to Legacy Knight Subsequent Closing.</t>
        </is>
      </c>
      <c r="E329" t="inlineStr">
        <is>
          <t>Landscape I, LP</t>
        </is>
      </c>
    </row>
    <row r="330">
      <c r="A330" s="856" t="inlineStr">
        <is>
          <t>301100 Contributions:Contribution - General</t>
        </is>
      </c>
      <c r="B330">
        <f>ROUND(_xlfn.XLOOKUP(E330,'Subsequent Close'!A:A,'Subsequent Close'!X:X)-_xlfn.XLOOKUP('Sub Close Summary'!E330,'Subsequent Close'!A:A,'Subsequent Close'!Q:Q),2)</f>
        <v/>
      </c>
      <c r="D330" t="inlineStr">
        <is>
          <t>To record changes in contribution due to Legacy Knight Subsequent Closing.</t>
        </is>
      </c>
      <c r="E330" t="inlineStr">
        <is>
          <t>Lisa Bell Trust, Elisabeth B. Bell, Trustee</t>
        </is>
      </c>
    </row>
    <row r="331">
      <c r="A331" s="856" t="inlineStr">
        <is>
          <t>301100 Contributions:Contribution - General</t>
        </is>
      </c>
      <c r="B331">
        <f>ROUND(_xlfn.XLOOKUP(E331,'Subsequent Close'!A:A,'Subsequent Close'!X:X)-_xlfn.XLOOKUP('Sub Close Summary'!E331,'Subsequent Close'!A:A,'Subsequent Close'!Q:Q),2)</f>
        <v/>
      </c>
      <c r="D331" t="inlineStr">
        <is>
          <t>To record changes in contribution due to Legacy Knight Subsequent Closing.</t>
        </is>
      </c>
      <c r="E331" t="inlineStr">
        <is>
          <t>Madten Investments LLC</t>
        </is>
      </c>
    </row>
    <row r="332">
      <c r="A332" s="856" t="inlineStr">
        <is>
          <t>301100 Contributions:Contribution - General</t>
        </is>
      </c>
      <c r="B332">
        <f>ROUND(_xlfn.XLOOKUP(E332,'Subsequent Close'!A:A,'Subsequent Close'!X:X)-_xlfn.XLOOKUP('Sub Close Summary'!E332,'Subsequent Close'!A:A,'Subsequent Close'!Q:Q),2)</f>
        <v/>
      </c>
      <c r="D332" t="inlineStr">
        <is>
          <t>To record changes in contribution due to Legacy Knight Subsequent Closing.</t>
        </is>
      </c>
      <c r="E332" t="inlineStr">
        <is>
          <t>Matt McCoy</t>
        </is>
      </c>
    </row>
    <row r="333">
      <c r="A333" s="856" t="inlineStr">
        <is>
          <t>301100 Contributions:Contribution - General</t>
        </is>
      </c>
      <c r="B333">
        <f>ROUND(_xlfn.XLOOKUP(E333,'Subsequent Close'!A:A,'Subsequent Close'!X:X)-_xlfn.XLOOKUP('Sub Close Summary'!E333,'Subsequent Close'!A:A,'Subsequent Close'!Q:Q),2)</f>
        <v/>
      </c>
      <c r="D333" t="inlineStr">
        <is>
          <t>To record changes in contribution due to Legacy Knight Subsequent Closing.</t>
        </is>
      </c>
      <c r="E333" t="inlineStr">
        <is>
          <t>Matterhorn Holdings, LLC</t>
        </is>
      </c>
    </row>
    <row r="334">
      <c r="A334" s="856" t="inlineStr">
        <is>
          <t>301100 Contributions:Contribution - General</t>
        </is>
      </c>
      <c r="B334">
        <f>ROUND(_xlfn.XLOOKUP(E334,'Subsequent Close'!A:A,'Subsequent Close'!X:X)-_xlfn.XLOOKUP('Sub Close Summary'!E334,'Subsequent Close'!A:A,'Subsequent Close'!Q:Q),2)</f>
        <v/>
      </c>
      <c r="D334" t="inlineStr">
        <is>
          <t>To record changes in contribution due to Legacy Knight Subsequent Closing.</t>
        </is>
      </c>
      <c r="E334" t="inlineStr">
        <is>
          <t>Max O. Reinbach III</t>
        </is>
      </c>
    </row>
    <row r="335">
      <c r="A335" s="856" t="inlineStr">
        <is>
          <t>301100 Contributions:Contribution - General</t>
        </is>
      </c>
      <c r="B335">
        <f>ROUND(_xlfn.XLOOKUP(E335,'Subsequent Close'!A:A,'Subsequent Close'!X:X)-_xlfn.XLOOKUP('Sub Close Summary'!E335,'Subsequent Close'!A:A,'Subsequent Close'!Q:Q),2)</f>
        <v/>
      </c>
      <c r="D335" t="inlineStr">
        <is>
          <t>To record changes in contribution due to Legacy Knight Subsequent Closing.</t>
        </is>
      </c>
      <c r="E335" t="inlineStr">
        <is>
          <t>Meghann C. Robinson</t>
        </is>
      </c>
    </row>
    <row r="336">
      <c r="A336" s="856" t="inlineStr">
        <is>
          <t>301100 Contributions:Contribution - General</t>
        </is>
      </c>
      <c r="B336">
        <f>ROUND(_xlfn.XLOOKUP(E336,'Subsequent Close'!A:A,'Subsequent Close'!X:X)-_xlfn.XLOOKUP('Sub Close Summary'!E336,'Subsequent Close'!A:A,'Subsequent Close'!Q:Q),2)</f>
        <v/>
      </c>
      <c r="D336" t="inlineStr">
        <is>
          <t>To record changes in contribution due to Legacy Knight Subsequent Closing.</t>
        </is>
      </c>
      <c r="E336" t="inlineStr">
        <is>
          <t>Nahas Investments II LLC</t>
        </is>
      </c>
    </row>
    <row r="337">
      <c r="A337" s="856" t="inlineStr">
        <is>
          <t>301100 Contributions:Contribution - General</t>
        </is>
      </c>
      <c r="B337">
        <f>ROUND(_xlfn.XLOOKUP(E337,'Subsequent Close'!A:A,'Subsequent Close'!X:X)-_xlfn.XLOOKUP('Sub Close Summary'!E337,'Subsequent Close'!A:A,'Subsequent Close'!Q:Q),2)</f>
        <v/>
      </c>
      <c r="D337" t="inlineStr">
        <is>
          <t>To record changes in contribution due to Legacy Knight Subsequent Closing.</t>
        </is>
      </c>
      <c r="E337" t="inlineStr">
        <is>
          <t>Odyssey Holdings, LLC</t>
        </is>
      </c>
    </row>
    <row r="338">
      <c r="A338" s="856" t="inlineStr">
        <is>
          <t>301100 Contributions:Contribution - General</t>
        </is>
      </c>
      <c r="B338">
        <f>ROUND(_xlfn.XLOOKUP(E338,'Subsequent Close'!A:A,'Subsequent Close'!X:X)-_xlfn.XLOOKUP('Sub Close Summary'!E338,'Subsequent Close'!A:A,'Subsequent Close'!Q:Q),2)</f>
        <v/>
      </c>
      <c r="D338" t="inlineStr">
        <is>
          <t>To record changes in contribution due to Legacy Knight Subsequent Closing.</t>
        </is>
      </c>
      <c r="E338" t="inlineStr">
        <is>
          <t>Pease River Holdings LLC</t>
        </is>
      </c>
    </row>
    <row r="339">
      <c r="A339" s="856" t="inlineStr">
        <is>
          <t>301100 Contributions:Contribution - General</t>
        </is>
      </c>
      <c r="B339">
        <f>ROUND(_xlfn.XLOOKUP(E339,'Subsequent Close'!A:A,'Subsequent Close'!X:X)-_xlfn.XLOOKUP('Sub Close Summary'!E339,'Subsequent Close'!A:A,'Subsequent Close'!Q:Q),2)</f>
        <v/>
      </c>
      <c r="D339" t="inlineStr">
        <is>
          <t>To record changes in contribution due to Legacy Knight Subsequent Closing.</t>
        </is>
      </c>
      <c r="E339" t="inlineStr">
        <is>
          <t>PT Burros, LLC</t>
        </is>
      </c>
    </row>
    <row r="340">
      <c r="A340" s="856" t="inlineStr">
        <is>
          <t>301100 Contributions:Contribution - General</t>
        </is>
      </c>
      <c r="B340">
        <f>ROUND(_xlfn.XLOOKUP(E340,'Subsequent Close'!A:A,'Subsequent Close'!X:X)-_xlfn.XLOOKUP('Sub Close Summary'!E340,'Subsequent Close'!A:A,'Subsequent Close'!Q:Q),2)</f>
        <v/>
      </c>
      <c r="D340" t="inlineStr">
        <is>
          <t>To record changes in contribution due to Legacy Knight Subsequent Closing.</t>
        </is>
      </c>
      <c r="E340" t="inlineStr">
        <is>
          <t>Robert D. Falese III</t>
        </is>
      </c>
    </row>
    <row r="341">
      <c r="A341" s="856" t="inlineStr">
        <is>
          <t>301100 Contributions:Contribution - General</t>
        </is>
      </c>
      <c r="B341">
        <f>ROUND(_xlfn.XLOOKUP(E341,'Subsequent Close'!A:A,'Subsequent Close'!X:X)-_xlfn.XLOOKUP('Sub Close Summary'!E341,'Subsequent Close'!A:A,'Subsequent Close'!Q:Q),2)</f>
        <v/>
      </c>
      <c r="D341" t="inlineStr">
        <is>
          <t>To record changes in contribution due to Legacy Knight Subsequent Closing.</t>
        </is>
      </c>
      <c r="E341" t="inlineStr">
        <is>
          <t>Robert Parker Yates</t>
        </is>
      </c>
    </row>
    <row r="342">
      <c r="A342" s="856" t="inlineStr">
        <is>
          <t>301100 Contributions:Contribution - General</t>
        </is>
      </c>
      <c r="B342">
        <f>ROUND(_xlfn.XLOOKUP(E342,'Subsequent Close'!A:A,'Subsequent Close'!X:X)-_xlfn.XLOOKUP('Sub Close Summary'!E342,'Subsequent Close'!A:A,'Subsequent Close'!Q:Q),2)</f>
        <v/>
      </c>
      <c r="D342" t="inlineStr">
        <is>
          <t>To record changes in contribution due to Legacy Knight Subsequent Closing.</t>
        </is>
      </c>
      <c r="E342" t="inlineStr">
        <is>
          <t>Robert S. Shafir &amp; Donna R. Shafir TEN/COM</t>
        </is>
      </c>
    </row>
    <row r="343">
      <c r="A343" s="856" t="inlineStr">
        <is>
          <t>301100 Contributions:Contribution - General</t>
        </is>
      </c>
      <c r="B343">
        <f>ROUND(_xlfn.XLOOKUP(E343,'Subsequent Close'!A:A,'Subsequent Close'!X:X)-_xlfn.XLOOKUP('Sub Close Summary'!E343,'Subsequent Close'!A:A,'Subsequent Close'!Q:Q),2)</f>
        <v/>
      </c>
      <c r="D343" t="inlineStr">
        <is>
          <t>To record changes in contribution due to Legacy Knight Subsequent Closing.</t>
        </is>
      </c>
      <c r="E343" t="inlineStr">
        <is>
          <t>Robert S. Shafir 2011 Children's Trust</t>
        </is>
      </c>
    </row>
    <row r="344">
      <c r="A344" s="856" t="inlineStr">
        <is>
          <t>301100 Contributions:Contribution - General</t>
        </is>
      </c>
      <c r="B344">
        <f>ROUND(_xlfn.XLOOKUP(E344,'Subsequent Close'!A:A,'Subsequent Close'!X:X)-_xlfn.XLOOKUP('Sub Close Summary'!E344,'Subsequent Close'!A:A,'Subsequent Close'!Q:Q),2)</f>
        <v/>
      </c>
      <c r="D344" t="inlineStr">
        <is>
          <t>To record changes in contribution due to Legacy Knight Subsequent Closing.</t>
        </is>
      </c>
      <c r="E344" t="inlineStr">
        <is>
          <t>Romar Partners, LP</t>
        </is>
      </c>
    </row>
    <row r="345">
      <c r="A345" s="856" t="inlineStr">
        <is>
          <t>301100 Contributions:Contribution - General</t>
        </is>
      </c>
      <c r="B345">
        <f>ROUND(_xlfn.XLOOKUP(E345,'Subsequent Close'!A:A,'Subsequent Close'!X:X)-_xlfn.XLOOKUP('Sub Close Summary'!E345,'Subsequent Close'!A:A,'Subsequent Close'!Q:Q),2)</f>
        <v/>
      </c>
      <c r="D345" t="inlineStr">
        <is>
          <t>To record changes in contribution due to Legacy Knight Subsequent Closing.</t>
        </is>
      </c>
      <c r="E345" t="inlineStr">
        <is>
          <t>Steven and Chani Laufer 2012 Dynasty Trust</t>
        </is>
      </c>
    </row>
    <row r="346">
      <c r="A346" s="856" t="inlineStr">
        <is>
          <t>301100 Contributions:Contribution - General</t>
        </is>
      </c>
      <c r="B346">
        <f>ROUND(_xlfn.XLOOKUP(E346,'Subsequent Close'!A:A,'Subsequent Close'!X:X)-_xlfn.XLOOKUP('Sub Close Summary'!E346,'Subsequent Close'!A:A,'Subsequent Close'!Q:Q),2)</f>
        <v/>
      </c>
      <c r="D346" t="inlineStr">
        <is>
          <t>To record changes in contribution due to Legacy Knight Subsequent Closing.</t>
        </is>
      </c>
      <c r="E346" t="inlineStr">
        <is>
          <t>Steven M. Laufer 2012 Trust</t>
        </is>
      </c>
    </row>
    <row r="347">
      <c r="A347" s="856" t="inlineStr">
        <is>
          <t>301100 Contributions:Contribution - General</t>
        </is>
      </c>
      <c r="B347">
        <f>ROUND(_xlfn.XLOOKUP(E347,'Subsequent Close'!A:A,'Subsequent Close'!X:X)-_xlfn.XLOOKUP('Sub Close Summary'!E347,'Subsequent Close'!A:A,'Subsequent Close'!Q:Q),2)</f>
        <v/>
      </c>
      <c r="D347" t="inlineStr">
        <is>
          <t>To record changes in contribution due to Legacy Knight Subsequent Closing.</t>
        </is>
      </c>
      <c r="E347" t="inlineStr">
        <is>
          <t>Stewart Tate</t>
        </is>
      </c>
    </row>
    <row r="348">
      <c r="A348" s="856" t="inlineStr">
        <is>
          <t>301100 Contributions:Contribution - General</t>
        </is>
      </c>
      <c r="B348">
        <f>ROUND(_xlfn.XLOOKUP(E348,'Subsequent Close'!A:A,'Subsequent Close'!X:X)-_xlfn.XLOOKUP('Sub Close Summary'!E348,'Subsequent Close'!A:A,'Subsequent Close'!Q:Q),2)</f>
        <v/>
      </c>
      <c r="D348" t="inlineStr">
        <is>
          <t>To record changes in contribution due to Legacy Knight Subsequent Closing.</t>
        </is>
      </c>
      <c r="E348" t="inlineStr">
        <is>
          <t>TC Wilson Family Trust</t>
        </is>
      </c>
    </row>
    <row r="349">
      <c r="A349" s="856" t="inlineStr">
        <is>
          <t>301100 Contributions:Contribution - General</t>
        </is>
      </c>
      <c r="B349">
        <f>ROUND(_xlfn.XLOOKUP(E349,'Subsequent Close'!A:A,'Subsequent Close'!X:X)-_xlfn.XLOOKUP('Sub Close Summary'!E349,'Subsequent Close'!A:A,'Subsequent Close'!Q:Q),2)</f>
        <v/>
      </c>
      <c r="D349" t="inlineStr">
        <is>
          <t>To record changes in contribution due to Legacy Knight Subsequent Closing.</t>
        </is>
      </c>
      <c r="E349" t="inlineStr">
        <is>
          <t>The 2015 Pipe Reality Delaware Trust</t>
        </is>
      </c>
    </row>
    <row r="350">
      <c r="A350" s="856" t="inlineStr">
        <is>
          <t>301100 Contributions:Contribution - General</t>
        </is>
      </c>
      <c r="B350">
        <f>ROUND(_xlfn.XLOOKUP(E350,'Subsequent Close'!A:A,'Subsequent Close'!X:X)-_xlfn.XLOOKUP('Sub Close Summary'!E350,'Subsequent Close'!A:A,'Subsequent Close'!Q:Q),2)</f>
        <v/>
      </c>
      <c r="D350" t="inlineStr">
        <is>
          <t>To record changes in contribution due to Legacy Knight Subsequent Closing.</t>
        </is>
      </c>
      <c r="E350" t="inlineStr">
        <is>
          <t>The David L. Schnadig 2017 Trust</t>
        </is>
      </c>
    </row>
    <row r="351">
      <c r="A351" s="856" t="inlineStr">
        <is>
          <t>301100 Contributions:Contribution - General</t>
        </is>
      </c>
      <c r="B351">
        <f>ROUND(_xlfn.XLOOKUP(E351,'Subsequent Close'!A:A,'Subsequent Close'!X:X)-_xlfn.XLOOKUP('Sub Close Summary'!E351,'Subsequent Close'!A:A,'Subsequent Close'!Q:Q),2)</f>
        <v/>
      </c>
      <c r="D351" t="inlineStr">
        <is>
          <t>To record changes in contribution due to Legacy Knight Subsequent Closing.</t>
        </is>
      </c>
      <c r="E351" t="inlineStr">
        <is>
          <t>The Diane Rosen 2021 Irrevocable Family Trust</t>
        </is>
      </c>
    </row>
    <row r="352">
      <c r="A352" s="856" t="inlineStr">
        <is>
          <t>301100 Contributions:Contribution - General</t>
        </is>
      </c>
      <c r="B352">
        <f>ROUND(_xlfn.XLOOKUP(E352,'Subsequent Close'!A:A,'Subsequent Close'!X:X)-_xlfn.XLOOKUP('Sub Close Summary'!E352,'Subsequent Close'!A:A,'Subsequent Close'!Q:Q),2)</f>
        <v/>
      </c>
      <c r="D352" t="inlineStr">
        <is>
          <t>To record changes in contribution due to Legacy Knight Subsequent Closing.</t>
        </is>
      </c>
      <c r="E352" t="inlineStr">
        <is>
          <t>The Mark T. Kirchdorfer 2015 Family Delaware Dynasty Trust</t>
        </is>
      </c>
    </row>
    <row r="353">
      <c r="A353" s="856" t="inlineStr">
        <is>
          <t>301100 Contributions:Contribution - General</t>
        </is>
      </c>
      <c r="B353">
        <f>ROUND(_xlfn.XLOOKUP(E353,'Subsequent Close'!A:A,'Subsequent Close'!X:X)-_xlfn.XLOOKUP('Sub Close Summary'!E353,'Subsequent Close'!A:A,'Subsequent Close'!Q:Q),2)</f>
        <v/>
      </c>
      <c r="D353" t="inlineStr">
        <is>
          <t>To record changes in contribution due to Legacy Knight Subsequent Closing.</t>
        </is>
      </c>
      <c r="E353" t="inlineStr">
        <is>
          <t>University of Southern California</t>
        </is>
      </c>
    </row>
    <row r="354">
      <c r="A354" s="856" t="inlineStr">
        <is>
          <t>301100 Contributions:Contribution - General</t>
        </is>
      </c>
      <c r="B354">
        <f>ROUND(_xlfn.XLOOKUP(E354,'Subsequent Close'!A:A,'Subsequent Close'!X:X)-_xlfn.XLOOKUP('Sub Close Summary'!E354,'Subsequent Close'!A:A,'Subsequent Close'!Q:Q),2)</f>
        <v/>
      </c>
      <c r="D354" t="inlineStr">
        <is>
          <t>To record changes in contribution due to Legacy Knight Subsequent Closing.</t>
        </is>
      </c>
      <c r="E354" t="inlineStr">
        <is>
          <t>Walker D. Zimmerman</t>
        </is>
      </c>
    </row>
    <row r="355">
      <c r="A355" s="856" t="inlineStr">
        <is>
          <t>301100 Contributions:Contribution - General</t>
        </is>
      </c>
      <c r="B355">
        <f>ROUND(_xlfn.XLOOKUP(E355,'Subsequent Close'!A:A,'Subsequent Close'!X:X)-_xlfn.XLOOKUP('Sub Close Summary'!E355,'Subsequent Close'!A:A,'Subsequent Close'!Q:Q),2)</f>
        <v/>
      </c>
      <c r="D355" t="inlineStr">
        <is>
          <t>To record changes in contribution due to Legacy Knight Subsequent Closing.</t>
        </is>
      </c>
      <c r="E355" t="inlineStr">
        <is>
          <t>Wilson Family Trust DTD 3-6-1987</t>
        </is>
      </c>
    </row>
    <row r="356">
      <c r="A356" s="856" t="inlineStr">
        <is>
          <t>301100 Contributions:Contribution - General</t>
        </is>
      </c>
      <c r="B356">
        <f>ROUND(_xlfn.XLOOKUP(E356,'Subsequent Close'!A:A,'Subsequent Close'!X:X)-_xlfn.XLOOKUP('Sub Close Summary'!E356,'Subsequent Close'!A:A,'Subsequent Close'!Q:Q),2)</f>
        <v/>
      </c>
      <c r="D356" t="inlineStr">
        <is>
          <t>To record changes in contribution due to Legacy Knight Subsequent Closing.</t>
        </is>
      </c>
      <c r="E356" t="inlineStr">
        <is>
          <t>Wilson GST Exempt Trust</t>
        </is>
      </c>
    </row>
    <row r="357">
      <c r="A357" s="856" t="inlineStr">
        <is>
          <t>301100 Contributions:Contribution - General</t>
        </is>
      </c>
      <c r="B357">
        <f>ROUND(_xlfn.XLOOKUP(E357,'Subsequent Close'!A:A,'Subsequent Close'!X:X)-_xlfn.XLOOKUP('Sub Close Summary'!E357,'Subsequent Close'!A:A,'Subsequent Close'!Q:Q),2)</f>
        <v/>
      </c>
      <c r="D357" t="inlineStr">
        <is>
          <t>To record changes in contribution due to Legacy Knight Subsequent Closing.</t>
        </is>
      </c>
      <c r="E357" t="inlineStr">
        <is>
          <t>Texas Emerging Managers Private Markets Program, L.P. (2025-1 RE Investment Series)</t>
        </is>
      </c>
    </row>
    <row r="358">
      <c r="A358" s="856" t="inlineStr">
        <is>
          <t>301100 Contributions:Contribution - General</t>
        </is>
      </c>
      <c r="B358">
        <f>ROUND(_xlfn.XLOOKUP(E358,'Subsequent Close'!A:A,'Subsequent Close'!X:X)-_xlfn.XLOOKUP('Sub Close Summary'!E358,'Subsequent Close'!A:A,'Subsequent Close'!Q:Q),2)</f>
        <v/>
      </c>
      <c r="D358" t="inlineStr">
        <is>
          <t>To record changes in contribution due to Legacy Knight Subsequent Closing.</t>
        </is>
      </c>
      <c r="E358" t="inlineStr">
        <is>
          <t>GCM Grosvenor NJ RE Emerging Managers Program, LP (2023-1 Investment Series)</t>
        </is>
      </c>
    </row>
    <row r="359">
      <c r="A359" s="856" t="inlineStr">
        <is>
          <t>301100 Contributions:Contribution - General</t>
        </is>
      </c>
      <c r="B359">
        <f>ROUND(_xlfn.XLOOKUP(E359,'Subsequent Close'!A:A,'Subsequent Close'!X:X)-_xlfn.XLOOKUP('Sub Close Summary'!E359,'Subsequent Close'!A:A,'Subsequent Close'!Q:Q),2)</f>
        <v/>
      </c>
      <c r="D359" t="inlineStr">
        <is>
          <t>To record changes in contribution due to Legacy Knight Subsequent Closing.</t>
        </is>
      </c>
      <c r="E359" t="inlineStr">
        <is>
          <t>GCM Grosvenor - NYSTRS Real Estate Investment Partners, L.P. (2024-1 Series)</t>
        </is>
      </c>
    </row>
    <row r="360">
      <c r="A360" s="856" t="inlineStr">
        <is>
          <t>301100 Contributions:Contribution - General</t>
        </is>
      </c>
      <c r="B360">
        <f>ROUND(_xlfn.XLOOKUP(E360,'Subsequent Close'!A:A,'Subsequent Close'!X:X)-_xlfn.XLOOKUP('Sub Close Summary'!E360,'Subsequent Close'!A:A,'Subsequent Close'!Q:Q),2)</f>
        <v/>
      </c>
      <c r="D360" t="inlineStr">
        <is>
          <t>To record changes in contribution due to Legacy Knight Subsequent Closing.</t>
        </is>
      </c>
      <c r="E360" t="inlineStr">
        <is>
          <t>CRPTF-GCM Middle-Market RE Partnership, L.P. (2025-01 Investment Series)</t>
        </is>
      </c>
    </row>
    <row r="361">
      <c r="A361" s="856" t="inlineStr">
        <is>
          <t>301100 Contributions:Contribution - General</t>
        </is>
      </c>
      <c r="B361">
        <f>ROUND(_xlfn.XLOOKUP(E361,'Subsequent Close'!A:A,'Subsequent Close'!X:X)-_xlfn.XLOOKUP('Sub Close Summary'!E361,'Subsequent Close'!A:A,'Subsequent Close'!Q:Q),2)</f>
        <v/>
      </c>
      <c r="D361" t="inlineStr">
        <is>
          <t>To record changes in contribution due to Legacy Knight Subsequent Closing.</t>
        </is>
      </c>
      <c r="E361" t="inlineStr">
        <is>
          <t>Argos Holdings, LLC</t>
        </is>
      </c>
    </row>
    <row r="362">
      <c r="A362" s="856" t="inlineStr">
        <is>
          <t>301100 Contributions:Contribution - General</t>
        </is>
      </c>
      <c r="B362">
        <f>ROUND(_xlfn.XLOOKUP(E362,'Subsequent Close'!A:A,'Subsequent Close'!X:X)-_xlfn.XLOOKUP('Sub Close Summary'!E362,'Subsequent Close'!A:A,'Subsequent Close'!Q:Q),2)</f>
        <v/>
      </c>
      <c r="D362" t="inlineStr">
        <is>
          <t>To record changes in contribution due to Legacy Knight Subsequent Closing.</t>
        </is>
      </c>
      <c r="E362" t="inlineStr">
        <is>
          <t>Palmatum HR Illiquid, LLC</t>
        </is>
      </c>
    </row>
    <row r="363">
      <c r="A363" s="856" t="inlineStr">
        <is>
          <t>210700 Payable - Other</t>
        </is>
      </c>
      <c r="B363">
        <f>-ROUND(_xlfn.XLOOKUP(E363,'Subsequent Close'!A:A,'Subsequent Close'!AT:AT),2)</f>
        <v/>
      </c>
      <c r="D363" t="inlineStr">
        <is>
          <t>To record distribution interest payment for Legacy Knight Subsequent Closing</t>
        </is>
      </c>
      <c r="E363" t="inlineStr">
        <is>
          <t>1999 Britta Biesecker Declaration of Trust DTD 5/12/99</t>
        </is>
      </c>
    </row>
    <row r="364">
      <c r="A364" s="856" t="inlineStr">
        <is>
          <t>210700 Payable - Other</t>
        </is>
      </c>
      <c r="B364">
        <f>-ROUND(_xlfn.XLOOKUP(E364,'Subsequent Close'!A:A,'Subsequent Close'!AT:AT),2)</f>
        <v/>
      </c>
      <c r="D364" t="inlineStr">
        <is>
          <t>To record distribution interest payment for Legacy Knight Subsequent Closing</t>
        </is>
      </c>
      <c r="E364" t="inlineStr">
        <is>
          <t>1999 Frederick N Biesecker II Declaration of Trust DTD 5/12/99</t>
        </is>
      </c>
    </row>
    <row r="365">
      <c r="A365" s="856" t="inlineStr">
        <is>
          <t>210700 Payable - Other</t>
        </is>
      </c>
      <c r="B365">
        <f>-ROUND(_xlfn.XLOOKUP(E365,'Subsequent Close'!A:A,'Subsequent Close'!AT:AT),2)</f>
        <v/>
      </c>
      <c r="D365" t="inlineStr">
        <is>
          <t>To record distribution interest payment for Legacy Knight Subsequent Closing</t>
        </is>
      </c>
      <c r="E365" t="inlineStr">
        <is>
          <t>1999 Lissa Biesecker Longacre Declaration of Trust DTD 5/12/99</t>
        </is>
      </c>
    </row>
    <row r="366">
      <c r="A366" s="856" t="inlineStr">
        <is>
          <t>210700 Payable - Other</t>
        </is>
      </c>
      <c r="B366">
        <f>-ROUND(_xlfn.XLOOKUP(E366,'Subsequent Close'!A:A,'Subsequent Close'!AT:AT),2)</f>
        <v/>
      </c>
      <c r="D366" t="inlineStr">
        <is>
          <t>To record distribution interest payment for Legacy Knight Subsequent Closing</t>
        </is>
      </c>
      <c r="E366" t="inlineStr">
        <is>
          <t>Abigail Levy</t>
        </is>
      </c>
    </row>
    <row r="367">
      <c r="A367" s="856" t="inlineStr">
        <is>
          <t>210700 Payable - Other</t>
        </is>
      </c>
      <c r="B367">
        <f>-ROUND(_xlfn.XLOOKUP(E367,'Subsequent Close'!A:A,'Subsequent Close'!AT:AT),2)</f>
        <v/>
      </c>
      <c r="D367" t="inlineStr">
        <is>
          <t>To record distribution interest payment for Legacy Knight Subsequent Closing</t>
        </is>
      </c>
      <c r="E367" t="inlineStr">
        <is>
          <t>AKWT LLC</t>
        </is>
      </c>
    </row>
    <row r="368">
      <c r="A368" s="856" t="inlineStr">
        <is>
          <t>210700 Payable - Other</t>
        </is>
      </c>
      <c r="B368">
        <f>-ROUND(_xlfn.XLOOKUP(E368,'Subsequent Close'!A:A,'Subsequent Close'!AT:AT),2)</f>
        <v/>
      </c>
      <c r="D368" t="inlineStr">
        <is>
          <t>To record distribution interest payment for Legacy Knight Subsequent Closing</t>
        </is>
      </c>
      <c r="E368" t="inlineStr">
        <is>
          <t>Alexander S. Bloomingdale</t>
        </is>
      </c>
    </row>
    <row r="369">
      <c r="A369" s="856" t="inlineStr">
        <is>
          <t>210700 Payable - Other</t>
        </is>
      </c>
      <c r="B369">
        <f>-ROUND(_xlfn.XLOOKUP(E369,'Subsequent Close'!A:A,'Subsequent Close'!AT:AT),2)</f>
        <v/>
      </c>
      <c r="D369" t="inlineStr">
        <is>
          <t>To record distribution interest payment for Legacy Knight Subsequent Closing</t>
        </is>
      </c>
      <c r="E369" t="inlineStr">
        <is>
          <t>Alexander Sharpe Moore</t>
        </is>
      </c>
    </row>
    <row r="370">
      <c r="A370" s="856" t="inlineStr">
        <is>
          <t>210700 Payable - Other</t>
        </is>
      </c>
      <c r="B370">
        <f>-ROUND(_xlfn.XLOOKUP(E370,'Subsequent Close'!A:A,'Subsequent Close'!AT:AT),2)</f>
        <v/>
      </c>
      <c r="D370" t="inlineStr">
        <is>
          <t>To record distribution interest payment for Legacy Knight Subsequent Closing</t>
        </is>
      </c>
      <c r="E370" t="inlineStr">
        <is>
          <t>All Dogs Go To Heaven, LLC</t>
        </is>
      </c>
    </row>
    <row r="371">
      <c r="A371" s="856" t="inlineStr">
        <is>
          <t>210700 Payable - Other</t>
        </is>
      </c>
      <c r="B371">
        <f>-ROUND(_xlfn.XLOOKUP(E371,'Subsequent Close'!A:A,'Subsequent Close'!AT:AT),2)</f>
        <v/>
      </c>
      <c r="D371" t="inlineStr">
        <is>
          <t>To record distribution interest payment for Legacy Knight Subsequent Closing</t>
        </is>
      </c>
      <c r="E371" t="inlineStr">
        <is>
          <t>Alten Investments LLC</t>
        </is>
      </c>
    </row>
    <row r="372">
      <c r="A372" s="856" t="inlineStr">
        <is>
          <t>210700 Payable - Other</t>
        </is>
      </c>
      <c r="B372">
        <f>-ROUND(_xlfn.XLOOKUP(E372,'Subsequent Close'!A:A,'Subsequent Close'!AT:AT),2)</f>
        <v/>
      </c>
      <c r="D372" t="inlineStr">
        <is>
          <t>To record distribution interest payment for Legacy Knight Subsequent Closing</t>
        </is>
      </c>
      <c r="E372" t="inlineStr">
        <is>
          <t>Avery Ryan Klann</t>
        </is>
      </c>
    </row>
    <row r="373">
      <c r="A373" s="856" t="inlineStr">
        <is>
          <t>210700 Payable - Other</t>
        </is>
      </c>
      <c r="B373">
        <f>-ROUND(_xlfn.XLOOKUP(E373,'Subsequent Close'!A:A,'Subsequent Close'!AT:AT),2)</f>
        <v/>
      </c>
      <c r="D373" t="inlineStr">
        <is>
          <t>To record distribution interest payment for Legacy Knight Subsequent Closing</t>
        </is>
      </c>
      <c r="E373" t="inlineStr">
        <is>
          <t>BBR Real Assets Fund 2024 LLC</t>
        </is>
      </c>
    </row>
    <row r="374">
      <c r="A374" s="856" t="inlineStr">
        <is>
          <t>210700 Payable - Other</t>
        </is>
      </c>
      <c r="B374">
        <f>-ROUND(_xlfn.XLOOKUP(E374,'Subsequent Close'!A:A,'Subsequent Close'!AT:AT),2)</f>
        <v/>
      </c>
      <c r="D374" t="inlineStr">
        <is>
          <t>To record distribution interest payment for Legacy Knight Subsequent Closing</t>
        </is>
      </c>
      <c r="E374" t="inlineStr">
        <is>
          <t>Belclaire Asset Management, LLC</t>
        </is>
      </c>
    </row>
    <row r="375">
      <c r="A375" s="856" t="inlineStr">
        <is>
          <t>210700 Payable - Other</t>
        </is>
      </c>
      <c r="B375">
        <f>-ROUND(_xlfn.XLOOKUP(E375,'Subsequent Close'!A:A,'Subsequent Close'!AT:AT),2)</f>
        <v/>
      </c>
      <c r="D375" t="inlineStr">
        <is>
          <t>To record distribution interest payment for Legacy Knight Subsequent Closing</t>
        </is>
      </c>
      <c r="E375" t="inlineStr">
        <is>
          <t>Benaiah Inc.</t>
        </is>
      </c>
    </row>
    <row r="376">
      <c r="A376" s="856" t="inlineStr">
        <is>
          <t>210700 Payable - Other</t>
        </is>
      </c>
      <c r="B376">
        <f>-ROUND(_xlfn.XLOOKUP(E376,'Subsequent Close'!A:A,'Subsequent Close'!AT:AT),2)</f>
        <v/>
      </c>
      <c r="D376" t="inlineStr">
        <is>
          <t>To record distribution interest payment for Legacy Knight Subsequent Closing</t>
        </is>
      </c>
      <c r="E376" t="inlineStr">
        <is>
          <t>Benjamin Johnson</t>
        </is>
      </c>
    </row>
    <row r="377">
      <c r="A377" s="856" t="inlineStr">
        <is>
          <t>210700 Payable - Other</t>
        </is>
      </c>
      <c r="B377">
        <f>-ROUND(_xlfn.XLOOKUP(E377,'Subsequent Close'!A:A,'Subsequent Close'!AT:AT),2)</f>
        <v/>
      </c>
      <c r="D377" t="inlineStr">
        <is>
          <t>To record distribution interest payment for Legacy Knight Subsequent Closing</t>
        </is>
      </c>
      <c r="E377" t="inlineStr">
        <is>
          <t>Bloomingdale Family Trust Share #3</t>
        </is>
      </c>
    </row>
    <row r="378">
      <c r="A378" s="856" t="inlineStr">
        <is>
          <t>210700 Payable - Other</t>
        </is>
      </c>
      <c r="B378">
        <f>-ROUND(_xlfn.XLOOKUP(E378,'Subsequent Close'!A:A,'Subsequent Close'!AT:AT),2)</f>
        <v/>
      </c>
      <c r="D378" t="inlineStr">
        <is>
          <t>To record distribution interest payment for Legacy Knight Subsequent Closing</t>
        </is>
      </c>
      <c r="E378" t="inlineStr">
        <is>
          <t>Brian Carroll 2011 Long-Term Trust</t>
        </is>
      </c>
    </row>
    <row r="379">
      <c r="A379" s="856" t="inlineStr">
        <is>
          <t>210700 Payable - Other</t>
        </is>
      </c>
      <c r="B379">
        <f>-ROUND(_xlfn.XLOOKUP(E379,'Subsequent Close'!A:A,'Subsequent Close'!AT:AT),2)</f>
        <v/>
      </c>
      <c r="D379" t="inlineStr">
        <is>
          <t>To record distribution interest payment for Legacy Knight Subsequent Closing</t>
        </is>
      </c>
      <c r="E379" t="inlineStr">
        <is>
          <t>Bryan C. White LLC</t>
        </is>
      </c>
    </row>
    <row r="380">
      <c r="A380" s="856" t="inlineStr">
        <is>
          <t>210700 Payable - Other</t>
        </is>
      </c>
      <c r="B380">
        <f>-ROUND(_xlfn.XLOOKUP(E380,'Subsequent Close'!A:A,'Subsequent Close'!AT:AT),2)</f>
        <v/>
      </c>
      <c r="D380" t="inlineStr">
        <is>
          <t>To record distribution interest payment for Legacy Knight Subsequent Closing</t>
        </is>
      </c>
      <c r="E380" t="inlineStr">
        <is>
          <t>Cameron J. Tringale</t>
        </is>
      </c>
    </row>
    <row r="381">
      <c r="A381" s="856" t="inlineStr">
        <is>
          <t>210700 Payable - Other</t>
        </is>
      </c>
      <c r="B381">
        <f>-ROUND(_xlfn.XLOOKUP(E381,'Subsequent Close'!A:A,'Subsequent Close'!AT:AT),2)</f>
        <v/>
      </c>
      <c r="D381" t="inlineStr">
        <is>
          <t>To record distribution interest payment for Legacy Knight Subsequent Closing</t>
        </is>
      </c>
      <c r="E381" t="inlineStr">
        <is>
          <t>Charing Hatcherville LLC</t>
        </is>
      </c>
    </row>
    <row r="382">
      <c r="A382" s="856" t="inlineStr">
        <is>
          <t>210700 Payable - Other</t>
        </is>
      </c>
      <c r="B382">
        <f>-ROUND(_xlfn.XLOOKUP(E382,'Subsequent Close'!A:A,'Subsequent Close'!AT:AT),2)</f>
        <v/>
      </c>
      <c r="D382" t="inlineStr">
        <is>
          <t>To record distribution interest payment for Legacy Knight Subsequent Closing</t>
        </is>
      </c>
      <c r="E382" t="inlineStr">
        <is>
          <t>Charing Silsbee, LLC</t>
        </is>
      </c>
    </row>
    <row r="383">
      <c r="A383" s="856" t="inlineStr">
        <is>
          <t>210700 Payable - Other</t>
        </is>
      </c>
      <c r="B383">
        <f>-ROUND(_xlfn.XLOOKUP(E383,'Subsequent Close'!A:A,'Subsequent Close'!AT:AT),2)</f>
        <v/>
      </c>
      <c r="D383" t="inlineStr">
        <is>
          <t>To record distribution interest payment for Legacy Knight Subsequent Closing</t>
        </is>
      </c>
      <c r="E383" t="inlineStr">
        <is>
          <t>Chase F. Monroe</t>
        </is>
      </c>
    </row>
    <row r="384">
      <c r="A384" s="856" t="inlineStr">
        <is>
          <t>210700 Payable - Other</t>
        </is>
      </c>
      <c r="B384">
        <f>-ROUND(_xlfn.XLOOKUP(E384,'Subsequent Close'!A:A,'Subsequent Close'!AT:AT),2)</f>
        <v/>
      </c>
      <c r="D384" t="inlineStr">
        <is>
          <t>To record distribution interest payment for Legacy Knight Subsequent Closing</t>
        </is>
      </c>
      <c r="E384" t="inlineStr">
        <is>
          <t>Chase The Lion, Inc.</t>
        </is>
      </c>
    </row>
    <row r="385">
      <c r="A385" s="856" t="inlineStr">
        <is>
          <t>210700 Payable - Other</t>
        </is>
      </c>
      <c r="B385">
        <f>-ROUND(_xlfn.XLOOKUP(E385,'Subsequent Close'!A:A,'Subsequent Close'!AT:AT),2)</f>
        <v/>
      </c>
      <c r="D385" t="inlineStr">
        <is>
          <t>To record distribution interest payment for Legacy Knight Subsequent Closing</t>
        </is>
      </c>
      <c r="E385" t="inlineStr">
        <is>
          <t>Chris Schaaf</t>
        </is>
      </c>
    </row>
    <row r="386">
      <c r="A386" s="856" t="inlineStr">
        <is>
          <t>210700 Payable - Other</t>
        </is>
      </c>
      <c r="B386">
        <f>-ROUND(_xlfn.XLOOKUP(E386,'Subsequent Close'!A:A,'Subsequent Close'!AT:AT),2)</f>
        <v/>
      </c>
      <c r="D386" t="inlineStr">
        <is>
          <t>To record distribution interest payment for Legacy Knight Subsequent Closing</t>
        </is>
      </c>
      <c r="E386" t="inlineStr">
        <is>
          <t>Christopher J. Campbell</t>
        </is>
      </c>
    </row>
    <row r="387">
      <c r="A387" s="856" t="inlineStr">
        <is>
          <t>210700 Payable - Other</t>
        </is>
      </c>
      <c r="B387">
        <f>-ROUND(_xlfn.XLOOKUP(E387,'Subsequent Close'!A:A,'Subsequent Close'!AT:AT),2)</f>
        <v/>
      </c>
      <c r="D387" t="inlineStr">
        <is>
          <t>To record distribution interest payment for Legacy Knight Subsequent Closing</t>
        </is>
      </c>
      <c r="E387" t="inlineStr">
        <is>
          <t>Christopher Johnson</t>
        </is>
      </c>
    </row>
    <row r="388">
      <c r="A388" s="856" t="inlineStr">
        <is>
          <t>210700 Payable - Other</t>
        </is>
      </c>
      <c r="B388">
        <f>-ROUND(_xlfn.XLOOKUP(E388,'Subsequent Close'!A:A,'Subsequent Close'!AT:AT),2)</f>
        <v/>
      </c>
      <c r="D388" t="inlineStr">
        <is>
          <t>To record distribution interest payment for Legacy Knight Subsequent Closing</t>
        </is>
      </c>
      <c r="E388" t="inlineStr">
        <is>
          <t>CLIP Sponsor LLC</t>
        </is>
      </c>
    </row>
    <row r="389">
      <c r="A389" s="856" t="inlineStr">
        <is>
          <t>210700 Payable - Other</t>
        </is>
      </c>
      <c r="B389">
        <f>-ROUND(_xlfn.XLOOKUP(E389,'Subsequent Close'!A:A,'Subsequent Close'!AT:AT),2)</f>
        <v/>
      </c>
      <c r="D389" t="inlineStr">
        <is>
          <t>To record distribution interest payment for Legacy Knight Subsequent Closing</t>
        </is>
      </c>
      <c r="E389" t="inlineStr">
        <is>
          <t>CLR Silsbee Sponsor LLC</t>
        </is>
      </c>
    </row>
    <row r="390">
      <c r="A390" s="856" t="inlineStr">
        <is>
          <t>210700 Payable - Other</t>
        </is>
      </c>
      <c r="B390">
        <f>-ROUND(_xlfn.XLOOKUP(E390,'Subsequent Close'!A:A,'Subsequent Close'!AT:AT),2)</f>
        <v/>
      </c>
      <c r="D390" t="inlineStr">
        <is>
          <t>To record distribution interest payment for Legacy Knight Subsequent Closing</t>
        </is>
      </c>
      <c r="E390" t="inlineStr">
        <is>
          <t>Daniel Ross</t>
        </is>
      </c>
    </row>
    <row r="391">
      <c r="A391" s="856" t="inlineStr">
        <is>
          <t>210700 Payable - Other</t>
        </is>
      </c>
      <c r="B391">
        <f>-ROUND(_xlfn.XLOOKUP(E391,'Subsequent Close'!A:A,'Subsequent Close'!AT:AT),2)</f>
        <v/>
      </c>
      <c r="D391" t="inlineStr">
        <is>
          <t>To record distribution interest payment for Legacy Knight Subsequent Closing</t>
        </is>
      </c>
      <c r="E391" t="inlineStr">
        <is>
          <t>Endurance Companies LLC</t>
        </is>
      </c>
    </row>
    <row r="392">
      <c r="A392" s="856" t="inlineStr">
        <is>
          <t>210700 Payable - Other</t>
        </is>
      </c>
      <c r="B392">
        <f>-ROUND(_xlfn.XLOOKUP(E392,'Subsequent Close'!A:A,'Subsequent Close'!AT:AT),2)</f>
        <v/>
      </c>
      <c r="D392" t="inlineStr">
        <is>
          <t>To record distribution interest payment for Legacy Knight Subsequent Closing</t>
        </is>
      </c>
      <c r="E392" t="inlineStr">
        <is>
          <t>Forem Capital, LLC</t>
        </is>
      </c>
    </row>
    <row r="393">
      <c r="A393" s="856" t="inlineStr">
        <is>
          <t>210700 Payable - Other</t>
        </is>
      </c>
      <c r="B393">
        <f>-ROUND(_xlfn.XLOOKUP(E393,'Subsequent Close'!A:A,'Subsequent Close'!AT:AT),2)</f>
        <v/>
      </c>
      <c r="D393" t="inlineStr">
        <is>
          <t>To record distribution interest payment for Legacy Knight Subsequent Closing</t>
        </is>
      </c>
      <c r="E393" t="inlineStr">
        <is>
          <t>Francis Brawley</t>
        </is>
      </c>
    </row>
    <row r="394">
      <c r="A394" s="856" t="inlineStr">
        <is>
          <t>210700 Payable - Other</t>
        </is>
      </c>
      <c r="B394">
        <f>-ROUND(_xlfn.XLOOKUP(E394,'Subsequent Close'!A:A,'Subsequent Close'!AT:AT),2)</f>
        <v/>
      </c>
      <c r="D394" t="inlineStr">
        <is>
          <t>To record distribution interest payment for Legacy Knight Subsequent Closing</t>
        </is>
      </c>
      <c r="E394" t="inlineStr">
        <is>
          <t>Geoffrey and Elizabeth Bloomingdale Living Trust</t>
        </is>
      </c>
    </row>
    <row r="395">
      <c r="A395" s="856" t="inlineStr">
        <is>
          <t>210700 Payable - Other</t>
        </is>
      </c>
      <c r="B395">
        <f>-ROUND(_xlfn.XLOOKUP(E395,'Subsequent Close'!A:A,'Subsequent Close'!AT:AT),2)</f>
        <v/>
      </c>
      <c r="D395" t="inlineStr">
        <is>
          <t>To record distribution interest payment for Legacy Knight Subsequent Closing</t>
        </is>
      </c>
      <c r="E395" t="inlineStr">
        <is>
          <t>Greene 2000 Family Trust</t>
        </is>
      </c>
    </row>
    <row r="396">
      <c r="A396" s="856" t="inlineStr">
        <is>
          <t>210700 Payable - Other</t>
        </is>
      </c>
      <c r="B396">
        <f>-ROUND(_xlfn.XLOOKUP(E396,'Subsequent Close'!A:A,'Subsequent Close'!AT:AT),2)</f>
        <v/>
      </c>
      <c r="D396" t="inlineStr">
        <is>
          <t>To record distribution interest payment for Legacy Knight Subsequent Closing</t>
        </is>
      </c>
      <c r="E396" t="inlineStr">
        <is>
          <t>Greene Marital Trust</t>
        </is>
      </c>
    </row>
    <row r="397">
      <c r="A397" s="856" t="inlineStr">
        <is>
          <t>210700 Payable - Other</t>
        </is>
      </c>
      <c r="B397">
        <f>-ROUND(_xlfn.XLOOKUP(E397,'Subsequent Close'!A:A,'Subsequent Close'!AT:AT),2)</f>
        <v/>
      </c>
      <c r="D397" t="inlineStr">
        <is>
          <t>To record distribution interest payment for Legacy Knight Subsequent Closing</t>
        </is>
      </c>
      <c r="E397" t="inlineStr">
        <is>
          <t>Gregory Brent Wood</t>
        </is>
      </c>
    </row>
    <row r="398">
      <c r="A398" s="856" t="inlineStr">
        <is>
          <t>210700 Payable - Other</t>
        </is>
      </c>
      <c r="B398">
        <f>-ROUND(_xlfn.XLOOKUP(E398,'Subsequent Close'!A:A,'Subsequent Close'!AT:AT),2)</f>
        <v/>
      </c>
      <c r="D398" t="inlineStr">
        <is>
          <t>To record distribution interest payment for Legacy Knight Subsequent Closing</t>
        </is>
      </c>
      <c r="E398" t="inlineStr">
        <is>
          <t>Hundley Family Trust</t>
        </is>
      </c>
    </row>
    <row r="399">
      <c r="A399" s="856" t="inlineStr">
        <is>
          <t>210700 Payable - Other</t>
        </is>
      </c>
      <c r="B399">
        <f>-ROUND(_xlfn.XLOOKUP(E399,'Subsequent Close'!A:A,'Subsequent Close'!AT:AT),2)</f>
        <v/>
      </c>
      <c r="D399" t="inlineStr">
        <is>
          <t>To record distribution interest payment for Legacy Knight Subsequent Closing</t>
        </is>
      </c>
      <c r="E399" t="inlineStr">
        <is>
          <t>In God We Trust 2017 Living Trust</t>
        </is>
      </c>
    </row>
    <row r="400">
      <c r="A400" s="856" t="inlineStr">
        <is>
          <t>210700 Payable - Other</t>
        </is>
      </c>
      <c r="B400">
        <f>-ROUND(_xlfn.XLOOKUP(E400,'Subsequent Close'!A:A,'Subsequent Close'!AT:AT),2)</f>
        <v/>
      </c>
      <c r="D400" t="inlineStr">
        <is>
          <t>To record distribution interest payment for Legacy Knight Subsequent Closing</t>
        </is>
      </c>
      <c r="E400" t="inlineStr">
        <is>
          <t>James Campbell and Patricia Campbell</t>
        </is>
      </c>
    </row>
    <row r="401">
      <c r="A401" s="856" t="inlineStr">
        <is>
          <t>210700 Payable - Other</t>
        </is>
      </c>
      <c r="B401">
        <f>-ROUND(_xlfn.XLOOKUP(E401,'Subsequent Close'!A:A,'Subsequent Close'!AT:AT),2)</f>
        <v/>
      </c>
      <c r="D401" t="inlineStr">
        <is>
          <t>To record distribution interest payment for Legacy Knight Subsequent Closing</t>
        </is>
      </c>
      <c r="E401" t="inlineStr">
        <is>
          <t>James Kane</t>
        </is>
      </c>
    </row>
    <row r="402">
      <c r="A402" s="856" t="inlineStr">
        <is>
          <t>210700 Payable - Other</t>
        </is>
      </c>
      <c r="B402">
        <f>-ROUND(_xlfn.XLOOKUP(E402,'Subsequent Close'!A:A,'Subsequent Close'!AT:AT),2)</f>
        <v/>
      </c>
      <c r="D402" t="inlineStr">
        <is>
          <t>To record distribution interest payment for Legacy Knight Subsequent Closing</t>
        </is>
      </c>
      <c r="E402" t="inlineStr">
        <is>
          <t>James Thorp</t>
        </is>
      </c>
    </row>
    <row r="403">
      <c r="A403" s="856" t="inlineStr">
        <is>
          <t>210700 Payable - Other</t>
        </is>
      </c>
      <c r="B403">
        <f>-ROUND(_xlfn.XLOOKUP(E403,'Subsequent Close'!A:A,'Subsequent Close'!AT:AT),2)</f>
        <v/>
      </c>
      <c r="D403" t="inlineStr">
        <is>
          <t>To record distribution interest payment for Legacy Knight Subsequent Closing</t>
        </is>
      </c>
      <c r="E403" t="inlineStr">
        <is>
          <t>Jeffrey A. Lipsitz Revocable Trust</t>
        </is>
      </c>
    </row>
    <row r="404">
      <c r="A404" s="856" t="inlineStr">
        <is>
          <t>210700 Payable - Other</t>
        </is>
      </c>
      <c r="B404">
        <f>-ROUND(_xlfn.XLOOKUP(E404,'Subsequent Close'!A:A,'Subsequent Close'!AT:AT),2)</f>
        <v/>
      </c>
      <c r="D404" t="inlineStr">
        <is>
          <t>To record distribution interest payment for Legacy Knight Subsequent Closing</t>
        </is>
      </c>
      <c r="E404" t="inlineStr">
        <is>
          <t>Jeffrey D Furber Revocable Trust</t>
        </is>
      </c>
    </row>
    <row r="405">
      <c r="A405" s="856" t="inlineStr">
        <is>
          <t>210700 Payable - Other</t>
        </is>
      </c>
      <c r="B405">
        <f>-ROUND(_xlfn.XLOOKUP(E405,'Subsequent Close'!A:A,'Subsequent Close'!AT:AT),2)</f>
        <v/>
      </c>
      <c r="D405" t="inlineStr">
        <is>
          <t>To record distribution interest payment for Legacy Knight Subsequent Closing</t>
        </is>
      </c>
      <c r="E405" t="inlineStr">
        <is>
          <t>Jeremy M. Jacobs Trust U/A/D April 1, 1973 fbo Margaret L. Reichenback</t>
        </is>
      </c>
    </row>
    <row r="406">
      <c r="A406" s="856" t="inlineStr">
        <is>
          <t>210700 Payable - Other</t>
        </is>
      </c>
      <c r="B406">
        <f>-ROUND(_xlfn.XLOOKUP(E406,'Subsequent Close'!A:A,'Subsequent Close'!AT:AT),2)</f>
        <v/>
      </c>
      <c r="D406" t="inlineStr">
        <is>
          <t>To record distribution interest payment for Legacy Knight Subsequent Closing</t>
        </is>
      </c>
      <c r="E406" t="inlineStr">
        <is>
          <t>John Mark Comer</t>
        </is>
      </c>
    </row>
    <row r="407">
      <c r="A407" s="856" t="inlineStr">
        <is>
          <t>210700 Payable - Other</t>
        </is>
      </c>
      <c r="B407">
        <f>-ROUND(_xlfn.XLOOKUP(E407,'Subsequent Close'!A:A,'Subsequent Close'!AT:AT),2)</f>
        <v/>
      </c>
      <c r="D407" t="inlineStr">
        <is>
          <t>To record distribution interest payment for Legacy Knight Subsequent Closing</t>
        </is>
      </c>
      <c r="E407" t="inlineStr">
        <is>
          <t>Landscape I, LP</t>
        </is>
      </c>
    </row>
    <row r="408">
      <c r="A408" s="856" t="inlineStr">
        <is>
          <t>210700 Payable - Other</t>
        </is>
      </c>
      <c r="B408">
        <f>-ROUND(_xlfn.XLOOKUP(E408,'Subsequent Close'!A:A,'Subsequent Close'!AT:AT),2)</f>
        <v/>
      </c>
      <c r="D408" t="inlineStr">
        <is>
          <t>To record distribution interest payment for Legacy Knight Subsequent Closing</t>
        </is>
      </c>
      <c r="E408" t="inlineStr">
        <is>
          <t>Lisa Bell Trust, Elisabeth B. Bell, Trustee</t>
        </is>
      </c>
    </row>
    <row r="409">
      <c r="A409" s="856" t="inlineStr">
        <is>
          <t>210700 Payable - Other</t>
        </is>
      </c>
      <c r="B409">
        <f>-ROUND(_xlfn.XLOOKUP(E409,'Subsequent Close'!A:A,'Subsequent Close'!AT:AT),2)</f>
        <v/>
      </c>
      <c r="D409" t="inlineStr">
        <is>
          <t>To record distribution interest payment for Legacy Knight Subsequent Closing</t>
        </is>
      </c>
      <c r="E409" t="inlineStr">
        <is>
          <t>Madten Investments LLC</t>
        </is>
      </c>
    </row>
    <row r="410">
      <c r="A410" s="856" t="inlineStr">
        <is>
          <t>210700 Payable - Other</t>
        </is>
      </c>
      <c r="B410">
        <f>-ROUND(_xlfn.XLOOKUP(E410,'Subsequent Close'!A:A,'Subsequent Close'!AT:AT),2)</f>
        <v/>
      </c>
      <c r="D410" t="inlineStr">
        <is>
          <t>To record distribution interest payment for Legacy Knight Subsequent Closing</t>
        </is>
      </c>
      <c r="E410" t="inlineStr">
        <is>
          <t>Matt McCoy</t>
        </is>
      </c>
    </row>
    <row r="411">
      <c r="A411" s="856" t="inlineStr">
        <is>
          <t>210700 Payable - Other</t>
        </is>
      </c>
      <c r="B411">
        <f>-ROUND(_xlfn.XLOOKUP(E411,'Subsequent Close'!A:A,'Subsequent Close'!AT:AT),2)</f>
        <v/>
      </c>
      <c r="D411" t="inlineStr">
        <is>
          <t>To record distribution interest payment for Legacy Knight Subsequent Closing</t>
        </is>
      </c>
      <c r="E411" t="inlineStr">
        <is>
          <t>Matterhorn Holdings, LLC</t>
        </is>
      </c>
    </row>
    <row r="412">
      <c r="A412" s="856" t="inlineStr">
        <is>
          <t>210700 Payable - Other</t>
        </is>
      </c>
      <c r="B412">
        <f>-ROUND(_xlfn.XLOOKUP(E412,'Subsequent Close'!A:A,'Subsequent Close'!AT:AT),2)</f>
        <v/>
      </c>
      <c r="D412" t="inlineStr">
        <is>
          <t>To record distribution interest payment for Legacy Knight Subsequent Closing</t>
        </is>
      </c>
      <c r="E412" t="inlineStr">
        <is>
          <t>Max O. Reinbach III</t>
        </is>
      </c>
    </row>
    <row r="413">
      <c r="A413" s="856" t="inlineStr">
        <is>
          <t>210700 Payable - Other</t>
        </is>
      </c>
      <c r="B413">
        <f>-ROUND(_xlfn.XLOOKUP(E413,'Subsequent Close'!A:A,'Subsequent Close'!AT:AT),2)</f>
        <v/>
      </c>
      <c r="D413" t="inlineStr">
        <is>
          <t>To record distribution interest payment for Legacy Knight Subsequent Closing</t>
        </is>
      </c>
      <c r="E413" t="inlineStr">
        <is>
          <t>Meghann C. Robinson</t>
        </is>
      </c>
    </row>
    <row r="414">
      <c r="A414" s="856" t="inlineStr">
        <is>
          <t>210700 Payable - Other</t>
        </is>
      </c>
      <c r="B414">
        <f>-ROUND(_xlfn.XLOOKUP(E414,'Subsequent Close'!A:A,'Subsequent Close'!AT:AT),2)</f>
        <v/>
      </c>
      <c r="D414" t="inlineStr">
        <is>
          <t>To record distribution interest payment for Legacy Knight Subsequent Closing</t>
        </is>
      </c>
      <c r="E414" t="inlineStr">
        <is>
          <t>Nahas Investments II LLC</t>
        </is>
      </c>
    </row>
    <row r="415">
      <c r="A415" s="856" t="inlineStr">
        <is>
          <t>210700 Payable - Other</t>
        </is>
      </c>
      <c r="B415">
        <f>-ROUND(_xlfn.XLOOKUP(E415,'Subsequent Close'!A:A,'Subsequent Close'!AT:AT),2)</f>
        <v/>
      </c>
      <c r="D415" t="inlineStr">
        <is>
          <t>To record distribution interest payment for Legacy Knight Subsequent Closing</t>
        </is>
      </c>
      <c r="E415" t="inlineStr">
        <is>
          <t>Odyssey Holdings, LLC</t>
        </is>
      </c>
    </row>
    <row r="416">
      <c r="A416" s="856" t="inlineStr">
        <is>
          <t>210700 Payable - Other</t>
        </is>
      </c>
      <c r="B416">
        <f>-ROUND(_xlfn.XLOOKUP(E416,'Subsequent Close'!A:A,'Subsequent Close'!AT:AT),2)</f>
        <v/>
      </c>
      <c r="D416" t="inlineStr">
        <is>
          <t>To record distribution interest payment for Legacy Knight Subsequent Closing</t>
        </is>
      </c>
      <c r="E416" t="inlineStr">
        <is>
          <t>Pease River Holdings LLC</t>
        </is>
      </c>
    </row>
    <row r="417">
      <c r="A417" s="856" t="inlineStr">
        <is>
          <t>210700 Payable - Other</t>
        </is>
      </c>
      <c r="B417">
        <f>-ROUND(_xlfn.XLOOKUP(E417,'Subsequent Close'!A:A,'Subsequent Close'!AT:AT),2)</f>
        <v/>
      </c>
      <c r="D417" t="inlineStr">
        <is>
          <t>To record distribution interest payment for Legacy Knight Subsequent Closing</t>
        </is>
      </c>
      <c r="E417" t="inlineStr">
        <is>
          <t>PT Burros, LLC</t>
        </is>
      </c>
    </row>
    <row r="418">
      <c r="A418" s="856" t="inlineStr">
        <is>
          <t>210700 Payable - Other</t>
        </is>
      </c>
      <c r="B418">
        <f>-ROUND(_xlfn.XLOOKUP(E418,'Subsequent Close'!A:A,'Subsequent Close'!AT:AT),2)</f>
        <v/>
      </c>
      <c r="D418" t="inlineStr">
        <is>
          <t>To record distribution interest payment for Legacy Knight Subsequent Closing</t>
        </is>
      </c>
      <c r="E418" t="inlineStr">
        <is>
          <t>Robert D. Falese III</t>
        </is>
      </c>
    </row>
    <row r="419">
      <c r="A419" s="856" t="inlineStr">
        <is>
          <t>210700 Payable - Other</t>
        </is>
      </c>
      <c r="B419">
        <f>-ROUND(_xlfn.XLOOKUP(E419,'Subsequent Close'!A:A,'Subsequent Close'!AT:AT),2)</f>
        <v/>
      </c>
      <c r="D419" t="inlineStr">
        <is>
          <t>To record distribution interest payment for Legacy Knight Subsequent Closing</t>
        </is>
      </c>
      <c r="E419" t="inlineStr">
        <is>
          <t>Robert Parker Yates</t>
        </is>
      </c>
    </row>
    <row r="420">
      <c r="A420" s="856" t="inlineStr">
        <is>
          <t>210700 Payable - Other</t>
        </is>
      </c>
      <c r="B420">
        <f>-ROUND(_xlfn.XLOOKUP(E420,'Subsequent Close'!A:A,'Subsequent Close'!AT:AT),2)</f>
        <v/>
      </c>
      <c r="D420" t="inlineStr">
        <is>
          <t>To record distribution interest payment for Legacy Knight Subsequent Closing</t>
        </is>
      </c>
      <c r="E420" t="inlineStr">
        <is>
          <t>Robert S. Shafir &amp; Donna R. Shafir TEN/COM</t>
        </is>
      </c>
    </row>
    <row r="421">
      <c r="A421" s="856" t="inlineStr">
        <is>
          <t>210700 Payable - Other</t>
        </is>
      </c>
      <c r="B421">
        <f>-ROUND(_xlfn.XLOOKUP(E421,'Subsequent Close'!A:A,'Subsequent Close'!AT:AT),2)</f>
        <v/>
      </c>
      <c r="D421" t="inlineStr">
        <is>
          <t>To record distribution interest payment for Legacy Knight Subsequent Closing</t>
        </is>
      </c>
      <c r="E421" t="inlineStr">
        <is>
          <t>Robert S. Shafir 2011 Children's Trust</t>
        </is>
      </c>
    </row>
    <row r="422">
      <c r="A422" s="856" t="inlineStr">
        <is>
          <t>210700 Payable - Other</t>
        </is>
      </c>
      <c r="B422">
        <f>-ROUND(_xlfn.XLOOKUP(E422,'Subsequent Close'!A:A,'Subsequent Close'!AT:AT),2)</f>
        <v/>
      </c>
      <c r="D422" t="inlineStr">
        <is>
          <t>To record distribution interest payment for Legacy Knight Subsequent Closing</t>
        </is>
      </c>
      <c r="E422" t="inlineStr">
        <is>
          <t>Romar Partners, LP</t>
        </is>
      </c>
    </row>
    <row r="423">
      <c r="A423" s="856" t="inlineStr">
        <is>
          <t>210700 Payable - Other</t>
        </is>
      </c>
      <c r="B423">
        <f>-ROUND(_xlfn.XLOOKUP(E423,'Subsequent Close'!A:A,'Subsequent Close'!AT:AT),2)</f>
        <v/>
      </c>
      <c r="D423" t="inlineStr">
        <is>
          <t>To record distribution interest payment for Legacy Knight Subsequent Closing</t>
        </is>
      </c>
      <c r="E423" t="inlineStr">
        <is>
          <t>Steven and Chani Laufer 2012 Dynasty Trust</t>
        </is>
      </c>
    </row>
    <row r="424">
      <c r="A424" s="856" t="inlineStr">
        <is>
          <t>210700 Payable - Other</t>
        </is>
      </c>
      <c r="B424">
        <f>-ROUND(_xlfn.XLOOKUP(E424,'Subsequent Close'!A:A,'Subsequent Close'!AT:AT),2)</f>
        <v/>
      </c>
      <c r="D424" t="inlineStr">
        <is>
          <t>To record distribution interest payment for Legacy Knight Subsequent Closing</t>
        </is>
      </c>
      <c r="E424" t="inlineStr">
        <is>
          <t>Steven M. Laufer 2012 Trust</t>
        </is>
      </c>
    </row>
    <row r="425">
      <c r="A425" s="856" t="inlineStr">
        <is>
          <t>210700 Payable - Other</t>
        </is>
      </c>
      <c r="B425">
        <f>-ROUND(_xlfn.XLOOKUP(E425,'Subsequent Close'!A:A,'Subsequent Close'!AT:AT),2)</f>
        <v/>
      </c>
      <c r="D425" t="inlineStr">
        <is>
          <t>To record distribution interest payment for Legacy Knight Subsequent Closing</t>
        </is>
      </c>
      <c r="E425" t="inlineStr">
        <is>
          <t>Stewart Tate</t>
        </is>
      </c>
    </row>
    <row r="426">
      <c r="A426" s="856" t="inlineStr">
        <is>
          <t>210700 Payable - Other</t>
        </is>
      </c>
      <c r="B426">
        <f>-ROUND(_xlfn.XLOOKUP(E426,'Subsequent Close'!A:A,'Subsequent Close'!AT:AT),2)</f>
        <v/>
      </c>
      <c r="D426" t="inlineStr">
        <is>
          <t>To record distribution interest payment for Legacy Knight Subsequent Closing</t>
        </is>
      </c>
      <c r="E426" t="inlineStr">
        <is>
          <t>TC Wilson Family Trust</t>
        </is>
      </c>
    </row>
    <row r="427">
      <c r="A427" s="856" t="inlineStr">
        <is>
          <t>210700 Payable - Other</t>
        </is>
      </c>
      <c r="B427">
        <f>-ROUND(_xlfn.XLOOKUP(E427,'Subsequent Close'!A:A,'Subsequent Close'!AT:AT),2)</f>
        <v/>
      </c>
      <c r="D427" t="inlineStr">
        <is>
          <t>To record distribution interest payment for Legacy Knight Subsequent Closing</t>
        </is>
      </c>
      <c r="E427" t="inlineStr">
        <is>
          <t>The 2015 Pipe Reality Delaware Trust</t>
        </is>
      </c>
    </row>
    <row r="428">
      <c r="A428" s="856" t="inlineStr">
        <is>
          <t>210700 Payable - Other</t>
        </is>
      </c>
      <c r="B428">
        <f>-ROUND(_xlfn.XLOOKUP(E428,'Subsequent Close'!A:A,'Subsequent Close'!AT:AT),2)</f>
        <v/>
      </c>
      <c r="D428" t="inlineStr">
        <is>
          <t>To record distribution interest payment for Legacy Knight Subsequent Closing</t>
        </is>
      </c>
      <c r="E428" t="inlineStr">
        <is>
          <t>The David L. Schnadig 2017 Trust</t>
        </is>
      </c>
    </row>
    <row r="429">
      <c r="A429" s="856" t="inlineStr">
        <is>
          <t>210700 Payable - Other</t>
        </is>
      </c>
      <c r="B429">
        <f>-ROUND(_xlfn.XLOOKUP(E429,'Subsequent Close'!A:A,'Subsequent Close'!AT:AT),2)</f>
        <v/>
      </c>
      <c r="D429" t="inlineStr">
        <is>
          <t>To record distribution interest payment for Legacy Knight Subsequent Closing</t>
        </is>
      </c>
      <c r="E429" t="inlineStr">
        <is>
          <t>The Diane Rosen 2021 Irrevocable Family Trust</t>
        </is>
      </c>
    </row>
    <row r="430">
      <c r="A430" s="856" t="inlineStr">
        <is>
          <t>210700 Payable - Other</t>
        </is>
      </c>
      <c r="B430">
        <f>-ROUND(_xlfn.XLOOKUP(E430,'Subsequent Close'!A:A,'Subsequent Close'!AT:AT),2)</f>
        <v/>
      </c>
      <c r="D430" t="inlineStr">
        <is>
          <t>To record distribution interest payment for Legacy Knight Subsequent Closing</t>
        </is>
      </c>
      <c r="E430" t="inlineStr">
        <is>
          <t>The Mark T. Kirchdorfer 2015 Family Delaware Dynasty Trust</t>
        </is>
      </c>
    </row>
    <row r="431">
      <c r="A431" s="856" t="inlineStr">
        <is>
          <t>210700 Payable - Other</t>
        </is>
      </c>
      <c r="B431">
        <f>-ROUND(_xlfn.XLOOKUP(E431,'Subsequent Close'!A:A,'Subsequent Close'!AT:AT),2)</f>
        <v/>
      </c>
      <c r="D431" t="inlineStr">
        <is>
          <t>To record distribution interest payment for Legacy Knight Subsequent Closing</t>
        </is>
      </c>
      <c r="E431" t="inlineStr">
        <is>
          <t>University of Southern California</t>
        </is>
      </c>
    </row>
    <row r="432">
      <c r="A432" s="856" t="inlineStr">
        <is>
          <t>210700 Payable - Other</t>
        </is>
      </c>
      <c r="B432">
        <f>-ROUND(_xlfn.XLOOKUP(E432,'Subsequent Close'!A:A,'Subsequent Close'!AT:AT),2)</f>
        <v/>
      </c>
      <c r="D432" t="inlineStr">
        <is>
          <t>To record distribution interest payment for Legacy Knight Subsequent Closing</t>
        </is>
      </c>
      <c r="E432" t="inlineStr">
        <is>
          <t>Walker D. Zimmerman</t>
        </is>
      </c>
    </row>
    <row r="433">
      <c r="A433" s="856" t="inlineStr">
        <is>
          <t>210700 Payable - Other</t>
        </is>
      </c>
      <c r="B433">
        <f>-ROUND(_xlfn.XLOOKUP(E433,'Subsequent Close'!A:A,'Subsequent Close'!AT:AT),2)</f>
        <v/>
      </c>
      <c r="D433" t="inlineStr">
        <is>
          <t>To record distribution interest payment for Legacy Knight Subsequent Closing</t>
        </is>
      </c>
      <c r="E433" t="inlineStr">
        <is>
          <t>Wilson Family Trust DTD 3-6-1987</t>
        </is>
      </c>
    </row>
    <row r="434">
      <c r="A434" s="856" t="inlineStr">
        <is>
          <t>210700 Payable - Other</t>
        </is>
      </c>
      <c r="B434">
        <f>-ROUND(_xlfn.XLOOKUP(E434,'Subsequent Close'!A:A,'Subsequent Close'!AT:AT),2)</f>
        <v/>
      </c>
      <c r="D434" t="inlineStr">
        <is>
          <t>To record distribution interest payment for Legacy Knight Subsequent Closing</t>
        </is>
      </c>
      <c r="E434" t="inlineStr">
        <is>
          <t>Wilson GST Exempt Trust</t>
        </is>
      </c>
    </row>
    <row r="435">
      <c r="A435" s="856" t="inlineStr">
        <is>
          <t>210700 Payable - Other</t>
        </is>
      </c>
      <c r="B435">
        <f>-ROUND(_xlfn.XLOOKUP(E435,'Subsequent Close'!A:A,'Subsequent Close'!AT:AT),2)</f>
        <v/>
      </c>
      <c r="D435" t="inlineStr">
        <is>
          <t>To record distribution interest payment for Legacy Knight Subsequent Closing</t>
        </is>
      </c>
      <c r="E435" t="inlineStr">
        <is>
          <t>Texas Emerging Managers Private Markets Program, L.P. (2025-1 RE Investment Series)</t>
        </is>
      </c>
    </row>
    <row r="436">
      <c r="A436" s="856" t="inlineStr">
        <is>
          <t>210700 Payable - Other</t>
        </is>
      </c>
      <c r="B436">
        <f>-ROUND(_xlfn.XLOOKUP(E436,'Subsequent Close'!A:A,'Subsequent Close'!AT:AT),2)</f>
        <v/>
      </c>
      <c r="D436" t="inlineStr">
        <is>
          <t>To record distribution interest payment for Legacy Knight Subsequent Closing</t>
        </is>
      </c>
      <c r="E436" t="inlineStr">
        <is>
          <t>GCM Grosvenor NJ RE Emerging Managers Program, LP (2023-1 Investment Series)</t>
        </is>
      </c>
    </row>
    <row r="437">
      <c r="A437" s="856" t="inlineStr">
        <is>
          <t>210700 Payable - Other</t>
        </is>
      </c>
      <c r="B437">
        <f>-ROUND(_xlfn.XLOOKUP(E437,'Subsequent Close'!A:A,'Subsequent Close'!AT:AT),2)</f>
        <v/>
      </c>
      <c r="D437" t="inlineStr">
        <is>
          <t>To record distribution interest payment for Legacy Knight Subsequent Closing</t>
        </is>
      </c>
      <c r="E437" t="inlineStr">
        <is>
          <t>GCM Grosvenor - NYSTRS Real Estate Investment Partners, L.P. (2024-1 Series)</t>
        </is>
      </c>
    </row>
    <row r="438">
      <c r="A438" s="856" t="inlineStr">
        <is>
          <t>210700 Payable - Other</t>
        </is>
      </c>
      <c r="B438">
        <f>-ROUND(_xlfn.XLOOKUP(E438,'Subsequent Close'!A:A,'Subsequent Close'!AT:AT),2)</f>
        <v/>
      </c>
      <c r="D438" t="inlineStr">
        <is>
          <t>To record distribution interest payment for Legacy Knight Subsequent Closing</t>
        </is>
      </c>
      <c r="E438" t="inlineStr">
        <is>
          <t>CRPTF-GCM Middle-Market RE Partnership, L.P. (2025-01 Investment Series)</t>
        </is>
      </c>
    </row>
    <row r="439">
      <c r="A439" s="856" t="inlineStr">
        <is>
          <t>210700 Payable - Other</t>
        </is>
      </c>
      <c r="B439">
        <f>-ROUND(_xlfn.XLOOKUP(E439,'Subsequent Close'!A:A,'Subsequent Close'!AT:AT),2)</f>
        <v/>
      </c>
      <c r="D439" t="inlineStr">
        <is>
          <t>To record distribution interest payment for Legacy Knight Subsequent Closing</t>
        </is>
      </c>
      <c r="E439" t="inlineStr">
        <is>
          <t>Legacy Knight Strategic Opportunities Fund LLC - CL Rail Series</t>
        </is>
      </c>
    </row>
    <row r="440">
      <c r="A440" s="856" t="inlineStr">
        <is>
          <t>210700 Payable - Other</t>
        </is>
      </c>
      <c r="B440">
        <f>-ROUND(_xlfn.XLOOKUP(E440,'Subsequent Close'!A:A,'Subsequent Close'!AT:AT),2)</f>
        <v/>
      </c>
      <c r="D440" t="inlineStr">
        <is>
          <t>To record distribution interest payment for Legacy Knight Subsequent Closing</t>
        </is>
      </c>
      <c r="E440" t="inlineStr">
        <is>
          <t>Argos Holdings, LLC</t>
        </is>
      </c>
    </row>
    <row r="441">
      <c r="A441" s="856" t="inlineStr">
        <is>
          <t>210700 Payable - Other</t>
        </is>
      </c>
      <c r="B441">
        <f>-ROUND(_xlfn.XLOOKUP(E441,'Subsequent Close'!A:A,'Subsequent Close'!AT:AT),2)</f>
        <v/>
      </c>
      <c r="D441" t="inlineStr">
        <is>
          <t>To record distribution interest payment for Legacy Knight Subsequent Closing</t>
        </is>
      </c>
      <c r="E441" t="inlineStr">
        <is>
          <t>Palmatum HR Illiquid, LLC</t>
        </is>
      </c>
    </row>
    <row r="442">
      <c r="A442" s="856" t="inlineStr">
        <is>
          <t>210700 Payable - Other</t>
        </is>
      </c>
      <c r="B442">
        <f>-ROUND(+'Subsequent Close'!BB57,2)</f>
        <v/>
      </c>
      <c r="D442" t="inlineStr">
        <is>
          <t>To record management interest payment for Legacy Knight Subsequent Closing</t>
        </is>
      </c>
      <c r="E442" t="inlineStr">
        <is>
          <t>Odyssey Holdings, LLC</t>
        </is>
      </c>
    </row>
    <row r="443">
      <c r="A443" s="856" t="inlineStr">
        <is>
          <t>301200 Contributions:Contribution - Investment</t>
        </is>
      </c>
      <c r="C443">
        <f>ROUND(_xlfn.XLOOKUP(E443,'True-Up'!A:A,'True-Up'!S:S),2)</f>
        <v/>
      </c>
      <c r="D443" t="inlineStr">
        <is>
          <t xml:space="preserve">To record true-up due to Odyssey commitment overstatement in Q1'26.  </t>
        </is>
      </c>
      <c r="E443" s="866" t="inlineStr">
        <is>
          <t>1999 Britta Biesecker Declaration of Trust DTD 5/12/99</t>
        </is>
      </c>
    </row>
    <row r="444">
      <c r="A444" s="856" t="inlineStr">
        <is>
          <t>301200 Contributions:Contribution - Investment</t>
        </is>
      </c>
      <c r="C444">
        <f>ROUND(_xlfn.XLOOKUP(E444,'True-Up'!A:A,'True-Up'!S:S),2)</f>
        <v/>
      </c>
      <c r="D444" t="inlineStr">
        <is>
          <t xml:space="preserve">To record true-up due to Odyssey commitment overstatement in Q1'26.  </t>
        </is>
      </c>
      <c r="E444" s="866" t="inlineStr">
        <is>
          <t>1999 Frederick N Biesecker II Declaration of Trust DTD 5/12/99</t>
        </is>
      </c>
    </row>
    <row r="445">
      <c r="A445" s="856" t="inlineStr">
        <is>
          <t>301200 Contributions:Contribution - Investment</t>
        </is>
      </c>
      <c r="C445">
        <f>ROUND(_xlfn.XLOOKUP(E445,'True-Up'!A:A,'True-Up'!S:S),2)</f>
        <v/>
      </c>
      <c r="D445" t="inlineStr">
        <is>
          <t xml:space="preserve">To record true-up due to Odyssey commitment overstatement in Q1'26.  </t>
        </is>
      </c>
      <c r="E445" s="866" t="inlineStr">
        <is>
          <t>1999 Lissa Biesecker Longacre Declaration of Trust DTD 5/12/99</t>
        </is>
      </c>
    </row>
    <row r="446">
      <c r="A446" s="856" t="inlineStr">
        <is>
          <t>301200 Contributions:Contribution - Investment</t>
        </is>
      </c>
      <c r="C446">
        <f>ROUND(_xlfn.XLOOKUP(E446,'True-Up'!A:A,'True-Up'!S:S),2)</f>
        <v/>
      </c>
      <c r="D446" t="inlineStr">
        <is>
          <t xml:space="preserve">To record true-up due to Odyssey commitment overstatement in Q1'26.  </t>
        </is>
      </c>
      <c r="E446" s="866" t="inlineStr">
        <is>
          <t>Abigail Levy</t>
        </is>
      </c>
    </row>
    <row r="447">
      <c r="A447" s="856" t="inlineStr">
        <is>
          <t>301200 Contributions:Contribution - Investment</t>
        </is>
      </c>
      <c r="C447">
        <f>ROUND(_xlfn.XLOOKUP(E447,'True-Up'!A:A,'True-Up'!S:S),2)</f>
        <v/>
      </c>
      <c r="D447" t="inlineStr">
        <is>
          <t xml:space="preserve">To record true-up due to Odyssey commitment overstatement in Q1'26.  </t>
        </is>
      </c>
      <c r="E447" s="866" t="inlineStr">
        <is>
          <t>AKWT LLC</t>
        </is>
      </c>
    </row>
    <row r="448">
      <c r="A448" s="856" t="inlineStr">
        <is>
          <t>301200 Contributions:Contribution - Investment</t>
        </is>
      </c>
      <c r="C448">
        <f>ROUND(_xlfn.XLOOKUP(E448,'True-Up'!A:A,'True-Up'!S:S),2)</f>
        <v/>
      </c>
      <c r="D448" t="inlineStr">
        <is>
          <t xml:space="preserve">To record true-up due to Odyssey commitment overstatement in Q1'26.  </t>
        </is>
      </c>
      <c r="E448" s="866" t="inlineStr">
        <is>
          <t>Alexander S. Bloomingdale</t>
        </is>
      </c>
    </row>
    <row r="449">
      <c r="A449" s="856" t="inlineStr">
        <is>
          <t>301200 Contributions:Contribution - Investment</t>
        </is>
      </c>
      <c r="C449">
        <f>ROUND(_xlfn.XLOOKUP(E449,'True-Up'!A:A,'True-Up'!S:S),2)</f>
        <v/>
      </c>
      <c r="D449" t="inlineStr">
        <is>
          <t xml:space="preserve">To record true-up due to Odyssey commitment overstatement in Q1'26.  </t>
        </is>
      </c>
      <c r="E449" s="866" t="inlineStr">
        <is>
          <t>Alexander Sharpe Moore</t>
        </is>
      </c>
    </row>
    <row r="450">
      <c r="A450" s="856" t="inlineStr">
        <is>
          <t>301200 Contributions:Contribution - Investment</t>
        </is>
      </c>
      <c r="C450">
        <f>ROUND(_xlfn.XLOOKUP(E450,'True-Up'!A:A,'True-Up'!S:S),2)</f>
        <v/>
      </c>
      <c r="D450" t="inlineStr">
        <is>
          <t xml:space="preserve">To record true-up due to Odyssey commitment overstatement in Q1'26.  </t>
        </is>
      </c>
      <c r="E450" s="866" t="inlineStr">
        <is>
          <t>All Dogs Go To Heaven, LLC</t>
        </is>
      </c>
    </row>
    <row r="451">
      <c r="A451" s="856" t="inlineStr">
        <is>
          <t>301200 Contributions:Contribution - Investment</t>
        </is>
      </c>
      <c r="C451">
        <f>ROUND(_xlfn.XLOOKUP(E451,'True-Up'!A:A,'True-Up'!S:S),2)</f>
        <v/>
      </c>
      <c r="D451" t="inlineStr">
        <is>
          <t xml:space="preserve">To record true-up due to Odyssey commitment overstatement in Q1'26.  </t>
        </is>
      </c>
      <c r="E451" s="866" t="inlineStr">
        <is>
          <t>Alten Investments LLC</t>
        </is>
      </c>
    </row>
    <row r="452">
      <c r="A452" s="856" t="inlineStr">
        <is>
          <t>301200 Contributions:Contribution - Investment</t>
        </is>
      </c>
      <c r="C452">
        <f>ROUND(_xlfn.XLOOKUP(E452,'True-Up'!A:A,'True-Up'!S:S),2)</f>
        <v/>
      </c>
      <c r="D452" t="inlineStr">
        <is>
          <t xml:space="preserve">To record true-up due to Odyssey commitment overstatement in Q1'26.  </t>
        </is>
      </c>
      <c r="E452" s="866" t="inlineStr">
        <is>
          <t>Avery Ryan Klann</t>
        </is>
      </c>
    </row>
    <row r="453">
      <c r="A453" s="856" t="inlineStr">
        <is>
          <t>301200 Contributions:Contribution - Investment</t>
        </is>
      </c>
      <c r="C453">
        <f>ROUND(_xlfn.XLOOKUP(E453,'True-Up'!A:A,'True-Up'!S:S),2)</f>
        <v/>
      </c>
      <c r="D453" t="inlineStr">
        <is>
          <t xml:space="preserve">To record true-up due to Odyssey commitment overstatement in Q1'26.  </t>
        </is>
      </c>
      <c r="E453" s="866" t="inlineStr">
        <is>
          <t>BBR Real Assets Fund 2024 LLC</t>
        </is>
      </c>
    </row>
    <row r="454">
      <c r="A454" s="856" t="inlineStr">
        <is>
          <t>301200 Contributions:Contribution - Investment</t>
        </is>
      </c>
      <c r="C454">
        <f>ROUND(_xlfn.XLOOKUP(E454,'True-Up'!A:A,'True-Up'!S:S),2)</f>
        <v/>
      </c>
      <c r="D454" t="inlineStr">
        <is>
          <t xml:space="preserve">To record true-up due to Odyssey commitment overstatement in Q1'26.  </t>
        </is>
      </c>
      <c r="E454" s="866" t="inlineStr">
        <is>
          <t>Belclaire Asset Management, LLC</t>
        </is>
      </c>
    </row>
    <row r="455">
      <c r="A455" s="856" t="inlineStr">
        <is>
          <t>301200 Contributions:Contribution - Investment</t>
        </is>
      </c>
      <c r="C455">
        <f>ROUND(_xlfn.XLOOKUP(E455,'True-Up'!A:A,'True-Up'!S:S),2)</f>
        <v/>
      </c>
      <c r="D455" t="inlineStr">
        <is>
          <t xml:space="preserve">To record true-up due to Odyssey commitment overstatement in Q1'26.  </t>
        </is>
      </c>
      <c r="E455" s="866" t="inlineStr">
        <is>
          <t>Benaiah Inc.</t>
        </is>
      </c>
    </row>
    <row r="456">
      <c r="A456" s="856" t="inlineStr">
        <is>
          <t>301200 Contributions:Contribution - Investment</t>
        </is>
      </c>
      <c r="C456">
        <f>ROUND(_xlfn.XLOOKUP(E456,'True-Up'!A:A,'True-Up'!S:S),2)</f>
        <v/>
      </c>
      <c r="D456" t="inlineStr">
        <is>
          <t xml:space="preserve">To record true-up due to Odyssey commitment overstatement in Q1'26.  </t>
        </is>
      </c>
      <c r="E456" s="866" t="inlineStr">
        <is>
          <t>Benjamin Johnson</t>
        </is>
      </c>
    </row>
    <row r="457">
      <c r="A457" s="856" t="inlineStr">
        <is>
          <t>301200 Contributions:Contribution - Investment</t>
        </is>
      </c>
      <c r="C457">
        <f>ROUND(_xlfn.XLOOKUP(E457,'True-Up'!A:A,'True-Up'!S:S),2)</f>
        <v/>
      </c>
      <c r="D457" t="inlineStr">
        <is>
          <t xml:space="preserve">To record true-up due to Odyssey commitment overstatement in Q1'26.  </t>
        </is>
      </c>
      <c r="E457" s="866" t="inlineStr">
        <is>
          <t>Bloomingdale Family Trust Share #3</t>
        </is>
      </c>
    </row>
    <row r="458">
      <c r="A458" s="856" t="inlineStr">
        <is>
          <t>301200 Contributions:Contribution - Investment</t>
        </is>
      </c>
      <c r="C458">
        <f>ROUND(_xlfn.XLOOKUP(E458,'True-Up'!A:A,'True-Up'!S:S),2)</f>
        <v/>
      </c>
      <c r="D458" t="inlineStr">
        <is>
          <t xml:space="preserve">To record true-up due to Odyssey commitment overstatement in Q1'26.  </t>
        </is>
      </c>
      <c r="E458" s="866" t="inlineStr">
        <is>
          <t>Brian Carroll 2011 Long-Term Trust</t>
        </is>
      </c>
    </row>
    <row r="459">
      <c r="A459" s="856" t="inlineStr">
        <is>
          <t>301200 Contributions:Contribution - Investment</t>
        </is>
      </c>
      <c r="C459">
        <f>ROUND(_xlfn.XLOOKUP(E459,'True-Up'!A:A,'True-Up'!S:S),2)</f>
        <v/>
      </c>
      <c r="D459" t="inlineStr">
        <is>
          <t xml:space="preserve">To record true-up due to Odyssey commitment overstatement in Q1'26.  </t>
        </is>
      </c>
      <c r="E459" s="866" t="inlineStr">
        <is>
          <t>Bryan C. White LLC</t>
        </is>
      </c>
    </row>
    <row r="460">
      <c r="A460" s="856" t="inlineStr">
        <is>
          <t>301200 Contributions:Contribution - Investment</t>
        </is>
      </c>
      <c r="C460">
        <f>ROUND(_xlfn.XLOOKUP(E460,'True-Up'!A:A,'True-Up'!S:S),2)</f>
        <v/>
      </c>
      <c r="D460" t="inlineStr">
        <is>
          <t xml:space="preserve">To record true-up due to Odyssey commitment overstatement in Q1'26.  </t>
        </is>
      </c>
      <c r="E460" s="866" t="inlineStr">
        <is>
          <t>Cameron J. Tringale</t>
        </is>
      </c>
    </row>
    <row r="461">
      <c r="A461" s="856" t="inlineStr">
        <is>
          <t>301200 Contributions:Contribution - Investment</t>
        </is>
      </c>
      <c r="C461">
        <f>ROUND(_xlfn.XLOOKUP(E461,'True-Up'!A:A,'True-Up'!S:S),2)</f>
        <v/>
      </c>
      <c r="D461" t="inlineStr">
        <is>
          <t xml:space="preserve">To record true-up due to Odyssey commitment overstatement in Q1'26.  </t>
        </is>
      </c>
      <c r="E461" s="866" t="inlineStr">
        <is>
          <t>Charing Hatcherville LLC</t>
        </is>
      </c>
    </row>
    <row r="462">
      <c r="A462" s="856" t="inlineStr">
        <is>
          <t>301200 Contributions:Contribution - Investment</t>
        </is>
      </c>
      <c r="C462">
        <f>ROUND(_xlfn.XLOOKUP(E462,'True-Up'!A:A,'True-Up'!S:S),2)</f>
        <v/>
      </c>
      <c r="D462" t="inlineStr">
        <is>
          <t xml:space="preserve">To record true-up due to Odyssey commitment overstatement in Q1'26.  </t>
        </is>
      </c>
      <c r="E462" s="866" t="inlineStr">
        <is>
          <t>Charing Silsbee, LLC</t>
        </is>
      </c>
    </row>
    <row r="463">
      <c r="A463" s="856" t="inlineStr">
        <is>
          <t>301200 Contributions:Contribution - Investment</t>
        </is>
      </c>
      <c r="C463">
        <f>ROUND(_xlfn.XLOOKUP(E463,'True-Up'!A:A,'True-Up'!S:S),2)</f>
        <v/>
      </c>
      <c r="D463" t="inlineStr">
        <is>
          <t xml:space="preserve">To record true-up due to Odyssey commitment overstatement in Q1'26.  </t>
        </is>
      </c>
      <c r="E463" s="866" t="inlineStr">
        <is>
          <t>Chase F. Monroe</t>
        </is>
      </c>
    </row>
    <row r="464">
      <c r="A464" s="856" t="inlineStr">
        <is>
          <t>301200 Contributions:Contribution - Investment</t>
        </is>
      </c>
      <c r="C464">
        <f>ROUND(_xlfn.XLOOKUP(E464,'True-Up'!A:A,'True-Up'!S:S),2)</f>
        <v/>
      </c>
      <c r="D464" t="inlineStr">
        <is>
          <t xml:space="preserve">To record true-up due to Odyssey commitment overstatement in Q1'26.  </t>
        </is>
      </c>
      <c r="E464" s="866" t="inlineStr">
        <is>
          <t>Chase The Lion, Inc.</t>
        </is>
      </c>
    </row>
    <row r="465">
      <c r="A465" s="856" t="inlineStr">
        <is>
          <t>301200 Contributions:Contribution - Investment</t>
        </is>
      </c>
      <c r="C465">
        <f>ROUND(_xlfn.XLOOKUP(E465,'True-Up'!A:A,'True-Up'!S:S),2)</f>
        <v/>
      </c>
      <c r="D465" t="inlineStr">
        <is>
          <t xml:space="preserve">To record true-up due to Odyssey commitment overstatement in Q1'26.  </t>
        </is>
      </c>
      <c r="E465" s="866" t="inlineStr">
        <is>
          <t>Chris Schaaf</t>
        </is>
      </c>
    </row>
    <row r="466">
      <c r="A466" s="856" t="inlineStr">
        <is>
          <t>301200 Contributions:Contribution - Investment</t>
        </is>
      </c>
      <c r="C466">
        <f>ROUND(_xlfn.XLOOKUP(E466,'True-Up'!A:A,'True-Up'!S:S),2)</f>
        <v/>
      </c>
      <c r="D466" t="inlineStr">
        <is>
          <t xml:space="preserve">To record true-up due to Odyssey commitment overstatement in Q1'26.  </t>
        </is>
      </c>
      <c r="E466" s="866" t="inlineStr">
        <is>
          <t>Christopher J. Campbell</t>
        </is>
      </c>
    </row>
    <row r="467">
      <c r="A467" s="856" t="inlineStr">
        <is>
          <t>301200 Contributions:Contribution - Investment</t>
        </is>
      </c>
      <c r="C467">
        <f>ROUND(_xlfn.XLOOKUP(E467,'True-Up'!A:A,'True-Up'!S:S),2)</f>
        <v/>
      </c>
      <c r="D467" t="inlineStr">
        <is>
          <t xml:space="preserve">To record true-up due to Odyssey commitment overstatement in Q1'26.  </t>
        </is>
      </c>
      <c r="E467" s="866" t="inlineStr">
        <is>
          <t>Christopher Johnson</t>
        </is>
      </c>
    </row>
    <row r="468">
      <c r="A468" s="856" t="inlineStr">
        <is>
          <t>301200 Contributions:Contribution - Investment</t>
        </is>
      </c>
      <c r="C468">
        <f>ROUND(_xlfn.XLOOKUP(E468,'True-Up'!A:A,'True-Up'!S:S),2)</f>
        <v/>
      </c>
      <c r="D468" t="inlineStr">
        <is>
          <t xml:space="preserve">To record true-up due to Odyssey commitment overstatement in Q1'26.  </t>
        </is>
      </c>
      <c r="E468" s="866" t="inlineStr">
        <is>
          <t>CLIP Sponsor LLC</t>
        </is>
      </c>
    </row>
    <row r="469">
      <c r="A469" s="856" t="inlineStr">
        <is>
          <t>301200 Contributions:Contribution - Investment</t>
        </is>
      </c>
      <c r="C469">
        <f>ROUND(_xlfn.XLOOKUP(E469,'True-Up'!A:A,'True-Up'!S:S),2)</f>
        <v/>
      </c>
      <c r="D469" t="inlineStr">
        <is>
          <t xml:space="preserve">To record true-up due to Odyssey commitment overstatement in Q1'26.  </t>
        </is>
      </c>
      <c r="E469" s="866" t="inlineStr">
        <is>
          <t>CLR Silsbee Sponsor LLC</t>
        </is>
      </c>
    </row>
    <row r="470">
      <c r="A470" s="856" t="inlineStr">
        <is>
          <t>301200 Contributions:Contribution - Investment</t>
        </is>
      </c>
      <c r="C470">
        <f>ROUND(_xlfn.XLOOKUP(E470,'True-Up'!A:A,'True-Up'!S:S),2)</f>
        <v/>
      </c>
      <c r="D470" t="inlineStr">
        <is>
          <t xml:space="preserve">To record true-up due to Odyssey commitment overstatement in Q1'26.  </t>
        </is>
      </c>
      <c r="E470" s="866" t="inlineStr">
        <is>
          <t>Daniel Ross</t>
        </is>
      </c>
    </row>
    <row r="471">
      <c r="A471" s="856" t="inlineStr">
        <is>
          <t>301200 Contributions:Contribution - Investment</t>
        </is>
      </c>
      <c r="C471">
        <f>ROUND(_xlfn.XLOOKUP(E471,'True-Up'!A:A,'True-Up'!S:S),2)</f>
        <v/>
      </c>
      <c r="D471" t="inlineStr">
        <is>
          <t xml:space="preserve">To record true-up due to Odyssey commitment overstatement in Q1'26.  </t>
        </is>
      </c>
      <c r="E471" s="866" t="inlineStr">
        <is>
          <t>Endurance Companies LLC</t>
        </is>
      </c>
    </row>
    <row r="472">
      <c r="A472" s="856" t="inlineStr">
        <is>
          <t>301200 Contributions:Contribution - Investment</t>
        </is>
      </c>
      <c r="C472">
        <f>ROUND(_xlfn.XLOOKUP(E472,'True-Up'!A:A,'True-Up'!S:S),2)</f>
        <v/>
      </c>
      <c r="D472" t="inlineStr">
        <is>
          <t xml:space="preserve">To record true-up due to Odyssey commitment overstatement in Q1'26.  </t>
        </is>
      </c>
      <c r="E472" s="866" t="inlineStr">
        <is>
          <t>Forem Capital, LLC</t>
        </is>
      </c>
    </row>
    <row r="473">
      <c r="A473" s="856" t="inlineStr">
        <is>
          <t>301200 Contributions:Contribution - Investment</t>
        </is>
      </c>
      <c r="C473">
        <f>ROUND(_xlfn.XLOOKUP(E473,'True-Up'!A:A,'True-Up'!S:S),2)</f>
        <v/>
      </c>
      <c r="D473" t="inlineStr">
        <is>
          <t xml:space="preserve">To record true-up due to Odyssey commitment overstatement in Q1'26.  </t>
        </is>
      </c>
      <c r="E473" s="866" t="inlineStr">
        <is>
          <t>Francis Brawley</t>
        </is>
      </c>
    </row>
    <row r="474">
      <c r="A474" s="856" t="inlineStr">
        <is>
          <t>301200 Contributions:Contribution - Investment</t>
        </is>
      </c>
      <c r="C474">
        <f>ROUND(_xlfn.XLOOKUP(E474,'True-Up'!A:A,'True-Up'!S:S),2)</f>
        <v/>
      </c>
      <c r="D474" t="inlineStr">
        <is>
          <t xml:space="preserve">To record true-up due to Odyssey commitment overstatement in Q1'26.  </t>
        </is>
      </c>
      <c r="E474" s="866" t="inlineStr">
        <is>
          <t>Geoffrey and Elizabeth Bloomingdale Living Trust</t>
        </is>
      </c>
    </row>
    <row r="475">
      <c r="A475" s="856" t="inlineStr">
        <is>
          <t>301200 Contributions:Contribution - Investment</t>
        </is>
      </c>
      <c r="C475">
        <f>ROUND(_xlfn.XLOOKUP(E475,'True-Up'!A:A,'True-Up'!S:S),2)</f>
        <v/>
      </c>
      <c r="D475" t="inlineStr">
        <is>
          <t xml:space="preserve">To record true-up due to Odyssey commitment overstatement in Q1'26.  </t>
        </is>
      </c>
      <c r="E475" s="866" t="inlineStr">
        <is>
          <t>Greene 2000 Family Trust</t>
        </is>
      </c>
    </row>
    <row r="476">
      <c r="A476" s="856" t="inlineStr">
        <is>
          <t>301200 Contributions:Contribution - Investment</t>
        </is>
      </c>
      <c r="C476">
        <f>ROUND(_xlfn.XLOOKUP(E476,'True-Up'!A:A,'True-Up'!S:S),2)</f>
        <v/>
      </c>
      <c r="D476" t="inlineStr">
        <is>
          <t xml:space="preserve">To record true-up due to Odyssey commitment overstatement in Q1'26.  </t>
        </is>
      </c>
      <c r="E476" s="866" t="inlineStr">
        <is>
          <t>Greene Marital Trust</t>
        </is>
      </c>
    </row>
    <row r="477">
      <c r="A477" s="856" t="inlineStr">
        <is>
          <t>301200 Contributions:Contribution - Investment</t>
        </is>
      </c>
      <c r="C477">
        <f>ROUND(_xlfn.XLOOKUP(E477,'True-Up'!A:A,'True-Up'!S:S),2)</f>
        <v/>
      </c>
      <c r="D477" t="inlineStr">
        <is>
          <t xml:space="preserve">To record true-up due to Odyssey commitment overstatement in Q1'26.  </t>
        </is>
      </c>
      <c r="E477" s="866" t="inlineStr">
        <is>
          <t>Gregory Brent Wood</t>
        </is>
      </c>
    </row>
    <row r="478">
      <c r="A478" s="856" t="inlineStr">
        <is>
          <t>301200 Contributions:Contribution - Investment</t>
        </is>
      </c>
      <c r="C478">
        <f>ROUND(_xlfn.XLOOKUP(E478,'True-Up'!A:A,'True-Up'!S:S),2)</f>
        <v/>
      </c>
      <c r="D478" t="inlineStr">
        <is>
          <t xml:space="preserve">To record true-up due to Odyssey commitment overstatement in Q1'26.  </t>
        </is>
      </c>
      <c r="E478" s="866" t="inlineStr">
        <is>
          <t>Hundley Family Trust</t>
        </is>
      </c>
    </row>
    <row r="479">
      <c r="A479" s="856" t="inlineStr">
        <is>
          <t>301200 Contributions:Contribution - Investment</t>
        </is>
      </c>
      <c r="C479">
        <f>ROUND(_xlfn.XLOOKUP(E479,'True-Up'!A:A,'True-Up'!S:S),2)</f>
        <v/>
      </c>
      <c r="D479" t="inlineStr">
        <is>
          <t xml:space="preserve">To record true-up due to Odyssey commitment overstatement in Q1'26.  </t>
        </is>
      </c>
      <c r="E479" s="866" t="inlineStr">
        <is>
          <t>In God We Trust 2017 Living Trust</t>
        </is>
      </c>
    </row>
    <row r="480">
      <c r="A480" s="856" t="inlineStr">
        <is>
          <t>301200 Contributions:Contribution - Investment</t>
        </is>
      </c>
      <c r="C480">
        <f>ROUND(_xlfn.XLOOKUP(E480,'True-Up'!A:A,'True-Up'!S:S),2)</f>
        <v/>
      </c>
      <c r="D480" t="inlineStr">
        <is>
          <t xml:space="preserve">To record true-up due to Odyssey commitment overstatement in Q1'26.  </t>
        </is>
      </c>
      <c r="E480" s="866" t="inlineStr">
        <is>
          <t>James and Natelie Bloomingdale</t>
        </is>
      </c>
    </row>
    <row r="481">
      <c r="A481" s="856" t="inlineStr">
        <is>
          <t>301200 Contributions:Contribution - Investment</t>
        </is>
      </c>
      <c r="C481">
        <f>ROUND(_xlfn.XLOOKUP(E481,'True-Up'!A:A,'True-Up'!S:S),2)</f>
        <v/>
      </c>
      <c r="D481" t="inlineStr">
        <is>
          <t xml:space="preserve">To record true-up due to Odyssey commitment overstatement in Q1'26.  </t>
        </is>
      </c>
      <c r="E481" s="866" t="inlineStr">
        <is>
          <t>James Campbell and Patricia Campbell</t>
        </is>
      </c>
    </row>
    <row r="482">
      <c r="A482" s="856" t="inlineStr">
        <is>
          <t>301200 Contributions:Contribution - Investment</t>
        </is>
      </c>
      <c r="C482">
        <f>ROUND(_xlfn.XLOOKUP(E482,'True-Up'!A:A,'True-Up'!S:S),2)</f>
        <v/>
      </c>
      <c r="D482" t="inlineStr">
        <is>
          <t xml:space="preserve">To record true-up due to Odyssey commitment overstatement in Q1'26.  </t>
        </is>
      </c>
      <c r="E482" s="866" t="inlineStr">
        <is>
          <t>James Kane</t>
        </is>
      </c>
    </row>
    <row r="483">
      <c r="A483" s="856" t="inlineStr">
        <is>
          <t>301200 Contributions:Contribution - Investment</t>
        </is>
      </c>
      <c r="C483">
        <f>ROUND(_xlfn.XLOOKUP(E483,'True-Up'!A:A,'True-Up'!S:S),2)</f>
        <v/>
      </c>
      <c r="D483" t="inlineStr">
        <is>
          <t xml:space="preserve">To record true-up due to Odyssey commitment overstatement in Q1'26.  </t>
        </is>
      </c>
      <c r="E483" s="866" t="inlineStr">
        <is>
          <t>James Thorp</t>
        </is>
      </c>
    </row>
    <row r="484">
      <c r="A484" s="856" t="inlineStr">
        <is>
          <t>301200 Contributions:Contribution - Investment</t>
        </is>
      </c>
      <c r="C484">
        <f>ROUND(_xlfn.XLOOKUP(E484,'True-Up'!A:A,'True-Up'!S:S),2)</f>
        <v/>
      </c>
      <c r="D484" t="inlineStr">
        <is>
          <t xml:space="preserve">To record true-up due to Odyssey commitment overstatement in Q1'26.  </t>
        </is>
      </c>
      <c r="E484" s="866" t="inlineStr">
        <is>
          <t>Jeffrey A. Lipsitz Revocable Trust</t>
        </is>
      </c>
    </row>
    <row r="485">
      <c r="A485" s="856" t="inlineStr">
        <is>
          <t>301200 Contributions:Contribution - Investment</t>
        </is>
      </c>
      <c r="C485">
        <f>ROUND(_xlfn.XLOOKUP(E485,'True-Up'!A:A,'True-Up'!S:S),2)</f>
        <v/>
      </c>
      <c r="D485" t="inlineStr">
        <is>
          <t xml:space="preserve">To record true-up due to Odyssey commitment overstatement in Q1'26.  </t>
        </is>
      </c>
      <c r="E485" s="866" t="inlineStr">
        <is>
          <t>Jeffrey D Furber Revocable Trust</t>
        </is>
      </c>
    </row>
    <row r="486">
      <c r="A486" s="856" t="inlineStr">
        <is>
          <t>301200 Contributions:Contribution - Investment</t>
        </is>
      </c>
      <c r="C486">
        <f>ROUND(_xlfn.XLOOKUP(E486,'True-Up'!A:A,'True-Up'!S:S),2)</f>
        <v/>
      </c>
      <c r="D486" t="inlineStr">
        <is>
          <t xml:space="preserve">To record true-up due to Odyssey commitment overstatement in Q1'26.  </t>
        </is>
      </c>
      <c r="E486" s="866" t="inlineStr">
        <is>
          <t>Jeremy M. Jacobs Trust U/A/D April 1, 1973 fbo Margaret L. Reichenback</t>
        </is>
      </c>
    </row>
    <row r="487">
      <c r="A487" s="856" t="inlineStr">
        <is>
          <t>301200 Contributions:Contribution - Investment</t>
        </is>
      </c>
      <c r="C487">
        <f>ROUND(_xlfn.XLOOKUP(E487,'True-Up'!A:A,'True-Up'!S:S),2)</f>
        <v/>
      </c>
      <c r="D487" t="inlineStr">
        <is>
          <t xml:space="preserve">To record true-up due to Odyssey commitment overstatement in Q1'26.  </t>
        </is>
      </c>
      <c r="E487" s="866" t="inlineStr">
        <is>
          <t>John Mark Comer</t>
        </is>
      </c>
    </row>
    <row r="488">
      <c r="A488" s="856" t="inlineStr">
        <is>
          <t>301200 Contributions:Contribution - Investment</t>
        </is>
      </c>
      <c r="C488">
        <f>ROUND(_xlfn.XLOOKUP(E488,'True-Up'!A:A,'True-Up'!S:S),2)</f>
        <v/>
      </c>
      <c r="D488" t="inlineStr">
        <is>
          <t xml:space="preserve">To record true-up due to Odyssey commitment overstatement in Q1'26.  </t>
        </is>
      </c>
      <c r="E488" s="866" t="inlineStr">
        <is>
          <t>Landscape I, LP</t>
        </is>
      </c>
    </row>
    <row r="489">
      <c r="A489" s="856" t="inlineStr">
        <is>
          <t>301200 Contributions:Contribution - Investment</t>
        </is>
      </c>
      <c r="C489">
        <f>ROUND(_xlfn.XLOOKUP(E489,'True-Up'!A:A,'True-Up'!S:S),2)</f>
        <v/>
      </c>
      <c r="D489" t="inlineStr">
        <is>
          <t xml:space="preserve">To record true-up due to Odyssey commitment overstatement in Q1'26.  </t>
        </is>
      </c>
      <c r="E489" s="866" t="inlineStr">
        <is>
          <t>Lisa Bell Trust, Elisabeth B. Bell, Trustee</t>
        </is>
      </c>
    </row>
    <row r="490">
      <c r="A490" s="856" t="inlineStr">
        <is>
          <t>301200 Contributions:Contribution - Investment</t>
        </is>
      </c>
      <c r="C490">
        <f>ROUND(_xlfn.XLOOKUP(E490,'True-Up'!A:A,'True-Up'!S:S),2)</f>
        <v/>
      </c>
      <c r="D490" t="inlineStr">
        <is>
          <t xml:space="preserve">To record true-up due to Odyssey commitment overstatement in Q1'26.  </t>
        </is>
      </c>
      <c r="E490" s="866" t="inlineStr">
        <is>
          <t>Madten Investments LLC</t>
        </is>
      </c>
    </row>
    <row r="491">
      <c r="A491" s="856" t="inlineStr">
        <is>
          <t>301200 Contributions:Contribution - Investment</t>
        </is>
      </c>
      <c r="C491">
        <f>ROUND(_xlfn.XLOOKUP(E491,'True-Up'!A:A,'True-Up'!S:S),2)</f>
        <v/>
      </c>
      <c r="D491" t="inlineStr">
        <is>
          <t xml:space="preserve">To record true-up due to Odyssey commitment overstatement in Q1'26.  </t>
        </is>
      </c>
      <c r="E491" s="866" t="inlineStr">
        <is>
          <t>Matt McCoy</t>
        </is>
      </c>
    </row>
    <row r="492">
      <c r="A492" s="856" t="inlineStr">
        <is>
          <t>301200 Contributions:Contribution - Investment</t>
        </is>
      </c>
      <c r="C492">
        <f>ROUND(_xlfn.XLOOKUP(E492,'True-Up'!A:A,'True-Up'!S:S),2)</f>
        <v/>
      </c>
      <c r="D492" t="inlineStr">
        <is>
          <t xml:space="preserve">To record true-up due to Odyssey commitment overstatement in Q1'26.  </t>
        </is>
      </c>
      <c r="E492" s="866" t="inlineStr">
        <is>
          <t>Matterhorn Holdings, LLC</t>
        </is>
      </c>
    </row>
    <row r="493">
      <c r="A493" s="856" t="inlineStr">
        <is>
          <t>301200 Contributions:Contribution - Investment</t>
        </is>
      </c>
      <c r="C493">
        <f>ROUND(_xlfn.XLOOKUP(E493,'True-Up'!A:A,'True-Up'!S:S),2)</f>
        <v/>
      </c>
      <c r="D493" t="inlineStr">
        <is>
          <t xml:space="preserve">To record true-up due to Odyssey commitment overstatement in Q1'26.  </t>
        </is>
      </c>
      <c r="E493" s="866" t="inlineStr">
        <is>
          <t>Max O. Reinbach III</t>
        </is>
      </c>
    </row>
    <row r="494">
      <c r="A494" s="856" t="inlineStr">
        <is>
          <t>301200 Contributions:Contribution - Investment</t>
        </is>
      </c>
      <c r="C494">
        <f>ROUND(_xlfn.XLOOKUP(E494,'True-Up'!A:A,'True-Up'!S:S),2)</f>
        <v/>
      </c>
      <c r="D494" t="inlineStr">
        <is>
          <t xml:space="preserve">To record true-up due to Odyssey commitment overstatement in Q1'26.  </t>
        </is>
      </c>
      <c r="E494" s="866" t="inlineStr">
        <is>
          <t>Meghann C. Robinson</t>
        </is>
      </c>
    </row>
    <row r="495">
      <c r="A495" s="856" t="inlineStr">
        <is>
          <t>301200 Contributions:Contribution - Investment</t>
        </is>
      </c>
      <c r="C495">
        <f>ROUND(_xlfn.XLOOKUP(E495,'True-Up'!A:A,'True-Up'!S:S),2)</f>
        <v/>
      </c>
      <c r="D495" t="inlineStr">
        <is>
          <t xml:space="preserve">To record true-up due to Odyssey commitment overstatement in Q1'26.  </t>
        </is>
      </c>
      <c r="E495" s="866" t="inlineStr">
        <is>
          <t>Nahas Investments II LLC</t>
        </is>
      </c>
    </row>
    <row r="496">
      <c r="A496" s="856" t="inlineStr">
        <is>
          <t>301200 Contributions:Contribution - Investment</t>
        </is>
      </c>
      <c r="C496">
        <f>ROUND(_xlfn.XLOOKUP(E496,'True-Up'!A:A,'True-Up'!S:S),2)</f>
        <v/>
      </c>
      <c r="D496" t="inlineStr">
        <is>
          <t xml:space="preserve">To record true-up due to Odyssey commitment overstatement in Q1'26.  </t>
        </is>
      </c>
      <c r="E496" s="866" t="inlineStr">
        <is>
          <t>Pease River Holdings LLC</t>
        </is>
      </c>
    </row>
    <row r="497">
      <c r="A497" s="856" t="inlineStr">
        <is>
          <t>301200 Contributions:Contribution - Investment</t>
        </is>
      </c>
      <c r="C497">
        <f>ROUND(_xlfn.XLOOKUP(E497,'True-Up'!A:A,'True-Up'!S:S),2)</f>
        <v/>
      </c>
      <c r="D497" t="inlineStr">
        <is>
          <t xml:space="preserve">To record true-up due to Odyssey commitment overstatement in Q1'26.  </t>
        </is>
      </c>
      <c r="E497" s="866" t="inlineStr">
        <is>
          <t>PT Burros, LLC</t>
        </is>
      </c>
    </row>
    <row r="498">
      <c r="A498" s="856" t="inlineStr">
        <is>
          <t>301200 Contributions:Contribution - Investment</t>
        </is>
      </c>
      <c r="C498">
        <f>ROUND(_xlfn.XLOOKUP(E498,'True-Up'!A:A,'True-Up'!S:S),2)</f>
        <v/>
      </c>
      <c r="D498" t="inlineStr">
        <is>
          <t xml:space="preserve">To record true-up due to Odyssey commitment overstatement in Q1'26.  </t>
        </is>
      </c>
      <c r="E498" s="866" t="inlineStr">
        <is>
          <t>Robert D. Falese III</t>
        </is>
      </c>
    </row>
    <row r="499">
      <c r="A499" s="856" t="inlineStr">
        <is>
          <t>301200 Contributions:Contribution - Investment</t>
        </is>
      </c>
      <c r="C499">
        <f>ROUND(_xlfn.XLOOKUP(E499,'True-Up'!A:A,'True-Up'!S:S),2)</f>
        <v/>
      </c>
      <c r="D499" t="inlineStr">
        <is>
          <t xml:space="preserve">To record true-up due to Odyssey commitment overstatement in Q1'26.  </t>
        </is>
      </c>
      <c r="E499" s="866" t="inlineStr">
        <is>
          <t>Robert Parker Yates</t>
        </is>
      </c>
    </row>
    <row r="500">
      <c r="A500" s="856" t="inlineStr">
        <is>
          <t>301200 Contributions:Contribution - Investment</t>
        </is>
      </c>
      <c r="C500">
        <f>ROUND(_xlfn.XLOOKUP(E500,'True-Up'!A:A,'True-Up'!S:S),2)</f>
        <v/>
      </c>
      <c r="D500" t="inlineStr">
        <is>
          <t xml:space="preserve">To record true-up due to Odyssey commitment overstatement in Q1'26.  </t>
        </is>
      </c>
      <c r="E500" s="866" t="inlineStr">
        <is>
          <t>Robert S. Shafir &amp; Donna R. Shafir TEN/COM</t>
        </is>
      </c>
    </row>
    <row r="501">
      <c r="A501" s="856" t="inlineStr">
        <is>
          <t>301200 Contributions:Contribution - Investment</t>
        </is>
      </c>
      <c r="C501">
        <f>ROUND(_xlfn.XLOOKUP(E501,'True-Up'!A:A,'True-Up'!S:S),2)</f>
        <v/>
      </c>
      <c r="D501" t="inlineStr">
        <is>
          <t xml:space="preserve">To record true-up due to Odyssey commitment overstatement in Q1'26.  </t>
        </is>
      </c>
      <c r="E501" s="866" t="inlineStr">
        <is>
          <t>Robert S. Shafir 2011 Children's Trust</t>
        </is>
      </c>
    </row>
    <row r="502">
      <c r="A502" s="856" t="inlineStr">
        <is>
          <t>301200 Contributions:Contribution - Investment</t>
        </is>
      </c>
      <c r="C502">
        <f>ROUND(_xlfn.XLOOKUP(E502,'True-Up'!A:A,'True-Up'!S:S),2)</f>
        <v/>
      </c>
      <c r="D502" t="inlineStr">
        <is>
          <t xml:space="preserve">To record true-up due to Odyssey commitment overstatement in Q1'26.  </t>
        </is>
      </c>
      <c r="E502" s="866" t="inlineStr">
        <is>
          <t>Romar Partners, LP</t>
        </is>
      </c>
    </row>
    <row r="503">
      <c r="A503" s="856" t="inlineStr">
        <is>
          <t>301200 Contributions:Contribution - Investment</t>
        </is>
      </c>
      <c r="C503">
        <f>ROUND(_xlfn.XLOOKUP(E503,'True-Up'!A:A,'True-Up'!S:S),2)</f>
        <v/>
      </c>
      <c r="D503" t="inlineStr">
        <is>
          <t xml:space="preserve">To record true-up due to Odyssey commitment overstatement in Q1'26.  </t>
        </is>
      </c>
      <c r="E503" s="866" t="inlineStr">
        <is>
          <t>Steven and Chani Laufer 2012 Dynasty Trust</t>
        </is>
      </c>
    </row>
    <row r="504">
      <c r="A504" s="856" t="inlineStr">
        <is>
          <t>301200 Contributions:Contribution - Investment</t>
        </is>
      </c>
      <c r="C504">
        <f>ROUND(_xlfn.XLOOKUP(E504,'True-Up'!A:A,'True-Up'!S:S),2)</f>
        <v/>
      </c>
      <c r="D504" t="inlineStr">
        <is>
          <t xml:space="preserve">To record true-up due to Odyssey commitment overstatement in Q1'26.  </t>
        </is>
      </c>
      <c r="E504" s="866" t="inlineStr">
        <is>
          <t>Steven M. Laufer 2012 Trust</t>
        </is>
      </c>
    </row>
    <row r="505">
      <c r="A505" s="856" t="inlineStr">
        <is>
          <t>301200 Contributions:Contribution - Investment</t>
        </is>
      </c>
      <c r="C505">
        <f>ROUND(_xlfn.XLOOKUP(E505,'True-Up'!A:A,'True-Up'!S:S),2)</f>
        <v/>
      </c>
      <c r="D505" t="inlineStr">
        <is>
          <t xml:space="preserve">To record true-up due to Odyssey commitment overstatement in Q1'26.  </t>
        </is>
      </c>
      <c r="E505" s="866" t="inlineStr">
        <is>
          <t>Stewart Tate</t>
        </is>
      </c>
    </row>
    <row r="506">
      <c r="A506" s="856" t="inlineStr">
        <is>
          <t>301200 Contributions:Contribution - Investment</t>
        </is>
      </c>
      <c r="C506">
        <f>ROUND(_xlfn.XLOOKUP(E506,'True-Up'!A:A,'True-Up'!S:S),2)</f>
        <v/>
      </c>
      <c r="D506" t="inlineStr">
        <is>
          <t xml:space="preserve">To record true-up due to Odyssey commitment overstatement in Q1'26.  </t>
        </is>
      </c>
      <c r="E506" s="866" t="inlineStr">
        <is>
          <t>TC Wilson Family Trust</t>
        </is>
      </c>
    </row>
    <row r="507">
      <c r="A507" s="856" t="inlineStr">
        <is>
          <t>301200 Contributions:Contribution - Investment</t>
        </is>
      </c>
      <c r="C507">
        <f>ROUND(_xlfn.XLOOKUP(E507,'True-Up'!A:A,'True-Up'!S:S),2)</f>
        <v/>
      </c>
      <c r="D507" t="inlineStr">
        <is>
          <t xml:space="preserve">To record true-up due to Odyssey commitment overstatement in Q1'26.  </t>
        </is>
      </c>
      <c r="E507" s="866" t="inlineStr">
        <is>
          <t>Terminal Refrigerating &amp; Warehousing Corp.</t>
        </is>
      </c>
    </row>
    <row r="508">
      <c r="A508" s="856" t="inlineStr">
        <is>
          <t>301200 Contributions:Contribution - Investment</t>
        </is>
      </c>
      <c r="C508">
        <f>ROUND(_xlfn.XLOOKUP(E508,'True-Up'!A:A,'True-Up'!S:S),2)</f>
        <v/>
      </c>
      <c r="D508" t="inlineStr">
        <is>
          <t xml:space="preserve">To record true-up due to Odyssey commitment overstatement in Q1'26.  </t>
        </is>
      </c>
      <c r="E508" s="866" t="inlineStr">
        <is>
          <t>The 2015 Pipe Reality Delaware Trust</t>
        </is>
      </c>
    </row>
    <row r="509">
      <c r="A509" s="856" t="inlineStr">
        <is>
          <t>301200 Contributions:Contribution - Investment</t>
        </is>
      </c>
      <c r="C509">
        <f>ROUND(_xlfn.XLOOKUP(E509,'True-Up'!A:A,'True-Up'!S:S),2)</f>
        <v/>
      </c>
      <c r="D509" t="inlineStr">
        <is>
          <t xml:space="preserve">To record true-up due to Odyssey commitment overstatement in Q1'26.  </t>
        </is>
      </c>
      <c r="E509" s="866" t="inlineStr">
        <is>
          <t>The David L. Schnadig 2017 Trust</t>
        </is>
      </c>
    </row>
    <row r="510">
      <c r="A510" s="856" t="inlineStr">
        <is>
          <t>301200 Contributions:Contribution - Investment</t>
        </is>
      </c>
      <c r="C510">
        <f>ROUND(_xlfn.XLOOKUP(E510,'True-Up'!A:A,'True-Up'!S:S),2)</f>
        <v/>
      </c>
      <c r="D510" t="inlineStr">
        <is>
          <t xml:space="preserve">To record true-up due to Odyssey commitment overstatement in Q1'26.  </t>
        </is>
      </c>
      <c r="E510" s="866" t="inlineStr">
        <is>
          <t>The Diane Rosen 2021 Irrevocable Family Trust</t>
        </is>
      </c>
    </row>
    <row r="511">
      <c r="A511" s="856" t="inlineStr">
        <is>
          <t>301200 Contributions:Contribution - Investment</t>
        </is>
      </c>
      <c r="C511">
        <f>ROUND(_xlfn.XLOOKUP(E511,'True-Up'!A:A,'True-Up'!S:S),2)</f>
        <v/>
      </c>
      <c r="D511" t="inlineStr">
        <is>
          <t xml:space="preserve">To record true-up due to Odyssey commitment overstatement in Q1'26.  </t>
        </is>
      </c>
      <c r="E511" s="866" t="inlineStr">
        <is>
          <t>The Mark T. Kirchdorfer 2015 Family Delaware Dynasty Trust</t>
        </is>
      </c>
    </row>
    <row r="512">
      <c r="A512" s="856" t="inlineStr">
        <is>
          <t>301200 Contributions:Contribution - Investment</t>
        </is>
      </c>
      <c r="C512">
        <f>ROUND(_xlfn.XLOOKUP(E512,'True-Up'!A:A,'True-Up'!S:S),2)</f>
        <v/>
      </c>
      <c r="D512" t="inlineStr">
        <is>
          <t xml:space="preserve">To record true-up due to Odyssey commitment overstatement in Q1'26.  </t>
        </is>
      </c>
      <c r="E512" s="866" t="inlineStr">
        <is>
          <t>University of Southern California</t>
        </is>
      </c>
    </row>
    <row r="513">
      <c r="A513" s="856" t="inlineStr">
        <is>
          <t>301200 Contributions:Contribution - Investment</t>
        </is>
      </c>
      <c r="C513">
        <f>ROUND(_xlfn.XLOOKUP(E513,'True-Up'!A:A,'True-Up'!S:S),2)</f>
        <v/>
      </c>
      <c r="D513" t="inlineStr">
        <is>
          <t xml:space="preserve">To record true-up due to Odyssey commitment overstatement in Q1'26.  </t>
        </is>
      </c>
      <c r="E513" s="866" t="inlineStr">
        <is>
          <t>Walker D. Zimmerman</t>
        </is>
      </c>
    </row>
    <row r="514">
      <c r="A514" s="856" t="inlineStr">
        <is>
          <t>301200 Contributions:Contribution - Investment</t>
        </is>
      </c>
      <c r="C514">
        <f>ROUND(_xlfn.XLOOKUP(E514,'True-Up'!A:A,'True-Up'!S:S),2)</f>
        <v/>
      </c>
      <c r="D514" t="inlineStr">
        <is>
          <t xml:space="preserve">To record true-up due to Odyssey commitment overstatement in Q1'26.  </t>
        </is>
      </c>
      <c r="E514" s="866" t="inlineStr">
        <is>
          <t>Wilson Family Trust DTD 3-6-1987</t>
        </is>
      </c>
    </row>
    <row r="515">
      <c r="A515" s="856" t="inlineStr">
        <is>
          <t>301200 Contributions:Contribution - Investment</t>
        </is>
      </c>
      <c r="C515">
        <f>ROUND(_xlfn.XLOOKUP(E515,'True-Up'!A:A,'True-Up'!S:S),2)</f>
        <v/>
      </c>
      <c r="D515" t="inlineStr">
        <is>
          <t xml:space="preserve">To record true-up due to Odyssey commitment overstatement in Q1'26.  </t>
        </is>
      </c>
      <c r="E515" s="866" t="inlineStr">
        <is>
          <t>Wilson GST Exempt Trust</t>
        </is>
      </c>
    </row>
    <row r="516">
      <c r="A516" s="856" t="inlineStr">
        <is>
          <t>301200 Contributions:Contribution - Investment</t>
        </is>
      </c>
      <c r="C516">
        <f>ROUND(_xlfn.XLOOKUP(E516,'True-Up'!A:A,'True-Up'!S:S),2)</f>
        <v/>
      </c>
      <c r="D516" t="inlineStr">
        <is>
          <t xml:space="preserve">To record true-up due to Odyssey commitment overstatement in Q1'26.  </t>
        </is>
      </c>
      <c r="E516" s="867" t="inlineStr">
        <is>
          <t>Texas Emerging Managers Private Markets Program, L.P. (2025-1 RE Investment Series)</t>
        </is>
      </c>
    </row>
    <row r="517">
      <c r="A517" s="856" t="inlineStr">
        <is>
          <t>301200 Contributions:Contribution - Investment</t>
        </is>
      </c>
      <c r="C517">
        <f>ROUND(_xlfn.XLOOKUP(E517,'True-Up'!A:A,'True-Up'!S:S),2)</f>
        <v/>
      </c>
      <c r="D517" t="inlineStr">
        <is>
          <t xml:space="preserve">To record true-up due to Odyssey commitment overstatement in Q1'26.  </t>
        </is>
      </c>
      <c r="E517" s="867" t="inlineStr">
        <is>
          <t>GCM Grosvenor NJ RE Emerging Managers Program, LP (2023-1 Investment Series)</t>
        </is>
      </c>
    </row>
    <row r="518">
      <c r="A518" s="856" t="inlineStr">
        <is>
          <t>301200 Contributions:Contribution - Investment</t>
        </is>
      </c>
      <c r="C518">
        <f>ROUND(_xlfn.XLOOKUP(E518,'True-Up'!A:A,'True-Up'!S:S),2)</f>
        <v/>
      </c>
      <c r="D518" t="inlineStr">
        <is>
          <t xml:space="preserve">To record true-up due to Odyssey commitment overstatement in Q1'26.  </t>
        </is>
      </c>
      <c r="E518" s="867" t="inlineStr">
        <is>
          <t>GCM Grosvenor - NYSTRS Real Estate Investment Partners, L.P. (2024-1 Series)</t>
        </is>
      </c>
    </row>
    <row r="519">
      <c r="A519" s="856" t="inlineStr">
        <is>
          <t>301200 Contributions:Contribution - Investment</t>
        </is>
      </c>
      <c r="C519">
        <f>ROUND(_xlfn.XLOOKUP(E519,'True-Up'!A:A,'True-Up'!S:S),2)</f>
        <v/>
      </c>
      <c r="D519" t="inlineStr">
        <is>
          <t xml:space="preserve">To record true-up due to Odyssey commitment overstatement in Q1'26.  </t>
        </is>
      </c>
      <c r="E519" s="867" t="inlineStr">
        <is>
          <t>CRPTF-GCM Middle-Market RE Partnership, L.P. (2025-01 Investment Series)</t>
        </is>
      </c>
    </row>
    <row r="520">
      <c r="A520" s="856" t="inlineStr">
        <is>
          <t>301200 Contributions:Contribution - Investment</t>
        </is>
      </c>
      <c r="C520">
        <f>ROUND(_xlfn.XLOOKUP(E520,'True-Up'!A:A,'True-Up'!S:S),2)</f>
        <v/>
      </c>
      <c r="D520" t="inlineStr">
        <is>
          <t xml:space="preserve">To record true-up due to Odyssey commitment overstatement in Q1'26.  </t>
        </is>
      </c>
      <c r="E520" s="866" t="inlineStr">
        <is>
          <t>Legacy Knight Strategic Opportunities Fund LLC - CL Rail Series</t>
        </is>
      </c>
    </row>
    <row r="521">
      <c r="A521" s="856" t="inlineStr">
        <is>
          <t>301200 Contributions:Contribution - Investment</t>
        </is>
      </c>
      <c r="C521">
        <f>ROUND(_xlfn.XLOOKUP(E521,'True-Up'!A:A,'True-Up'!S:S),2)</f>
        <v/>
      </c>
      <c r="D521" t="inlineStr">
        <is>
          <t xml:space="preserve">To record true-up due to Odyssey commitment overstatement in Q1'26.  </t>
        </is>
      </c>
      <c r="E521" s="866" t="inlineStr">
        <is>
          <t>Argos Holdings, LLC</t>
        </is>
      </c>
    </row>
    <row r="522">
      <c r="A522" s="856" t="inlineStr">
        <is>
          <t>301800 Contributions:Contribution - Org Exp</t>
        </is>
      </c>
      <c r="C522">
        <f>ROUND(_xlfn.XLOOKUP(E522,'True-Up'!A:A,'True-Up'!U:U),2)</f>
        <v/>
      </c>
      <c r="D522" t="inlineStr">
        <is>
          <t xml:space="preserve">To record true-up due to Odyssey commitment overstatement in Q1'26.  </t>
        </is>
      </c>
      <c r="E522" s="866" t="inlineStr">
        <is>
          <t>1999 Britta Biesecker Declaration of Trust DTD 5/12/99</t>
        </is>
      </c>
    </row>
    <row r="523">
      <c r="A523" s="856" t="inlineStr">
        <is>
          <t>301800 Contributions:Contribution - Org Exp</t>
        </is>
      </c>
      <c r="C523">
        <f>ROUND(_xlfn.XLOOKUP(E523,'True-Up'!A:A,'True-Up'!U:U),2)</f>
        <v/>
      </c>
      <c r="D523" t="inlineStr">
        <is>
          <t xml:space="preserve">To record true-up due to Odyssey commitment overstatement in Q1'26.  </t>
        </is>
      </c>
      <c r="E523" s="866" t="inlineStr">
        <is>
          <t>1999 Frederick N Biesecker II Declaration of Trust DTD 5/12/99</t>
        </is>
      </c>
    </row>
    <row r="524">
      <c r="A524" s="856" t="inlineStr">
        <is>
          <t>301800 Contributions:Contribution - Org Exp</t>
        </is>
      </c>
      <c r="C524">
        <f>ROUND(_xlfn.XLOOKUP(E524,'True-Up'!A:A,'True-Up'!U:U),2)</f>
        <v/>
      </c>
      <c r="D524" t="inlineStr">
        <is>
          <t xml:space="preserve">To record true-up due to Odyssey commitment overstatement in Q1'26.  </t>
        </is>
      </c>
      <c r="E524" s="866" t="inlineStr">
        <is>
          <t>1999 Lissa Biesecker Longacre Declaration of Trust DTD 5/12/99</t>
        </is>
      </c>
    </row>
    <row r="525">
      <c r="A525" s="856" t="inlineStr">
        <is>
          <t>301800 Contributions:Contribution - Org Exp</t>
        </is>
      </c>
      <c r="C525">
        <f>ROUND(_xlfn.XLOOKUP(E525,'True-Up'!A:A,'True-Up'!U:U),2)</f>
        <v/>
      </c>
      <c r="D525" t="inlineStr">
        <is>
          <t xml:space="preserve">To record true-up due to Odyssey commitment overstatement in Q1'26.  </t>
        </is>
      </c>
      <c r="E525" s="866" t="inlineStr">
        <is>
          <t>Abigail Levy</t>
        </is>
      </c>
    </row>
    <row r="526">
      <c r="A526" s="856" t="inlineStr">
        <is>
          <t>301800 Contributions:Contribution - Org Exp</t>
        </is>
      </c>
      <c r="C526">
        <f>ROUND(_xlfn.XLOOKUP(E526,'True-Up'!A:A,'True-Up'!U:U),2)</f>
        <v/>
      </c>
      <c r="D526" t="inlineStr">
        <is>
          <t xml:space="preserve">To record true-up due to Odyssey commitment overstatement in Q1'26.  </t>
        </is>
      </c>
      <c r="E526" s="866" t="inlineStr">
        <is>
          <t>AKWT LLC</t>
        </is>
      </c>
    </row>
    <row r="527">
      <c r="A527" s="856" t="inlineStr">
        <is>
          <t>301800 Contributions:Contribution - Org Exp</t>
        </is>
      </c>
      <c r="C527">
        <f>ROUND(_xlfn.XLOOKUP(E527,'True-Up'!A:A,'True-Up'!U:U),2)</f>
        <v/>
      </c>
      <c r="D527" t="inlineStr">
        <is>
          <t xml:space="preserve">To record true-up due to Odyssey commitment overstatement in Q1'26.  </t>
        </is>
      </c>
      <c r="E527" s="866" t="inlineStr">
        <is>
          <t>Alexander S. Bloomingdale</t>
        </is>
      </c>
    </row>
    <row r="528">
      <c r="A528" s="856" t="inlineStr">
        <is>
          <t>301800 Contributions:Contribution - Org Exp</t>
        </is>
      </c>
      <c r="C528">
        <f>ROUND(_xlfn.XLOOKUP(E528,'True-Up'!A:A,'True-Up'!U:U),2)</f>
        <v/>
      </c>
      <c r="D528" t="inlineStr">
        <is>
          <t xml:space="preserve">To record true-up due to Odyssey commitment overstatement in Q1'26.  </t>
        </is>
      </c>
      <c r="E528" s="866" t="inlineStr">
        <is>
          <t>Alexander Sharpe Moore</t>
        </is>
      </c>
    </row>
    <row r="529">
      <c r="A529" s="856" t="inlineStr">
        <is>
          <t>301800 Contributions:Contribution - Org Exp</t>
        </is>
      </c>
      <c r="C529">
        <f>ROUND(_xlfn.XLOOKUP(E529,'True-Up'!A:A,'True-Up'!U:U),2)</f>
        <v/>
      </c>
      <c r="D529" t="inlineStr">
        <is>
          <t xml:space="preserve">To record true-up due to Odyssey commitment overstatement in Q1'26.  </t>
        </is>
      </c>
      <c r="E529" s="866" t="inlineStr">
        <is>
          <t>All Dogs Go To Heaven, LLC</t>
        </is>
      </c>
    </row>
    <row r="530">
      <c r="A530" s="856" t="inlineStr">
        <is>
          <t>301800 Contributions:Contribution - Org Exp</t>
        </is>
      </c>
      <c r="C530">
        <f>ROUND(_xlfn.XLOOKUP(E530,'True-Up'!A:A,'True-Up'!U:U),2)</f>
        <v/>
      </c>
      <c r="D530" t="inlineStr">
        <is>
          <t xml:space="preserve">To record true-up due to Odyssey commitment overstatement in Q1'26.  </t>
        </is>
      </c>
      <c r="E530" s="866" t="inlineStr">
        <is>
          <t>Alten Investments LLC</t>
        </is>
      </c>
    </row>
    <row r="531">
      <c r="A531" s="856" t="inlineStr">
        <is>
          <t>301800 Contributions:Contribution - Org Exp</t>
        </is>
      </c>
      <c r="C531">
        <f>ROUND(_xlfn.XLOOKUP(E531,'True-Up'!A:A,'True-Up'!U:U),2)</f>
        <v/>
      </c>
      <c r="D531" t="inlineStr">
        <is>
          <t xml:space="preserve">To record true-up due to Odyssey commitment overstatement in Q1'26.  </t>
        </is>
      </c>
      <c r="E531" s="866" t="inlineStr">
        <is>
          <t>Avery Ryan Klann</t>
        </is>
      </c>
    </row>
    <row r="532">
      <c r="A532" s="856" t="inlineStr">
        <is>
          <t>301800 Contributions:Contribution - Org Exp</t>
        </is>
      </c>
      <c r="C532">
        <f>ROUND(_xlfn.XLOOKUP(E532,'True-Up'!A:A,'True-Up'!U:U),2)</f>
        <v/>
      </c>
      <c r="D532" t="inlineStr">
        <is>
          <t xml:space="preserve">To record true-up due to Odyssey commitment overstatement in Q1'26.  </t>
        </is>
      </c>
      <c r="E532" s="866" t="inlineStr">
        <is>
          <t>BBR Real Assets Fund 2024 LLC</t>
        </is>
      </c>
    </row>
    <row r="533">
      <c r="A533" s="856" t="inlineStr">
        <is>
          <t>301800 Contributions:Contribution - Org Exp</t>
        </is>
      </c>
      <c r="C533">
        <f>ROUND(_xlfn.XLOOKUP(E533,'True-Up'!A:A,'True-Up'!U:U),2)</f>
        <v/>
      </c>
      <c r="D533" t="inlineStr">
        <is>
          <t xml:space="preserve">To record true-up due to Odyssey commitment overstatement in Q1'26.  </t>
        </is>
      </c>
      <c r="E533" s="866" t="inlineStr">
        <is>
          <t>Belclaire Asset Management, LLC</t>
        </is>
      </c>
    </row>
    <row r="534">
      <c r="A534" s="856" t="inlineStr">
        <is>
          <t>301800 Contributions:Contribution - Org Exp</t>
        </is>
      </c>
      <c r="C534">
        <f>ROUND(_xlfn.XLOOKUP(E534,'True-Up'!A:A,'True-Up'!U:U),2)</f>
        <v/>
      </c>
      <c r="D534" t="inlineStr">
        <is>
          <t xml:space="preserve">To record true-up due to Odyssey commitment overstatement in Q1'26.  </t>
        </is>
      </c>
      <c r="E534" s="866" t="inlineStr">
        <is>
          <t>Benaiah Inc.</t>
        </is>
      </c>
    </row>
    <row r="535">
      <c r="A535" s="856" t="inlineStr">
        <is>
          <t>301800 Contributions:Contribution - Org Exp</t>
        </is>
      </c>
      <c r="C535">
        <f>ROUND(_xlfn.XLOOKUP(E535,'True-Up'!A:A,'True-Up'!U:U),2)</f>
        <v/>
      </c>
      <c r="D535" t="inlineStr">
        <is>
          <t xml:space="preserve">To record true-up due to Odyssey commitment overstatement in Q1'26.  </t>
        </is>
      </c>
      <c r="E535" s="866" t="inlineStr">
        <is>
          <t>Benjamin Johnson</t>
        </is>
      </c>
    </row>
    <row r="536">
      <c r="A536" s="856" t="inlineStr">
        <is>
          <t>301800 Contributions:Contribution - Org Exp</t>
        </is>
      </c>
      <c r="C536">
        <f>ROUND(_xlfn.XLOOKUP(E536,'True-Up'!A:A,'True-Up'!U:U),2)</f>
        <v/>
      </c>
      <c r="D536" t="inlineStr">
        <is>
          <t xml:space="preserve">To record true-up due to Odyssey commitment overstatement in Q1'26.  </t>
        </is>
      </c>
      <c r="E536" s="866" t="inlineStr">
        <is>
          <t>Bloomingdale Family Trust Share #3</t>
        </is>
      </c>
    </row>
    <row r="537">
      <c r="A537" s="856" t="inlineStr">
        <is>
          <t>301800 Contributions:Contribution - Org Exp</t>
        </is>
      </c>
      <c r="C537">
        <f>ROUND(_xlfn.XLOOKUP(E537,'True-Up'!A:A,'True-Up'!U:U),2)</f>
        <v/>
      </c>
      <c r="D537" t="inlineStr">
        <is>
          <t xml:space="preserve">To record true-up due to Odyssey commitment overstatement in Q1'26.  </t>
        </is>
      </c>
      <c r="E537" s="866" t="inlineStr">
        <is>
          <t>Brian Carroll 2011 Long-Term Trust</t>
        </is>
      </c>
    </row>
    <row r="538">
      <c r="A538" s="856" t="inlineStr">
        <is>
          <t>301800 Contributions:Contribution - Org Exp</t>
        </is>
      </c>
      <c r="C538">
        <f>ROUND(_xlfn.XLOOKUP(E538,'True-Up'!A:A,'True-Up'!U:U),2)</f>
        <v/>
      </c>
      <c r="D538" t="inlineStr">
        <is>
          <t xml:space="preserve">To record true-up due to Odyssey commitment overstatement in Q1'26.  </t>
        </is>
      </c>
      <c r="E538" s="866" t="inlineStr">
        <is>
          <t>Bryan C. White LLC</t>
        </is>
      </c>
    </row>
    <row r="539">
      <c r="A539" s="856" t="inlineStr">
        <is>
          <t>301800 Contributions:Contribution - Org Exp</t>
        </is>
      </c>
      <c r="C539">
        <f>ROUND(_xlfn.XLOOKUP(E539,'True-Up'!A:A,'True-Up'!U:U),2)</f>
        <v/>
      </c>
      <c r="D539" t="inlineStr">
        <is>
          <t xml:space="preserve">To record true-up due to Odyssey commitment overstatement in Q1'26.  </t>
        </is>
      </c>
      <c r="E539" s="866" t="inlineStr">
        <is>
          <t>Cameron J. Tringale</t>
        </is>
      </c>
    </row>
    <row r="540">
      <c r="A540" s="856" t="inlineStr">
        <is>
          <t>301800 Contributions:Contribution - Org Exp</t>
        </is>
      </c>
      <c r="C540">
        <f>ROUND(_xlfn.XLOOKUP(E540,'True-Up'!A:A,'True-Up'!U:U),2)</f>
        <v/>
      </c>
      <c r="D540" t="inlineStr">
        <is>
          <t xml:space="preserve">To record true-up due to Odyssey commitment overstatement in Q1'26.  </t>
        </is>
      </c>
      <c r="E540" s="866" t="inlineStr">
        <is>
          <t>Charing Hatcherville LLC</t>
        </is>
      </c>
    </row>
    <row r="541">
      <c r="A541" s="856" t="inlineStr">
        <is>
          <t>301800 Contributions:Contribution - Org Exp</t>
        </is>
      </c>
      <c r="C541">
        <f>ROUND(_xlfn.XLOOKUP(E541,'True-Up'!A:A,'True-Up'!U:U),2)</f>
        <v/>
      </c>
      <c r="D541" t="inlineStr">
        <is>
          <t xml:space="preserve">To record true-up due to Odyssey commitment overstatement in Q1'26.  </t>
        </is>
      </c>
      <c r="E541" s="866" t="inlineStr">
        <is>
          <t>Charing Silsbee, LLC</t>
        </is>
      </c>
    </row>
    <row r="542">
      <c r="A542" s="856" t="inlineStr">
        <is>
          <t>301800 Contributions:Contribution - Org Exp</t>
        </is>
      </c>
      <c r="C542">
        <f>ROUND(_xlfn.XLOOKUP(E542,'True-Up'!A:A,'True-Up'!U:U),2)</f>
        <v/>
      </c>
      <c r="D542" t="inlineStr">
        <is>
          <t xml:space="preserve">To record true-up due to Odyssey commitment overstatement in Q1'26.  </t>
        </is>
      </c>
      <c r="E542" s="866" t="inlineStr">
        <is>
          <t>Chase F. Monroe</t>
        </is>
      </c>
    </row>
    <row r="543">
      <c r="A543" s="856" t="inlineStr">
        <is>
          <t>301800 Contributions:Contribution - Org Exp</t>
        </is>
      </c>
      <c r="C543">
        <f>ROUND(_xlfn.XLOOKUP(E543,'True-Up'!A:A,'True-Up'!U:U),2)</f>
        <v/>
      </c>
      <c r="D543" t="inlineStr">
        <is>
          <t xml:space="preserve">To record true-up due to Odyssey commitment overstatement in Q1'26.  </t>
        </is>
      </c>
      <c r="E543" s="866" t="inlineStr">
        <is>
          <t>Chase The Lion, Inc.</t>
        </is>
      </c>
    </row>
    <row r="544">
      <c r="A544" s="856" t="inlineStr">
        <is>
          <t>301800 Contributions:Contribution - Org Exp</t>
        </is>
      </c>
      <c r="C544">
        <f>ROUND(_xlfn.XLOOKUP(E544,'True-Up'!A:A,'True-Up'!U:U),2)</f>
        <v/>
      </c>
      <c r="D544" t="inlineStr">
        <is>
          <t xml:space="preserve">To record true-up due to Odyssey commitment overstatement in Q1'26.  </t>
        </is>
      </c>
      <c r="E544" s="866" t="inlineStr">
        <is>
          <t>Chris Schaaf</t>
        </is>
      </c>
    </row>
    <row r="545">
      <c r="A545" s="856" t="inlineStr">
        <is>
          <t>301800 Contributions:Contribution - Org Exp</t>
        </is>
      </c>
      <c r="C545">
        <f>ROUND(_xlfn.XLOOKUP(E545,'True-Up'!A:A,'True-Up'!U:U),2)</f>
        <v/>
      </c>
      <c r="D545" t="inlineStr">
        <is>
          <t xml:space="preserve">To record true-up due to Odyssey commitment overstatement in Q1'26.  </t>
        </is>
      </c>
      <c r="E545" s="866" t="inlineStr">
        <is>
          <t>Christopher J. Campbell</t>
        </is>
      </c>
    </row>
    <row r="546">
      <c r="A546" s="856" t="inlineStr">
        <is>
          <t>301800 Contributions:Contribution - Org Exp</t>
        </is>
      </c>
      <c r="C546">
        <f>ROUND(_xlfn.XLOOKUP(E546,'True-Up'!A:A,'True-Up'!U:U),2)</f>
        <v/>
      </c>
      <c r="D546" t="inlineStr">
        <is>
          <t xml:space="preserve">To record true-up due to Odyssey commitment overstatement in Q1'26.  </t>
        </is>
      </c>
      <c r="E546" s="866" t="inlineStr">
        <is>
          <t>Christopher Johnson</t>
        </is>
      </c>
    </row>
    <row r="547">
      <c r="A547" s="856" t="inlineStr">
        <is>
          <t>301800 Contributions:Contribution - Org Exp</t>
        </is>
      </c>
      <c r="C547">
        <f>ROUND(_xlfn.XLOOKUP(E547,'True-Up'!A:A,'True-Up'!U:U),2)</f>
        <v/>
      </c>
      <c r="D547" t="inlineStr">
        <is>
          <t xml:space="preserve">To record true-up due to Odyssey commitment overstatement in Q1'26.  </t>
        </is>
      </c>
      <c r="E547" s="866" t="inlineStr">
        <is>
          <t>CLIP Sponsor LLC</t>
        </is>
      </c>
    </row>
    <row r="548">
      <c r="A548" s="856" t="inlineStr">
        <is>
          <t>301800 Contributions:Contribution - Org Exp</t>
        </is>
      </c>
      <c r="C548">
        <f>ROUND(_xlfn.XLOOKUP(E548,'True-Up'!A:A,'True-Up'!U:U),2)</f>
        <v/>
      </c>
      <c r="D548" t="inlineStr">
        <is>
          <t xml:space="preserve">To record true-up due to Odyssey commitment overstatement in Q1'26.  </t>
        </is>
      </c>
      <c r="E548" s="866" t="inlineStr">
        <is>
          <t>CLR Silsbee Sponsor LLC</t>
        </is>
      </c>
    </row>
    <row r="549">
      <c r="A549" s="856" t="inlineStr">
        <is>
          <t>301800 Contributions:Contribution - Org Exp</t>
        </is>
      </c>
      <c r="C549">
        <f>ROUND(_xlfn.XLOOKUP(E549,'True-Up'!A:A,'True-Up'!U:U),2)</f>
        <v/>
      </c>
      <c r="D549" t="inlineStr">
        <is>
          <t xml:space="preserve">To record true-up due to Odyssey commitment overstatement in Q1'26.  </t>
        </is>
      </c>
      <c r="E549" s="866" t="inlineStr">
        <is>
          <t>Daniel Ross</t>
        </is>
      </c>
    </row>
    <row r="550">
      <c r="A550" s="856" t="inlineStr">
        <is>
          <t>301800 Contributions:Contribution - Org Exp</t>
        </is>
      </c>
      <c r="C550">
        <f>ROUND(_xlfn.XLOOKUP(E550,'True-Up'!A:A,'True-Up'!U:U),2)</f>
        <v/>
      </c>
      <c r="D550" t="inlineStr">
        <is>
          <t xml:space="preserve">To record true-up due to Odyssey commitment overstatement in Q1'26.  </t>
        </is>
      </c>
      <c r="E550" s="866" t="inlineStr">
        <is>
          <t>Endurance Companies LLC</t>
        </is>
      </c>
    </row>
    <row r="551">
      <c r="A551" s="856" t="inlineStr">
        <is>
          <t>301800 Contributions:Contribution - Org Exp</t>
        </is>
      </c>
      <c r="C551">
        <f>ROUND(_xlfn.XLOOKUP(E551,'True-Up'!A:A,'True-Up'!U:U),2)</f>
        <v/>
      </c>
      <c r="D551" t="inlineStr">
        <is>
          <t xml:space="preserve">To record true-up due to Odyssey commitment overstatement in Q1'26.  </t>
        </is>
      </c>
      <c r="E551" s="866" t="inlineStr">
        <is>
          <t>Forem Capital, LLC</t>
        </is>
      </c>
    </row>
    <row r="552">
      <c r="A552" s="856" t="inlineStr">
        <is>
          <t>301800 Contributions:Contribution - Org Exp</t>
        </is>
      </c>
      <c r="C552">
        <f>ROUND(_xlfn.XLOOKUP(E552,'True-Up'!A:A,'True-Up'!U:U),2)</f>
        <v/>
      </c>
      <c r="D552" t="inlineStr">
        <is>
          <t xml:space="preserve">To record true-up due to Odyssey commitment overstatement in Q1'26.  </t>
        </is>
      </c>
      <c r="E552" s="866" t="inlineStr">
        <is>
          <t>Francis Brawley</t>
        </is>
      </c>
    </row>
    <row r="553">
      <c r="A553" s="856" t="inlineStr">
        <is>
          <t>301800 Contributions:Contribution - Org Exp</t>
        </is>
      </c>
      <c r="C553">
        <f>ROUND(_xlfn.XLOOKUP(E553,'True-Up'!A:A,'True-Up'!U:U),2)</f>
        <v/>
      </c>
      <c r="D553" t="inlineStr">
        <is>
          <t xml:space="preserve">To record true-up due to Odyssey commitment overstatement in Q1'26.  </t>
        </is>
      </c>
      <c r="E553" s="866" t="inlineStr">
        <is>
          <t>Geoffrey and Elizabeth Bloomingdale Living Trust</t>
        </is>
      </c>
    </row>
    <row r="554">
      <c r="A554" s="856" t="inlineStr">
        <is>
          <t>301800 Contributions:Contribution - Org Exp</t>
        </is>
      </c>
      <c r="C554">
        <f>ROUND(_xlfn.XLOOKUP(E554,'True-Up'!A:A,'True-Up'!U:U),2)</f>
        <v/>
      </c>
      <c r="D554" t="inlineStr">
        <is>
          <t xml:space="preserve">To record true-up due to Odyssey commitment overstatement in Q1'26.  </t>
        </is>
      </c>
      <c r="E554" s="866" t="inlineStr">
        <is>
          <t>Greene 2000 Family Trust</t>
        </is>
      </c>
    </row>
    <row r="555">
      <c r="A555" s="856" t="inlineStr">
        <is>
          <t>301800 Contributions:Contribution - Org Exp</t>
        </is>
      </c>
      <c r="C555">
        <f>ROUND(_xlfn.XLOOKUP(E555,'True-Up'!A:A,'True-Up'!U:U),2)</f>
        <v/>
      </c>
      <c r="D555" t="inlineStr">
        <is>
          <t xml:space="preserve">To record true-up due to Odyssey commitment overstatement in Q1'26.  </t>
        </is>
      </c>
      <c r="E555" s="866" t="inlineStr">
        <is>
          <t>Greene Marital Trust</t>
        </is>
      </c>
    </row>
    <row r="556">
      <c r="A556" s="856" t="inlineStr">
        <is>
          <t>301800 Contributions:Contribution - Org Exp</t>
        </is>
      </c>
      <c r="C556">
        <f>ROUND(_xlfn.XLOOKUP(E556,'True-Up'!A:A,'True-Up'!U:U),2)</f>
        <v/>
      </c>
      <c r="D556" t="inlineStr">
        <is>
          <t xml:space="preserve">To record true-up due to Odyssey commitment overstatement in Q1'26.  </t>
        </is>
      </c>
      <c r="E556" s="866" t="inlineStr">
        <is>
          <t>Gregory Brent Wood</t>
        </is>
      </c>
    </row>
    <row r="557">
      <c r="A557" s="856" t="inlineStr">
        <is>
          <t>301800 Contributions:Contribution - Org Exp</t>
        </is>
      </c>
      <c r="C557">
        <f>ROUND(_xlfn.XLOOKUP(E557,'True-Up'!A:A,'True-Up'!U:U),2)</f>
        <v/>
      </c>
      <c r="D557" t="inlineStr">
        <is>
          <t xml:space="preserve">To record true-up due to Odyssey commitment overstatement in Q1'26.  </t>
        </is>
      </c>
      <c r="E557" s="866" t="inlineStr">
        <is>
          <t>Hundley Family Trust</t>
        </is>
      </c>
    </row>
    <row r="558">
      <c r="A558" s="856" t="inlineStr">
        <is>
          <t>301800 Contributions:Contribution - Org Exp</t>
        </is>
      </c>
      <c r="C558">
        <f>ROUND(_xlfn.XLOOKUP(E558,'True-Up'!A:A,'True-Up'!U:U),2)</f>
        <v/>
      </c>
      <c r="D558" t="inlineStr">
        <is>
          <t xml:space="preserve">To record true-up due to Odyssey commitment overstatement in Q1'26.  </t>
        </is>
      </c>
      <c r="E558" s="866" t="inlineStr">
        <is>
          <t>In God We Trust 2017 Living Trust</t>
        </is>
      </c>
    </row>
    <row r="559">
      <c r="A559" s="856" t="inlineStr">
        <is>
          <t>301800 Contributions:Contribution - Org Exp</t>
        </is>
      </c>
      <c r="C559">
        <f>ROUND(_xlfn.XLOOKUP(E559,'True-Up'!A:A,'True-Up'!U:U),2)</f>
        <v/>
      </c>
      <c r="D559" t="inlineStr">
        <is>
          <t xml:space="preserve">To record true-up due to Odyssey commitment overstatement in Q1'26.  </t>
        </is>
      </c>
      <c r="E559" s="866" t="inlineStr">
        <is>
          <t>James and Natelie Bloomingdale</t>
        </is>
      </c>
    </row>
    <row r="560">
      <c r="A560" s="856" t="inlineStr">
        <is>
          <t>301800 Contributions:Contribution - Org Exp</t>
        </is>
      </c>
      <c r="C560">
        <f>ROUND(_xlfn.XLOOKUP(E560,'True-Up'!A:A,'True-Up'!U:U),2)</f>
        <v/>
      </c>
      <c r="D560" t="inlineStr">
        <is>
          <t xml:space="preserve">To record true-up due to Odyssey commitment overstatement in Q1'26.  </t>
        </is>
      </c>
      <c r="E560" s="866" t="inlineStr">
        <is>
          <t>James Campbell and Patricia Campbell</t>
        </is>
      </c>
    </row>
    <row r="561">
      <c r="A561" s="856" t="inlineStr">
        <is>
          <t>301800 Contributions:Contribution - Org Exp</t>
        </is>
      </c>
      <c r="C561">
        <f>ROUND(_xlfn.XLOOKUP(E561,'True-Up'!A:A,'True-Up'!U:U),2)</f>
        <v/>
      </c>
      <c r="D561" t="inlineStr">
        <is>
          <t xml:space="preserve">To record true-up due to Odyssey commitment overstatement in Q1'26.  </t>
        </is>
      </c>
      <c r="E561" s="866" t="inlineStr">
        <is>
          <t>James Kane</t>
        </is>
      </c>
    </row>
    <row r="562">
      <c r="A562" s="856" t="inlineStr">
        <is>
          <t>301800 Contributions:Contribution - Org Exp</t>
        </is>
      </c>
      <c r="C562">
        <f>ROUND(_xlfn.XLOOKUP(E562,'True-Up'!A:A,'True-Up'!U:U),2)</f>
        <v/>
      </c>
      <c r="D562" t="inlineStr">
        <is>
          <t xml:space="preserve">To record true-up due to Odyssey commitment overstatement in Q1'26.  </t>
        </is>
      </c>
      <c r="E562" s="866" t="inlineStr">
        <is>
          <t>James Thorp</t>
        </is>
      </c>
    </row>
    <row r="563">
      <c r="A563" s="856" t="inlineStr">
        <is>
          <t>301800 Contributions:Contribution - Org Exp</t>
        </is>
      </c>
      <c r="C563">
        <f>ROUND(_xlfn.XLOOKUP(E563,'True-Up'!A:A,'True-Up'!U:U),2)</f>
        <v/>
      </c>
      <c r="D563" t="inlineStr">
        <is>
          <t xml:space="preserve">To record true-up due to Odyssey commitment overstatement in Q1'26.  </t>
        </is>
      </c>
      <c r="E563" s="866" t="inlineStr">
        <is>
          <t>Jeffrey A. Lipsitz Revocable Trust</t>
        </is>
      </c>
    </row>
    <row r="564">
      <c r="A564" s="856" t="inlineStr">
        <is>
          <t>301800 Contributions:Contribution - Org Exp</t>
        </is>
      </c>
      <c r="C564">
        <f>ROUND(_xlfn.XLOOKUP(E564,'True-Up'!A:A,'True-Up'!U:U),2)</f>
        <v/>
      </c>
      <c r="D564" t="inlineStr">
        <is>
          <t xml:space="preserve">To record true-up due to Odyssey commitment overstatement in Q1'26.  </t>
        </is>
      </c>
      <c r="E564" s="866" t="inlineStr">
        <is>
          <t>Jeffrey D Furber Revocable Trust</t>
        </is>
      </c>
    </row>
    <row r="565">
      <c r="A565" s="856" t="inlineStr">
        <is>
          <t>301800 Contributions:Contribution - Org Exp</t>
        </is>
      </c>
      <c r="C565">
        <f>ROUND(_xlfn.XLOOKUP(E565,'True-Up'!A:A,'True-Up'!U:U),2)</f>
        <v/>
      </c>
      <c r="D565" t="inlineStr">
        <is>
          <t xml:space="preserve">To record true-up due to Odyssey commitment overstatement in Q1'26.  </t>
        </is>
      </c>
      <c r="E565" s="866" t="inlineStr">
        <is>
          <t>Jeremy M. Jacobs Trust U/A/D April 1, 1973 fbo Margaret L. Reichenback</t>
        </is>
      </c>
    </row>
    <row r="566">
      <c r="A566" s="856" t="inlineStr">
        <is>
          <t>301800 Contributions:Contribution - Org Exp</t>
        </is>
      </c>
      <c r="C566">
        <f>ROUND(_xlfn.XLOOKUP(E566,'True-Up'!A:A,'True-Up'!U:U),2)</f>
        <v/>
      </c>
      <c r="D566" t="inlineStr">
        <is>
          <t xml:space="preserve">To record true-up due to Odyssey commitment overstatement in Q1'26.  </t>
        </is>
      </c>
      <c r="E566" s="866" t="inlineStr">
        <is>
          <t>John Mark Comer</t>
        </is>
      </c>
    </row>
    <row r="567">
      <c r="A567" s="856" t="inlineStr">
        <is>
          <t>301800 Contributions:Contribution - Org Exp</t>
        </is>
      </c>
      <c r="C567">
        <f>ROUND(_xlfn.XLOOKUP(E567,'True-Up'!A:A,'True-Up'!U:U),2)</f>
        <v/>
      </c>
      <c r="D567" t="inlineStr">
        <is>
          <t xml:space="preserve">To record true-up due to Odyssey commitment overstatement in Q1'26.  </t>
        </is>
      </c>
      <c r="E567" s="866" t="inlineStr">
        <is>
          <t>Landscape I, LP</t>
        </is>
      </c>
    </row>
    <row r="568">
      <c r="A568" s="856" t="inlineStr">
        <is>
          <t>301800 Contributions:Contribution - Org Exp</t>
        </is>
      </c>
      <c r="C568">
        <f>ROUND(_xlfn.XLOOKUP(E568,'True-Up'!A:A,'True-Up'!U:U),2)</f>
        <v/>
      </c>
      <c r="D568" t="inlineStr">
        <is>
          <t xml:space="preserve">To record true-up due to Odyssey commitment overstatement in Q1'26.  </t>
        </is>
      </c>
      <c r="E568" s="866" t="inlineStr">
        <is>
          <t>Lisa Bell Trust, Elisabeth B. Bell, Trustee</t>
        </is>
      </c>
    </row>
    <row r="569">
      <c r="A569" s="856" t="inlineStr">
        <is>
          <t>301800 Contributions:Contribution - Org Exp</t>
        </is>
      </c>
      <c r="C569">
        <f>ROUND(_xlfn.XLOOKUP(E569,'True-Up'!A:A,'True-Up'!U:U),2)</f>
        <v/>
      </c>
      <c r="D569" t="inlineStr">
        <is>
          <t xml:space="preserve">To record true-up due to Odyssey commitment overstatement in Q1'26.  </t>
        </is>
      </c>
      <c r="E569" s="866" t="inlineStr">
        <is>
          <t>Madten Investments LLC</t>
        </is>
      </c>
    </row>
    <row r="570">
      <c r="A570" s="856" t="inlineStr">
        <is>
          <t>301800 Contributions:Contribution - Org Exp</t>
        </is>
      </c>
      <c r="C570">
        <f>ROUND(_xlfn.XLOOKUP(E570,'True-Up'!A:A,'True-Up'!U:U),2)</f>
        <v/>
      </c>
      <c r="D570" t="inlineStr">
        <is>
          <t xml:space="preserve">To record true-up due to Odyssey commitment overstatement in Q1'26.  </t>
        </is>
      </c>
      <c r="E570" s="866" t="inlineStr">
        <is>
          <t>Matt McCoy</t>
        </is>
      </c>
    </row>
    <row r="571">
      <c r="A571" s="856" t="inlineStr">
        <is>
          <t>301800 Contributions:Contribution - Org Exp</t>
        </is>
      </c>
      <c r="C571">
        <f>ROUND(_xlfn.XLOOKUP(E571,'True-Up'!A:A,'True-Up'!U:U),2)</f>
        <v/>
      </c>
      <c r="D571" t="inlineStr">
        <is>
          <t xml:space="preserve">To record true-up due to Odyssey commitment overstatement in Q1'26.  </t>
        </is>
      </c>
      <c r="E571" s="866" t="inlineStr">
        <is>
          <t>Matterhorn Holdings, LLC</t>
        </is>
      </c>
    </row>
    <row r="572">
      <c r="A572" s="856" t="inlineStr">
        <is>
          <t>301800 Contributions:Contribution - Org Exp</t>
        </is>
      </c>
      <c r="C572">
        <f>ROUND(_xlfn.XLOOKUP(E572,'True-Up'!A:A,'True-Up'!U:U),2)</f>
        <v/>
      </c>
      <c r="D572" t="inlineStr">
        <is>
          <t xml:space="preserve">To record true-up due to Odyssey commitment overstatement in Q1'26.  </t>
        </is>
      </c>
      <c r="E572" s="866" t="inlineStr">
        <is>
          <t>Max O. Reinbach III</t>
        </is>
      </c>
    </row>
    <row r="573">
      <c r="A573" s="856" t="inlineStr">
        <is>
          <t>301800 Contributions:Contribution - Org Exp</t>
        </is>
      </c>
      <c r="C573">
        <f>ROUND(_xlfn.XLOOKUP(E573,'True-Up'!A:A,'True-Up'!U:U),2)</f>
        <v/>
      </c>
      <c r="D573" t="inlineStr">
        <is>
          <t xml:space="preserve">To record true-up due to Odyssey commitment overstatement in Q1'26.  </t>
        </is>
      </c>
      <c r="E573" s="866" t="inlineStr">
        <is>
          <t>Meghann C. Robinson</t>
        </is>
      </c>
    </row>
    <row r="574">
      <c r="A574" s="856" t="inlineStr">
        <is>
          <t>301800 Contributions:Contribution - Org Exp</t>
        </is>
      </c>
      <c r="C574">
        <f>ROUND(_xlfn.XLOOKUP(E574,'True-Up'!A:A,'True-Up'!U:U),2)</f>
        <v/>
      </c>
      <c r="D574" t="inlineStr">
        <is>
          <t xml:space="preserve">To record true-up due to Odyssey commitment overstatement in Q1'26.  </t>
        </is>
      </c>
      <c r="E574" s="866" t="inlineStr">
        <is>
          <t>Nahas Investments II LLC</t>
        </is>
      </c>
    </row>
    <row r="575">
      <c r="A575" s="856" t="inlineStr">
        <is>
          <t>301800 Contributions:Contribution - Org Exp</t>
        </is>
      </c>
      <c r="C575">
        <f>ROUND(_xlfn.XLOOKUP(E575,'True-Up'!A:A,'True-Up'!U:U),2)</f>
        <v/>
      </c>
      <c r="D575" t="inlineStr">
        <is>
          <t xml:space="preserve">To record true-up due to Odyssey commitment overstatement in Q1'26.  </t>
        </is>
      </c>
      <c r="E575" s="866" t="inlineStr">
        <is>
          <t>Pease River Holdings LLC</t>
        </is>
      </c>
    </row>
    <row r="576">
      <c r="A576" s="856" t="inlineStr">
        <is>
          <t>301800 Contributions:Contribution - Org Exp</t>
        </is>
      </c>
      <c r="C576">
        <f>ROUND(_xlfn.XLOOKUP(E576,'True-Up'!A:A,'True-Up'!U:U),2)</f>
        <v/>
      </c>
      <c r="D576" t="inlineStr">
        <is>
          <t xml:space="preserve">To record true-up due to Odyssey commitment overstatement in Q1'26.  </t>
        </is>
      </c>
      <c r="E576" s="866" t="inlineStr">
        <is>
          <t>PT Burros, LLC</t>
        </is>
      </c>
    </row>
    <row r="577">
      <c r="A577" s="856" t="inlineStr">
        <is>
          <t>301800 Contributions:Contribution - Org Exp</t>
        </is>
      </c>
      <c r="C577">
        <f>ROUND(_xlfn.XLOOKUP(E577,'True-Up'!A:A,'True-Up'!U:U),2)</f>
        <v/>
      </c>
      <c r="D577" t="inlineStr">
        <is>
          <t xml:space="preserve">To record true-up due to Odyssey commitment overstatement in Q1'26.  </t>
        </is>
      </c>
      <c r="E577" s="866" t="inlineStr">
        <is>
          <t>Robert D. Falese III</t>
        </is>
      </c>
    </row>
    <row r="578">
      <c r="A578" s="856" t="inlineStr">
        <is>
          <t>301800 Contributions:Contribution - Org Exp</t>
        </is>
      </c>
      <c r="C578">
        <f>ROUND(_xlfn.XLOOKUP(E578,'True-Up'!A:A,'True-Up'!U:U),2)</f>
        <v/>
      </c>
      <c r="D578" t="inlineStr">
        <is>
          <t xml:space="preserve">To record true-up due to Odyssey commitment overstatement in Q1'26.  </t>
        </is>
      </c>
      <c r="E578" s="866" t="inlineStr">
        <is>
          <t>Robert Parker Yates</t>
        </is>
      </c>
    </row>
    <row r="579">
      <c r="A579" s="856" t="inlineStr">
        <is>
          <t>301800 Contributions:Contribution - Org Exp</t>
        </is>
      </c>
      <c r="C579">
        <f>ROUND(_xlfn.XLOOKUP(E579,'True-Up'!A:A,'True-Up'!U:U),2)</f>
        <v/>
      </c>
      <c r="D579" t="inlineStr">
        <is>
          <t xml:space="preserve">To record true-up due to Odyssey commitment overstatement in Q1'26.  </t>
        </is>
      </c>
      <c r="E579" s="866" t="inlineStr">
        <is>
          <t>Robert S. Shafir &amp; Donna R. Shafir TEN/COM</t>
        </is>
      </c>
    </row>
    <row r="580">
      <c r="A580" s="856" t="inlineStr">
        <is>
          <t>301800 Contributions:Contribution - Org Exp</t>
        </is>
      </c>
      <c r="C580">
        <f>ROUND(_xlfn.XLOOKUP(E580,'True-Up'!A:A,'True-Up'!U:U),2)</f>
        <v/>
      </c>
      <c r="D580" t="inlineStr">
        <is>
          <t xml:space="preserve">To record true-up due to Odyssey commitment overstatement in Q1'26.  </t>
        </is>
      </c>
      <c r="E580" s="866" t="inlineStr">
        <is>
          <t>Robert S. Shafir 2011 Children's Trust</t>
        </is>
      </c>
    </row>
    <row r="581">
      <c r="A581" s="856" t="inlineStr">
        <is>
          <t>301800 Contributions:Contribution - Org Exp</t>
        </is>
      </c>
      <c r="C581">
        <f>ROUND(_xlfn.XLOOKUP(E581,'True-Up'!A:A,'True-Up'!U:U),2)</f>
        <v/>
      </c>
      <c r="D581" t="inlineStr">
        <is>
          <t xml:space="preserve">To record true-up due to Odyssey commitment overstatement in Q1'26.  </t>
        </is>
      </c>
      <c r="E581" s="866" t="inlineStr">
        <is>
          <t>Romar Partners, LP</t>
        </is>
      </c>
    </row>
    <row r="582">
      <c r="A582" s="856" t="inlineStr">
        <is>
          <t>301800 Contributions:Contribution - Org Exp</t>
        </is>
      </c>
      <c r="C582">
        <f>ROUND(_xlfn.XLOOKUP(E582,'True-Up'!A:A,'True-Up'!U:U),2)</f>
        <v/>
      </c>
      <c r="D582" t="inlineStr">
        <is>
          <t xml:space="preserve">To record true-up due to Odyssey commitment overstatement in Q1'26.  </t>
        </is>
      </c>
      <c r="E582" s="866" t="inlineStr">
        <is>
          <t>Steven and Chani Laufer 2012 Dynasty Trust</t>
        </is>
      </c>
    </row>
    <row r="583">
      <c r="A583" s="856" t="inlineStr">
        <is>
          <t>301800 Contributions:Contribution - Org Exp</t>
        </is>
      </c>
      <c r="C583">
        <f>ROUND(_xlfn.XLOOKUP(E583,'True-Up'!A:A,'True-Up'!U:U),2)</f>
        <v/>
      </c>
      <c r="D583" t="inlineStr">
        <is>
          <t xml:space="preserve">To record true-up due to Odyssey commitment overstatement in Q1'26.  </t>
        </is>
      </c>
      <c r="E583" s="866" t="inlineStr">
        <is>
          <t>Steven M. Laufer 2012 Trust</t>
        </is>
      </c>
    </row>
    <row r="584">
      <c r="A584" s="856" t="inlineStr">
        <is>
          <t>301800 Contributions:Contribution - Org Exp</t>
        </is>
      </c>
      <c r="C584">
        <f>ROUND(_xlfn.XLOOKUP(E584,'True-Up'!A:A,'True-Up'!U:U),2)</f>
        <v/>
      </c>
      <c r="D584" t="inlineStr">
        <is>
          <t xml:space="preserve">To record true-up due to Odyssey commitment overstatement in Q1'26.  </t>
        </is>
      </c>
      <c r="E584" s="866" t="inlineStr">
        <is>
          <t>Stewart Tate</t>
        </is>
      </c>
    </row>
    <row r="585">
      <c r="A585" s="856" t="inlineStr">
        <is>
          <t>301800 Contributions:Contribution - Org Exp</t>
        </is>
      </c>
      <c r="C585">
        <f>ROUND(_xlfn.XLOOKUP(E585,'True-Up'!A:A,'True-Up'!U:U),2)</f>
        <v/>
      </c>
      <c r="D585" t="inlineStr">
        <is>
          <t xml:space="preserve">To record true-up due to Odyssey commitment overstatement in Q1'26.  </t>
        </is>
      </c>
      <c r="E585" s="866" t="inlineStr">
        <is>
          <t>TC Wilson Family Trust</t>
        </is>
      </c>
    </row>
    <row r="586">
      <c r="A586" s="856" t="inlineStr">
        <is>
          <t>301800 Contributions:Contribution - Org Exp</t>
        </is>
      </c>
      <c r="C586">
        <f>ROUND(_xlfn.XLOOKUP(E586,'True-Up'!A:A,'True-Up'!U:U),2)</f>
        <v/>
      </c>
      <c r="D586" t="inlineStr">
        <is>
          <t xml:space="preserve">To record true-up due to Odyssey commitment overstatement in Q1'26.  </t>
        </is>
      </c>
      <c r="E586" s="866" t="inlineStr">
        <is>
          <t>Terminal Refrigerating &amp; Warehousing Corp.</t>
        </is>
      </c>
    </row>
    <row r="587">
      <c r="A587" s="856" t="inlineStr">
        <is>
          <t>301800 Contributions:Contribution - Org Exp</t>
        </is>
      </c>
      <c r="C587">
        <f>ROUND(_xlfn.XLOOKUP(E587,'True-Up'!A:A,'True-Up'!U:U),2)</f>
        <v/>
      </c>
      <c r="D587" t="inlineStr">
        <is>
          <t xml:space="preserve">To record true-up due to Odyssey commitment overstatement in Q1'26.  </t>
        </is>
      </c>
      <c r="E587" s="866" t="inlineStr">
        <is>
          <t>The 2015 Pipe Reality Delaware Trust</t>
        </is>
      </c>
    </row>
    <row r="588">
      <c r="A588" s="856" t="inlineStr">
        <is>
          <t>301800 Contributions:Contribution - Org Exp</t>
        </is>
      </c>
      <c r="C588">
        <f>ROUND(_xlfn.XLOOKUP(E588,'True-Up'!A:A,'True-Up'!U:U),2)</f>
        <v/>
      </c>
      <c r="D588" t="inlineStr">
        <is>
          <t xml:space="preserve">To record true-up due to Odyssey commitment overstatement in Q1'26.  </t>
        </is>
      </c>
      <c r="E588" s="866" t="inlineStr">
        <is>
          <t>The David L. Schnadig 2017 Trust</t>
        </is>
      </c>
    </row>
    <row r="589">
      <c r="A589" s="856" t="inlineStr">
        <is>
          <t>301800 Contributions:Contribution - Org Exp</t>
        </is>
      </c>
      <c r="C589">
        <f>ROUND(_xlfn.XLOOKUP(E589,'True-Up'!A:A,'True-Up'!U:U),2)</f>
        <v/>
      </c>
      <c r="D589" t="inlineStr">
        <is>
          <t xml:space="preserve">To record true-up due to Odyssey commitment overstatement in Q1'26.  </t>
        </is>
      </c>
      <c r="E589" s="866" t="inlineStr">
        <is>
          <t>The Diane Rosen 2021 Irrevocable Family Trust</t>
        </is>
      </c>
    </row>
    <row r="590">
      <c r="A590" s="856" t="inlineStr">
        <is>
          <t>301800 Contributions:Contribution - Org Exp</t>
        </is>
      </c>
      <c r="C590">
        <f>ROUND(_xlfn.XLOOKUP(E590,'True-Up'!A:A,'True-Up'!U:U),2)</f>
        <v/>
      </c>
      <c r="D590" t="inlineStr">
        <is>
          <t xml:space="preserve">To record true-up due to Odyssey commitment overstatement in Q1'26.  </t>
        </is>
      </c>
      <c r="E590" s="866" t="inlineStr">
        <is>
          <t>The Mark T. Kirchdorfer 2015 Family Delaware Dynasty Trust</t>
        </is>
      </c>
    </row>
    <row r="591">
      <c r="A591" s="856" t="inlineStr">
        <is>
          <t>301800 Contributions:Contribution - Org Exp</t>
        </is>
      </c>
      <c r="C591">
        <f>ROUND(_xlfn.XLOOKUP(E591,'True-Up'!A:A,'True-Up'!U:U),2)</f>
        <v/>
      </c>
      <c r="D591" t="inlineStr">
        <is>
          <t xml:space="preserve">To record true-up due to Odyssey commitment overstatement in Q1'26.  </t>
        </is>
      </c>
      <c r="E591" s="866" t="inlineStr">
        <is>
          <t>University of Southern California</t>
        </is>
      </c>
    </row>
    <row r="592">
      <c r="A592" s="856" t="inlineStr">
        <is>
          <t>301800 Contributions:Contribution - Org Exp</t>
        </is>
      </c>
      <c r="C592">
        <f>ROUND(_xlfn.XLOOKUP(E592,'True-Up'!A:A,'True-Up'!U:U),2)</f>
        <v/>
      </c>
      <c r="D592" t="inlineStr">
        <is>
          <t xml:space="preserve">To record true-up due to Odyssey commitment overstatement in Q1'26.  </t>
        </is>
      </c>
      <c r="E592" s="866" t="inlineStr">
        <is>
          <t>Walker D. Zimmerman</t>
        </is>
      </c>
    </row>
    <row r="593">
      <c r="A593" s="856" t="inlineStr">
        <is>
          <t>301800 Contributions:Contribution - Org Exp</t>
        </is>
      </c>
      <c r="C593">
        <f>ROUND(_xlfn.XLOOKUP(E593,'True-Up'!A:A,'True-Up'!U:U),2)</f>
        <v/>
      </c>
      <c r="D593" t="inlineStr">
        <is>
          <t xml:space="preserve">To record true-up due to Odyssey commitment overstatement in Q1'26.  </t>
        </is>
      </c>
      <c r="E593" s="866" t="inlineStr">
        <is>
          <t>Wilson Family Trust DTD 3-6-1987</t>
        </is>
      </c>
    </row>
    <row r="594">
      <c r="A594" s="856" t="inlineStr">
        <is>
          <t>301800 Contributions:Contribution - Org Exp</t>
        </is>
      </c>
      <c r="C594">
        <f>ROUND(_xlfn.XLOOKUP(E594,'True-Up'!A:A,'True-Up'!U:U),2)</f>
        <v/>
      </c>
      <c r="D594" t="inlineStr">
        <is>
          <t xml:space="preserve">To record true-up due to Odyssey commitment overstatement in Q1'26.  </t>
        </is>
      </c>
      <c r="E594" s="866" t="inlineStr">
        <is>
          <t>Wilson GST Exempt Trust</t>
        </is>
      </c>
    </row>
    <row r="595">
      <c r="A595" s="856" t="inlineStr">
        <is>
          <t>301800 Contributions:Contribution - Org Exp</t>
        </is>
      </c>
      <c r="C595">
        <f>ROUND(_xlfn.XLOOKUP(E595,'True-Up'!A:A,'True-Up'!U:U),2)</f>
        <v/>
      </c>
      <c r="D595" t="inlineStr">
        <is>
          <t xml:space="preserve">To record true-up due to Odyssey commitment overstatement in Q1'26.  </t>
        </is>
      </c>
      <c r="E595" s="867" t="inlineStr">
        <is>
          <t>Texas Emerging Managers Private Markets Program, L.P. (2025-1 RE Investment Series)</t>
        </is>
      </c>
    </row>
    <row r="596">
      <c r="A596" s="856" t="inlineStr">
        <is>
          <t>301800 Contributions:Contribution - Org Exp</t>
        </is>
      </c>
      <c r="C596">
        <f>ROUND(_xlfn.XLOOKUP(E596,'True-Up'!A:A,'True-Up'!U:U),2)</f>
        <v/>
      </c>
      <c r="D596" t="inlineStr">
        <is>
          <t xml:space="preserve">To record true-up due to Odyssey commitment overstatement in Q1'26.  </t>
        </is>
      </c>
      <c r="E596" s="867" t="inlineStr">
        <is>
          <t>GCM Grosvenor NJ RE Emerging Managers Program, LP (2023-1 Investment Series)</t>
        </is>
      </c>
    </row>
    <row r="597">
      <c r="A597" s="856" t="inlineStr">
        <is>
          <t>301800 Contributions:Contribution - Org Exp</t>
        </is>
      </c>
      <c r="C597">
        <f>ROUND(_xlfn.XLOOKUP(E597,'True-Up'!A:A,'True-Up'!U:U),2)</f>
        <v/>
      </c>
      <c r="D597" t="inlineStr">
        <is>
          <t xml:space="preserve">To record true-up due to Odyssey commitment overstatement in Q1'26.  </t>
        </is>
      </c>
      <c r="E597" s="867" t="inlineStr">
        <is>
          <t>GCM Grosvenor - NYSTRS Real Estate Investment Partners, L.P. (2024-1 Series)</t>
        </is>
      </c>
    </row>
    <row r="598">
      <c r="A598" s="856" t="inlineStr">
        <is>
          <t>301800 Contributions:Contribution - Org Exp</t>
        </is>
      </c>
      <c r="C598">
        <f>ROUND(_xlfn.XLOOKUP(E598,'True-Up'!A:A,'True-Up'!U:U),2)</f>
        <v/>
      </c>
      <c r="D598" t="inlineStr">
        <is>
          <t xml:space="preserve">To record true-up due to Odyssey commitment overstatement in Q1'26.  </t>
        </is>
      </c>
      <c r="E598" s="867" t="inlineStr">
        <is>
          <t>CRPTF-GCM Middle-Market RE Partnership, L.P. (2025-01 Investment Series)</t>
        </is>
      </c>
    </row>
    <row r="599">
      <c r="A599" s="856" t="inlineStr">
        <is>
          <t>301800 Contributions:Contribution - Org Exp</t>
        </is>
      </c>
      <c r="C599">
        <f>ROUND(_xlfn.XLOOKUP(E599,'True-Up'!A:A,'True-Up'!U:U),2)</f>
        <v/>
      </c>
      <c r="D599" t="inlineStr">
        <is>
          <t xml:space="preserve">To record true-up due to Odyssey commitment overstatement in Q1'26.  </t>
        </is>
      </c>
      <c r="E599" s="866" t="inlineStr">
        <is>
          <t>Legacy Knight Strategic Opportunities Fund LLC - CL Rail Series</t>
        </is>
      </c>
    </row>
    <row r="600">
      <c r="A600" s="856" t="inlineStr">
        <is>
          <t>301800 Contributions:Contribution - Org Exp</t>
        </is>
      </c>
      <c r="C600">
        <f>ROUND(_xlfn.XLOOKUP(E600,'True-Up'!A:A,'True-Up'!U:U),2)</f>
        <v/>
      </c>
      <c r="D600" t="inlineStr">
        <is>
          <t xml:space="preserve">To record true-up due to Odyssey commitment overstatement in Q1'26.  </t>
        </is>
      </c>
      <c r="E600" s="866" t="inlineStr">
        <is>
          <t>Argos Holdings, LLC</t>
        </is>
      </c>
    </row>
    <row r="601">
      <c r="A601" s="856" t="inlineStr">
        <is>
          <t>301100 Contributions:Contribution - General</t>
        </is>
      </c>
      <c r="B601">
        <f>-ROUND(_xlfn.XLOOKUP(E601,'True-Up'!A:A,'True-Up'!V:V),2)</f>
        <v/>
      </c>
      <c r="D601" t="inlineStr">
        <is>
          <t xml:space="preserve">To record true-up due to Odyssey commitment overstatement in Q1'26.  </t>
        </is>
      </c>
      <c r="E601" s="866" t="inlineStr">
        <is>
          <t>1999 Britta Biesecker Declaration of Trust DTD 5/12/99</t>
        </is>
      </c>
    </row>
    <row r="602">
      <c r="A602" s="856" t="inlineStr">
        <is>
          <t>301100 Contributions:Contribution - General</t>
        </is>
      </c>
      <c r="B602">
        <f>-ROUND(_xlfn.XLOOKUP(E602,'True-Up'!A:A,'True-Up'!V:V),2)</f>
        <v/>
      </c>
      <c r="D602" t="inlineStr">
        <is>
          <t xml:space="preserve">To record true-up due to Odyssey commitment overstatement in Q1'26.  </t>
        </is>
      </c>
      <c r="E602" s="866" t="inlineStr">
        <is>
          <t>1999 Frederick N Biesecker II Declaration of Trust DTD 5/12/99</t>
        </is>
      </c>
    </row>
    <row r="603">
      <c r="A603" s="856" t="inlineStr">
        <is>
          <t>301100 Contributions:Contribution - General</t>
        </is>
      </c>
      <c r="B603">
        <f>-ROUND(_xlfn.XLOOKUP(E603,'True-Up'!A:A,'True-Up'!V:V),2)</f>
        <v/>
      </c>
      <c r="D603" t="inlineStr">
        <is>
          <t xml:space="preserve">To record true-up due to Odyssey commitment overstatement in Q1'26.  </t>
        </is>
      </c>
      <c r="E603" s="866" t="inlineStr">
        <is>
          <t>1999 Lissa Biesecker Longacre Declaration of Trust DTD 5/12/99</t>
        </is>
      </c>
    </row>
    <row r="604">
      <c r="A604" s="856" t="inlineStr">
        <is>
          <t>301100 Contributions:Contribution - General</t>
        </is>
      </c>
      <c r="B604">
        <f>-ROUND(_xlfn.XLOOKUP(E604,'True-Up'!A:A,'True-Up'!V:V),2)</f>
        <v/>
      </c>
      <c r="D604" t="inlineStr">
        <is>
          <t xml:space="preserve">To record true-up due to Odyssey commitment overstatement in Q1'26.  </t>
        </is>
      </c>
      <c r="E604" s="866" t="inlineStr">
        <is>
          <t>Abigail Levy</t>
        </is>
      </c>
    </row>
    <row r="605">
      <c r="A605" s="856" t="inlineStr">
        <is>
          <t>301100 Contributions:Contribution - General</t>
        </is>
      </c>
      <c r="B605">
        <f>-ROUND(_xlfn.XLOOKUP(E605,'True-Up'!A:A,'True-Up'!V:V),2)</f>
        <v/>
      </c>
      <c r="D605" t="inlineStr">
        <is>
          <t xml:space="preserve">To record true-up due to Odyssey commitment overstatement in Q1'26.  </t>
        </is>
      </c>
      <c r="E605" s="866" t="inlineStr">
        <is>
          <t>AKWT LLC</t>
        </is>
      </c>
    </row>
    <row r="606">
      <c r="A606" s="856" t="inlineStr">
        <is>
          <t>301100 Contributions:Contribution - General</t>
        </is>
      </c>
      <c r="B606">
        <f>-ROUND(_xlfn.XLOOKUP(E606,'True-Up'!A:A,'True-Up'!V:V),2)</f>
        <v/>
      </c>
      <c r="D606" t="inlineStr">
        <is>
          <t xml:space="preserve">To record true-up due to Odyssey commitment overstatement in Q1'26.  </t>
        </is>
      </c>
      <c r="E606" s="866" t="inlineStr">
        <is>
          <t>Alexander S. Bloomingdale</t>
        </is>
      </c>
    </row>
    <row r="607">
      <c r="A607" s="856" t="inlineStr">
        <is>
          <t>301100 Contributions:Contribution - General</t>
        </is>
      </c>
      <c r="B607">
        <f>-ROUND(_xlfn.XLOOKUP(E607,'True-Up'!A:A,'True-Up'!V:V),2)</f>
        <v/>
      </c>
      <c r="D607" t="inlineStr">
        <is>
          <t xml:space="preserve">To record true-up due to Odyssey commitment overstatement in Q1'26.  </t>
        </is>
      </c>
      <c r="E607" s="866" t="inlineStr">
        <is>
          <t>Alexander Sharpe Moore</t>
        </is>
      </c>
    </row>
    <row r="608">
      <c r="A608" s="856" t="inlineStr">
        <is>
          <t>301100 Contributions:Contribution - General</t>
        </is>
      </c>
      <c r="B608">
        <f>-ROUND(_xlfn.XLOOKUP(E608,'True-Up'!A:A,'True-Up'!V:V),2)</f>
        <v/>
      </c>
      <c r="D608" t="inlineStr">
        <is>
          <t xml:space="preserve">To record true-up due to Odyssey commitment overstatement in Q1'26.  </t>
        </is>
      </c>
      <c r="E608" s="866" t="inlineStr">
        <is>
          <t>All Dogs Go To Heaven, LLC</t>
        </is>
      </c>
    </row>
    <row r="609">
      <c r="A609" s="856" t="inlineStr">
        <is>
          <t>301100 Contributions:Contribution - General</t>
        </is>
      </c>
      <c r="B609">
        <f>-ROUND(_xlfn.XLOOKUP(E609,'True-Up'!A:A,'True-Up'!V:V),2)</f>
        <v/>
      </c>
      <c r="D609" t="inlineStr">
        <is>
          <t xml:space="preserve">To record true-up due to Odyssey commitment overstatement in Q1'26.  </t>
        </is>
      </c>
      <c r="E609" s="866" t="inlineStr">
        <is>
          <t>Alten Investments LLC</t>
        </is>
      </c>
    </row>
    <row r="610">
      <c r="A610" s="856" t="inlineStr">
        <is>
          <t>301100 Contributions:Contribution - General</t>
        </is>
      </c>
      <c r="B610">
        <f>-ROUND(_xlfn.XLOOKUP(E610,'True-Up'!A:A,'True-Up'!V:V),2)</f>
        <v/>
      </c>
      <c r="D610" t="inlineStr">
        <is>
          <t xml:space="preserve">To record true-up due to Odyssey commitment overstatement in Q1'26.  </t>
        </is>
      </c>
      <c r="E610" s="866" t="inlineStr">
        <is>
          <t>Avery Ryan Klann</t>
        </is>
      </c>
    </row>
    <row r="611">
      <c r="A611" s="856" t="inlineStr">
        <is>
          <t>301100 Contributions:Contribution - General</t>
        </is>
      </c>
      <c r="B611">
        <f>-ROUND(_xlfn.XLOOKUP(E611,'True-Up'!A:A,'True-Up'!V:V),2)</f>
        <v/>
      </c>
      <c r="D611" t="inlineStr">
        <is>
          <t xml:space="preserve">To record true-up due to Odyssey commitment overstatement in Q1'26.  </t>
        </is>
      </c>
      <c r="E611" s="866" t="inlineStr">
        <is>
          <t>BBR Real Assets Fund 2024 LLC</t>
        </is>
      </c>
    </row>
    <row r="612">
      <c r="A612" s="856" t="inlineStr">
        <is>
          <t>301100 Contributions:Contribution - General</t>
        </is>
      </c>
      <c r="B612">
        <f>-ROUND(_xlfn.XLOOKUP(E612,'True-Up'!A:A,'True-Up'!V:V),2)</f>
        <v/>
      </c>
      <c r="D612" t="inlineStr">
        <is>
          <t xml:space="preserve">To record true-up due to Odyssey commitment overstatement in Q1'26.  </t>
        </is>
      </c>
      <c r="E612" s="866" t="inlineStr">
        <is>
          <t>Belclaire Asset Management, LLC</t>
        </is>
      </c>
    </row>
    <row r="613">
      <c r="A613" s="856" t="inlineStr">
        <is>
          <t>301100 Contributions:Contribution - General</t>
        </is>
      </c>
      <c r="B613">
        <f>-ROUND(_xlfn.XLOOKUP(E613,'True-Up'!A:A,'True-Up'!V:V),2)</f>
        <v/>
      </c>
      <c r="D613" t="inlineStr">
        <is>
          <t xml:space="preserve">To record true-up due to Odyssey commitment overstatement in Q1'26.  </t>
        </is>
      </c>
      <c r="E613" s="866" t="inlineStr">
        <is>
          <t>Benaiah Inc.</t>
        </is>
      </c>
    </row>
    <row r="614">
      <c r="A614" s="856" t="inlineStr">
        <is>
          <t>301100 Contributions:Contribution - General</t>
        </is>
      </c>
      <c r="B614">
        <f>-ROUND(_xlfn.XLOOKUP(E614,'True-Up'!A:A,'True-Up'!V:V),2)</f>
        <v/>
      </c>
      <c r="D614" t="inlineStr">
        <is>
          <t xml:space="preserve">To record true-up due to Odyssey commitment overstatement in Q1'26.  </t>
        </is>
      </c>
      <c r="E614" s="866" t="inlineStr">
        <is>
          <t>Benjamin Johnson</t>
        </is>
      </c>
    </row>
    <row r="615">
      <c r="A615" s="856" t="inlineStr">
        <is>
          <t>301100 Contributions:Contribution - General</t>
        </is>
      </c>
      <c r="B615">
        <f>-ROUND(_xlfn.XLOOKUP(E615,'True-Up'!A:A,'True-Up'!V:V),2)</f>
        <v/>
      </c>
      <c r="D615" t="inlineStr">
        <is>
          <t xml:space="preserve">To record true-up due to Odyssey commitment overstatement in Q1'26.  </t>
        </is>
      </c>
      <c r="E615" s="866" t="inlineStr">
        <is>
          <t>Bloomingdale Family Trust Share #3</t>
        </is>
      </c>
    </row>
    <row r="616">
      <c r="A616" s="856" t="inlineStr">
        <is>
          <t>301100 Contributions:Contribution - General</t>
        </is>
      </c>
      <c r="B616">
        <f>-ROUND(_xlfn.XLOOKUP(E616,'True-Up'!A:A,'True-Up'!V:V),2)</f>
        <v/>
      </c>
      <c r="D616" t="inlineStr">
        <is>
          <t xml:space="preserve">To record true-up due to Odyssey commitment overstatement in Q1'26.  </t>
        </is>
      </c>
      <c r="E616" s="866" t="inlineStr">
        <is>
          <t>Brian Carroll 2011 Long-Term Trust</t>
        </is>
      </c>
    </row>
    <row r="617">
      <c r="A617" s="856" t="inlineStr">
        <is>
          <t>301100 Contributions:Contribution - General</t>
        </is>
      </c>
      <c r="B617">
        <f>-ROUND(_xlfn.XLOOKUP(E617,'True-Up'!A:A,'True-Up'!V:V),2)</f>
        <v/>
      </c>
      <c r="D617" t="inlineStr">
        <is>
          <t xml:space="preserve">To record true-up due to Odyssey commitment overstatement in Q1'26.  </t>
        </is>
      </c>
      <c r="E617" s="866" t="inlineStr">
        <is>
          <t>Bryan C. White LLC</t>
        </is>
      </c>
    </row>
    <row r="618">
      <c r="A618" s="856" t="inlineStr">
        <is>
          <t>301100 Contributions:Contribution - General</t>
        </is>
      </c>
      <c r="B618">
        <f>-ROUND(_xlfn.XLOOKUP(E618,'True-Up'!A:A,'True-Up'!V:V),2)</f>
        <v/>
      </c>
      <c r="D618" t="inlineStr">
        <is>
          <t xml:space="preserve">To record true-up due to Odyssey commitment overstatement in Q1'26.  </t>
        </is>
      </c>
      <c r="E618" s="866" t="inlineStr">
        <is>
          <t>Cameron J. Tringale</t>
        </is>
      </c>
    </row>
    <row r="619">
      <c r="A619" s="856" t="inlineStr">
        <is>
          <t>301100 Contributions:Contribution - General</t>
        </is>
      </c>
      <c r="B619">
        <f>-ROUND(_xlfn.XLOOKUP(E619,'True-Up'!A:A,'True-Up'!V:V),2)</f>
        <v/>
      </c>
      <c r="D619" t="inlineStr">
        <is>
          <t xml:space="preserve">To record true-up due to Odyssey commitment overstatement in Q1'26.  </t>
        </is>
      </c>
      <c r="E619" s="866" t="inlineStr">
        <is>
          <t>Charing Hatcherville LLC</t>
        </is>
      </c>
    </row>
    <row r="620">
      <c r="A620" s="856" t="inlineStr">
        <is>
          <t>301100 Contributions:Contribution - General</t>
        </is>
      </c>
      <c r="B620">
        <f>-ROUND(_xlfn.XLOOKUP(E620,'True-Up'!A:A,'True-Up'!V:V),2)</f>
        <v/>
      </c>
      <c r="D620" t="inlineStr">
        <is>
          <t xml:space="preserve">To record true-up due to Odyssey commitment overstatement in Q1'26.  </t>
        </is>
      </c>
      <c r="E620" s="866" t="inlineStr">
        <is>
          <t>Charing Silsbee, LLC</t>
        </is>
      </c>
    </row>
    <row r="621">
      <c r="A621" s="856" t="inlineStr">
        <is>
          <t>301100 Contributions:Contribution - General</t>
        </is>
      </c>
      <c r="B621">
        <f>-ROUND(_xlfn.XLOOKUP(E621,'True-Up'!A:A,'True-Up'!V:V),2)</f>
        <v/>
      </c>
      <c r="D621" t="inlineStr">
        <is>
          <t xml:space="preserve">To record true-up due to Odyssey commitment overstatement in Q1'26.  </t>
        </is>
      </c>
      <c r="E621" s="866" t="inlineStr">
        <is>
          <t>Chase F. Monroe</t>
        </is>
      </c>
    </row>
    <row r="622">
      <c r="A622" s="856" t="inlineStr">
        <is>
          <t>301100 Contributions:Contribution - General</t>
        </is>
      </c>
      <c r="B622">
        <f>-ROUND(_xlfn.XLOOKUP(E622,'True-Up'!A:A,'True-Up'!V:V),2)</f>
        <v/>
      </c>
      <c r="D622" t="inlineStr">
        <is>
          <t xml:space="preserve">To record true-up due to Odyssey commitment overstatement in Q1'26.  </t>
        </is>
      </c>
      <c r="E622" s="866" t="inlineStr">
        <is>
          <t>Chase The Lion, Inc.</t>
        </is>
      </c>
    </row>
    <row r="623">
      <c r="A623" s="856" t="inlineStr">
        <is>
          <t>301100 Contributions:Contribution - General</t>
        </is>
      </c>
      <c r="B623">
        <f>-ROUND(_xlfn.XLOOKUP(E623,'True-Up'!A:A,'True-Up'!V:V),2)</f>
        <v/>
      </c>
      <c r="D623" t="inlineStr">
        <is>
          <t xml:space="preserve">To record true-up due to Odyssey commitment overstatement in Q1'26.  </t>
        </is>
      </c>
      <c r="E623" s="866" t="inlineStr">
        <is>
          <t>Chris Schaaf</t>
        </is>
      </c>
    </row>
    <row r="624">
      <c r="A624" s="856" t="inlineStr">
        <is>
          <t>301100 Contributions:Contribution - General</t>
        </is>
      </c>
      <c r="B624">
        <f>-ROUND(_xlfn.XLOOKUP(E624,'True-Up'!A:A,'True-Up'!V:V),2)</f>
        <v/>
      </c>
      <c r="D624" t="inlineStr">
        <is>
          <t xml:space="preserve">To record true-up due to Odyssey commitment overstatement in Q1'26.  </t>
        </is>
      </c>
      <c r="E624" s="866" t="inlineStr">
        <is>
          <t>Christopher J. Campbell</t>
        </is>
      </c>
    </row>
    <row r="625">
      <c r="A625" s="856" t="inlineStr">
        <is>
          <t>301100 Contributions:Contribution - General</t>
        </is>
      </c>
      <c r="B625">
        <f>-ROUND(_xlfn.XLOOKUP(E625,'True-Up'!A:A,'True-Up'!V:V),2)</f>
        <v/>
      </c>
      <c r="D625" t="inlineStr">
        <is>
          <t xml:space="preserve">To record true-up due to Odyssey commitment overstatement in Q1'26.  </t>
        </is>
      </c>
      <c r="E625" s="866" t="inlineStr">
        <is>
          <t>Christopher Johnson</t>
        </is>
      </c>
    </row>
    <row r="626">
      <c r="A626" s="856" t="inlineStr">
        <is>
          <t>301100 Contributions:Contribution - General</t>
        </is>
      </c>
      <c r="B626">
        <f>-ROUND(_xlfn.XLOOKUP(E626,'True-Up'!A:A,'True-Up'!V:V),2)</f>
        <v/>
      </c>
      <c r="D626" t="inlineStr">
        <is>
          <t xml:space="preserve">To record true-up due to Odyssey commitment overstatement in Q1'26.  </t>
        </is>
      </c>
      <c r="E626" s="866" t="inlineStr">
        <is>
          <t>CLIP Sponsor LLC</t>
        </is>
      </c>
    </row>
    <row r="627">
      <c r="A627" s="856" t="inlineStr">
        <is>
          <t>301100 Contributions:Contribution - General</t>
        </is>
      </c>
      <c r="B627">
        <f>-ROUND(_xlfn.XLOOKUP(E627,'True-Up'!A:A,'True-Up'!V:V),2)</f>
        <v/>
      </c>
      <c r="D627" t="inlineStr">
        <is>
          <t xml:space="preserve">To record true-up due to Odyssey commitment overstatement in Q1'26.  </t>
        </is>
      </c>
      <c r="E627" s="866" t="inlineStr">
        <is>
          <t>CLR Silsbee Sponsor LLC</t>
        </is>
      </c>
    </row>
    <row r="628">
      <c r="A628" s="856" t="inlineStr">
        <is>
          <t>301100 Contributions:Contribution - General</t>
        </is>
      </c>
      <c r="B628">
        <f>-ROUND(_xlfn.XLOOKUP(E628,'True-Up'!A:A,'True-Up'!V:V),2)</f>
        <v/>
      </c>
      <c r="D628" t="inlineStr">
        <is>
          <t xml:space="preserve">To record true-up due to Odyssey commitment overstatement in Q1'26.  </t>
        </is>
      </c>
      <c r="E628" s="866" t="inlineStr">
        <is>
          <t>Daniel Ross</t>
        </is>
      </c>
    </row>
    <row r="629">
      <c r="A629" s="856" t="inlineStr">
        <is>
          <t>301100 Contributions:Contribution - General</t>
        </is>
      </c>
      <c r="B629">
        <f>-ROUND(_xlfn.XLOOKUP(E629,'True-Up'!A:A,'True-Up'!V:V),2)</f>
        <v/>
      </c>
      <c r="D629" t="inlineStr">
        <is>
          <t xml:space="preserve">To record true-up due to Odyssey commitment overstatement in Q1'26.  </t>
        </is>
      </c>
      <c r="E629" s="866" t="inlineStr">
        <is>
          <t>Endurance Companies LLC</t>
        </is>
      </c>
    </row>
    <row r="630">
      <c r="A630" s="856" t="inlineStr">
        <is>
          <t>301100 Contributions:Contribution - General</t>
        </is>
      </c>
      <c r="B630">
        <f>-ROUND(_xlfn.XLOOKUP(E630,'True-Up'!A:A,'True-Up'!V:V),2)</f>
        <v/>
      </c>
      <c r="D630" t="inlineStr">
        <is>
          <t xml:space="preserve">To record true-up due to Odyssey commitment overstatement in Q1'26.  </t>
        </is>
      </c>
      <c r="E630" s="866" t="inlineStr">
        <is>
          <t>Forem Capital, LLC</t>
        </is>
      </c>
    </row>
    <row r="631">
      <c r="A631" s="856" t="inlineStr">
        <is>
          <t>301100 Contributions:Contribution - General</t>
        </is>
      </c>
      <c r="B631">
        <f>-ROUND(_xlfn.XLOOKUP(E631,'True-Up'!A:A,'True-Up'!V:V),2)</f>
        <v/>
      </c>
      <c r="D631" t="inlineStr">
        <is>
          <t xml:space="preserve">To record true-up due to Odyssey commitment overstatement in Q1'26.  </t>
        </is>
      </c>
      <c r="E631" s="866" t="inlineStr">
        <is>
          <t>Francis Brawley</t>
        </is>
      </c>
    </row>
    <row r="632">
      <c r="A632" s="856" t="inlineStr">
        <is>
          <t>301100 Contributions:Contribution - General</t>
        </is>
      </c>
      <c r="B632">
        <f>-ROUND(_xlfn.XLOOKUP(E632,'True-Up'!A:A,'True-Up'!V:V),2)</f>
        <v/>
      </c>
      <c r="D632" t="inlineStr">
        <is>
          <t xml:space="preserve">To record true-up due to Odyssey commitment overstatement in Q1'26.  </t>
        </is>
      </c>
      <c r="E632" s="866" t="inlineStr">
        <is>
          <t>Geoffrey and Elizabeth Bloomingdale Living Trust</t>
        </is>
      </c>
    </row>
    <row r="633">
      <c r="A633" s="856" t="inlineStr">
        <is>
          <t>301100 Contributions:Contribution - General</t>
        </is>
      </c>
      <c r="B633">
        <f>-ROUND(_xlfn.XLOOKUP(E633,'True-Up'!A:A,'True-Up'!V:V),2)</f>
        <v/>
      </c>
      <c r="D633" t="inlineStr">
        <is>
          <t xml:space="preserve">To record true-up due to Odyssey commitment overstatement in Q1'26.  </t>
        </is>
      </c>
      <c r="E633" s="866" t="inlineStr">
        <is>
          <t>Greene 2000 Family Trust</t>
        </is>
      </c>
    </row>
    <row r="634">
      <c r="A634" s="856" t="inlineStr">
        <is>
          <t>301100 Contributions:Contribution - General</t>
        </is>
      </c>
      <c r="B634">
        <f>-ROUND(_xlfn.XLOOKUP(E634,'True-Up'!A:A,'True-Up'!V:V),2)</f>
        <v/>
      </c>
      <c r="D634" t="inlineStr">
        <is>
          <t xml:space="preserve">To record true-up due to Odyssey commitment overstatement in Q1'26.  </t>
        </is>
      </c>
      <c r="E634" s="866" t="inlineStr">
        <is>
          <t>Greene Marital Trust</t>
        </is>
      </c>
    </row>
    <row r="635">
      <c r="A635" s="856" t="inlineStr">
        <is>
          <t>301100 Contributions:Contribution - General</t>
        </is>
      </c>
      <c r="B635">
        <f>-ROUND(_xlfn.XLOOKUP(E635,'True-Up'!A:A,'True-Up'!V:V),2)</f>
        <v/>
      </c>
      <c r="D635" t="inlineStr">
        <is>
          <t xml:space="preserve">To record true-up due to Odyssey commitment overstatement in Q1'26.  </t>
        </is>
      </c>
      <c r="E635" s="866" t="inlineStr">
        <is>
          <t>Gregory Brent Wood</t>
        </is>
      </c>
    </row>
    <row r="636">
      <c r="A636" s="856" t="inlineStr">
        <is>
          <t>301100 Contributions:Contribution - General</t>
        </is>
      </c>
      <c r="B636">
        <f>-ROUND(_xlfn.XLOOKUP(E636,'True-Up'!A:A,'True-Up'!V:V),2)</f>
        <v/>
      </c>
      <c r="D636" t="inlineStr">
        <is>
          <t xml:space="preserve">To record true-up due to Odyssey commitment overstatement in Q1'26.  </t>
        </is>
      </c>
      <c r="E636" s="866" t="inlineStr">
        <is>
          <t>Hundley Family Trust</t>
        </is>
      </c>
    </row>
    <row r="637">
      <c r="A637" s="856" t="inlineStr">
        <is>
          <t>301100 Contributions:Contribution - General</t>
        </is>
      </c>
      <c r="B637">
        <f>-ROUND(_xlfn.XLOOKUP(E637,'True-Up'!A:A,'True-Up'!V:V),2)</f>
        <v/>
      </c>
      <c r="D637" t="inlineStr">
        <is>
          <t xml:space="preserve">To record true-up due to Odyssey commitment overstatement in Q1'26.  </t>
        </is>
      </c>
      <c r="E637" s="866" t="inlineStr">
        <is>
          <t>In God We Trust 2017 Living Trust</t>
        </is>
      </c>
    </row>
    <row r="638">
      <c r="A638" s="856" t="inlineStr">
        <is>
          <t>301100 Contributions:Contribution - General</t>
        </is>
      </c>
      <c r="B638">
        <f>-ROUND(_xlfn.XLOOKUP(E638,'True-Up'!A:A,'True-Up'!V:V),2)</f>
        <v/>
      </c>
      <c r="D638" t="inlineStr">
        <is>
          <t xml:space="preserve">To record true-up due to Odyssey commitment overstatement in Q1'26.  </t>
        </is>
      </c>
      <c r="E638" s="866" t="inlineStr">
        <is>
          <t>James and Natelie Bloomingdale</t>
        </is>
      </c>
    </row>
    <row r="639">
      <c r="A639" s="856" t="inlineStr">
        <is>
          <t>301100 Contributions:Contribution - General</t>
        </is>
      </c>
      <c r="B639">
        <f>-ROUND(_xlfn.XLOOKUP(E639,'True-Up'!A:A,'True-Up'!V:V),2)</f>
        <v/>
      </c>
      <c r="D639" t="inlineStr">
        <is>
          <t xml:space="preserve">To record true-up due to Odyssey commitment overstatement in Q1'26.  </t>
        </is>
      </c>
      <c r="E639" s="866" t="inlineStr">
        <is>
          <t>James Campbell and Patricia Campbell</t>
        </is>
      </c>
    </row>
    <row r="640">
      <c r="A640" s="856" t="inlineStr">
        <is>
          <t>301100 Contributions:Contribution - General</t>
        </is>
      </c>
      <c r="B640">
        <f>-ROUND(_xlfn.XLOOKUP(E640,'True-Up'!A:A,'True-Up'!V:V),2)</f>
        <v/>
      </c>
      <c r="D640" t="inlineStr">
        <is>
          <t xml:space="preserve">To record true-up due to Odyssey commitment overstatement in Q1'26.  </t>
        </is>
      </c>
      <c r="E640" s="866" t="inlineStr">
        <is>
          <t>James Kane</t>
        </is>
      </c>
    </row>
    <row r="641">
      <c r="A641" s="856" t="inlineStr">
        <is>
          <t>301100 Contributions:Contribution - General</t>
        </is>
      </c>
      <c r="B641">
        <f>-ROUND(_xlfn.XLOOKUP(E641,'True-Up'!A:A,'True-Up'!V:V),2)</f>
        <v/>
      </c>
      <c r="D641" t="inlineStr">
        <is>
          <t xml:space="preserve">To record true-up due to Odyssey commitment overstatement in Q1'26.  </t>
        </is>
      </c>
      <c r="E641" s="866" t="inlineStr">
        <is>
          <t>James Thorp</t>
        </is>
      </c>
    </row>
    <row r="642">
      <c r="A642" s="856" t="inlineStr">
        <is>
          <t>301100 Contributions:Contribution - General</t>
        </is>
      </c>
      <c r="B642">
        <f>-ROUND(_xlfn.XLOOKUP(E642,'True-Up'!A:A,'True-Up'!V:V),2)</f>
        <v/>
      </c>
      <c r="D642" t="inlineStr">
        <is>
          <t xml:space="preserve">To record true-up due to Odyssey commitment overstatement in Q1'26.  </t>
        </is>
      </c>
      <c r="E642" s="866" t="inlineStr">
        <is>
          <t>Jeffrey A. Lipsitz Revocable Trust</t>
        </is>
      </c>
    </row>
    <row r="643">
      <c r="A643" s="856" t="inlineStr">
        <is>
          <t>301100 Contributions:Contribution - General</t>
        </is>
      </c>
      <c r="B643">
        <f>-ROUND(_xlfn.XLOOKUP(E643,'True-Up'!A:A,'True-Up'!V:V),2)</f>
        <v/>
      </c>
      <c r="D643" t="inlineStr">
        <is>
          <t xml:space="preserve">To record true-up due to Odyssey commitment overstatement in Q1'26.  </t>
        </is>
      </c>
      <c r="E643" s="866" t="inlineStr">
        <is>
          <t>Jeffrey D Furber Revocable Trust</t>
        </is>
      </c>
    </row>
    <row r="644">
      <c r="A644" s="856" t="inlineStr">
        <is>
          <t>301100 Contributions:Contribution - General</t>
        </is>
      </c>
      <c r="B644">
        <f>-ROUND(_xlfn.XLOOKUP(E644,'True-Up'!A:A,'True-Up'!V:V),2)</f>
        <v/>
      </c>
      <c r="D644" t="inlineStr">
        <is>
          <t xml:space="preserve">To record true-up due to Odyssey commitment overstatement in Q1'26.  </t>
        </is>
      </c>
      <c r="E644" s="866" t="inlineStr">
        <is>
          <t>Jeremy M. Jacobs Trust U/A/D April 1, 1973 fbo Margaret L. Reichenback</t>
        </is>
      </c>
    </row>
    <row r="645">
      <c r="A645" s="856" t="inlineStr">
        <is>
          <t>301100 Contributions:Contribution - General</t>
        </is>
      </c>
      <c r="B645">
        <f>-ROUND(_xlfn.XLOOKUP(E645,'True-Up'!A:A,'True-Up'!V:V),2)</f>
        <v/>
      </c>
      <c r="D645" t="inlineStr">
        <is>
          <t xml:space="preserve">To record true-up due to Odyssey commitment overstatement in Q1'26.  </t>
        </is>
      </c>
      <c r="E645" s="866" t="inlineStr">
        <is>
          <t>John Mark Comer</t>
        </is>
      </c>
    </row>
    <row r="646">
      <c r="A646" s="856" t="inlineStr">
        <is>
          <t>301100 Contributions:Contribution - General</t>
        </is>
      </c>
      <c r="B646">
        <f>-ROUND(_xlfn.XLOOKUP(E646,'True-Up'!A:A,'True-Up'!V:V),2)</f>
        <v/>
      </c>
      <c r="D646" t="inlineStr">
        <is>
          <t xml:space="preserve">To record true-up due to Odyssey commitment overstatement in Q1'26.  </t>
        </is>
      </c>
      <c r="E646" s="866" t="inlineStr">
        <is>
          <t>Landscape I, LP</t>
        </is>
      </c>
    </row>
    <row r="647">
      <c r="A647" s="856" t="inlineStr">
        <is>
          <t>301100 Contributions:Contribution - General</t>
        </is>
      </c>
      <c r="B647">
        <f>-ROUND(_xlfn.XLOOKUP(E647,'True-Up'!A:A,'True-Up'!V:V),2)</f>
        <v/>
      </c>
      <c r="D647" t="inlineStr">
        <is>
          <t xml:space="preserve">To record true-up due to Odyssey commitment overstatement in Q1'26.  </t>
        </is>
      </c>
      <c r="E647" s="866" t="inlineStr">
        <is>
          <t>Lisa Bell Trust, Elisabeth B. Bell, Trustee</t>
        </is>
      </c>
    </row>
    <row r="648">
      <c r="A648" s="856" t="inlineStr">
        <is>
          <t>301100 Contributions:Contribution - General</t>
        </is>
      </c>
      <c r="B648">
        <f>-ROUND(_xlfn.XLOOKUP(E648,'True-Up'!A:A,'True-Up'!V:V),2)</f>
        <v/>
      </c>
      <c r="D648" t="inlineStr">
        <is>
          <t xml:space="preserve">To record true-up due to Odyssey commitment overstatement in Q1'26.  </t>
        </is>
      </c>
      <c r="E648" s="866" t="inlineStr">
        <is>
          <t>Madten Investments LLC</t>
        </is>
      </c>
    </row>
    <row r="649">
      <c r="A649" s="856" t="inlineStr">
        <is>
          <t>301100 Contributions:Contribution - General</t>
        </is>
      </c>
      <c r="B649">
        <f>-ROUND(_xlfn.XLOOKUP(E649,'True-Up'!A:A,'True-Up'!V:V),2)</f>
        <v/>
      </c>
      <c r="D649" t="inlineStr">
        <is>
          <t xml:space="preserve">To record true-up due to Odyssey commitment overstatement in Q1'26.  </t>
        </is>
      </c>
      <c r="E649" s="866" t="inlineStr">
        <is>
          <t>Matt McCoy</t>
        </is>
      </c>
    </row>
    <row r="650">
      <c r="A650" s="856" t="inlineStr">
        <is>
          <t>301100 Contributions:Contribution - General</t>
        </is>
      </c>
      <c r="B650">
        <f>-ROUND(_xlfn.XLOOKUP(E650,'True-Up'!A:A,'True-Up'!V:V),2)</f>
        <v/>
      </c>
      <c r="D650" t="inlineStr">
        <is>
          <t xml:space="preserve">To record true-up due to Odyssey commitment overstatement in Q1'26.  </t>
        </is>
      </c>
      <c r="E650" s="866" t="inlineStr">
        <is>
          <t>Matterhorn Holdings, LLC</t>
        </is>
      </c>
    </row>
    <row r="651">
      <c r="A651" s="856" t="inlineStr">
        <is>
          <t>301100 Contributions:Contribution - General</t>
        </is>
      </c>
      <c r="B651">
        <f>-ROUND(_xlfn.XLOOKUP(E651,'True-Up'!A:A,'True-Up'!V:V),2)</f>
        <v/>
      </c>
      <c r="D651" t="inlineStr">
        <is>
          <t xml:space="preserve">To record true-up due to Odyssey commitment overstatement in Q1'26.  </t>
        </is>
      </c>
      <c r="E651" s="866" t="inlineStr">
        <is>
          <t>Max O. Reinbach III</t>
        </is>
      </c>
    </row>
    <row r="652">
      <c r="A652" s="856" t="inlineStr">
        <is>
          <t>301100 Contributions:Contribution - General</t>
        </is>
      </c>
      <c r="B652">
        <f>-ROUND(_xlfn.XLOOKUP(E652,'True-Up'!A:A,'True-Up'!V:V),2)</f>
        <v/>
      </c>
      <c r="D652" t="inlineStr">
        <is>
          <t xml:space="preserve">To record true-up due to Odyssey commitment overstatement in Q1'26.  </t>
        </is>
      </c>
      <c r="E652" s="866" t="inlineStr">
        <is>
          <t>Meghann C. Robinson</t>
        </is>
      </c>
    </row>
    <row r="653">
      <c r="A653" s="856" t="inlineStr">
        <is>
          <t>301100 Contributions:Contribution - General</t>
        </is>
      </c>
      <c r="B653">
        <f>-ROUND(_xlfn.XLOOKUP(E653,'True-Up'!A:A,'True-Up'!V:V),2)</f>
        <v/>
      </c>
      <c r="D653" t="inlineStr">
        <is>
          <t xml:space="preserve">To record true-up due to Odyssey commitment overstatement in Q1'26.  </t>
        </is>
      </c>
      <c r="E653" s="866" t="inlineStr">
        <is>
          <t>Nahas Investments II LLC</t>
        </is>
      </c>
    </row>
    <row r="654">
      <c r="A654" s="856" t="inlineStr">
        <is>
          <t>301100 Contributions:Contribution - General</t>
        </is>
      </c>
      <c r="B654">
        <f>-ROUND(_xlfn.XLOOKUP(E654,'True-Up'!A:A,'True-Up'!V:V),2)</f>
        <v/>
      </c>
      <c r="D654" t="inlineStr">
        <is>
          <t xml:space="preserve">To record true-up due to Odyssey commitment overstatement in Q1'26.  </t>
        </is>
      </c>
      <c r="E654" s="866" t="inlineStr">
        <is>
          <t>Pease River Holdings LLC</t>
        </is>
      </c>
    </row>
    <row r="655">
      <c r="A655" s="856" t="inlineStr">
        <is>
          <t>301100 Contributions:Contribution - General</t>
        </is>
      </c>
      <c r="B655">
        <f>-ROUND(_xlfn.XLOOKUP(E655,'True-Up'!A:A,'True-Up'!V:V),2)</f>
        <v/>
      </c>
      <c r="D655" t="inlineStr">
        <is>
          <t xml:space="preserve">To record true-up due to Odyssey commitment overstatement in Q1'26.  </t>
        </is>
      </c>
      <c r="E655" s="866" t="inlineStr">
        <is>
          <t>PT Burros, LLC</t>
        </is>
      </c>
    </row>
    <row r="656">
      <c r="A656" s="856" t="inlineStr">
        <is>
          <t>301100 Contributions:Contribution - General</t>
        </is>
      </c>
      <c r="B656">
        <f>-ROUND(_xlfn.XLOOKUP(E656,'True-Up'!A:A,'True-Up'!V:V),2)</f>
        <v/>
      </c>
      <c r="D656" t="inlineStr">
        <is>
          <t xml:space="preserve">To record true-up due to Odyssey commitment overstatement in Q1'26.  </t>
        </is>
      </c>
      <c r="E656" s="866" t="inlineStr">
        <is>
          <t>Robert D. Falese III</t>
        </is>
      </c>
    </row>
    <row r="657">
      <c r="A657" s="856" t="inlineStr">
        <is>
          <t>301100 Contributions:Contribution - General</t>
        </is>
      </c>
      <c r="B657">
        <f>-ROUND(_xlfn.XLOOKUP(E657,'True-Up'!A:A,'True-Up'!V:V),2)</f>
        <v/>
      </c>
      <c r="D657" t="inlineStr">
        <is>
          <t xml:space="preserve">To record true-up due to Odyssey commitment overstatement in Q1'26.  </t>
        </is>
      </c>
      <c r="E657" s="866" t="inlineStr">
        <is>
          <t>Robert Parker Yates</t>
        </is>
      </c>
    </row>
    <row r="658">
      <c r="A658" s="856" t="inlineStr">
        <is>
          <t>301100 Contributions:Contribution - General</t>
        </is>
      </c>
      <c r="B658">
        <f>-ROUND(_xlfn.XLOOKUP(E658,'True-Up'!A:A,'True-Up'!V:V),2)</f>
        <v/>
      </c>
      <c r="D658" t="inlineStr">
        <is>
          <t xml:space="preserve">To record true-up due to Odyssey commitment overstatement in Q1'26.  </t>
        </is>
      </c>
      <c r="E658" s="866" t="inlineStr">
        <is>
          <t>Robert S. Shafir &amp; Donna R. Shafir TEN/COM</t>
        </is>
      </c>
    </row>
    <row r="659">
      <c r="A659" s="856" t="inlineStr">
        <is>
          <t>301100 Contributions:Contribution - General</t>
        </is>
      </c>
      <c r="B659">
        <f>-ROUND(_xlfn.XLOOKUP(E659,'True-Up'!A:A,'True-Up'!V:V),2)</f>
        <v/>
      </c>
      <c r="D659" t="inlineStr">
        <is>
          <t xml:space="preserve">To record true-up due to Odyssey commitment overstatement in Q1'26.  </t>
        </is>
      </c>
      <c r="E659" s="866" t="inlineStr">
        <is>
          <t>Robert S. Shafir 2011 Children's Trust</t>
        </is>
      </c>
    </row>
    <row r="660">
      <c r="A660" s="856" t="inlineStr">
        <is>
          <t>301100 Contributions:Contribution - General</t>
        </is>
      </c>
      <c r="B660">
        <f>-ROUND(_xlfn.XLOOKUP(E660,'True-Up'!A:A,'True-Up'!V:V),2)</f>
        <v/>
      </c>
      <c r="D660" t="inlineStr">
        <is>
          <t xml:space="preserve">To record true-up due to Odyssey commitment overstatement in Q1'26.  </t>
        </is>
      </c>
      <c r="E660" s="866" t="inlineStr">
        <is>
          <t>Romar Partners, LP</t>
        </is>
      </c>
    </row>
    <row r="661">
      <c r="A661" s="856" t="inlineStr">
        <is>
          <t>301100 Contributions:Contribution - General</t>
        </is>
      </c>
      <c r="B661">
        <f>-ROUND(_xlfn.XLOOKUP(E661,'True-Up'!A:A,'True-Up'!V:V),2)</f>
        <v/>
      </c>
      <c r="D661" t="inlineStr">
        <is>
          <t xml:space="preserve">To record true-up due to Odyssey commitment overstatement in Q1'26.  </t>
        </is>
      </c>
      <c r="E661" s="866" t="inlineStr">
        <is>
          <t>Steven and Chani Laufer 2012 Dynasty Trust</t>
        </is>
      </c>
    </row>
    <row r="662">
      <c r="A662" s="856" t="inlineStr">
        <is>
          <t>301100 Contributions:Contribution - General</t>
        </is>
      </c>
      <c r="B662">
        <f>-ROUND(_xlfn.XLOOKUP(E662,'True-Up'!A:A,'True-Up'!V:V),2)</f>
        <v/>
      </c>
      <c r="D662" t="inlineStr">
        <is>
          <t xml:space="preserve">To record true-up due to Odyssey commitment overstatement in Q1'26.  </t>
        </is>
      </c>
      <c r="E662" s="866" t="inlineStr">
        <is>
          <t>Steven M. Laufer 2012 Trust</t>
        </is>
      </c>
    </row>
    <row r="663">
      <c r="A663" s="856" t="inlineStr">
        <is>
          <t>301100 Contributions:Contribution - General</t>
        </is>
      </c>
      <c r="B663">
        <f>-ROUND(_xlfn.XLOOKUP(E663,'True-Up'!A:A,'True-Up'!V:V),2)</f>
        <v/>
      </c>
      <c r="D663" t="inlineStr">
        <is>
          <t xml:space="preserve">To record true-up due to Odyssey commitment overstatement in Q1'26.  </t>
        </is>
      </c>
      <c r="E663" s="866" t="inlineStr">
        <is>
          <t>Stewart Tate</t>
        </is>
      </c>
    </row>
    <row r="664">
      <c r="A664" s="856" t="inlineStr">
        <is>
          <t>301100 Contributions:Contribution - General</t>
        </is>
      </c>
      <c r="B664">
        <f>-ROUND(_xlfn.XLOOKUP(E664,'True-Up'!A:A,'True-Up'!V:V),2)</f>
        <v/>
      </c>
      <c r="D664" t="inlineStr">
        <is>
          <t xml:space="preserve">To record true-up due to Odyssey commitment overstatement in Q1'26.  </t>
        </is>
      </c>
      <c r="E664" s="866" t="inlineStr">
        <is>
          <t>TC Wilson Family Trust</t>
        </is>
      </c>
    </row>
    <row r="665">
      <c r="A665" s="856" t="inlineStr">
        <is>
          <t>301100 Contributions:Contribution - General</t>
        </is>
      </c>
      <c r="B665">
        <f>-ROUND(_xlfn.XLOOKUP(E665,'True-Up'!A:A,'True-Up'!V:V),2)</f>
        <v/>
      </c>
      <c r="D665" t="inlineStr">
        <is>
          <t xml:space="preserve">To record true-up due to Odyssey commitment overstatement in Q1'26.  </t>
        </is>
      </c>
      <c r="E665" s="866" t="inlineStr">
        <is>
          <t>Terminal Refrigerating &amp; Warehousing Corp.</t>
        </is>
      </c>
    </row>
    <row r="666">
      <c r="A666" s="856" t="inlineStr">
        <is>
          <t>301100 Contributions:Contribution - General</t>
        </is>
      </c>
      <c r="B666">
        <f>-ROUND(_xlfn.XLOOKUP(E666,'True-Up'!A:A,'True-Up'!V:V),2)</f>
        <v/>
      </c>
      <c r="D666" t="inlineStr">
        <is>
          <t xml:space="preserve">To record true-up due to Odyssey commitment overstatement in Q1'26.  </t>
        </is>
      </c>
      <c r="E666" s="866" t="inlineStr">
        <is>
          <t>The 2015 Pipe Reality Delaware Trust</t>
        </is>
      </c>
    </row>
    <row r="667">
      <c r="A667" s="856" t="inlineStr">
        <is>
          <t>301100 Contributions:Contribution - General</t>
        </is>
      </c>
      <c r="B667">
        <f>-ROUND(_xlfn.XLOOKUP(E667,'True-Up'!A:A,'True-Up'!V:V),2)</f>
        <v/>
      </c>
      <c r="D667" t="inlineStr">
        <is>
          <t xml:space="preserve">To record true-up due to Odyssey commitment overstatement in Q1'26.  </t>
        </is>
      </c>
      <c r="E667" s="866" t="inlineStr">
        <is>
          <t>The David L. Schnadig 2017 Trust</t>
        </is>
      </c>
    </row>
    <row r="668">
      <c r="A668" s="856" t="inlineStr">
        <is>
          <t>301100 Contributions:Contribution - General</t>
        </is>
      </c>
      <c r="B668">
        <f>-ROUND(_xlfn.XLOOKUP(E668,'True-Up'!A:A,'True-Up'!V:V),2)</f>
        <v/>
      </c>
      <c r="D668" t="inlineStr">
        <is>
          <t xml:space="preserve">To record true-up due to Odyssey commitment overstatement in Q1'26.  </t>
        </is>
      </c>
      <c r="E668" s="866" t="inlineStr">
        <is>
          <t>The Diane Rosen 2021 Irrevocable Family Trust</t>
        </is>
      </c>
    </row>
    <row r="669">
      <c r="A669" s="856" t="inlineStr">
        <is>
          <t>301100 Contributions:Contribution - General</t>
        </is>
      </c>
      <c r="B669">
        <f>-ROUND(_xlfn.XLOOKUP(E669,'True-Up'!A:A,'True-Up'!V:V),2)</f>
        <v/>
      </c>
      <c r="D669" t="inlineStr">
        <is>
          <t xml:space="preserve">To record true-up due to Odyssey commitment overstatement in Q1'26.  </t>
        </is>
      </c>
      <c r="E669" s="866" t="inlineStr">
        <is>
          <t>The Mark T. Kirchdorfer 2015 Family Delaware Dynasty Trust</t>
        </is>
      </c>
    </row>
    <row r="670">
      <c r="A670" s="856" t="inlineStr">
        <is>
          <t>301100 Contributions:Contribution - General</t>
        </is>
      </c>
      <c r="B670">
        <f>-ROUND(_xlfn.XLOOKUP(E670,'True-Up'!A:A,'True-Up'!V:V),2)</f>
        <v/>
      </c>
      <c r="D670" t="inlineStr">
        <is>
          <t xml:space="preserve">To record true-up due to Odyssey commitment overstatement in Q1'26.  </t>
        </is>
      </c>
      <c r="E670" s="866" t="inlineStr">
        <is>
          <t>University of Southern California</t>
        </is>
      </c>
    </row>
    <row r="671">
      <c r="A671" s="856" t="inlineStr">
        <is>
          <t>301100 Contributions:Contribution - General</t>
        </is>
      </c>
      <c r="B671">
        <f>-ROUND(_xlfn.XLOOKUP(E671,'True-Up'!A:A,'True-Up'!V:V),2)</f>
        <v/>
      </c>
      <c r="D671" t="inlineStr">
        <is>
          <t xml:space="preserve">To record true-up due to Odyssey commitment overstatement in Q1'26.  </t>
        </is>
      </c>
      <c r="E671" s="866" t="inlineStr">
        <is>
          <t>Walker D. Zimmerman</t>
        </is>
      </c>
    </row>
    <row r="672">
      <c r="A672" s="856" t="inlineStr">
        <is>
          <t>301100 Contributions:Contribution - General</t>
        </is>
      </c>
      <c r="B672">
        <f>-ROUND(_xlfn.XLOOKUP(E672,'True-Up'!A:A,'True-Up'!V:V),2)</f>
        <v/>
      </c>
      <c r="D672" t="inlineStr">
        <is>
          <t xml:space="preserve">To record true-up due to Odyssey commitment overstatement in Q1'26.  </t>
        </is>
      </c>
      <c r="E672" s="866" t="inlineStr">
        <is>
          <t>Wilson Family Trust DTD 3-6-1987</t>
        </is>
      </c>
    </row>
    <row r="673">
      <c r="A673" s="856" t="inlineStr">
        <is>
          <t>301100 Contributions:Contribution - General</t>
        </is>
      </c>
      <c r="B673">
        <f>-ROUND(_xlfn.XLOOKUP(E673,'True-Up'!A:A,'True-Up'!V:V),2)</f>
        <v/>
      </c>
      <c r="D673" t="inlineStr">
        <is>
          <t xml:space="preserve">To record true-up due to Odyssey commitment overstatement in Q1'26.  </t>
        </is>
      </c>
      <c r="E673" s="866" t="inlineStr">
        <is>
          <t>Wilson GST Exempt Trust</t>
        </is>
      </c>
    </row>
    <row r="674">
      <c r="A674" s="856" t="inlineStr">
        <is>
          <t>301100 Contributions:Contribution - General</t>
        </is>
      </c>
      <c r="B674">
        <f>-ROUND(_xlfn.XLOOKUP(E674,'True-Up'!A:A,'True-Up'!V:V),2)</f>
        <v/>
      </c>
      <c r="D674" t="inlineStr">
        <is>
          <t xml:space="preserve">To record true-up due to Odyssey commitment overstatement in Q1'26.  </t>
        </is>
      </c>
      <c r="E674" s="867" t="inlineStr">
        <is>
          <t>Texas Emerging Managers Private Markets Program, L.P. (2025-1 RE Investment Series)</t>
        </is>
      </c>
    </row>
    <row r="675">
      <c r="A675" s="856" t="inlineStr">
        <is>
          <t>301100 Contributions:Contribution - General</t>
        </is>
      </c>
      <c r="B675">
        <f>-ROUND(_xlfn.XLOOKUP(E675,'True-Up'!A:A,'True-Up'!V:V),2)</f>
        <v/>
      </c>
      <c r="D675" t="inlineStr">
        <is>
          <t xml:space="preserve">To record true-up due to Odyssey commitment overstatement in Q1'26.  </t>
        </is>
      </c>
      <c r="E675" s="867" t="inlineStr">
        <is>
          <t>GCM Grosvenor NJ RE Emerging Managers Program, LP (2023-1 Investment Series)</t>
        </is>
      </c>
    </row>
    <row r="676">
      <c r="A676" s="856" t="inlineStr">
        <is>
          <t>301100 Contributions:Contribution - General</t>
        </is>
      </c>
      <c r="B676">
        <f>-ROUND(_xlfn.XLOOKUP(E676,'True-Up'!A:A,'True-Up'!V:V),2)</f>
        <v/>
      </c>
      <c r="D676" t="inlineStr">
        <is>
          <t xml:space="preserve">To record true-up due to Odyssey commitment overstatement in Q1'26.  </t>
        </is>
      </c>
      <c r="E676" s="867" t="inlineStr">
        <is>
          <t>GCM Grosvenor - NYSTRS Real Estate Investment Partners, L.P. (2024-1 Series)</t>
        </is>
      </c>
    </row>
    <row r="677">
      <c r="A677" s="856" t="inlineStr">
        <is>
          <t>301100 Contributions:Contribution - General</t>
        </is>
      </c>
      <c r="B677">
        <f>-ROUND(_xlfn.XLOOKUP(E677,'True-Up'!A:A,'True-Up'!V:V),2)</f>
        <v/>
      </c>
      <c r="D677" t="inlineStr">
        <is>
          <t xml:space="preserve">To record true-up due to Odyssey commitment overstatement in Q1'26.  </t>
        </is>
      </c>
      <c r="E677" s="867" t="inlineStr">
        <is>
          <t>CRPTF-GCM Middle-Market RE Partnership, L.P. (2025-01 Investment Series)</t>
        </is>
      </c>
    </row>
    <row r="678">
      <c r="A678" s="856" t="inlineStr">
        <is>
          <t>301100 Contributions:Contribution - General</t>
        </is>
      </c>
      <c r="B678">
        <f>-ROUND(_xlfn.XLOOKUP(E678,'True-Up'!A:A,'True-Up'!V:V),2)</f>
        <v/>
      </c>
      <c r="D678" t="inlineStr">
        <is>
          <t xml:space="preserve">To record true-up due to Odyssey commitment overstatement in Q1'26.  </t>
        </is>
      </c>
      <c r="E678" s="866" t="inlineStr">
        <is>
          <t>Legacy Knight Strategic Opportunities Fund LLC - CL Rail Series</t>
        </is>
      </c>
    </row>
    <row r="679">
      <c r="A679" s="856" t="inlineStr">
        <is>
          <t>301100 Contributions:Contribution - General</t>
        </is>
      </c>
      <c r="B679">
        <f>-ROUND(_xlfn.XLOOKUP(E679,'True-Up'!A:A,'True-Up'!V:V),2)</f>
        <v/>
      </c>
      <c r="D679" t="inlineStr">
        <is>
          <t xml:space="preserve">To record true-up due to Odyssey commitment overstatement in Q1'26.  </t>
        </is>
      </c>
      <c r="E679" s="866" t="inlineStr">
        <is>
          <t>Argos Holdings, LLC</t>
        </is>
      </c>
    </row>
    <row r="680">
      <c r="A680" s="856" t="inlineStr">
        <is>
          <t>301200 Contributions:Contribution - Investment</t>
        </is>
      </c>
      <c r="C680">
        <f>ROUND(_xlfn.XLOOKUP(E680,'May 26 Distribution Checking'!A:A,'May 26 Distribution Checking'!U:U),2)</f>
        <v/>
      </c>
      <c r="D680" t="inlineStr">
        <is>
          <t>To record capital call for 2 millions offsetting Legacy Knight Sub Close dtd 5/19/2026</t>
        </is>
      </c>
      <c r="E680" s="866" t="inlineStr">
        <is>
          <t>1999 Britta Biesecker Declaration of Trust DTD 5/12/99</t>
        </is>
      </c>
    </row>
    <row r="681">
      <c r="A681" s="856" t="inlineStr">
        <is>
          <t>301200 Contributions:Contribution - Investment</t>
        </is>
      </c>
      <c r="C681">
        <f>ROUND(_xlfn.XLOOKUP(E681,'May 26 Distribution Checking'!A:A,'May 26 Distribution Checking'!U:U),2)</f>
        <v/>
      </c>
      <c r="D681" t="inlineStr">
        <is>
          <t>To record capital call for 2 millions offsetting Legacy Knight Sub Close dtd 5/19/2026</t>
        </is>
      </c>
      <c r="E681" s="866" t="inlineStr">
        <is>
          <t>1999 Frederick N Biesecker II Declaration of Trust DTD 5/12/99</t>
        </is>
      </c>
    </row>
    <row r="682">
      <c r="A682" s="856" t="inlineStr">
        <is>
          <t>301200 Contributions:Contribution - Investment</t>
        </is>
      </c>
      <c r="C682">
        <f>ROUND(_xlfn.XLOOKUP(E682,'May 26 Distribution Checking'!A:A,'May 26 Distribution Checking'!U:U),2)</f>
        <v/>
      </c>
      <c r="D682" t="inlineStr">
        <is>
          <t>To record capital call for 2 millions offsetting Legacy Knight Sub Close dtd 5/19/2026</t>
        </is>
      </c>
      <c r="E682" s="866" t="inlineStr">
        <is>
          <t>1999 Lissa Biesecker Longacre Declaration of Trust DTD 5/12/99</t>
        </is>
      </c>
    </row>
    <row r="683">
      <c r="A683" s="856" t="inlineStr">
        <is>
          <t>301200 Contributions:Contribution - Investment</t>
        </is>
      </c>
      <c r="C683">
        <f>ROUND(_xlfn.XLOOKUP(E683,'May 26 Distribution Checking'!A:A,'May 26 Distribution Checking'!U:U),2)</f>
        <v/>
      </c>
      <c r="D683" t="inlineStr">
        <is>
          <t>To record capital call for 2 millions offsetting Legacy Knight Sub Close dtd 5/19/2026</t>
        </is>
      </c>
      <c r="E683" s="866" t="inlineStr">
        <is>
          <t>Abigail Levy</t>
        </is>
      </c>
    </row>
    <row r="684">
      <c r="A684" s="856" t="inlineStr">
        <is>
          <t>301200 Contributions:Contribution - Investment</t>
        </is>
      </c>
      <c r="C684">
        <f>ROUND(_xlfn.XLOOKUP(E684,'May 26 Distribution Checking'!A:A,'May 26 Distribution Checking'!U:U),2)</f>
        <v/>
      </c>
      <c r="D684" t="inlineStr">
        <is>
          <t>To record capital call for 2 millions offsetting Legacy Knight Sub Close dtd 5/19/2026</t>
        </is>
      </c>
      <c r="E684" s="866" t="inlineStr">
        <is>
          <t>AKWT LLC</t>
        </is>
      </c>
    </row>
    <row r="685">
      <c r="A685" s="856" t="inlineStr">
        <is>
          <t>301200 Contributions:Contribution - Investment</t>
        </is>
      </c>
      <c r="C685">
        <f>ROUND(_xlfn.XLOOKUP(E685,'May 26 Distribution Checking'!A:A,'May 26 Distribution Checking'!U:U),2)</f>
        <v/>
      </c>
      <c r="D685" t="inlineStr">
        <is>
          <t>To record capital call for 2 millions offsetting Legacy Knight Sub Close dtd 5/19/2026</t>
        </is>
      </c>
      <c r="E685" s="866" t="inlineStr">
        <is>
          <t>Alexander S. Bloomingdale</t>
        </is>
      </c>
    </row>
    <row r="686">
      <c r="A686" s="856" t="inlineStr">
        <is>
          <t>301200 Contributions:Contribution - Investment</t>
        </is>
      </c>
      <c r="C686">
        <f>ROUND(_xlfn.XLOOKUP(E686,'May 26 Distribution Checking'!A:A,'May 26 Distribution Checking'!U:U),2)</f>
        <v/>
      </c>
      <c r="D686" t="inlineStr">
        <is>
          <t>To record capital call for 2 millions offsetting Legacy Knight Sub Close dtd 5/19/2026</t>
        </is>
      </c>
      <c r="E686" s="866" t="inlineStr">
        <is>
          <t>Alexander Sharpe Moore</t>
        </is>
      </c>
    </row>
    <row r="687">
      <c r="A687" s="856" t="inlineStr">
        <is>
          <t>301200 Contributions:Contribution - Investment</t>
        </is>
      </c>
      <c r="C687">
        <f>ROUND(_xlfn.XLOOKUP(E687,'May 26 Distribution Checking'!A:A,'May 26 Distribution Checking'!U:U),2)</f>
        <v/>
      </c>
      <c r="D687" t="inlineStr">
        <is>
          <t>To record capital call for 2 millions offsetting Legacy Knight Sub Close dtd 5/19/2026</t>
        </is>
      </c>
      <c r="E687" s="866" t="inlineStr">
        <is>
          <t>All Dogs Go To Heaven, LLC</t>
        </is>
      </c>
    </row>
    <row r="688">
      <c r="A688" s="856" t="inlineStr">
        <is>
          <t>301200 Contributions:Contribution - Investment</t>
        </is>
      </c>
      <c r="C688">
        <f>ROUND(_xlfn.XLOOKUP(E688,'May 26 Distribution Checking'!A:A,'May 26 Distribution Checking'!U:U),2)</f>
        <v/>
      </c>
      <c r="D688" t="inlineStr">
        <is>
          <t>To record capital call for 2 millions offsetting Legacy Knight Sub Close dtd 5/19/2026</t>
        </is>
      </c>
      <c r="E688" s="866" t="inlineStr">
        <is>
          <t>Alten Investments LLC</t>
        </is>
      </c>
    </row>
    <row r="689">
      <c r="A689" s="856" t="inlineStr">
        <is>
          <t>301200 Contributions:Contribution - Investment</t>
        </is>
      </c>
      <c r="C689">
        <f>ROUND(_xlfn.XLOOKUP(E689,'May 26 Distribution Checking'!A:A,'May 26 Distribution Checking'!U:U),2)</f>
        <v/>
      </c>
      <c r="D689" t="inlineStr">
        <is>
          <t>To record capital call for 2 millions offsetting Legacy Knight Sub Close dtd 5/19/2026</t>
        </is>
      </c>
      <c r="E689" s="866" t="inlineStr">
        <is>
          <t>Avery Ryan Klann</t>
        </is>
      </c>
    </row>
    <row r="690">
      <c r="A690" s="856" t="inlineStr">
        <is>
          <t>301200 Contributions:Contribution - Investment</t>
        </is>
      </c>
      <c r="C690">
        <f>ROUND(_xlfn.XLOOKUP(E690,'May 26 Distribution Checking'!A:A,'May 26 Distribution Checking'!U:U),2)</f>
        <v/>
      </c>
      <c r="D690" t="inlineStr">
        <is>
          <t>To record capital call for 2 millions offsetting Legacy Knight Sub Close dtd 5/19/2026</t>
        </is>
      </c>
      <c r="E690" s="866" t="inlineStr">
        <is>
          <t>BBR Real Assets Fund 2024 LLC</t>
        </is>
      </c>
    </row>
    <row r="691">
      <c r="A691" s="856" t="inlineStr">
        <is>
          <t>301200 Contributions:Contribution - Investment</t>
        </is>
      </c>
      <c r="C691">
        <f>ROUND(_xlfn.XLOOKUP(E691,'May 26 Distribution Checking'!A:A,'May 26 Distribution Checking'!U:U),2)</f>
        <v/>
      </c>
      <c r="D691" t="inlineStr">
        <is>
          <t>To record capital call for 2 millions offsetting Legacy Knight Sub Close dtd 5/19/2026</t>
        </is>
      </c>
      <c r="E691" s="866" t="inlineStr">
        <is>
          <t>Belclaire Asset Management, LLC</t>
        </is>
      </c>
    </row>
    <row r="692">
      <c r="A692" s="856" t="inlineStr">
        <is>
          <t>301200 Contributions:Contribution - Investment</t>
        </is>
      </c>
      <c r="C692">
        <f>ROUND(_xlfn.XLOOKUP(E692,'May 26 Distribution Checking'!A:A,'May 26 Distribution Checking'!U:U),2)</f>
        <v/>
      </c>
      <c r="D692" t="inlineStr">
        <is>
          <t>To record capital call for 2 millions offsetting Legacy Knight Sub Close dtd 5/19/2026</t>
        </is>
      </c>
      <c r="E692" s="866" t="inlineStr">
        <is>
          <t>Benaiah Inc.</t>
        </is>
      </c>
    </row>
    <row r="693">
      <c r="A693" s="856" t="inlineStr">
        <is>
          <t>301200 Contributions:Contribution - Investment</t>
        </is>
      </c>
      <c r="C693">
        <f>ROUND(_xlfn.XLOOKUP(E693,'May 26 Distribution Checking'!A:A,'May 26 Distribution Checking'!U:U),2)</f>
        <v/>
      </c>
      <c r="D693" t="inlineStr">
        <is>
          <t>To record capital call for 2 millions offsetting Legacy Knight Sub Close dtd 5/19/2026</t>
        </is>
      </c>
      <c r="E693" s="866" t="inlineStr">
        <is>
          <t>Benjamin Johnson</t>
        </is>
      </c>
    </row>
    <row r="694">
      <c r="A694" s="856" t="inlineStr">
        <is>
          <t>301200 Contributions:Contribution - Investment</t>
        </is>
      </c>
      <c r="C694">
        <f>ROUND(_xlfn.XLOOKUP(E694,'May 26 Distribution Checking'!A:A,'May 26 Distribution Checking'!U:U),2)</f>
        <v/>
      </c>
      <c r="D694" t="inlineStr">
        <is>
          <t>To record capital call for 2 millions offsetting Legacy Knight Sub Close dtd 5/19/2026</t>
        </is>
      </c>
      <c r="E694" s="866" t="inlineStr">
        <is>
          <t>Bloomingdale Family Trust Share #3</t>
        </is>
      </c>
    </row>
    <row r="695">
      <c r="A695" s="856" t="inlineStr">
        <is>
          <t>301200 Contributions:Contribution - Investment</t>
        </is>
      </c>
      <c r="C695">
        <f>ROUND(_xlfn.XLOOKUP(E695,'May 26 Distribution Checking'!A:A,'May 26 Distribution Checking'!U:U),2)</f>
        <v/>
      </c>
      <c r="D695" t="inlineStr">
        <is>
          <t>To record capital call for 2 millions offsetting Legacy Knight Sub Close dtd 5/19/2026</t>
        </is>
      </c>
      <c r="E695" s="866" t="inlineStr">
        <is>
          <t>Brian Carroll 2011 Long-Term Trust</t>
        </is>
      </c>
    </row>
    <row r="696">
      <c r="A696" s="856" t="inlineStr">
        <is>
          <t>301200 Contributions:Contribution - Investment</t>
        </is>
      </c>
      <c r="C696">
        <f>ROUND(_xlfn.XLOOKUP(E696,'May 26 Distribution Checking'!A:A,'May 26 Distribution Checking'!U:U),2)</f>
        <v/>
      </c>
      <c r="D696" t="inlineStr">
        <is>
          <t>To record capital call for 2 millions offsetting Legacy Knight Sub Close dtd 5/19/2026</t>
        </is>
      </c>
      <c r="E696" s="866" t="inlineStr">
        <is>
          <t>Bryan C. White LLC</t>
        </is>
      </c>
    </row>
    <row r="697">
      <c r="A697" s="856" t="inlineStr">
        <is>
          <t>301200 Contributions:Contribution - Investment</t>
        </is>
      </c>
      <c r="C697">
        <f>ROUND(_xlfn.XLOOKUP(E697,'May 26 Distribution Checking'!A:A,'May 26 Distribution Checking'!U:U),2)</f>
        <v/>
      </c>
      <c r="D697" t="inlineStr">
        <is>
          <t>To record capital call for 2 millions offsetting Legacy Knight Sub Close dtd 5/19/2026</t>
        </is>
      </c>
      <c r="E697" s="866" t="inlineStr">
        <is>
          <t>Cameron J. Tringale</t>
        </is>
      </c>
    </row>
    <row r="698">
      <c r="A698" s="856" t="inlineStr">
        <is>
          <t>301200 Contributions:Contribution - Investment</t>
        </is>
      </c>
      <c r="C698">
        <f>ROUND(_xlfn.XLOOKUP(E698,'May 26 Distribution Checking'!A:A,'May 26 Distribution Checking'!U:U),2)</f>
        <v/>
      </c>
      <c r="D698" t="inlineStr">
        <is>
          <t>To record capital call for 2 millions offsetting Legacy Knight Sub Close dtd 5/19/2026</t>
        </is>
      </c>
      <c r="E698" s="866" t="inlineStr">
        <is>
          <t>Charing Hatcherville LLC</t>
        </is>
      </c>
    </row>
    <row r="699">
      <c r="A699" s="856" t="inlineStr">
        <is>
          <t>301200 Contributions:Contribution - Investment</t>
        </is>
      </c>
      <c r="C699">
        <f>ROUND(_xlfn.XLOOKUP(E699,'May 26 Distribution Checking'!A:A,'May 26 Distribution Checking'!U:U),2)</f>
        <v/>
      </c>
      <c r="D699" t="inlineStr">
        <is>
          <t>To record capital call for 2 millions offsetting Legacy Knight Sub Close dtd 5/19/2026</t>
        </is>
      </c>
      <c r="E699" s="866" t="inlineStr">
        <is>
          <t>Charing Silsbee, LLC</t>
        </is>
      </c>
    </row>
    <row r="700">
      <c r="A700" s="856" t="inlineStr">
        <is>
          <t>301200 Contributions:Contribution - Investment</t>
        </is>
      </c>
      <c r="C700">
        <f>ROUND(_xlfn.XLOOKUP(E700,'May 26 Distribution Checking'!A:A,'May 26 Distribution Checking'!U:U),2)</f>
        <v/>
      </c>
      <c r="D700" t="inlineStr">
        <is>
          <t>To record capital call for 2 millions offsetting Legacy Knight Sub Close dtd 5/19/2026</t>
        </is>
      </c>
      <c r="E700" s="866" t="inlineStr">
        <is>
          <t>Chase F. Monroe</t>
        </is>
      </c>
    </row>
    <row r="701">
      <c r="A701" s="856" t="inlineStr">
        <is>
          <t>301200 Contributions:Contribution - Investment</t>
        </is>
      </c>
      <c r="C701">
        <f>ROUND(_xlfn.XLOOKUP(E701,'May 26 Distribution Checking'!A:A,'May 26 Distribution Checking'!U:U),2)</f>
        <v/>
      </c>
      <c r="D701" t="inlineStr">
        <is>
          <t>To record capital call for 2 millions offsetting Legacy Knight Sub Close dtd 5/19/2026</t>
        </is>
      </c>
      <c r="E701" s="866" t="inlineStr">
        <is>
          <t>Chase The Lion, Inc.</t>
        </is>
      </c>
    </row>
    <row r="702">
      <c r="A702" s="856" t="inlineStr">
        <is>
          <t>301200 Contributions:Contribution - Investment</t>
        </is>
      </c>
      <c r="C702">
        <f>ROUND(_xlfn.XLOOKUP(E702,'May 26 Distribution Checking'!A:A,'May 26 Distribution Checking'!U:U),2)</f>
        <v/>
      </c>
      <c r="D702" t="inlineStr">
        <is>
          <t>To record capital call for 2 millions offsetting Legacy Knight Sub Close dtd 5/19/2026</t>
        </is>
      </c>
      <c r="E702" s="866" t="inlineStr">
        <is>
          <t>Chris Schaaf</t>
        </is>
      </c>
    </row>
    <row r="703">
      <c r="A703" s="856" t="inlineStr">
        <is>
          <t>301200 Contributions:Contribution - Investment</t>
        </is>
      </c>
      <c r="C703">
        <f>ROUND(_xlfn.XLOOKUP(E703,'May 26 Distribution Checking'!A:A,'May 26 Distribution Checking'!U:U),2)</f>
        <v/>
      </c>
      <c r="D703" t="inlineStr">
        <is>
          <t>To record capital call for 2 millions offsetting Legacy Knight Sub Close dtd 5/19/2026</t>
        </is>
      </c>
      <c r="E703" s="866" t="inlineStr">
        <is>
          <t>Christopher J. Campbell</t>
        </is>
      </c>
    </row>
    <row r="704">
      <c r="A704" s="856" t="inlineStr">
        <is>
          <t>301200 Contributions:Contribution - Investment</t>
        </is>
      </c>
      <c r="C704">
        <f>ROUND(_xlfn.XLOOKUP(E704,'May 26 Distribution Checking'!A:A,'May 26 Distribution Checking'!U:U),2)</f>
        <v/>
      </c>
      <c r="D704" t="inlineStr">
        <is>
          <t>To record capital call for 2 millions offsetting Legacy Knight Sub Close dtd 5/19/2026</t>
        </is>
      </c>
      <c r="E704" s="866" t="inlineStr">
        <is>
          <t>Christopher Johnson</t>
        </is>
      </c>
    </row>
    <row r="705">
      <c r="A705" s="856" t="inlineStr">
        <is>
          <t>301200 Contributions:Contribution - Investment</t>
        </is>
      </c>
      <c r="C705">
        <f>ROUND(_xlfn.XLOOKUP(E705,'May 26 Distribution Checking'!A:A,'May 26 Distribution Checking'!U:U),2)</f>
        <v/>
      </c>
      <c r="D705" t="inlineStr">
        <is>
          <t>To record capital call for 2 millions offsetting Legacy Knight Sub Close dtd 5/19/2026</t>
        </is>
      </c>
      <c r="E705" s="868" t="inlineStr">
        <is>
          <t>CLIP Sponsor LLC</t>
        </is>
      </c>
    </row>
    <row r="706">
      <c r="A706" s="856" t="inlineStr">
        <is>
          <t>301200 Contributions:Contribution - Investment</t>
        </is>
      </c>
      <c r="C706">
        <f>ROUND(_xlfn.XLOOKUP(E706,'May 26 Distribution Checking'!A:A,'May 26 Distribution Checking'!U:U),2)</f>
        <v/>
      </c>
      <c r="D706" t="inlineStr">
        <is>
          <t>To record capital call for 2 millions offsetting Legacy Knight Sub Close dtd 5/19/2026</t>
        </is>
      </c>
      <c r="E706" s="868" t="inlineStr">
        <is>
          <t>CLR Silsbee Sponsor LLC</t>
        </is>
      </c>
    </row>
    <row r="707">
      <c r="A707" s="856" t="inlineStr">
        <is>
          <t>301200 Contributions:Contribution - Investment</t>
        </is>
      </c>
      <c r="C707">
        <f>ROUND(_xlfn.XLOOKUP(E707,'May 26 Distribution Checking'!A:A,'May 26 Distribution Checking'!U:U),2)</f>
        <v/>
      </c>
      <c r="D707" t="inlineStr">
        <is>
          <t>To record capital call for 2 millions offsetting Legacy Knight Sub Close dtd 5/19/2026</t>
        </is>
      </c>
      <c r="E707" s="866" t="inlineStr">
        <is>
          <t>Daniel Ross</t>
        </is>
      </c>
    </row>
    <row r="708">
      <c r="A708" s="856" t="inlineStr">
        <is>
          <t>301200 Contributions:Contribution - Investment</t>
        </is>
      </c>
      <c r="C708">
        <f>ROUND(_xlfn.XLOOKUP(E708,'May 26 Distribution Checking'!A:A,'May 26 Distribution Checking'!U:U),2)</f>
        <v/>
      </c>
      <c r="D708" t="inlineStr">
        <is>
          <t>To record capital call for 2 millions offsetting Legacy Knight Sub Close dtd 5/19/2026</t>
        </is>
      </c>
      <c r="E708" s="866" t="inlineStr">
        <is>
          <t>Endurance Companies LLC</t>
        </is>
      </c>
    </row>
    <row r="709">
      <c r="A709" s="856" t="inlineStr">
        <is>
          <t>301200 Contributions:Contribution - Investment</t>
        </is>
      </c>
      <c r="C709">
        <f>ROUND(_xlfn.XLOOKUP(E709,'May 26 Distribution Checking'!A:A,'May 26 Distribution Checking'!U:U),2)</f>
        <v/>
      </c>
      <c r="D709" t="inlineStr">
        <is>
          <t>To record capital call for 2 millions offsetting Legacy Knight Sub Close dtd 5/19/2026</t>
        </is>
      </c>
      <c r="E709" s="866" t="inlineStr">
        <is>
          <t>Forem Capital, LLC</t>
        </is>
      </c>
    </row>
    <row r="710">
      <c r="A710" s="856" t="inlineStr">
        <is>
          <t>301200 Contributions:Contribution - Investment</t>
        </is>
      </c>
      <c r="C710">
        <f>ROUND(_xlfn.XLOOKUP(E710,'May 26 Distribution Checking'!A:A,'May 26 Distribution Checking'!U:U),2)</f>
        <v/>
      </c>
      <c r="D710" t="inlineStr">
        <is>
          <t>To record capital call for 2 millions offsetting Legacy Knight Sub Close dtd 5/19/2026</t>
        </is>
      </c>
      <c r="E710" s="866" t="inlineStr">
        <is>
          <t>Francis Brawley</t>
        </is>
      </c>
    </row>
    <row r="711">
      <c r="A711" s="856" t="inlineStr">
        <is>
          <t>301200 Contributions:Contribution - Investment</t>
        </is>
      </c>
      <c r="C711">
        <f>ROUND(_xlfn.XLOOKUP(E711,'May 26 Distribution Checking'!A:A,'May 26 Distribution Checking'!U:U),2)</f>
        <v/>
      </c>
      <c r="D711" t="inlineStr">
        <is>
          <t>To record capital call for 2 millions offsetting Legacy Knight Sub Close dtd 5/19/2026</t>
        </is>
      </c>
      <c r="E711" s="866" t="inlineStr">
        <is>
          <t>Geoffrey and Elizabeth Bloomingdale Living Trust</t>
        </is>
      </c>
    </row>
    <row r="712">
      <c r="A712" s="856" t="inlineStr">
        <is>
          <t>301200 Contributions:Contribution - Investment</t>
        </is>
      </c>
      <c r="C712">
        <f>ROUND(_xlfn.XLOOKUP(E712,'May 26 Distribution Checking'!A:A,'May 26 Distribution Checking'!U:U),2)</f>
        <v/>
      </c>
      <c r="D712" t="inlineStr">
        <is>
          <t>To record capital call for 2 millions offsetting Legacy Knight Sub Close dtd 5/19/2026</t>
        </is>
      </c>
      <c r="E712" s="866" t="inlineStr">
        <is>
          <t>Greene 2000 Family Trust</t>
        </is>
      </c>
    </row>
    <row r="713">
      <c r="A713" s="856" t="inlineStr">
        <is>
          <t>301200 Contributions:Contribution - Investment</t>
        </is>
      </c>
      <c r="C713">
        <f>ROUND(_xlfn.XLOOKUP(E713,'May 26 Distribution Checking'!A:A,'May 26 Distribution Checking'!U:U),2)</f>
        <v/>
      </c>
      <c r="D713" t="inlineStr">
        <is>
          <t>To record capital call for 2 millions offsetting Legacy Knight Sub Close dtd 5/19/2026</t>
        </is>
      </c>
      <c r="E713" s="866" t="inlineStr">
        <is>
          <t>Greene Marital Trust</t>
        </is>
      </c>
    </row>
    <row r="714">
      <c r="A714" s="856" t="inlineStr">
        <is>
          <t>301200 Contributions:Contribution - Investment</t>
        </is>
      </c>
      <c r="C714">
        <f>ROUND(_xlfn.XLOOKUP(E714,'May 26 Distribution Checking'!A:A,'May 26 Distribution Checking'!U:U),2)</f>
        <v/>
      </c>
      <c r="D714" t="inlineStr">
        <is>
          <t>To record capital call for 2 millions offsetting Legacy Knight Sub Close dtd 5/19/2026</t>
        </is>
      </c>
      <c r="E714" s="866" t="inlineStr">
        <is>
          <t>Gregory Brent Wood</t>
        </is>
      </c>
    </row>
    <row r="715">
      <c r="A715" s="856" t="inlineStr">
        <is>
          <t>301200 Contributions:Contribution - Investment</t>
        </is>
      </c>
      <c r="C715">
        <f>ROUND(_xlfn.XLOOKUP(E715,'May 26 Distribution Checking'!A:A,'May 26 Distribution Checking'!U:U),2)</f>
        <v/>
      </c>
      <c r="D715" t="inlineStr">
        <is>
          <t>To record capital call for 2 millions offsetting Legacy Knight Sub Close dtd 5/19/2026</t>
        </is>
      </c>
      <c r="E715" s="866" t="inlineStr">
        <is>
          <t>Hundley Family Trust</t>
        </is>
      </c>
    </row>
    <row r="716">
      <c r="A716" s="856" t="inlineStr">
        <is>
          <t>301200 Contributions:Contribution - Investment</t>
        </is>
      </c>
      <c r="C716">
        <f>ROUND(_xlfn.XLOOKUP(E716,'May 26 Distribution Checking'!A:A,'May 26 Distribution Checking'!U:U),2)</f>
        <v/>
      </c>
      <c r="D716" t="inlineStr">
        <is>
          <t>To record capital call for 2 millions offsetting Legacy Knight Sub Close dtd 5/19/2026</t>
        </is>
      </c>
      <c r="E716" s="866" t="inlineStr">
        <is>
          <t>In God We Trust 2017 Living Trust</t>
        </is>
      </c>
    </row>
    <row r="717">
      <c r="A717" s="856" t="inlineStr">
        <is>
          <t>301200 Contributions:Contribution - Investment</t>
        </is>
      </c>
      <c r="C717">
        <f>ROUND(_xlfn.XLOOKUP(E717,'May 26 Distribution Checking'!A:A,'May 26 Distribution Checking'!U:U),2)</f>
        <v/>
      </c>
      <c r="D717" t="inlineStr">
        <is>
          <t>To record capital call for 2 millions offsetting Legacy Knight Sub Close dtd 5/19/2026</t>
        </is>
      </c>
      <c r="E717" s="866" t="inlineStr">
        <is>
          <t>James and Natelie Bloomingdale</t>
        </is>
      </c>
    </row>
    <row r="718">
      <c r="A718" s="856" t="inlineStr">
        <is>
          <t>301200 Contributions:Contribution - Investment</t>
        </is>
      </c>
      <c r="C718">
        <f>ROUND(_xlfn.XLOOKUP(E718,'May 26 Distribution Checking'!A:A,'May 26 Distribution Checking'!U:U),2)</f>
        <v/>
      </c>
      <c r="D718" t="inlineStr">
        <is>
          <t>To record capital call for 2 millions offsetting Legacy Knight Sub Close dtd 5/19/2026</t>
        </is>
      </c>
      <c r="E718" s="866" t="inlineStr">
        <is>
          <t>James Campbell and Patricia Campbell</t>
        </is>
      </c>
    </row>
    <row r="719">
      <c r="A719" s="856" t="inlineStr">
        <is>
          <t>301200 Contributions:Contribution - Investment</t>
        </is>
      </c>
      <c r="C719">
        <f>ROUND(_xlfn.XLOOKUP(E719,'May 26 Distribution Checking'!A:A,'May 26 Distribution Checking'!U:U),2)</f>
        <v/>
      </c>
      <c r="D719" t="inlineStr">
        <is>
          <t>To record capital call for 2 millions offsetting Legacy Knight Sub Close dtd 5/19/2026</t>
        </is>
      </c>
      <c r="E719" s="866" t="inlineStr">
        <is>
          <t>James Kane</t>
        </is>
      </c>
    </row>
    <row r="720">
      <c r="A720" s="856" t="inlineStr">
        <is>
          <t>301200 Contributions:Contribution - Investment</t>
        </is>
      </c>
      <c r="C720">
        <f>ROUND(_xlfn.XLOOKUP(E720,'May 26 Distribution Checking'!A:A,'May 26 Distribution Checking'!U:U),2)</f>
        <v/>
      </c>
      <c r="D720" t="inlineStr">
        <is>
          <t>To record capital call for 2 millions offsetting Legacy Knight Sub Close dtd 5/19/2026</t>
        </is>
      </c>
      <c r="E720" s="866" t="inlineStr">
        <is>
          <t>James Thorp</t>
        </is>
      </c>
    </row>
    <row r="721">
      <c r="A721" s="856" t="inlineStr">
        <is>
          <t>301200 Contributions:Contribution - Investment</t>
        </is>
      </c>
      <c r="C721">
        <f>ROUND(_xlfn.XLOOKUP(E721,'May 26 Distribution Checking'!A:A,'May 26 Distribution Checking'!U:U),2)</f>
        <v/>
      </c>
      <c r="D721" t="inlineStr">
        <is>
          <t>To record capital call for 2 millions offsetting Legacy Knight Sub Close dtd 5/19/2026</t>
        </is>
      </c>
      <c r="E721" s="866" t="inlineStr">
        <is>
          <t>Jeffrey A. Lipsitz Revocable Trust</t>
        </is>
      </c>
    </row>
    <row r="722">
      <c r="A722" s="856" t="inlineStr">
        <is>
          <t>301200 Contributions:Contribution - Investment</t>
        </is>
      </c>
      <c r="C722">
        <f>ROUND(_xlfn.XLOOKUP(E722,'May 26 Distribution Checking'!A:A,'May 26 Distribution Checking'!U:U),2)</f>
        <v/>
      </c>
      <c r="D722" t="inlineStr">
        <is>
          <t>To record capital call for 2 millions offsetting Legacy Knight Sub Close dtd 5/19/2026</t>
        </is>
      </c>
      <c r="E722" s="866" t="inlineStr">
        <is>
          <t>Jeffrey D Furber Revocable Trust</t>
        </is>
      </c>
    </row>
    <row r="723">
      <c r="A723" s="856" t="inlineStr">
        <is>
          <t>301200 Contributions:Contribution - Investment</t>
        </is>
      </c>
      <c r="C723">
        <f>ROUND(_xlfn.XLOOKUP(E723,'May 26 Distribution Checking'!A:A,'May 26 Distribution Checking'!U:U),2)</f>
        <v/>
      </c>
      <c r="D723" t="inlineStr">
        <is>
          <t>To record capital call for 2 millions offsetting Legacy Knight Sub Close dtd 5/19/2026</t>
        </is>
      </c>
      <c r="E723" s="866" t="inlineStr">
        <is>
          <t>Jeremy M. Jacobs Trust U/A/D April 1, 1973 fbo Margaret L. Reichenback</t>
        </is>
      </c>
    </row>
    <row r="724">
      <c r="A724" s="856" t="inlineStr">
        <is>
          <t>301200 Contributions:Contribution - Investment</t>
        </is>
      </c>
      <c r="C724">
        <f>ROUND(_xlfn.XLOOKUP(E724,'May 26 Distribution Checking'!A:A,'May 26 Distribution Checking'!U:U),2)</f>
        <v/>
      </c>
      <c r="D724" t="inlineStr">
        <is>
          <t>To record capital call for 2 millions offsetting Legacy Knight Sub Close dtd 5/19/2026</t>
        </is>
      </c>
      <c r="E724" s="866" t="inlineStr">
        <is>
          <t>John Mark Comer</t>
        </is>
      </c>
    </row>
    <row r="725">
      <c r="A725" s="856" t="inlineStr">
        <is>
          <t>301200 Contributions:Contribution - Investment</t>
        </is>
      </c>
      <c r="C725">
        <f>ROUND(_xlfn.XLOOKUP(E725,'May 26 Distribution Checking'!A:A,'May 26 Distribution Checking'!U:U),2)</f>
        <v/>
      </c>
      <c r="D725" t="inlineStr">
        <is>
          <t>To record capital call for 2 millions offsetting Legacy Knight Sub Close dtd 5/19/2026</t>
        </is>
      </c>
      <c r="E725" s="866" t="inlineStr">
        <is>
          <t>Landscape I, LP</t>
        </is>
      </c>
    </row>
    <row r="726">
      <c r="A726" s="856" t="inlineStr">
        <is>
          <t>301200 Contributions:Contribution - Investment</t>
        </is>
      </c>
      <c r="C726">
        <f>ROUND(_xlfn.XLOOKUP(E726,'May 26 Distribution Checking'!A:A,'May 26 Distribution Checking'!U:U),2)</f>
        <v/>
      </c>
      <c r="D726" t="inlineStr">
        <is>
          <t>To record capital call for 2 millions offsetting Legacy Knight Sub Close dtd 5/19/2026</t>
        </is>
      </c>
      <c r="E726" s="866" t="inlineStr">
        <is>
          <t>Lisa Bell Trust, Elisabeth B. Bell, Trustee</t>
        </is>
      </c>
    </row>
    <row r="727">
      <c r="A727" s="856" t="inlineStr">
        <is>
          <t>301200 Contributions:Contribution - Investment</t>
        </is>
      </c>
      <c r="C727">
        <f>ROUND(_xlfn.XLOOKUP(E727,'May 26 Distribution Checking'!A:A,'May 26 Distribution Checking'!U:U),2)</f>
        <v/>
      </c>
      <c r="D727" t="inlineStr">
        <is>
          <t>To record capital call for 2 millions offsetting Legacy Knight Sub Close dtd 5/19/2026</t>
        </is>
      </c>
      <c r="E727" s="866" t="inlineStr">
        <is>
          <t>Madten Investments LLC</t>
        </is>
      </c>
    </row>
    <row r="728">
      <c r="A728" s="856" t="inlineStr">
        <is>
          <t>301200 Contributions:Contribution - Investment</t>
        </is>
      </c>
      <c r="C728">
        <f>ROUND(_xlfn.XLOOKUP(E728,'May 26 Distribution Checking'!A:A,'May 26 Distribution Checking'!U:U),2)</f>
        <v/>
      </c>
      <c r="D728" t="inlineStr">
        <is>
          <t>To record capital call for 2 millions offsetting Legacy Knight Sub Close dtd 5/19/2026</t>
        </is>
      </c>
      <c r="E728" s="866" t="inlineStr">
        <is>
          <t>Matt McCoy</t>
        </is>
      </c>
    </row>
    <row r="729">
      <c r="A729" s="856" t="inlineStr">
        <is>
          <t>301200 Contributions:Contribution - Investment</t>
        </is>
      </c>
      <c r="C729">
        <f>ROUND(_xlfn.XLOOKUP(E729,'May 26 Distribution Checking'!A:A,'May 26 Distribution Checking'!U:U),2)</f>
        <v/>
      </c>
      <c r="D729" t="inlineStr">
        <is>
          <t>To record capital call for 2 millions offsetting Legacy Knight Sub Close dtd 5/19/2026</t>
        </is>
      </c>
      <c r="E729" s="866" t="inlineStr">
        <is>
          <t>Matterhorn Holdings, LLC</t>
        </is>
      </c>
    </row>
    <row r="730">
      <c r="A730" s="856" t="inlineStr">
        <is>
          <t>301200 Contributions:Contribution - Investment</t>
        </is>
      </c>
      <c r="C730">
        <f>ROUND(_xlfn.XLOOKUP(E730,'May 26 Distribution Checking'!A:A,'May 26 Distribution Checking'!U:U),2)</f>
        <v/>
      </c>
      <c r="D730" t="inlineStr">
        <is>
          <t>To record capital call for 2 millions offsetting Legacy Knight Sub Close dtd 5/19/2026</t>
        </is>
      </c>
      <c r="E730" s="866" t="inlineStr">
        <is>
          <t>Max O. Reinbach III</t>
        </is>
      </c>
    </row>
    <row r="731">
      <c r="A731" s="856" t="inlineStr">
        <is>
          <t>301200 Contributions:Contribution - Investment</t>
        </is>
      </c>
      <c r="C731">
        <f>ROUND(_xlfn.XLOOKUP(E731,'May 26 Distribution Checking'!A:A,'May 26 Distribution Checking'!U:U),2)</f>
        <v/>
      </c>
      <c r="D731" t="inlineStr">
        <is>
          <t>To record capital call for 2 millions offsetting Legacy Knight Sub Close dtd 5/19/2026</t>
        </is>
      </c>
      <c r="E731" s="866" t="inlineStr">
        <is>
          <t>Meghann C. Robinson</t>
        </is>
      </c>
    </row>
    <row r="732">
      <c r="A732" s="856" t="inlineStr">
        <is>
          <t>301200 Contributions:Contribution - Investment</t>
        </is>
      </c>
      <c r="C732">
        <f>ROUND(_xlfn.XLOOKUP(E732,'May 26 Distribution Checking'!A:A,'May 26 Distribution Checking'!U:U),2)</f>
        <v/>
      </c>
      <c r="D732" t="inlineStr">
        <is>
          <t>To record capital call for 2 millions offsetting Legacy Knight Sub Close dtd 5/19/2026</t>
        </is>
      </c>
      <c r="E732" s="866" t="inlineStr">
        <is>
          <t>Nahas Investments II LLC</t>
        </is>
      </c>
    </row>
    <row r="733">
      <c r="A733" s="856" t="inlineStr">
        <is>
          <t>301200 Contributions:Contribution - Investment</t>
        </is>
      </c>
      <c r="C733">
        <f>ROUND(_xlfn.XLOOKUP(E733,'May 26 Distribution Checking'!A:A,'May 26 Distribution Checking'!U:U),2)</f>
        <v/>
      </c>
      <c r="D733" t="inlineStr">
        <is>
          <t>To record capital call for 2 millions offsetting Legacy Knight Sub Close dtd 5/19/2026</t>
        </is>
      </c>
      <c r="E733" s="869" t="inlineStr">
        <is>
          <t>Odyssey Holdings, LLC</t>
        </is>
      </c>
    </row>
    <row r="734">
      <c r="A734" s="856" t="inlineStr">
        <is>
          <t>301200 Contributions:Contribution - Investment</t>
        </is>
      </c>
      <c r="C734">
        <f>ROUND(_xlfn.XLOOKUP(E734,'May 26 Distribution Checking'!A:A,'May 26 Distribution Checking'!U:U),2)</f>
        <v/>
      </c>
      <c r="D734" t="inlineStr">
        <is>
          <t>To record capital call for 2 millions offsetting Legacy Knight Sub Close dtd 5/19/2026</t>
        </is>
      </c>
      <c r="E734" s="866" t="inlineStr">
        <is>
          <t>Pease River Holdings LLC</t>
        </is>
      </c>
    </row>
    <row r="735">
      <c r="A735" s="856" t="inlineStr">
        <is>
          <t>301200 Contributions:Contribution - Investment</t>
        </is>
      </c>
      <c r="C735">
        <f>ROUND(_xlfn.XLOOKUP(E735,'May 26 Distribution Checking'!A:A,'May 26 Distribution Checking'!U:U),2)</f>
        <v/>
      </c>
      <c r="D735" t="inlineStr">
        <is>
          <t>To record capital call for 2 millions offsetting Legacy Knight Sub Close dtd 5/19/2026</t>
        </is>
      </c>
      <c r="E735" s="866" t="inlineStr">
        <is>
          <t>PT Burros, LLC</t>
        </is>
      </c>
    </row>
    <row r="736">
      <c r="A736" s="856" t="inlineStr">
        <is>
          <t>301200 Contributions:Contribution - Investment</t>
        </is>
      </c>
      <c r="C736">
        <f>ROUND(_xlfn.XLOOKUP(E736,'May 26 Distribution Checking'!A:A,'May 26 Distribution Checking'!U:U),2)</f>
        <v/>
      </c>
      <c r="D736" t="inlineStr">
        <is>
          <t>To record capital call for 2 millions offsetting Legacy Knight Sub Close dtd 5/19/2026</t>
        </is>
      </c>
      <c r="E736" s="866" t="inlineStr">
        <is>
          <t>Robert D. Falese III</t>
        </is>
      </c>
    </row>
    <row r="737">
      <c r="A737" s="856" t="inlineStr">
        <is>
          <t>301200 Contributions:Contribution - Investment</t>
        </is>
      </c>
      <c r="C737">
        <f>ROUND(_xlfn.XLOOKUP(E737,'May 26 Distribution Checking'!A:A,'May 26 Distribution Checking'!U:U),2)</f>
        <v/>
      </c>
      <c r="D737" t="inlineStr">
        <is>
          <t>To record capital call for 2 millions offsetting Legacy Knight Sub Close dtd 5/19/2026</t>
        </is>
      </c>
      <c r="E737" s="866" t="inlineStr">
        <is>
          <t>Robert Parker Yates</t>
        </is>
      </c>
    </row>
    <row r="738">
      <c r="A738" s="856" t="inlineStr">
        <is>
          <t>301200 Contributions:Contribution - Investment</t>
        </is>
      </c>
      <c r="C738">
        <f>ROUND(_xlfn.XLOOKUP(E738,'May 26 Distribution Checking'!A:A,'May 26 Distribution Checking'!U:U),2)</f>
        <v/>
      </c>
      <c r="D738" t="inlineStr">
        <is>
          <t>To record capital call for 2 millions offsetting Legacy Knight Sub Close dtd 5/19/2026</t>
        </is>
      </c>
      <c r="E738" s="866" t="inlineStr">
        <is>
          <t>Robert S. Shafir &amp; Donna R. Shafir TEN/COM</t>
        </is>
      </c>
    </row>
    <row r="739">
      <c r="A739" s="856" t="inlineStr">
        <is>
          <t>301200 Contributions:Contribution - Investment</t>
        </is>
      </c>
      <c r="C739">
        <f>ROUND(_xlfn.XLOOKUP(E739,'May 26 Distribution Checking'!A:A,'May 26 Distribution Checking'!U:U),2)</f>
        <v/>
      </c>
      <c r="D739" t="inlineStr">
        <is>
          <t>To record capital call for 2 millions offsetting Legacy Knight Sub Close dtd 5/19/2026</t>
        </is>
      </c>
      <c r="E739" s="866" t="inlineStr">
        <is>
          <t>Robert S. Shafir 2011 Children's Trust</t>
        </is>
      </c>
    </row>
    <row r="740">
      <c r="A740" s="856" t="inlineStr">
        <is>
          <t>301200 Contributions:Contribution - Investment</t>
        </is>
      </c>
      <c r="C740">
        <f>ROUND(_xlfn.XLOOKUP(E740,'May 26 Distribution Checking'!A:A,'May 26 Distribution Checking'!U:U),2)</f>
        <v/>
      </c>
      <c r="D740" t="inlineStr">
        <is>
          <t>To record capital call for 2 millions offsetting Legacy Knight Sub Close dtd 5/19/2026</t>
        </is>
      </c>
      <c r="E740" s="866" t="inlineStr">
        <is>
          <t>Romar Partners, LP</t>
        </is>
      </c>
    </row>
    <row r="741">
      <c r="A741" s="856" t="inlineStr">
        <is>
          <t>301200 Contributions:Contribution - Investment</t>
        </is>
      </c>
      <c r="C741">
        <f>ROUND(_xlfn.XLOOKUP(E741,'May 26 Distribution Checking'!A:A,'May 26 Distribution Checking'!U:U),2)</f>
        <v/>
      </c>
      <c r="D741" t="inlineStr">
        <is>
          <t>To record capital call for 2 millions offsetting Legacy Knight Sub Close dtd 5/19/2026</t>
        </is>
      </c>
      <c r="E741" s="866" t="inlineStr">
        <is>
          <t>Steven and Chani Laufer 2012 Dynasty Trust</t>
        </is>
      </c>
    </row>
    <row r="742">
      <c r="A742" s="856" t="inlineStr">
        <is>
          <t>301200 Contributions:Contribution - Investment</t>
        </is>
      </c>
      <c r="C742">
        <f>ROUND(_xlfn.XLOOKUP(E742,'May 26 Distribution Checking'!A:A,'May 26 Distribution Checking'!U:U),2)</f>
        <v/>
      </c>
      <c r="D742" t="inlineStr">
        <is>
          <t>To record capital call for 2 millions offsetting Legacy Knight Sub Close dtd 5/19/2026</t>
        </is>
      </c>
      <c r="E742" s="866" t="inlineStr">
        <is>
          <t>Steven M. Laufer 2012 Trust</t>
        </is>
      </c>
    </row>
    <row r="743">
      <c r="A743" s="856" t="inlineStr">
        <is>
          <t>301200 Contributions:Contribution - Investment</t>
        </is>
      </c>
      <c r="C743">
        <f>ROUND(_xlfn.XLOOKUP(E743,'May 26 Distribution Checking'!A:A,'May 26 Distribution Checking'!U:U),2)</f>
        <v/>
      </c>
      <c r="D743" t="inlineStr">
        <is>
          <t>To record capital call for 2 millions offsetting Legacy Knight Sub Close dtd 5/19/2026</t>
        </is>
      </c>
      <c r="E743" s="866" t="inlineStr">
        <is>
          <t>Stewart Tate</t>
        </is>
      </c>
    </row>
    <row r="744">
      <c r="A744" s="856" t="inlineStr">
        <is>
          <t>301200 Contributions:Contribution - Investment</t>
        </is>
      </c>
      <c r="C744">
        <f>ROUND(_xlfn.XLOOKUP(E744,'May 26 Distribution Checking'!A:A,'May 26 Distribution Checking'!U:U),2)</f>
        <v/>
      </c>
      <c r="D744" t="inlineStr">
        <is>
          <t>To record capital call for 2 millions offsetting Legacy Knight Sub Close dtd 5/19/2026</t>
        </is>
      </c>
      <c r="E744" s="866" t="inlineStr">
        <is>
          <t>TC Wilson Family Trust</t>
        </is>
      </c>
    </row>
    <row r="745">
      <c r="A745" s="856" t="inlineStr">
        <is>
          <t>301200 Contributions:Contribution - Investment</t>
        </is>
      </c>
      <c r="C745">
        <f>ROUND(_xlfn.XLOOKUP(E745,'May 26 Distribution Checking'!A:A,'May 26 Distribution Checking'!U:U),2)</f>
        <v/>
      </c>
      <c r="D745" t="inlineStr">
        <is>
          <t>To record capital call for 2 millions offsetting Legacy Knight Sub Close dtd 5/19/2026</t>
        </is>
      </c>
      <c r="E745" s="866" t="inlineStr">
        <is>
          <t>Terminal Refrigerating &amp; Warehousing Corp.</t>
        </is>
      </c>
    </row>
    <row r="746">
      <c r="A746" s="856" t="inlineStr">
        <is>
          <t>301200 Contributions:Contribution - Investment</t>
        </is>
      </c>
      <c r="C746">
        <f>ROUND(_xlfn.XLOOKUP(E746,'May 26 Distribution Checking'!A:A,'May 26 Distribution Checking'!U:U),2)</f>
        <v/>
      </c>
      <c r="D746" t="inlineStr">
        <is>
          <t>To record capital call for 2 millions offsetting Legacy Knight Sub Close dtd 5/19/2026</t>
        </is>
      </c>
      <c r="E746" s="866" t="inlineStr">
        <is>
          <t>The 2015 Pipe Reality Delaware Trust</t>
        </is>
      </c>
    </row>
    <row r="747">
      <c r="A747" s="856" t="inlineStr">
        <is>
          <t>301200 Contributions:Contribution - Investment</t>
        </is>
      </c>
      <c r="C747">
        <f>ROUND(_xlfn.XLOOKUP(E747,'May 26 Distribution Checking'!A:A,'May 26 Distribution Checking'!U:U),2)</f>
        <v/>
      </c>
      <c r="D747" t="inlineStr">
        <is>
          <t>To record capital call for 2 millions offsetting Legacy Knight Sub Close dtd 5/19/2026</t>
        </is>
      </c>
      <c r="E747" s="866" t="inlineStr">
        <is>
          <t>The David L. Schnadig 2017 Trust</t>
        </is>
      </c>
    </row>
    <row r="748">
      <c r="A748" s="856" t="inlineStr">
        <is>
          <t>301200 Contributions:Contribution - Investment</t>
        </is>
      </c>
      <c r="C748">
        <f>ROUND(_xlfn.XLOOKUP(E748,'May 26 Distribution Checking'!A:A,'May 26 Distribution Checking'!U:U),2)</f>
        <v/>
      </c>
      <c r="D748" t="inlineStr">
        <is>
          <t>To record capital call for 2 millions offsetting Legacy Knight Sub Close dtd 5/19/2026</t>
        </is>
      </c>
      <c r="E748" s="866" t="inlineStr">
        <is>
          <t>The Diane Rosen 2021 Irrevocable Family Trust</t>
        </is>
      </c>
    </row>
    <row r="749">
      <c r="A749" s="856" t="inlineStr">
        <is>
          <t>301200 Contributions:Contribution - Investment</t>
        </is>
      </c>
      <c r="C749">
        <f>ROUND(_xlfn.XLOOKUP(E749,'May 26 Distribution Checking'!A:A,'May 26 Distribution Checking'!U:U),2)</f>
        <v/>
      </c>
      <c r="D749" t="inlineStr">
        <is>
          <t>To record capital call for 2 millions offsetting Legacy Knight Sub Close dtd 5/19/2026</t>
        </is>
      </c>
      <c r="E749" s="866" t="inlineStr">
        <is>
          <t>The Mark T. Kirchdorfer 2015 Family Delaware Dynasty Trust</t>
        </is>
      </c>
    </row>
    <row r="750">
      <c r="A750" s="856" t="inlineStr">
        <is>
          <t>301200 Contributions:Contribution - Investment</t>
        </is>
      </c>
      <c r="C750">
        <f>ROUND(_xlfn.XLOOKUP(E750,'May 26 Distribution Checking'!A:A,'May 26 Distribution Checking'!U:U),2)</f>
        <v/>
      </c>
      <c r="D750" t="inlineStr">
        <is>
          <t>To record capital call for 2 millions offsetting Legacy Knight Sub Close dtd 5/19/2026</t>
        </is>
      </c>
      <c r="E750" s="866" t="inlineStr">
        <is>
          <t>University of Southern California</t>
        </is>
      </c>
    </row>
    <row r="751">
      <c r="A751" s="856" t="inlineStr">
        <is>
          <t>301200 Contributions:Contribution - Investment</t>
        </is>
      </c>
      <c r="C751">
        <f>ROUND(_xlfn.XLOOKUP(E751,'May 26 Distribution Checking'!A:A,'May 26 Distribution Checking'!U:U),2)</f>
        <v/>
      </c>
      <c r="D751" t="inlineStr">
        <is>
          <t>To record capital call for 2 millions offsetting Legacy Knight Sub Close dtd 5/19/2026</t>
        </is>
      </c>
      <c r="E751" s="866" t="inlineStr">
        <is>
          <t>Walker D. Zimmerman</t>
        </is>
      </c>
    </row>
    <row r="752">
      <c r="A752" s="856" t="inlineStr">
        <is>
          <t>301200 Contributions:Contribution - Investment</t>
        </is>
      </c>
      <c r="C752">
        <f>ROUND(_xlfn.XLOOKUP(E752,'May 26 Distribution Checking'!A:A,'May 26 Distribution Checking'!U:U),2)</f>
        <v/>
      </c>
      <c r="D752" t="inlineStr">
        <is>
          <t>To record capital call for 2 millions offsetting Legacy Knight Sub Close dtd 5/19/2026</t>
        </is>
      </c>
      <c r="E752" s="866" t="inlineStr">
        <is>
          <t>Wilson Family Trust DTD 3-6-1987</t>
        </is>
      </c>
    </row>
    <row r="753">
      <c r="A753" s="856" t="inlineStr">
        <is>
          <t>301200 Contributions:Contribution - Investment</t>
        </is>
      </c>
      <c r="C753">
        <f>ROUND(_xlfn.XLOOKUP(E753,'May 26 Distribution Checking'!A:A,'May 26 Distribution Checking'!U:U),2)</f>
        <v/>
      </c>
      <c r="D753" t="inlineStr">
        <is>
          <t>To record capital call for 2 millions offsetting Legacy Knight Sub Close dtd 5/19/2026</t>
        </is>
      </c>
      <c r="E753" s="866" t="inlineStr">
        <is>
          <t>Wilson GST Exempt Trust</t>
        </is>
      </c>
    </row>
    <row r="754">
      <c r="A754" s="856" t="inlineStr">
        <is>
          <t>301200 Contributions:Contribution - Investment</t>
        </is>
      </c>
      <c r="C754">
        <f>ROUND(_xlfn.XLOOKUP(E754,'May 26 Distribution Checking'!A:A,'May 26 Distribution Checking'!U:U),2)</f>
        <v/>
      </c>
      <c r="D754" t="inlineStr">
        <is>
          <t>To record capital call for 2 millions offsetting Legacy Knight Sub Close dtd 5/19/2026</t>
        </is>
      </c>
      <c r="E754" s="866" t="inlineStr">
        <is>
          <t>Texas Emerging Managers Private Markets Program, L.P. (2025-1 RE Investment Series)</t>
        </is>
      </c>
    </row>
    <row r="755">
      <c r="A755" s="856" t="inlineStr">
        <is>
          <t>301200 Contributions:Contribution - Investment</t>
        </is>
      </c>
      <c r="C755">
        <f>ROUND(_xlfn.XLOOKUP(E755,'May 26 Distribution Checking'!A:A,'May 26 Distribution Checking'!U:U),2)</f>
        <v/>
      </c>
      <c r="D755" t="inlineStr">
        <is>
          <t>To record capital call for 2 millions offsetting Legacy Knight Sub Close dtd 5/19/2026</t>
        </is>
      </c>
      <c r="E755" s="866" t="inlineStr">
        <is>
          <t>GCM Grosvenor NJ RE Emerging Managers Program, LP (2023-1 Investment Series)</t>
        </is>
      </c>
    </row>
    <row r="756">
      <c r="A756" s="856" t="inlineStr">
        <is>
          <t>301200 Contributions:Contribution - Investment</t>
        </is>
      </c>
      <c r="C756">
        <f>ROUND(_xlfn.XLOOKUP(E756,'May 26 Distribution Checking'!A:A,'May 26 Distribution Checking'!U:U),2)</f>
        <v/>
      </c>
      <c r="D756" t="inlineStr">
        <is>
          <t>To record capital call for 2 millions offsetting Legacy Knight Sub Close dtd 5/19/2026</t>
        </is>
      </c>
      <c r="E756" s="866" t="inlineStr">
        <is>
          <t>GCM Grosvenor - NYSTRS Real Estate Investment Partners, L.P. (2024-1 Series)</t>
        </is>
      </c>
    </row>
    <row r="757">
      <c r="A757" s="856" t="inlineStr">
        <is>
          <t>301200 Contributions:Contribution - Investment</t>
        </is>
      </c>
      <c r="C757">
        <f>ROUND(_xlfn.XLOOKUP(E757,'May 26 Distribution Checking'!A:A,'May 26 Distribution Checking'!U:U),2)</f>
        <v/>
      </c>
      <c r="D757" t="inlineStr">
        <is>
          <t>To record capital call for 2 millions offsetting Legacy Knight Sub Close dtd 5/19/2026</t>
        </is>
      </c>
      <c r="E757" s="866" t="inlineStr">
        <is>
          <t>CRPTF-GCM Middle-Market RE Partnership, L.P. (2025-01 Investment Series)</t>
        </is>
      </c>
    </row>
    <row r="758">
      <c r="A758" s="856" t="inlineStr">
        <is>
          <t>301200 Contributions:Contribution - Investment</t>
        </is>
      </c>
      <c r="C758">
        <f>ROUND(_xlfn.XLOOKUP(E758,'May 26 Distribution Checking'!A:A,'May 26 Distribution Checking'!U:U),2)</f>
        <v/>
      </c>
      <c r="D758" t="inlineStr">
        <is>
          <t>To record capital call for 2 millions offsetting Legacy Knight Sub Close dtd 5/19/2026</t>
        </is>
      </c>
      <c r="E758" s="870" t="inlineStr">
        <is>
          <t>Legacy Knight Strategic Opportunities Fund LLC - CL Rail Series</t>
        </is>
      </c>
    </row>
    <row r="759">
      <c r="A759" s="856" t="inlineStr">
        <is>
          <t>301200 Contributions:Contribution - Investment</t>
        </is>
      </c>
      <c r="C759">
        <f>ROUND(_xlfn.XLOOKUP(E759,'May 26 Distribution Checking'!A:A,'May 26 Distribution Checking'!U:U),2)</f>
        <v/>
      </c>
      <c r="D759" t="inlineStr">
        <is>
          <t>To record capital call for 2 millions offsetting Legacy Knight Sub Close dtd 5/19/2026</t>
        </is>
      </c>
      <c r="E759" s="866" t="inlineStr">
        <is>
          <t>Argos Holdings, LLC</t>
        </is>
      </c>
    </row>
    <row r="760">
      <c r="A760" s="856" t="inlineStr">
        <is>
          <t>301200 Contributions:Contribution - Investment</t>
        </is>
      </c>
      <c r="C760">
        <f>ROUND(_xlfn.XLOOKUP(E760,'May 26 Distribution Checking'!A:A,'May 26 Distribution Checking'!U:U),2)</f>
        <v/>
      </c>
      <c r="D760" t="inlineStr">
        <is>
          <t>To record capital call for 2 millions offsetting Legacy Knight Sub Close dtd 5/19/2026</t>
        </is>
      </c>
      <c r="E760" s="866" t="inlineStr">
        <is>
          <t>Palmatum HR Illiquid, LLC</t>
        </is>
      </c>
    </row>
    <row r="761">
      <c r="A761" s="856" t="inlineStr">
        <is>
          <t>301200 Contributions:Contribution - Investment</t>
        </is>
      </c>
      <c r="C761">
        <f>ROUND(_xlfn.XLOOKUP(E761,'May 26 Distribution Checking'!A:A,'May 26 Distribution Checking'!U:U),2)</f>
        <v/>
      </c>
      <c r="D761" t="inlineStr">
        <is>
          <t>To record capital call for 2 millions offsetting Legacy Knight Sub Close dtd 5/19/2026</t>
        </is>
      </c>
      <c r="E761" s="866" t="inlineStr">
        <is>
          <t>James Bloomingdale</t>
        </is>
      </c>
    </row>
    <row r="762">
      <c r="A762" s="856" t="inlineStr">
        <is>
          <t>100200 Cash Checking</t>
        </is>
      </c>
      <c r="B762" t="n">
        <v>126350</v>
      </c>
      <c r="D762" t="inlineStr">
        <is>
          <t>To record refund due to Overstatement for Odyssey commitment in Q2'26</t>
        </is>
      </c>
      <c r="E762" s="866" t="inlineStr">
        <is>
          <t>Odyssey Holdings, LLC</t>
        </is>
      </c>
    </row>
    <row r="763">
      <c r="A763" s="856" t="inlineStr">
        <is>
          <t>12000 Accounts Receivable</t>
        </is>
      </c>
      <c r="C763" t="n">
        <v>5008186</v>
      </c>
      <c r="D763" t="inlineStr">
        <is>
          <t>To record capital call related to Legacy Knight Sub Close dtd 5/5/26</t>
        </is>
      </c>
      <c r="E763" s="870" t="inlineStr">
        <is>
          <t>Legacy Knight Strategic Opportunities Fund LLC - CL Rail Series</t>
        </is>
      </c>
    </row>
    <row r="764">
      <c r="A764" s="856" t="inlineStr">
        <is>
          <t>100200 Cash Checking</t>
        </is>
      </c>
      <c r="B764" t="n">
        <v>5161409.84</v>
      </c>
      <c r="D764" t="inlineStr">
        <is>
          <t>To record payment received from Legacy Knight related to Legacy Knight Sub Close dtd 5/5/26</t>
        </is>
      </c>
      <c r="E764" s="870" t="inlineStr">
        <is>
          <t>Legacy Knight Strategic Opportunities Fund LLC - CL Rail Series</t>
        </is>
      </c>
    </row>
    <row r="765">
      <c r="A765" s="856" t="inlineStr">
        <is>
          <t>301200 Contributions:Contribution - Investment</t>
        </is>
      </c>
      <c r="B765" t="n">
        <v>320894.82</v>
      </c>
      <c r="D765" t="inlineStr">
        <is>
          <t xml:space="preserve">To record true-up for Odyssey due to Odyssey commitment overstatement in Q1'26.  </t>
        </is>
      </c>
      <c r="E765" s="869" t="inlineStr">
        <is>
          <t>Odyssey Holdings, LLC</t>
        </is>
      </c>
    </row>
    <row r="766">
      <c r="A766" s="856" t="inlineStr">
        <is>
          <t>301800 Contributions:Contribution - Org Exp</t>
        </is>
      </c>
      <c r="B766" s="833" t="n">
        <v>142.85</v>
      </c>
      <c r="D766" t="inlineStr">
        <is>
          <t xml:space="preserve">To record true-up for Odyssey due to Odyssey commitment overstatement in Q1'26.  </t>
        </is>
      </c>
      <c r="E766" s="869" t="inlineStr">
        <is>
          <t>Odyssey Holdings, LLC</t>
        </is>
      </c>
    </row>
    <row r="767">
      <c r="A767" s="856" t="inlineStr">
        <is>
          <t>301100 Contributions:Contribution - General</t>
        </is>
      </c>
      <c r="B767" t="n">
        <v>38696.33</v>
      </c>
      <c r="D767" t="inlineStr">
        <is>
          <t xml:space="preserve">To record true-up for Odyssey due to Odyssey commitment overstatement in Q1'26.  </t>
        </is>
      </c>
      <c r="E767" s="869" t="inlineStr">
        <is>
          <t>Odyssey Holdings, LLC</t>
        </is>
      </c>
    </row>
    <row r="768">
      <c r="A768" s="861" t="inlineStr">
        <is>
          <t>Uncategorized Expenses</t>
        </is>
      </c>
      <c r="C768" t="n">
        <v>486084.34</v>
      </c>
      <c r="D768" t="inlineStr">
        <is>
          <t xml:space="preserve">To record true-up for Odyssey due to Odyssey commitment overstatement in Q1'26.  </t>
        </is>
      </c>
      <c r="E768" s="869" t="inlineStr">
        <is>
          <t>Odyssey Holdings, LLC</t>
        </is>
      </c>
    </row>
    <row r="769">
      <c r="A769" s="856" t="inlineStr">
        <is>
          <t>301100 Contributions:Contribution - General</t>
        </is>
      </c>
      <c r="C769" t="n">
        <v>0.2</v>
      </c>
      <c r="D769" t="inlineStr">
        <is>
          <t>To record rounding related to Legacy Knight Sub Close JE dtd 5/19/26</t>
        </is>
      </c>
      <c r="E769" s="869" t="inlineStr">
        <is>
          <t>Odyssey Holdings, LLC</t>
        </is>
      </c>
    </row>
    <row r="770">
      <c r="A770" s="856" t="inlineStr">
        <is>
          <t>12000 Accounts Receivable</t>
        </is>
      </c>
      <c r="B770" t="n">
        <v>255.37</v>
      </c>
      <c r="D770" t="inlineStr">
        <is>
          <t>To record capital call receivable for James Bloomingdale dtd 5/19/2026.</t>
        </is>
      </c>
      <c r="E770" s="866" t="inlineStr">
        <is>
          <t>James Bloomingdale</t>
        </is>
      </c>
    </row>
  </sheetData>
  <pageMargins left="0.7" right="0.7" top="0.75" bottom="0.75" header="0.3" footer="0.3"/>
  <pageSetup orientation="portrait"/>
</worksheet>
</file>

<file path=xl/worksheets/sheet2.xml><?xml version="1.0" encoding="utf-8"?>
<worksheet xmlns="http://schemas.openxmlformats.org/spreadsheetml/2006/main">
  <sheetPr>
    <tabColor theme="9" tint="0.3999755851924192"/>
    <outlinePr summaryBelow="1" summaryRight="1"/>
    <pageSetUpPr/>
  </sheetPr>
  <dimension ref="A1:AI99"/>
  <sheetViews>
    <sheetView tabSelected="0" workbookViewId="0">
      <selection activeCell="A1" sqref="A1"/>
    </sheetView>
  </sheetViews>
  <sheetFormatPr baseColWidth="8" defaultRowHeight="14.5"/>
  <cols>
    <col width="76.7265625" bestFit="1" customWidth="1" style="759" min="1" max="1"/>
    <col width="12.26953125" bestFit="1" customWidth="1" style="759" min="2" max="2"/>
    <col width="13.81640625" bestFit="1" customWidth="1" style="759" min="3" max="3"/>
    <col width="11" bestFit="1" customWidth="1" style="759" min="4" max="4"/>
    <col width="13.7265625" bestFit="1" customWidth="1" style="759" min="5" max="5"/>
    <col width="8.7265625" bestFit="1" customWidth="1" style="759" min="6" max="6"/>
    <col width="12.26953125" bestFit="1" customWidth="1" style="759" min="8" max="8"/>
    <col width="12.81640625" bestFit="1" customWidth="1" style="759" min="9" max="9"/>
    <col width="14.54296875" bestFit="1" customWidth="1" style="759" min="11" max="11"/>
    <col width="5" bestFit="1" customWidth="1" style="759" min="12" max="12"/>
    <col width="30.7265625" bestFit="1" customWidth="1" style="759" min="14" max="14"/>
    <col width="8.7265625" bestFit="1" customWidth="1" style="759" min="15" max="15"/>
    <col width="11.1796875" bestFit="1" customWidth="1" style="759" min="16" max="16"/>
    <col width="9.54296875" bestFit="1" customWidth="1" style="759" min="17" max="17"/>
    <col width="11" bestFit="1" customWidth="1" style="759" min="18" max="18"/>
    <col width="38" bestFit="1" customWidth="1" style="759" min="19" max="19"/>
    <col width="11.1796875" bestFit="1" customWidth="1" style="759" min="20" max="20"/>
    <col width="11.1796875" customWidth="1" style="759" min="22" max="22"/>
    <col width="21" bestFit="1" customWidth="1" style="759" min="24" max="24"/>
    <col width="7.81640625" bestFit="1" customWidth="1" style="759" min="25" max="25"/>
    <col width="10.453125" bestFit="1" customWidth="1" style="759" min="26" max="26"/>
    <col width="24.54296875" bestFit="1" customWidth="1" style="759" min="27" max="27"/>
    <col width="11.81640625" bestFit="1" customWidth="1" style="759" min="28" max="28"/>
  </cols>
  <sheetData>
    <row r="1" ht="15" customHeight="1" s="759">
      <c r="A1" s="871" t="inlineStr">
        <is>
          <t>Totals</t>
        </is>
      </c>
      <c r="B1" s="872" t="n">
        <v>189065693.37</v>
      </c>
      <c r="C1" s="872" t="n">
        <v>698301.630434743</v>
      </c>
      <c r="D1" s="872" t="n">
        <v>8.36735125631094e-11</v>
      </c>
      <c r="E1" s="872" t="n">
        <v>148297.2146739266</v>
      </c>
      <c r="F1" s="872" t="n"/>
      <c r="G1" s="872" t="n"/>
      <c r="H1" s="872" t="n">
        <v>144412292.2151086</v>
      </c>
      <c r="I1" s="872" t="n"/>
      <c r="K1" s="872" t="n">
        <v>-142412291.8706655</v>
      </c>
    </row>
    <row r="2" ht="72.5" customHeight="1" s="759">
      <c r="C2" s="873" t="inlineStr">
        <is>
          <t>Tied to GCM close WB</t>
        </is>
      </c>
      <c r="D2" s="873" t="inlineStr">
        <is>
          <t>Based on recalculated GCM close</t>
        </is>
      </c>
      <c r="E2" s="873" t="inlineStr">
        <is>
          <t>Tied to LK Close WB</t>
        </is>
      </c>
      <c r="F2" s="873" t="n"/>
      <c r="G2" s="873" t="n"/>
      <c r="N2" s="874" t="inlineStr">
        <is>
          <t>DISTRIBUTION - Subsequent Close</t>
        </is>
      </c>
      <c r="O2" s="875" t="n"/>
      <c r="P2" s="875" t="n"/>
      <c r="Q2" s="876" t="inlineStr">
        <is>
          <t>Not part of distribution on capital</t>
        </is>
      </c>
      <c r="R2" s="877" t="n"/>
      <c r="S2" s="878" t="inlineStr">
        <is>
          <t>Not part of distribution on capital</t>
        </is>
      </c>
      <c r="T2" s="877" t="n"/>
      <c r="U2" s="879" t="n"/>
      <c r="X2" s="880" t="inlineStr">
        <is>
          <t>MAY 2026 - Capital Call</t>
        </is>
      </c>
      <c r="Y2" s="877" t="n"/>
      <c r="Z2" s="879" t="n"/>
      <c r="AB2" s="881" t="n"/>
    </row>
    <row r="3" ht="116" customHeight="1" s="759">
      <c r="A3" s="882" t="inlineStr">
        <is>
          <t>Investor Name</t>
        </is>
      </c>
      <c r="B3" s="883" t="inlineStr">
        <is>
          <t>Total Commitment / Contributed Capital @ GCM Close</t>
        </is>
      </c>
      <c r="C3" s="883" t="inlineStr">
        <is>
          <t>Distribution - GCM Equalization</t>
        </is>
      </c>
      <c r="D3" s="883" t="inlineStr">
        <is>
          <t>Correcting Distribution (Odyssey commitment overstatement)</t>
        </is>
      </c>
      <c r="E3" s="883" t="inlineStr">
        <is>
          <t>Distribution - Legacy Knight Equalization</t>
        </is>
      </c>
      <c r="F3" s="883" t="inlineStr">
        <is>
          <t>Distribution - James &amp; Natalie Bloomingdale Equalization</t>
        </is>
      </c>
      <c r="G3" s="884" t="inlineStr">
        <is>
          <t>May 2026 - Capital Call</t>
        </is>
      </c>
      <c r="H3" s="884" t="inlineStr">
        <is>
          <t>Ending Capital (Recalculated)</t>
        </is>
      </c>
      <c r="I3" s="884" t="inlineStr">
        <is>
          <t>Unfunded per books</t>
        </is>
      </c>
      <c r="J3" s="884" t="n"/>
      <c r="K3" s="884" t="inlineStr">
        <is>
          <t>Ending Capital Per Sub Close WB</t>
        </is>
      </c>
      <c r="L3" s="884" t="inlineStr">
        <is>
          <t>Diff</t>
        </is>
      </c>
      <c r="N3" s="885" t="inlineStr">
        <is>
          <t>Call From Subsequent Close Investor</t>
        </is>
      </c>
      <c r="O3" s="884" t="inlineStr">
        <is>
          <t>Total GCM True-Up to Investor</t>
        </is>
      </c>
      <c r="P3" s="884" t="inlineStr">
        <is>
          <t>Total Investment Distribution to Investors</t>
        </is>
      </c>
      <c r="Q3" s="886" t="inlineStr">
        <is>
          <t>Total Interest Distribution to Investors</t>
        </is>
      </c>
      <c r="R3" s="884" t="inlineStr">
        <is>
          <t>Total Distribution to Investor</t>
        </is>
      </c>
      <c r="S3" s="886" t="inlineStr">
        <is>
          <t>Management Fee Interest Distribution</t>
        </is>
      </c>
      <c r="T3" s="884" t="inlineStr">
        <is>
          <t>Call received as of 5.18.26</t>
        </is>
      </c>
      <c r="U3" s="887" t="inlineStr">
        <is>
          <t>Net to Investor</t>
        </is>
      </c>
      <c r="V3" s="888" t="inlineStr">
        <is>
          <t>Return of Capital Call re Sub Close</t>
        </is>
      </c>
      <c r="X3" s="885" t="inlineStr">
        <is>
          <t>Call - Investments</t>
        </is>
      </c>
      <c r="Y3" s="884" t="inlineStr">
        <is>
          <t>Call - Management Fees</t>
        </is>
      </c>
      <c r="Z3" s="887" t="inlineStr">
        <is>
          <t>Total Capital Call</t>
        </is>
      </c>
      <c r="AB3" s="889" t="inlineStr">
        <is>
          <t>Net cash from/(to) investor</t>
        </is>
      </c>
    </row>
    <row r="4">
      <c r="A4" s="858" t="inlineStr">
        <is>
          <t>1999 Britta Biesecker Declaration of Trust DTD 5/12/99</t>
        </is>
      </c>
      <c r="B4" s="872" t="n">
        <v>500000</v>
      </c>
      <c r="C4" s="872" t="n">
        <v>-123101.892170701</v>
      </c>
      <c r="D4" s="872" t="n">
        <v>-335.3914554840885</v>
      </c>
      <c r="E4" s="872" t="n">
        <v>-12681.6643681703</v>
      </c>
      <c r="F4" s="872" t="n"/>
      <c r="G4" s="872" t="n">
        <v>5107.495064181762</v>
      </c>
      <c r="H4" s="872" t="n">
        <v>368988.5470698263</v>
      </c>
      <c r="I4" s="872" t="n">
        <v>131011.4529301737</v>
      </c>
      <c r="J4" s="872" t="n"/>
      <c r="K4" s="872" t="n">
        <v>-363881.048082341</v>
      </c>
      <c r="L4" s="872" t="n">
        <v>0.003923303601368389</v>
      </c>
      <c r="N4" s="890" t="n"/>
      <c r="O4" s="872" t="n">
        <v>-335.3914554840885</v>
      </c>
      <c r="P4" s="872" t="n">
        <v>-12681.66436817031</v>
      </c>
      <c r="Q4" s="891" t="n">
        <v>-868.3349846001933</v>
      </c>
      <c r="R4" s="872" t="n">
        <v>-13885.3908082546</v>
      </c>
      <c r="S4" s="891" t="n"/>
      <c r="T4" s="872" t="n"/>
      <c r="U4" s="845" t="n">
        <v>-13885.39080825459</v>
      </c>
      <c r="V4" s="892">
        <f>+P4</f>
        <v/>
      </c>
      <c r="X4" s="890" t="n">
        <v>5107.495064181762</v>
      </c>
      <c r="Y4" s="872" t="n">
        <v>0</v>
      </c>
      <c r="Z4" s="845" t="n">
        <v>5107.495064181762</v>
      </c>
      <c r="AB4" s="893" t="n">
        <v>-8777.89574407283</v>
      </c>
    </row>
    <row r="5">
      <c r="A5" s="858" t="inlineStr">
        <is>
          <t>1999 Frederick N Biesecker II Declaration of Trust DTD 5/12/99</t>
        </is>
      </c>
      <c r="B5" s="872" t="n">
        <v>700000</v>
      </c>
      <c r="C5" s="872" t="n">
        <v>-172342.6530389813</v>
      </c>
      <c r="D5" s="872" t="n">
        <v>-469.5480376778869</v>
      </c>
      <c r="E5" s="872" t="n">
        <v>-17754.33011543844</v>
      </c>
      <c r="F5" s="872" t="n"/>
      <c r="G5" s="872" t="n">
        <v>7150.493089854467</v>
      </c>
      <c r="H5" s="872" t="n">
        <v>516583.9618977569</v>
      </c>
      <c r="I5" s="872" t="n">
        <v>183416.0381022431</v>
      </c>
      <c r="J5" s="872" t="n"/>
      <c r="K5" s="872" t="n">
        <v>-509433.471315278</v>
      </c>
      <c r="L5" s="872" t="n">
        <v>-0.002507375535969913</v>
      </c>
      <c r="N5" s="890" t="n"/>
      <c r="O5" s="872" t="n">
        <v>-469.5480376778869</v>
      </c>
      <c r="P5" s="872" t="n">
        <v>-17754.33011543844</v>
      </c>
      <c r="Q5" s="891" t="n">
        <v>-1215.66897844027</v>
      </c>
      <c r="R5" s="872" t="n">
        <v>-19439.5471315566</v>
      </c>
      <c r="S5" s="891" t="n"/>
      <c r="T5" s="872" t="n"/>
      <c r="U5" s="845" t="n">
        <v>-19439.5471315566</v>
      </c>
      <c r="V5" s="892">
        <f>+P5</f>
        <v/>
      </c>
      <c r="X5" s="890" t="n">
        <v>7150.493089854467</v>
      </c>
      <c r="Y5" s="872" t="n">
        <v>0</v>
      </c>
      <c r="Z5" s="845" t="n">
        <v>7150.493089854467</v>
      </c>
      <c r="AB5" s="893" t="n">
        <v>-12289.05404170213</v>
      </c>
    </row>
    <row r="6">
      <c r="A6" s="858" t="inlineStr">
        <is>
          <t>1999 Lissa Biesecker Longacre Declaration of Trust DTD 5/12/99</t>
        </is>
      </c>
      <c r="B6" s="872" t="n">
        <v>600000</v>
      </c>
      <c r="C6" s="872" t="n">
        <v>-147722.2726048408</v>
      </c>
      <c r="D6" s="872" t="n">
        <v>-402.4697465809295</v>
      </c>
      <c r="E6" s="872" t="n">
        <v>-15217.99724180432</v>
      </c>
      <c r="F6" s="872" t="n"/>
      <c r="G6" s="872" t="n">
        <v>6128.994077018116</v>
      </c>
      <c r="H6" s="872" t="n">
        <v>442786.2544837921</v>
      </c>
      <c r="I6" s="872" t="n">
        <v>157213.7455162079</v>
      </c>
      <c r="J6" s="872" t="n"/>
      <c r="K6" s="872" t="n">
        <v>-436657.2596988098</v>
      </c>
      <c r="L6" s="872" t="n">
        <v>0.0007079641773088952</v>
      </c>
      <c r="N6" s="890" t="n"/>
      <c r="O6" s="872" t="n">
        <v>-402.4697465809295</v>
      </c>
      <c r="P6" s="872" t="n">
        <v>-15217.99724180432</v>
      </c>
      <c r="Q6" s="891" t="n">
        <v>-1042.001981520232</v>
      </c>
      <c r="R6" s="872" t="n">
        <v>-16662.46896990548</v>
      </c>
      <c r="S6" s="891" t="n"/>
      <c r="T6" s="872" t="n"/>
      <c r="U6" s="845" t="n">
        <v>-16662.46896990548</v>
      </c>
      <c r="V6" s="892">
        <f>+P6</f>
        <v/>
      </c>
      <c r="X6" s="890" t="n">
        <v>6128.994077018116</v>
      </c>
      <c r="Y6" s="872" t="n">
        <v>0</v>
      </c>
      <c r="Z6" s="845" t="n">
        <v>6128.994077018116</v>
      </c>
      <c r="AB6" s="893" t="n">
        <v>-10533.47489288736</v>
      </c>
    </row>
    <row r="7">
      <c r="A7" s="858" t="inlineStr">
        <is>
          <t>Abigail Levy</t>
        </is>
      </c>
      <c r="B7" s="872" t="n">
        <v>750000</v>
      </c>
      <c r="C7" s="872" t="n">
        <v>-184652.8432560511</v>
      </c>
      <c r="D7" s="872" t="n">
        <v>-503.0871832262492</v>
      </c>
      <c r="E7" s="872" t="n">
        <v>-19022.49655225547</v>
      </c>
      <c r="F7" s="872" t="n"/>
      <c r="G7" s="872" t="n">
        <v>7661.242596272645</v>
      </c>
      <c r="H7" s="872" t="n">
        <v>553482.8156047398</v>
      </c>
      <c r="I7" s="872" t="n">
        <v>196517.1843952602</v>
      </c>
      <c r="J7" s="872" t="n"/>
      <c r="K7" s="872" t="n">
        <v>-545821.5821235121</v>
      </c>
      <c r="L7" s="872" t="n">
        <v>-0.009115044875215972</v>
      </c>
      <c r="N7" s="890" t="n"/>
      <c r="O7" s="872" t="n">
        <v>-503.0871832262492</v>
      </c>
      <c r="P7" s="872" t="n">
        <v>-19022.49655225547</v>
      </c>
      <c r="Q7" s="891" t="n">
        <v>-1302.50247690029</v>
      </c>
      <c r="R7" s="872" t="n">
        <v>-20828.08621238201</v>
      </c>
      <c r="S7" s="891" t="n"/>
      <c r="T7" s="872" t="n"/>
      <c r="U7" s="845" t="n">
        <v>-20828.08621238201</v>
      </c>
      <c r="V7" s="892">
        <f>+P7</f>
        <v/>
      </c>
      <c r="X7" s="890" t="n">
        <v>7661.242596272645</v>
      </c>
      <c r="Y7" s="872" t="n">
        <v>0</v>
      </c>
      <c r="Z7" s="845" t="n">
        <v>7661.242596272645</v>
      </c>
      <c r="AB7" s="893" t="n">
        <v>-13166.84361610936</v>
      </c>
    </row>
    <row r="8">
      <c r="A8" s="858" t="inlineStr">
        <is>
          <t>AKWT LLC</t>
        </is>
      </c>
      <c r="B8" s="872" t="n">
        <v>78300.32000000001</v>
      </c>
      <c r="C8" s="872" t="n">
        <v>-19495.07859961313</v>
      </c>
      <c r="D8" s="872" t="n">
        <v>-52.52251657933812</v>
      </c>
      <c r="E8" s="872" t="n">
        <v>-1985.956756320666</v>
      </c>
      <c r="F8" s="872" t="n"/>
      <c r="G8" s="872" t="n">
        <v>799.8369958477051</v>
      </c>
      <c r="H8" s="872" t="n">
        <v>57566.59912333458</v>
      </c>
      <c r="I8" s="872" t="n">
        <v>20733.72087666543</v>
      </c>
      <c r="J8" s="872" t="n"/>
      <c r="K8" s="872" t="n">
        <v>-56766.76574521985</v>
      </c>
      <c r="L8" s="872" t="n">
        <v>-0.003617732974817045</v>
      </c>
      <c r="N8" s="890" t="n"/>
      <c r="O8" s="872" t="n">
        <v>-52.52251657933812</v>
      </c>
      <c r="P8" s="872" t="n">
        <v>-1985.956756320666</v>
      </c>
      <c r="Q8" s="891" t="n">
        <v>-135.9818143227804</v>
      </c>
      <c r="R8" s="872" t="n">
        <v>-2174.461087222784</v>
      </c>
      <c r="S8" s="891" t="n"/>
      <c r="T8" s="872" t="n"/>
      <c r="U8" s="845" t="n">
        <v>-2174.461087222784</v>
      </c>
      <c r="V8" s="892">
        <f>+P8</f>
        <v/>
      </c>
      <c r="X8" s="890" t="n">
        <v>799.8369958477051</v>
      </c>
      <c r="Y8" s="872" t="n">
        <v>0</v>
      </c>
      <c r="Z8" s="845" t="n">
        <v>799.8369958477051</v>
      </c>
      <c r="AB8" s="893" t="n">
        <v>-1374.624091375079</v>
      </c>
    </row>
    <row r="9">
      <c r="A9" s="858" t="inlineStr">
        <is>
          <t>Alexander S. Bloomingdale</t>
        </is>
      </c>
      <c r="B9" s="872" t="n">
        <v>144197.96</v>
      </c>
      <c r="C9" s="872" t="n">
        <v>-36027.74302599599</v>
      </c>
      <c r="D9" s="872" t="n">
        <v>-96.7255273644696</v>
      </c>
      <c r="E9" s="872" t="n">
        <v>-3657.340262589714</v>
      </c>
      <c r="F9" s="872" t="n"/>
      <c r="G9" s="872" t="n">
        <v>1472.980737930159</v>
      </c>
      <c r="H9" s="872" t="n">
        <v>105889.13192198</v>
      </c>
      <c r="I9" s="872" t="n">
        <v>38308.82807802001</v>
      </c>
      <c r="J9" s="872" t="n"/>
      <c r="K9" s="872" t="n">
        <v>-104416.1504685395</v>
      </c>
      <c r="L9" s="872" t="n">
        <v>0.0007155103137392871</v>
      </c>
      <c r="N9" s="890" t="n"/>
      <c r="O9" s="872" t="n">
        <v>-96.7255273644696</v>
      </c>
      <c r="P9" s="872" t="n">
        <v>-3657.340262589714</v>
      </c>
      <c r="Q9" s="891" t="n">
        <v>-250.4242667519586</v>
      </c>
      <c r="R9" s="872" t="n">
        <v>-4004.490056706142</v>
      </c>
      <c r="S9" s="891" t="n"/>
      <c r="T9" s="872" t="n"/>
      <c r="U9" s="845" t="n">
        <v>-4004.490056706142</v>
      </c>
      <c r="V9" s="892">
        <f>+P9</f>
        <v/>
      </c>
      <c r="X9" s="890" t="n">
        <v>1472.980737930159</v>
      </c>
      <c r="Y9" s="872" t="n">
        <v>0</v>
      </c>
      <c r="Z9" s="845" t="n">
        <v>1472.980737930159</v>
      </c>
      <c r="AB9" s="893" t="n">
        <v>-2531.509318775984</v>
      </c>
    </row>
    <row r="10">
      <c r="A10" s="858" t="inlineStr">
        <is>
          <t>Alexander Sharpe Moore</t>
        </is>
      </c>
      <c r="B10" s="872" t="n">
        <v>156600.63</v>
      </c>
      <c r="C10" s="872" t="n">
        <v>-38990.16574423623</v>
      </c>
      <c r="D10" s="872" t="n">
        <v>-105.0450264508545</v>
      </c>
      <c r="E10" s="872" t="n">
        <v>-3971.913259008041</v>
      </c>
      <c r="F10" s="872" t="n"/>
      <c r="G10" s="872" t="n">
        <v>1599.673889545509</v>
      </c>
      <c r="H10" s="872" t="n">
        <v>115133.1798598504</v>
      </c>
      <c r="I10" s="872" t="n">
        <v>41467.45014014962</v>
      </c>
      <c r="J10" s="872" t="n"/>
      <c r="K10" s="872" t="n">
        <v>-113533.5043598295</v>
      </c>
      <c r="L10" s="872" t="n">
        <v>0.001610475355846575</v>
      </c>
      <c r="N10" s="890" t="n"/>
      <c r="O10" s="872" t="n">
        <v>-105.0450264508545</v>
      </c>
      <c r="P10" s="872" t="n">
        <v>-3971.913259008041</v>
      </c>
      <c r="Q10" s="891" t="n">
        <v>-271.9636112788611</v>
      </c>
      <c r="R10" s="872" t="n">
        <v>-4348.921896737756</v>
      </c>
      <c r="S10" s="891" t="n"/>
      <c r="T10" s="872" t="n"/>
      <c r="U10" s="845" t="n">
        <v>-4348.921896737756</v>
      </c>
      <c r="V10" s="892">
        <f>+P10</f>
        <v/>
      </c>
      <c r="X10" s="890" t="n">
        <v>1599.673889545509</v>
      </c>
      <c r="Y10" s="872" t="n">
        <v>0</v>
      </c>
      <c r="Z10" s="845" t="n">
        <v>1599.673889545509</v>
      </c>
      <c r="AB10" s="893" t="n">
        <v>-2749.248007192247</v>
      </c>
    </row>
    <row r="11">
      <c r="A11" s="858" t="inlineStr">
        <is>
          <t>All Dogs Go To Heaven, LLC</t>
        </is>
      </c>
      <c r="B11" s="872" t="n">
        <v>523296.86</v>
      </c>
      <c r="C11" s="872" t="n">
        <v>-130540.7489408514</v>
      </c>
      <c r="D11" s="872" t="n">
        <v>-351.0185910513392</v>
      </c>
      <c r="E11" s="872" t="n">
        <v>-13272.55028687487</v>
      </c>
      <c r="F11" s="872" t="n"/>
      <c r="G11" s="872" t="n">
        <v>5345.47225910363</v>
      </c>
      <c r="H11" s="872" t="n">
        <v>384478.014440326</v>
      </c>
      <c r="I11" s="872" t="n">
        <v>138818.845559674</v>
      </c>
      <c r="J11" s="872" t="n"/>
      <c r="K11" s="872" t="n">
        <v>-379132.5439115182</v>
      </c>
      <c r="L11" s="872" t="n">
        <v>-0.001730295789457159</v>
      </c>
      <c r="N11" s="890" t="n"/>
      <c r="O11" s="872" t="n">
        <v>-351.0185910513392</v>
      </c>
      <c r="P11" s="872" t="n">
        <v>-13272.55028687487</v>
      </c>
      <c r="Q11" s="891" t="n">
        <v>-908.7939417388588</v>
      </c>
      <c r="R11" s="872" t="n">
        <v>-14532.36281966507</v>
      </c>
      <c r="S11" s="891" t="n"/>
      <c r="T11" s="872" t="n"/>
      <c r="U11" s="845" t="n">
        <v>-14532.36281966507</v>
      </c>
      <c r="V11" s="892">
        <f>+P11</f>
        <v/>
      </c>
      <c r="X11" s="890" t="n">
        <v>5345.47225910363</v>
      </c>
      <c r="Y11" s="872" t="n">
        <v>0</v>
      </c>
      <c r="Z11" s="845" t="n">
        <v>5345.47225910363</v>
      </c>
      <c r="AB11" s="893" t="n">
        <v>-9186.890560561442</v>
      </c>
    </row>
    <row r="12">
      <c r="A12" s="858" t="inlineStr">
        <is>
          <t>Alten Investments LLC</t>
        </is>
      </c>
      <c r="B12" s="872" t="n">
        <v>1000000</v>
      </c>
      <c r="C12" s="872" t="n">
        <v>-246203.7843414015</v>
      </c>
      <c r="D12" s="872" t="n">
        <v>-670.782910968177</v>
      </c>
      <c r="E12" s="872" t="n">
        <v>-25363.32873634063</v>
      </c>
      <c r="F12" s="872" t="n"/>
      <c r="G12" s="872" t="n">
        <v>10214.99012836352</v>
      </c>
      <c r="H12" s="872" t="n">
        <v>737977.0941396531</v>
      </c>
      <c r="I12" s="872" t="n">
        <v>262022.9058603469</v>
      </c>
      <c r="J12" s="872" t="n"/>
      <c r="K12" s="872" t="n">
        <v>-727762.1061646828</v>
      </c>
      <c r="L12" s="872" t="n">
        <v>-0.002153393155822414</v>
      </c>
      <c r="N12" s="890" t="n"/>
      <c r="O12" s="872" t="n">
        <v>-670.782910968177</v>
      </c>
      <c r="P12" s="872" t="n">
        <v>-25363.32873634063</v>
      </c>
      <c r="Q12" s="891" t="n">
        <v>-1736.669969200387</v>
      </c>
      <c r="R12" s="872" t="n">
        <v>-27770.78161650919</v>
      </c>
      <c r="S12" s="891" t="n"/>
      <c r="T12" s="872" t="n"/>
      <c r="U12" s="845" t="n">
        <v>-27770.78161650919</v>
      </c>
      <c r="V12" s="892">
        <f>+P12</f>
        <v/>
      </c>
      <c r="X12" s="890" t="n">
        <v>10214.99012836352</v>
      </c>
      <c r="Y12" s="872" t="n">
        <v>0</v>
      </c>
      <c r="Z12" s="845" t="n">
        <v>10214.99012836352</v>
      </c>
      <c r="AB12" s="893" t="n">
        <v>-17555.79148814567</v>
      </c>
    </row>
    <row r="13">
      <c r="A13" s="858" t="inlineStr">
        <is>
          <t>Avery Ryan Klann</t>
        </is>
      </c>
      <c r="B13" s="872" t="n">
        <v>391501.58</v>
      </c>
      <c r="C13" s="872" t="n">
        <v>-97475.42008808552</v>
      </c>
      <c r="D13" s="872" t="n">
        <v>-262.6125694810762</v>
      </c>
      <c r="E13" s="872" t="n">
        <v>-9929.78327433666</v>
      </c>
      <c r="F13" s="872" t="n"/>
      <c r="G13" s="872" t="n">
        <v>3999.184774938723</v>
      </c>
      <c r="H13" s="872" t="n">
        <v>287832.9488430355</v>
      </c>
      <c r="I13" s="872" t="n">
        <v>103668.6311569645</v>
      </c>
      <c r="J13" s="872" t="n"/>
      <c r="K13" s="872" t="n">
        <v>-283833.7644648789</v>
      </c>
      <c r="L13" s="872" t="n">
        <v>-0.0003967821098740387</v>
      </c>
      <c r="N13" s="890" t="n"/>
      <c r="O13" s="872" t="n">
        <v>-262.6125694810762</v>
      </c>
      <c r="P13" s="872" t="n">
        <v>-9929.78327433666</v>
      </c>
      <c r="Q13" s="891" t="n">
        <v>-679.9090368805026</v>
      </c>
      <c r="R13" s="872" t="n">
        <v>-10872.30488069824</v>
      </c>
      <c r="S13" s="891" t="n"/>
      <c r="T13" s="872" t="n"/>
      <c r="U13" s="845" t="n">
        <v>-10872.30488069824</v>
      </c>
      <c r="V13" s="892">
        <f>+P13</f>
        <v/>
      </c>
      <c r="X13" s="890" t="n">
        <v>3999.184774938723</v>
      </c>
      <c r="Y13" s="872" t="n">
        <v>0</v>
      </c>
      <c r="Z13" s="845" t="n">
        <v>3999.184774938723</v>
      </c>
      <c r="AB13" s="893" t="n">
        <v>-6873.120105759515</v>
      </c>
    </row>
    <row r="14">
      <c r="A14" s="858" t="inlineStr">
        <is>
          <t>BBR Real Assets Fund 2024 LLC</t>
        </is>
      </c>
      <c r="B14" s="872" t="n">
        <v>10000000</v>
      </c>
      <c r="C14" s="872" t="n">
        <v>-2462037.873414014</v>
      </c>
      <c r="D14" s="872" t="n">
        <v>-6707.82910968177</v>
      </c>
      <c r="E14" s="872" t="n">
        <v>-253633.2873634063</v>
      </c>
      <c r="F14" s="872" t="n"/>
      <c r="G14" s="872" t="n">
        <v>102149.9012836352</v>
      </c>
      <c r="H14" s="872" t="n">
        <v>7379770.911396533</v>
      </c>
      <c r="I14" s="872" t="n">
        <v>2620229.088603467</v>
      </c>
      <c r="J14" s="872" t="n"/>
      <c r="K14" s="872" t="n">
        <v>-7277621.011646828</v>
      </c>
      <c r="L14" s="872" t="n">
        <v>-0.001533929680590518</v>
      </c>
      <c r="N14" s="890" t="n"/>
      <c r="O14" s="872" t="n">
        <v>-6707.82910968177</v>
      </c>
      <c r="P14" s="872" t="n">
        <v>-253633.2873634063</v>
      </c>
      <c r="Q14" s="891" t="n">
        <v>-17366.69969200387</v>
      </c>
      <c r="R14" s="872" t="n">
        <v>-277707.8161650919</v>
      </c>
      <c r="S14" s="891" t="n"/>
      <c r="T14" s="872" t="n"/>
      <c r="U14" s="845" t="n">
        <v>-277707.8161650919</v>
      </c>
      <c r="V14" s="892">
        <f>+P14</f>
        <v/>
      </c>
      <c r="X14" s="890" t="n">
        <v>102149.9012836352</v>
      </c>
      <c r="Y14" s="872" t="n">
        <v>0</v>
      </c>
      <c r="Z14" s="845" t="n">
        <v>102149.9012836352</v>
      </c>
      <c r="AB14" s="893" t="n">
        <v>-175557.9148814567</v>
      </c>
    </row>
    <row r="15">
      <c r="A15" s="858" t="inlineStr">
        <is>
          <t>Belclaire Asset Management, LLC</t>
        </is>
      </c>
      <c r="B15" s="872" t="n">
        <v>914798.4399999999</v>
      </c>
      <c r="C15" s="872" t="n">
        <v>-228016.1590289368</v>
      </c>
      <c r="D15" s="872" t="n">
        <v>-613.6311605327064</v>
      </c>
      <c r="E15" s="872" t="n">
        <v>-23202.33356121148</v>
      </c>
      <c r="F15" s="872" t="n"/>
      <c r="G15" s="872" t="n">
        <v>9344.657034042351</v>
      </c>
      <c r="H15" s="872" t="n">
        <v>672310.9732833614</v>
      </c>
      <c r="I15" s="872" t="n">
        <v>242487.4667166385</v>
      </c>
      <c r="J15" s="872" t="n"/>
      <c r="K15" s="872" t="n">
        <v>-662966.3183763969</v>
      </c>
      <c r="L15" s="872" t="n">
        <v>-0.002127077839759295</v>
      </c>
      <c r="N15" s="890" t="n"/>
      <c r="O15" s="872" t="n">
        <v>-613.6311605327064</v>
      </c>
      <c r="P15" s="872" t="n">
        <v>-23202.33356121148</v>
      </c>
      <c r="Q15" s="891" t="n">
        <v>-1588.702978619361</v>
      </c>
      <c r="R15" s="872" t="n">
        <v>-25404.66770036354</v>
      </c>
      <c r="S15" s="891" t="n"/>
      <c r="T15" s="872" t="n"/>
      <c r="U15" s="845" t="n">
        <v>-25404.66770036354</v>
      </c>
      <c r="V15" s="892">
        <f>+P15</f>
        <v/>
      </c>
      <c r="X15" s="890" t="n">
        <v>9344.657034042351</v>
      </c>
      <c r="Y15" s="872" t="n">
        <v>0</v>
      </c>
      <c r="Z15" s="845" t="n">
        <v>9344.657034042351</v>
      </c>
      <c r="AB15" s="893" t="n">
        <v>-16060.01066632119</v>
      </c>
    </row>
    <row r="16">
      <c r="A16" s="858" t="inlineStr">
        <is>
          <t>Benaiah Inc.</t>
        </is>
      </c>
      <c r="B16" s="872" t="n">
        <v>914798.4399999999</v>
      </c>
      <c r="C16" s="872" t="n">
        <v>-228016.1590289368</v>
      </c>
      <c r="D16" s="872" t="n">
        <v>-613.6311605327064</v>
      </c>
      <c r="E16" s="872" t="n">
        <v>-23202.33356121148</v>
      </c>
      <c r="F16" s="872" t="n"/>
      <c r="G16" s="872" t="n">
        <v>9344.657034042351</v>
      </c>
      <c r="H16" s="872" t="n">
        <v>672310.9732833614</v>
      </c>
      <c r="I16" s="872" t="n">
        <v>242487.4667166385</v>
      </c>
      <c r="J16" s="872" t="n"/>
      <c r="K16" s="872" t="n">
        <v>-662966.3183763969</v>
      </c>
      <c r="L16" s="872" t="n">
        <v>-0.002127077839759295</v>
      </c>
      <c r="N16" s="890" t="n"/>
      <c r="O16" s="872" t="n">
        <v>-613.6311605327064</v>
      </c>
      <c r="P16" s="872" t="n">
        <v>-23202.33356121148</v>
      </c>
      <c r="Q16" s="891" t="n">
        <v>-1588.702978619361</v>
      </c>
      <c r="R16" s="872" t="n">
        <v>-25404.66770036354</v>
      </c>
      <c r="S16" s="891" t="n"/>
      <c r="T16" s="872" t="n"/>
      <c r="U16" s="845" t="n">
        <v>-25404.66770036354</v>
      </c>
      <c r="V16" s="892">
        <f>+P16</f>
        <v/>
      </c>
      <c r="X16" s="890" t="n">
        <v>9344.657034042351</v>
      </c>
      <c r="Y16" s="872" t="n">
        <v>0</v>
      </c>
      <c r="Z16" s="845" t="n">
        <v>9344.657034042351</v>
      </c>
      <c r="AB16" s="893" t="n">
        <v>-16060.01066632119</v>
      </c>
    </row>
    <row r="17">
      <c r="A17" s="858" t="inlineStr">
        <is>
          <t>Benjamin Johnson</t>
        </is>
      </c>
      <c r="B17" s="872" t="n">
        <v>78300.32000000001</v>
      </c>
      <c r="C17" s="872" t="n">
        <v>-19495.07859961313</v>
      </c>
      <c r="D17" s="872" t="n">
        <v>-52.52251657933812</v>
      </c>
      <c r="E17" s="872" t="n">
        <v>-1985.956756320666</v>
      </c>
      <c r="F17" s="872" t="n"/>
      <c r="G17" s="872" t="n">
        <v>799.8369958477051</v>
      </c>
      <c r="H17" s="872" t="n">
        <v>57566.59912333458</v>
      </c>
      <c r="I17" s="872" t="n">
        <v>20733.72087666543</v>
      </c>
      <c r="J17" s="872" t="n"/>
      <c r="K17" s="872" t="n">
        <v>-56766.76574521985</v>
      </c>
      <c r="L17" s="872" t="n">
        <v>-0.003617732974817045</v>
      </c>
      <c r="N17" s="890" t="n"/>
      <c r="O17" s="872" t="n">
        <v>-52.52251657933812</v>
      </c>
      <c r="P17" s="872" t="n">
        <v>-1985.956756320666</v>
      </c>
      <c r="Q17" s="891" t="n">
        <v>-135.9818143227804</v>
      </c>
      <c r="R17" s="872" t="n">
        <v>-2174.461087222784</v>
      </c>
      <c r="S17" s="891" t="n"/>
      <c r="T17" s="872" t="n"/>
      <c r="U17" s="845" t="n">
        <v>-2174.461087222784</v>
      </c>
      <c r="V17" s="892">
        <f>+P17</f>
        <v/>
      </c>
      <c r="X17" s="890" t="n">
        <v>799.8369958477051</v>
      </c>
      <c r="Y17" s="872" t="n">
        <v>0</v>
      </c>
      <c r="Z17" s="845" t="n">
        <v>799.8369958477051</v>
      </c>
      <c r="AB17" s="893" t="n">
        <v>-1374.624091375079</v>
      </c>
    </row>
    <row r="18">
      <c r="A18" s="858" t="inlineStr">
        <is>
          <t>Bloomingdale Family Trust Share #3</t>
        </is>
      </c>
      <c r="B18" s="872" t="n">
        <v>234900.95</v>
      </c>
      <c r="C18" s="872" t="n">
        <v>-58485.24434384934</v>
      </c>
      <c r="D18" s="872" t="n">
        <v>-157.5675430302508</v>
      </c>
      <c r="E18" s="872" t="n">
        <v>-5957.870015328663</v>
      </c>
      <c r="F18" s="872" t="n"/>
      <c r="G18" s="872" t="n">
        <v>2399.510885393214</v>
      </c>
      <c r="H18" s="872" t="n">
        <v>172699.778983185</v>
      </c>
      <c r="I18" s="872" t="n">
        <v>62201.17101681503</v>
      </c>
      <c r="J18" s="872" t="n"/>
      <c r="K18" s="872" t="n">
        <v>-170300.2701050494</v>
      </c>
      <c r="L18" s="872" t="n">
        <v>-0.002007257597142598</v>
      </c>
      <c r="N18" s="890" t="n"/>
      <c r="O18" s="872" t="n">
        <v>-157.5675430302508</v>
      </c>
      <c r="P18" s="872" t="n">
        <v>-5957.870015328663</v>
      </c>
      <c r="Q18" s="891" t="n">
        <v>-407.9454256016415</v>
      </c>
      <c r="R18" s="872" t="n">
        <v>-6523.382983960555</v>
      </c>
      <c r="S18" s="891" t="n"/>
      <c r="T18" s="872" t="n"/>
      <c r="U18" s="845" t="n">
        <v>-6523.382983960555</v>
      </c>
      <c r="V18" s="892">
        <f>+P18</f>
        <v/>
      </c>
      <c r="X18" s="890" t="n">
        <v>2399.510885393214</v>
      </c>
      <c r="Y18" s="872" t="n">
        <v>0</v>
      </c>
      <c r="Z18" s="845" t="n">
        <v>2399.510885393214</v>
      </c>
      <c r="AB18" s="893" t="n">
        <v>-4123.872098567341</v>
      </c>
    </row>
    <row r="19">
      <c r="A19" s="858" t="inlineStr">
        <is>
          <t>Brian Carroll 2011 Long-Term Trust</t>
        </is>
      </c>
      <c r="B19" s="872" t="n">
        <v>500000</v>
      </c>
      <c r="C19" s="872" t="n">
        <v>-123101.8921707008</v>
      </c>
      <c r="D19" s="872" t="n">
        <v>-335.3914554840885</v>
      </c>
      <c r="E19" s="872" t="n">
        <v>-12681.66436817031</v>
      </c>
      <c r="F19" s="872" t="n"/>
      <c r="G19" s="872" t="n">
        <v>5107.495064181762</v>
      </c>
      <c r="H19" s="872" t="n">
        <v>368988.5470698266</v>
      </c>
      <c r="I19" s="872" t="n">
        <v>131011.4529301734</v>
      </c>
      <c r="J19" s="872" t="n"/>
      <c r="K19" s="872" t="n">
        <v>-363881.0480823414</v>
      </c>
      <c r="L19" s="872" t="n">
        <v>0.003923303426745406</v>
      </c>
      <c r="N19" s="890" t="n"/>
      <c r="O19" s="872" t="n">
        <v>-335.3914554840885</v>
      </c>
      <c r="P19" s="872" t="n">
        <v>-12681.66436817031</v>
      </c>
      <c r="Q19" s="891" t="n">
        <v>-868.3349846001933</v>
      </c>
      <c r="R19" s="872" t="n">
        <v>-13885.39080825459</v>
      </c>
      <c r="S19" s="891" t="n"/>
      <c r="T19" s="872" t="n"/>
      <c r="U19" s="845" t="n">
        <v>-13885.39080825459</v>
      </c>
      <c r="V19" s="892">
        <f>+P19</f>
        <v/>
      </c>
      <c r="X19" s="890" t="n">
        <v>5107.495064181762</v>
      </c>
      <c r="Y19" s="872" t="n">
        <v>0</v>
      </c>
      <c r="Z19" s="845" t="n">
        <v>5107.495064181762</v>
      </c>
      <c r="AB19" s="893" t="n">
        <v>-8777.895744072834</v>
      </c>
    </row>
    <row r="20">
      <c r="A20" s="858" t="inlineStr">
        <is>
          <t>Bryan C. White LLC</t>
        </is>
      </c>
      <c r="B20" s="872" t="n">
        <v>195750.79</v>
      </c>
      <c r="C20" s="872" t="n">
        <v>-48737.69504404278</v>
      </c>
      <c r="D20" s="872" t="n">
        <v>-131.3062847405381</v>
      </c>
      <c r="E20" s="872" t="n">
        <v>-4964.89163716833</v>
      </c>
      <c r="F20" s="872" t="n"/>
      <c r="G20" s="872" t="n">
        <v>1999.592387469361</v>
      </c>
      <c r="H20" s="872" t="n">
        <v>143916.4894215177</v>
      </c>
      <c r="I20" s="872" t="n">
        <v>51834.30057848227</v>
      </c>
      <c r="J20" s="872" t="n"/>
      <c r="K20" s="872" t="n">
        <v>-141916.8972324395</v>
      </c>
      <c r="L20" s="872" t="n">
        <v>-0.0001983910840408498</v>
      </c>
      <c r="N20" s="890" t="n"/>
      <c r="O20" s="872" t="n">
        <v>-131.3062847405381</v>
      </c>
      <c r="P20" s="872" t="n">
        <v>-4964.89163716833</v>
      </c>
      <c r="Q20" s="891" t="n">
        <v>-339.9545184402513</v>
      </c>
      <c r="R20" s="872" t="n">
        <v>-5436.152440349119</v>
      </c>
      <c r="S20" s="891" t="n"/>
      <c r="T20" s="872" t="n"/>
      <c r="U20" s="845" t="n">
        <v>-5436.152440349119</v>
      </c>
      <c r="V20" s="892">
        <f>+P20</f>
        <v/>
      </c>
      <c r="X20" s="890" t="n">
        <v>1999.592387469361</v>
      </c>
      <c r="Y20" s="872" t="n">
        <v>0</v>
      </c>
      <c r="Z20" s="845" t="n">
        <v>1999.592387469361</v>
      </c>
      <c r="AB20" s="893" t="n">
        <v>-3436.560052879758</v>
      </c>
    </row>
    <row r="21">
      <c r="A21" s="858" t="inlineStr">
        <is>
          <t>Cameron J. Tringale</t>
        </is>
      </c>
      <c r="B21" s="872" t="n">
        <v>500000</v>
      </c>
      <c r="C21" s="872" t="n">
        <v>-119426.6121707008</v>
      </c>
      <c r="D21" s="872" t="n">
        <v>-335.3914554840885</v>
      </c>
      <c r="E21" s="872" t="n">
        <v>-12681.66436817031</v>
      </c>
      <c r="F21" s="872" t="n"/>
      <c r="G21" s="872" t="n">
        <v>5107.495064181762</v>
      </c>
      <c r="H21" s="872" t="n">
        <v>372663.8270698265</v>
      </c>
      <c r="I21" s="872" t="n">
        <v>127336.1729301735</v>
      </c>
      <c r="J21" s="872" t="n"/>
      <c r="K21" s="872" t="n">
        <v>-367556.3280823414</v>
      </c>
      <c r="L21" s="872" t="n">
        <v>0.003923303368537745</v>
      </c>
      <c r="N21" s="890" t="n"/>
      <c r="O21" s="872" t="n">
        <v>-335.3914554840885</v>
      </c>
      <c r="P21" s="872" t="n">
        <v>-12681.66436817031</v>
      </c>
      <c r="Q21" s="891" t="n">
        <v>-868.3349846001933</v>
      </c>
      <c r="R21" s="872" t="n">
        <v>-13885.39080825459</v>
      </c>
      <c r="S21" s="891" t="n"/>
      <c r="T21" s="872" t="n"/>
      <c r="U21" s="845" t="n">
        <v>-13885.39080825459</v>
      </c>
      <c r="V21" s="892">
        <f>+P21</f>
        <v/>
      </c>
      <c r="X21" s="890" t="n">
        <v>5107.495064181762</v>
      </c>
      <c r="Y21" s="872" t="n">
        <v>0</v>
      </c>
      <c r="Z21" s="845" t="n">
        <v>5107.495064181762</v>
      </c>
      <c r="AB21" s="893" t="n">
        <v>-8777.895744072834</v>
      </c>
    </row>
    <row r="22">
      <c r="A22" s="858" t="inlineStr">
        <is>
          <t>Charing Hatcherville LLC</t>
        </is>
      </c>
      <c r="B22" s="872" t="n">
        <v>50964145.41</v>
      </c>
      <c r="C22" s="872" t="n">
        <v>-12688968.60426542</v>
      </c>
      <c r="D22" s="872" t="n">
        <v>-34185.87781312317</v>
      </c>
      <c r="E22" s="872" t="n">
        <v>-1292620.373800494</v>
      </c>
      <c r="F22" s="872" t="n"/>
      <c r="G22" s="872" t="n">
        <v>520598.2422636333</v>
      </c>
      <c r="H22" s="872" t="n">
        <v>37468968.79638459</v>
      </c>
      <c r="I22" s="872" t="n">
        <v>13495176.61361541</v>
      </c>
      <c r="J22" s="872" t="n"/>
      <c r="K22" s="872" t="n">
        <v>-36948370.49401925</v>
      </c>
      <c r="L22" s="872" t="n">
        <v>0.06010170700028539</v>
      </c>
      <c r="N22" s="890" t="n"/>
      <c r="O22" s="872" t="n">
        <v>-34185.87781312317</v>
      </c>
      <c r="P22" s="872" t="n">
        <v>-1292620.373800494</v>
      </c>
      <c r="Q22" s="891" t="n">
        <v>-88507.9008395087</v>
      </c>
      <c r="R22" s="872" t="n">
        <v>-1415314.152453126</v>
      </c>
      <c r="S22" s="891" t="n"/>
      <c r="T22" s="872" t="n"/>
      <c r="U22" s="845" t="n">
        <v>-1415314.152453126</v>
      </c>
      <c r="V22" s="892">
        <f>+P22</f>
        <v/>
      </c>
      <c r="X22" s="890" t="n">
        <v>520598.2422636333</v>
      </c>
      <c r="Y22" s="872" t="n">
        <v>0</v>
      </c>
      <c r="Z22" s="845" t="n">
        <v>520598.2422636333</v>
      </c>
      <c r="AB22" s="893" t="n">
        <v>-894715.9101894924</v>
      </c>
    </row>
    <row r="23">
      <c r="A23" s="858" t="inlineStr">
        <is>
          <t>Charing Silsbee, LLC</t>
        </is>
      </c>
      <c r="B23" s="872" t="n">
        <v>6326173.38</v>
      </c>
      <c r="C23" s="872" t="n">
        <v>-1587135.717075915</v>
      </c>
      <c r="D23" s="872" t="n">
        <v>-4243.488995125517</v>
      </c>
      <c r="E23" s="872" t="n">
        <v>-160452.8150800271</v>
      </c>
      <c r="F23" s="872" t="n"/>
      <c r="G23" s="872" t="n">
        <v>64621.79862701611</v>
      </c>
      <c r="H23" s="872" t="n">
        <v>4638963.157475948</v>
      </c>
      <c r="I23" s="872" t="n">
        <v>1687210.222524052</v>
      </c>
      <c r="J23" s="872" t="n"/>
      <c r="K23" s="872" t="n">
        <v>-4574341.359781929</v>
      </c>
      <c r="L23" s="872" t="n">
        <v>-0.0009329970707767643</v>
      </c>
      <c r="N23" s="890" t="n"/>
      <c r="O23" s="872" t="n">
        <v>-4243.488995125517</v>
      </c>
      <c r="P23" s="872" t="n">
        <v>-160452.8150800271</v>
      </c>
      <c r="Q23" s="891" t="n">
        <v>-10986.4753290009</v>
      </c>
      <c r="R23" s="872" t="n">
        <v>-175682.7794041535</v>
      </c>
      <c r="S23" s="891" t="n"/>
      <c r="T23" s="872" t="n"/>
      <c r="U23" s="845" t="n">
        <v>-175682.7794041535</v>
      </c>
      <c r="V23" s="892">
        <f>+P23</f>
        <v/>
      </c>
      <c r="X23" s="890" t="n">
        <v>64621.79862701611</v>
      </c>
      <c r="Y23" s="872" t="n">
        <v>0</v>
      </c>
      <c r="Z23" s="845" t="n">
        <v>64621.79862701611</v>
      </c>
      <c r="AB23" s="893" t="n">
        <v>-111060.9807771374</v>
      </c>
    </row>
    <row r="24">
      <c r="A24" s="858" t="inlineStr">
        <is>
          <t>Chase F. Monroe</t>
        </is>
      </c>
      <c r="B24" s="872" t="n">
        <v>195750.79</v>
      </c>
      <c r="C24" s="872" t="n">
        <v>-48737.69504404278</v>
      </c>
      <c r="D24" s="872" t="n">
        <v>-131.3062847405381</v>
      </c>
      <c r="E24" s="872" t="n">
        <v>-4964.89163716833</v>
      </c>
      <c r="F24" s="872" t="n"/>
      <c r="G24" s="872" t="n">
        <v>1999.592387469361</v>
      </c>
      <c r="H24" s="872" t="n">
        <v>143916.4894215177</v>
      </c>
      <c r="I24" s="872" t="n">
        <v>51834.30057848227</v>
      </c>
      <c r="J24" s="872" t="n"/>
      <c r="K24" s="872" t="n">
        <v>-141916.8972324395</v>
      </c>
      <c r="L24" s="872" t="n">
        <v>-0.0001983910840408498</v>
      </c>
      <c r="N24" s="890" t="n"/>
      <c r="O24" s="872" t="n">
        <v>-131.3062847405381</v>
      </c>
      <c r="P24" s="872" t="n">
        <v>-4964.89163716833</v>
      </c>
      <c r="Q24" s="891" t="n">
        <v>-339.9545184402513</v>
      </c>
      <c r="R24" s="872" t="n">
        <v>-5436.152440349119</v>
      </c>
      <c r="S24" s="891" t="n"/>
      <c r="T24" s="872" t="n"/>
      <c r="U24" s="845" t="n">
        <v>-5436.152440349119</v>
      </c>
      <c r="V24" s="892">
        <f>+P24</f>
        <v/>
      </c>
      <c r="X24" s="890" t="n">
        <v>1999.592387469361</v>
      </c>
      <c r="Y24" s="872" t="n">
        <v>0</v>
      </c>
      <c r="Z24" s="845" t="n">
        <v>1999.592387469361</v>
      </c>
      <c r="AB24" s="893" t="n">
        <v>-3436.560052879758</v>
      </c>
    </row>
    <row r="25">
      <c r="A25" s="858" t="inlineStr">
        <is>
          <t>Chase The Lion, Inc.</t>
        </is>
      </c>
      <c r="B25" s="872" t="n">
        <v>1212491.36</v>
      </c>
      <c r="C25" s="872" t="n">
        <v>-301499.4827422256</v>
      </c>
      <c r="D25" s="872" t="n">
        <v>-813.3184839845635</v>
      </c>
      <c r="E25" s="872" t="n">
        <v>-30752.81695365265</v>
      </c>
      <c r="F25" s="872" t="n"/>
      <c r="G25" s="872" t="n">
        <v>12385.58727312607</v>
      </c>
      <c r="H25" s="872" t="n">
        <v>891811.3290932634</v>
      </c>
      <c r="I25" s="872" t="n">
        <v>320680.0309067367</v>
      </c>
      <c r="J25" s="872" t="n"/>
      <c r="K25" s="872" t="n">
        <v>-879425.7441628244</v>
      </c>
      <c r="L25" s="872" t="n">
        <v>-0.002342687052077963</v>
      </c>
      <c r="N25" s="890" t="n"/>
      <c r="O25" s="872" t="n">
        <v>-813.3184839845635</v>
      </c>
      <c r="P25" s="872" t="n">
        <v>-30752.81695365265</v>
      </c>
      <c r="Q25" s="891" t="n">
        <v>-2105.697332826935</v>
      </c>
      <c r="R25" s="872" t="n">
        <v>-33671.83277046416</v>
      </c>
      <c r="S25" s="891" t="n"/>
      <c r="T25" s="872" t="n"/>
      <c r="U25" s="845" t="n">
        <v>-33671.83277046416</v>
      </c>
      <c r="V25" s="892">
        <f>+P25</f>
        <v/>
      </c>
      <c r="X25" s="890" t="n">
        <v>12385.58727312607</v>
      </c>
      <c r="Y25" s="872" t="n">
        <v>0</v>
      </c>
      <c r="Z25" s="845" t="n">
        <v>12385.58727312607</v>
      </c>
      <c r="AB25" s="893" t="n">
        <v>-21286.24549733809</v>
      </c>
    </row>
    <row r="26">
      <c r="A26" s="858" t="inlineStr">
        <is>
          <t>Chris Schaaf</t>
        </is>
      </c>
      <c r="B26" s="872" t="n">
        <v>195750.79</v>
      </c>
      <c r="C26" s="872" t="n">
        <v>-48737.69504404278</v>
      </c>
      <c r="D26" s="872" t="n">
        <v>-131.3062847405381</v>
      </c>
      <c r="E26" s="872" t="n">
        <v>-4964.89163716833</v>
      </c>
      <c r="F26" s="872" t="n"/>
      <c r="G26" s="872" t="n">
        <v>1999.592387469361</v>
      </c>
      <c r="H26" s="872" t="n">
        <v>143916.4894215177</v>
      </c>
      <c r="I26" s="872" t="n">
        <v>51834.30057848227</v>
      </c>
      <c r="J26" s="872" t="n"/>
      <c r="K26" s="872" t="n">
        <v>-141916.8972324395</v>
      </c>
      <c r="L26" s="872" t="n">
        <v>-0.0001983910840408498</v>
      </c>
      <c r="N26" s="890" t="n"/>
      <c r="O26" s="872" t="n">
        <v>-131.3062847405381</v>
      </c>
      <c r="P26" s="872" t="n">
        <v>-4964.89163716833</v>
      </c>
      <c r="Q26" s="891" t="n">
        <v>-339.9545184402513</v>
      </c>
      <c r="R26" s="872" t="n">
        <v>-5436.152440349119</v>
      </c>
      <c r="S26" s="891" t="n"/>
      <c r="T26" s="872" t="n"/>
      <c r="U26" s="845" t="n">
        <v>-5436.152440349119</v>
      </c>
      <c r="V26" s="892">
        <f>+P26</f>
        <v/>
      </c>
      <c r="X26" s="890" t="n">
        <v>1999.592387469361</v>
      </c>
      <c r="Y26" s="872" t="n">
        <v>0</v>
      </c>
      <c r="Z26" s="845" t="n">
        <v>1999.592387469361</v>
      </c>
      <c r="AB26" s="893" t="n">
        <v>-3436.560052879758</v>
      </c>
    </row>
    <row r="27">
      <c r="A27" s="858" t="inlineStr">
        <is>
          <t>Christopher J. Campbell</t>
        </is>
      </c>
      <c r="B27" s="872" t="n">
        <v>500000</v>
      </c>
      <c r="C27" s="872" t="n">
        <v>-123101.8921707008</v>
      </c>
      <c r="D27" s="872" t="n">
        <v>-335.3914554840885</v>
      </c>
      <c r="E27" s="872" t="n">
        <v>-12681.66436817031</v>
      </c>
      <c r="F27" s="872" t="n"/>
      <c r="G27" s="872" t="n">
        <v>5107.495064181762</v>
      </c>
      <c r="H27" s="872" t="n">
        <v>368988.5470698266</v>
      </c>
      <c r="I27" s="872" t="n">
        <v>131011.4529301734</v>
      </c>
      <c r="J27" s="872" t="n"/>
      <c r="K27" s="872" t="n">
        <v>-363881.0480823414</v>
      </c>
      <c r="L27" s="872" t="n">
        <v>0.003923303426745406</v>
      </c>
      <c r="N27" s="890" t="n"/>
      <c r="O27" s="872" t="n">
        <v>-335.3914554840885</v>
      </c>
      <c r="P27" s="872" t="n">
        <v>-12681.66436817031</v>
      </c>
      <c r="Q27" s="891" t="n">
        <v>-868.3349846001933</v>
      </c>
      <c r="R27" s="872" t="n">
        <v>-13885.39080825459</v>
      </c>
      <c r="S27" s="891" t="n"/>
      <c r="T27" s="872" t="n"/>
      <c r="U27" s="845" t="n">
        <v>-13885.39080825459</v>
      </c>
      <c r="V27" s="892">
        <f>+P27</f>
        <v/>
      </c>
      <c r="X27" s="890" t="n">
        <v>5107.495064181762</v>
      </c>
      <c r="Y27" s="872" t="n">
        <v>0</v>
      </c>
      <c r="Z27" s="845" t="n">
        <v>5107.495064181762</v>
      </c>
      <c r="AB27" s="893" t="n">
        <v>-8777.895744072834</v>
      </c>
    </row>
    <row r="28">
      <c r="A28" s="858" t="inlineStr">
        <is>
          <t>Christopher Johnson</t>
        </is>
      </c>
      <c r="B28" s="872" t="n">
        <v>165897.64</v>
      </c>
      <c r="C28" s="872" t="n">
        <v>-40417.98486052307</v>
      </c>
      <c r="D28" s="872" t="n">
        <v>-111.2813018819579</v>
      </c>
      <c r="E28" s="872" t="n">
        <v>-4207.716379903082</v>
      </c>
      <c r="F28" s="872" t="n"/>
      <c r="G28" s="872" t="n">
        <v>1694.642754918806</v>
      </c>
      <c r="H28" s="872" t="n">
        <v>122855.3002126107</v>
      </c>
      <c r="I28" s="872" t="n">
        <v>43042.3397873893</v>
      </c>
      <c r="J28" s="872" t="n"/>
      <c r="K28" s="872" t="n">
        <v>-121160.656339788</v>
      </c>
      <c r="L28" s="872" t="n">
        <v>0.001117903945214493</v>
      </c>
      <c r="N28" s="890" t="n"/>
      <c r="O28" s="872" t="n">
        <v>-111.2813018819579</v>
      </c>
      <c r="P28" s="872" t="n">
        <v>-4207.716379903082</v>
      </c>
      <c r="Q28" s="891" t="n">
        <v>-288.1094493492168</v>
      </c>
      <c r="R28" s="872" t="n">
        <v>-4607.107131134257</v>
      </c>
      <c r="S28" s="891" t="n"/>
      <c r="T28" s="872" t="n"/>
      <c r="U28" s="845" t="n">
        <v>-4607.107131134257</v>
      </c>
      <c r="V28" s="892">
        <f>+P28</f>
        <v/>
      </c>
      <c r="X28" s="890" t="n">
        <v>1694.642754918806</v>
      </c>
      <c r="Y28" s="872" t="n">
        <v>0</v>
      </c>
      <c r="Z28" s="845" t="n">
        <v>1694.642754918806</v>
      </c>
      <c r="AB28" s="893" t="n">
        <v>-2912.464376215451</v>
      </c>
    </row>
    <row r="29">
      <c r="A29" s="858" t="inlineStr">
        <is>
          <t>CLIP Sponsor LLC</t>
        </is>
      </c>
      <c r="B29" s="872" t="n">
        <v>4802554.5</v>
      </c>
      <c r="C29" s="872" t="n">
        <v>-1253009.868045318</v>
      </c>
      <c r="D29" s="872" t="n">
        <v>-3221.471487593371</v>
      </c>
      <c r="E29" s="872" t="n">
        <v>-121808.7685576924</v>
      </c>
      <c r="F29" s="872" t="n"/>
      <c r="G29" s="872" t="n">
        <v>49058.04680842783</v>
      </c>
      <c r="H29" s="872" t="n">
        <v>3473572.438717824</v>
      </c>
      <c r="I29" s="872" t="n">
        <v>1328982.061282176</v>
      </c>
      <c r="J29" s="872" t="n"/>
      <c r="K29" s="872" t="n">
        <v>-3424514.39195627</v>
      </c>
      <c r="L29" s="872" t="n">
        <v>-4.687362525146455e-05</v>
      </c>
      <c r="N29" s="890" t="n"/>
      <c r="O29" s="872" t="n">
        <v>-3221.471487593371</v>
      </c>
      <c r="P29" s="872" t="n">
        <v>-121808.7685576924</v>
      </c>
      <c r="Q29" s="891" t="n">
        <v>-8340.452175598177</v>
      </c>
      <c r="R29" s="872" t="n">
        <v>-133370.692220884</v>
      </c>
      <c r="S29" s="891" t="n"/>
      <c r="T29" s="872" t="n"/>
      <c r="U29" s="845" t="n">
        <v>-133370.692220884</v>
      </c>
      <c r="V29" s="892">
        <f>+P29</f>
        <v/>
      </c>
      <c r="X29" s="890" t="n">
        <v>49058.04680842783</v>
      </c>
      <c r="Y29" s="872" t="n">
        <v>0</v>
      </c>
      <c r="Z29" s="845" t="n">
        <v>49058.04680842783</v>
      </c>
      <c r="AB29" s="893" t="n">
        <v>-84312.64541245614</v>
      </c>
    </row>
    <row r="30">
      <c r="A30" s="858" t="inlineStr">
        <is>
          <t>CLR Silsbee Sponsor LLC</t>
        </is>
      </c>
      <c r="B30" s="872" t="n">
        <v>369576.65</v>
      </c>
      <c r="C30" s="872" t="n">
        <v>-96424.35460283066</v>
      </c>
      <c r="D30" s="872" t="n">
        <v>-247.9057011128752</v>
      </c>
      <c r="E30" s="872" t="n">
        <v>-9373.6940672255</v>
      </c>
      <c r="F30" s="872" t="n"/>
      <c r="G30" s="872" t="n">
        <v>3775.221831423662</v>
      </c>
      <c r="H30" s="872" t="n">
        <v>267305.9174602546</v>
      </c>
      <c r="I30" s="872" t="n">
        <v>102270.7325397454</v>
      </c>
      <c r="J30" s="872" t="n"/>
      <c r="K30" s="872" t="n">
        <v>-263530.7015997393</v>
      </c>
      <c r="L30" s="872" t="n">
        <v>-0.00597090835299241</v>
      </c>
      <c r="N30" s="890" t="n"/>
      <c r="O30" s="872" t="n">
        <v>-247.9057011128752</v>
      </c>
      <c r="P30" s="872" t="n">
        <v>-9373.6940672255</v>
      </c>
      <c r="Q30" s="891" t="n">
        <v>-641.8326693726821</v>
      </c>
      <c r="R30" s="872" t="n">
        <v>-10263.43243771106</v>
      </c>
      <c r="S30" s="891" t="n"/>
      <c r="T30" s="872" t="n"/>
      <c r="U30" s="845" t="n">
        <v>-10263.43243771106</v>
      </c>
      <c r="V30" s="892">
        <f>+P30</f>
        <v/>
      </c>
      <c r="X30" s="890" t="n">
        <v>3775.221831423662</v>
      </c>
      <c r="Y30" s="872" t="n">
        <v>0</v>
      </c>
      <c r="Z30" s="845" t="n">
        <v>3775.221831423662</v>
      </c>
      <c r="AB30" s="893" t="n">
        <v>-6488.210606287395</v>
      </c>
    </row>
    <row r="31">
      <c r="A31" s="858" t="inlineStr">
        <is>
          <t>Daniel Ross</t>
        </is>
      </c>
      <c r="B31" s="872" t="n">
        <v>156600.63</v>
      </c>
      <c r="C31" s="872" t="n">
        <v>-38990.16574423623</v>
      </c>
      <c r="D31" s="872" t="n">
        <v>-105.0450264508545</v>
      </c>
      <c r="E31" s="872" t="n">
        <v>-3971.913259008041</v>
      </c>
      <c r="F31" s="872" t="n"/>
      <c r="G31" s="872" t="n">
        <v>1599.673889545509</v>
      </c>
      <c r="H31" s="872" t="n">
        <v>115133.1798598504</v>
      </c>
      <c r="I31" s="872" t="n">
        <v>41467.45014014962</v>
      </c>
      <c r="J31" s="872" t="n"/>
      <c r="K31" s="872" t="n">
        <v>-113533.5043598295</v>
      </c>
      <c r="L31" s="872" t="n">
        <v>0.001610475355846575</v>
      </c>
      <c r="N31" s="890" t="n"/>
      <c r="O31" s="872" t="n">
        <v>-105.0450264508545</v>
      </c>
      <c r="P31" s="872" t="n">
        <v>-3971.913259008041</v>
      </c>
      <c r="Q31" s="891" t="n">
        <v>-271.9636112788611</v>
      </c>
      <c r="R31" s="872" t="n">
        <v>-4348.921896737756</v>
      </c>
      <c r="S31" s="891" t="n"/>
      <c r="T31" s="872" t="n"/>
      <c r="U31" s="845" t="n">
        <v>-4348.921896737756</v>
      </c>
      <c r="V31" s="892">
        <f>+P31</f>
        <v/>
      </c>
      <c r="X31" s="890" t="n">
        <v>1599.673889545509</v>
      </c>
      <c r="Y31" s="872" t="n">
        <v>0</v>
      </c>
      <c r="Z31" s="845" t="n">
        <v>1599.673889545509</v>
      </c>
      <c r="AB31" s="893" t="n">
        <v>-2749.248007192247</v>
      </c>
    </row>
    <row r="32">
      <c r="A32" s="858" t="inlineStr">
        <is>
          <t>Endurance Companies LLC</t>
        </is>
      </c>
      <c r="B32" s="872" t="n">
        <v>850000</v>
      </c>
      <c r="C32" s="872" t="n">
        <v>-203025.2436901913</v>
      </c>
      <c r="D32" s="872" t="n">
        <v>-570.1654743232066</v>
      </c>
      <c r="E32" s="872" t="n">
        <v>-21558.82942588942</v>
      </c>
      <c r="F32" s="872" t="n"/>
      <c r="G32" s="872" t="n">
        <v>8682.741609108996</v>
      </c>
      <c r="H32" s="872" t="n">
        <v>633528.5030187051</v>
      </c>
      <c r="I32" s="872" t="n">
        <v>216471.4969812949</v>
      </c>
      <c r="J32" s="872" t="n"/>
      <c r="K32" s="872" t="n">
        <v>-624845.7537399804</v>
      </c>
      <c r="L32" s="872" t="n">
        <v>0.007669615662962315</v>
      </c>
      <c r="N32" s="890" t="n"/>
      <c r="O32" s="872" t="n">
        <v>-570.1654743232066</v>
      </c>
      <c r="P32" s="872" t="n">
        <v>-21558.82942588942</v>
      </c>
      <c r="Q32" s="891" t="n">
        <v>-1476.169473820328</v>
      </c>
      <c r="R32" s="872" t="n">
        <v>-23605.16437403295</v>
      </c>
      <c r="S32" s="891" t="n"/>
      <c r="T32" s="872" t="n"/>
      <c r="U32" s="845" t="n">
        <v>-23605.16437403295</v>
      </c>
      <c r="V32" s="892">
        <f>+P32</f>
        <v/>
      </c>
      <c r="X32" s="890" t="n">
        <v>8682.741609108996</v>
      </c>
      <c r="Y32" s="872" t="n">
        <v>0</v>
      </c>
      <c r="Z32" s="845" t="n">
        <v>8682.741609108996</v>
      </c>
      <c r="AB32" s="893" t="n">
        <v>-14922.42276492396</v>
      </c>
    </row>
    <row r="33">
      <c r="A33" s="858" t="inlineStr">
        <is>
          <t>Forem Capital, LLC</t>
        </is>
      </c>
      <c r="B33" s="872" t="n">
        <v>1500000</v>
      </c>
      <c r="C33" s="872" t="n">
        <v>-369305.6765121024</v>
      </c>
      <c r="D33" s="872" t="n">
        <v>-1006.174366452498</v>
      </c>
      <c r="E33" s="872" t="n">
        <v>-38044.99310451094</v>
      </c>
      <c r="F33" s="872" t="n"/>
      <c r="G33" s="872" t="n">
        <v>15322.48519254529</v>
      </c>
      <c r="H33" s="872" t="n">
        <v>1106965.641209479</v>
      </c>
      <c r="I33" s="872" t="n">
        <v>393034.3587905206</v>
      </c>
      <c r="J33" s="872" t="n"/>
      <c r="K33" s="872" t="n">
        <v>-1091643.154247024</v>
      </c>
      <c r="L33" s="872" t="n">
        <v>0.001769910035363864</v>
      </c>
      <c r="N33" s="890" t="n"/>
      <c r="O33" s="872" t="n">
        <v>-1006.174366452498</v>
      </c>
      <c r="P33" s="872" t="n">
        <v>-38044.99310451094</v>
      </c>
      <c r="Q33" s="891" t="n">
        <v>-2605.00495380058</v>
      </c>
      <c r="R33" s="872" t="n">
        <v>-41656.17242476402</v>
      </c>
      <c r="S33" s="891" t="n"/>
      <c r="T33" s="872" t="n"/>
      <c r="U33" s="845" t="n">
        <v>-41656.17242476402</v>
      </c>
      <c r="V33" s="892">
        <f>+P33</f>
        <v/>
      </c>
      <c r="X33" s="890" t="n">
        <v>15322.48519254529</v>
      </c>
      <c r="Y33" s="872" t="n">
        <v>0</v>
      </c>
      <c r="Z33" s="845" t="n">
        <v>15322.48519254529</v>
      </c>
      <c r="AB33" s="893" t="n">
        <v>-26333.68723221873</v>
      </c>
    </row>
    <row r="34">
      <c r="A34" s="858" t="inlineStr">
        <is>
          <t>Francis Brawley</t>
        </is>
      </c>
      <c r="B34" s="872" t="n">
        <v>313201.26</v>
      </c>
      <c r="C34" s="872" t="n">
        <v>-77980.35148847237</v>
      </c>
      <c r="D34" s="872" t="n">
        <v>-210.090052901709</v>
      </c>
      <c r="E34" s="872" t="n">
        <v>-7943.826518016052</v>
      </c>
      <c r="F34" s="872" t="n"/>
      <c r="G34" s="872" t="n">
        <v>3199.347779091018</v>
      </c>
      <c r="H34" s="872" t="n">
        <v>230266.3397197009</v>
      </c>
      <c r="I34" s="872" t="n">
        <v>82934.92028029912</v>
      </c>
      <c r="J34" s="872" t="n"/>
      <c r="K34" s="872" t="n">
        <v>-227066.9987196591</v>
      </c>
      <c r="L34" s="872" t="n">
        <v>-0.006779049181204755</v>
      </c>
      <c r="N34" s="890" t="n"/>
      <c r="O34" s="872" t="n">
        <v>-210.090052901709</v>
      </c>
      <c r="P34" s="872" t="n">
        <v>-7943.826518016052</v>
      </c>
      <c r="Q34" s="891" t="n">
        <v>-543.9272225577222</v>
      </c>
      <c r="R34" s="872" t="n">
        <v>-8697.843793475484</v>
      </c>
      <c r="S34" s="891" t="n"/>
      <c r="T34" s="872" t="n"/>
      <c r="U34" s="845" t="n">
        <v>-8697.843793475484</v>
      </c>
      <c r="V34" s="892">
        <f>+P34</f>
        <v/>
      </c>
      <c r="X34" s="890" t="n">
        <v>3199.347779091018</v>
      </c>
      <c r="Y34" s="872" t="n">
        <v>0</v>
      </c>
      <c r="Z34" s="845" t="n">
        <v>3199.347779091018</v>
      </c>
      <c r="AB34" s="893" t="n">
        <v>-5498.496014384466</v>
      </c>
    </row>
    <row r="35">
      <c r="A35" s="858" t="inlineStr">
        <is>
          <t>Geoffrey and Elizabeth Bloomingdale Living Trust</t>
        </is>
      </c>
      <c r="B35" s="872" t="n">
        <v>234900.95</v>
      </c>
      <c r="C35" s="872" t="n">
        <v>-58485.24434384934</v>
      </c>
      <c r="D35" s="872" t="n">
        <v>-157.5675430302508</v>
      </c>
      <c r="E35" s="872" t="n">
        <v>-5957.870015328663</v>
      </c>
      <c r="F35" s="872" t="n"/>
      <c r="G35" s="872" t="n">
        <v>2399.510885393214</v>
      </c>
      <c r="H35" s="872" t="n">
        <v>172699.778983185</v>
      </c>
      <c r="I35" s="872" t="n">
        <v>62201.17101681503</v>
      </c>
      <c r="J35" s="872" t="n"/>
      <c r="K35" s="872" t="n">
        <v>-170300.2701050494</v>
      </c>
      <c r="L35" s="872" t="n">
        <v>-0.002007257597142598</v>
      </c>
      <c r="N35" s="890" t="n"/>
      <c r="O35" s="872" t="n">
        <v>-157.5675430302508</v>
      </c>
      <c r="P35" s="872" t="n">
        <v>-5957.870015328663</v>
      </c>
      <c r="Q35" s="891" t="n">
        <v>-407.9454256016415</v>
      </c>
      <c r="R35" s="872" t="n">
        <v>-6523.382983960555</v>
      </c>
      <c r="S35" s="891" t="n"/>
      <c r="T35" s="872" t="n"/>
      <c r="U35" s="845" t="n">
        <v>-6523.382983960555</v>
      </c>
      <c r="V35" s="892">
        <f>+P35</f>
        <v/>
      </c>
      <c r="X35" s="890" t="n">
        <v>2399.510885393214</v>
      </c>
      <c r="Y35" s="872" t="n">
        <v>0</v>
      </c>
      <c r="Z35" s="845" t="n">
        <v>2399.510885393214</v>
      </c>
      <c r="AB35" s="893" t="n">
        <v>-4123.872098567341</v>
      </c>
    </row>
    <row r="36">
      <c r="A36" s="858" t="inlineStr">
        <is>
          <t>Greene 2000 Family Trust</t>
        </is>
      </c>
      <c r="B36" s="872" t="n">
        <v>1000000</v>
      </c>
      <c r="C36" s="872" t="n">
        <v>-246203.7843414015</v>
      </c>
      <c r="D36" s="872" t="n">
        <v>-670.782910968177</v>
      </c>
      <c r="E36" s="872" t="n">
        <v>-25363.32873634063</v>
      </c>
      <c r="F36" s="872" t="n"/>
      <c r="G36" s="872" t="n">
        <v>10214.99012836352</v>
      </c>
      <c r="H36" s="872" t="n">
        <v>737977.0941396531</v>
      </c>
      <c r="I36" s="872" t="n">
        <v>262022.9058603469</v>
      </c>
      <c r="J36" s="872" t="n"/>
      <c r="K36" s="872" t="n">
        <v>-727762.1061646828</v>
      </c>
      <c r="L36" s="872" t="n">
        <v>-0.002153393155822414</v>
      </c>
      <c r="N36" s="890" t="n"/>
      <c r="O36" s="872" t="n">
        <v>-670.782910968177</v>
      </c>
      <c r="P36" s="872" t="n">
        <v>-25363.32873634063</v>
      </c>
      <c r="Q36" s="891" t="n">
        <v>-1736.669969200387</v>
      </c>
      <c r="R36" s="872" t="n">
        <v>-27770.78161650919</v>
      </c>
      <c r="S36" s="891" t="n"/>
      <c r="T36" s="872" t="n"/>
      <c r="U36" s="845" t="n">
        <v>-27770.78161650919</v>
      </c>
      <c r="V36" s="892">
        <f>+P36</f>
        <v/>
      </c>
      <c r="X36" s="890" t="n">
        <v>10214.99012836352</v>
      </c>
      <c r="Y36" s="872" t="n">
        <v>0</v>
      </c>
      <c r="Z36" s="845" t="n">
        <v>10214.99012836352</v>
      </c>
      <c r="AB36" s="893" t="n">
        <v>-17555.79148814567</v>
      </c>
    </row>
    <row r="37">
      <c r="A37" s="858" t="inlineStr">
        <is>
          <t>Greene Marital Trust</t>
        </is>
      </c>
      <c r="B37" s="872" t="n">
        <v>1000000</v>
      </c>
      <c r="C37" s="872" t="n">
        <v>-246203.7843414015</v>
      </c>
      <c r="D37" s="872" t="n">
        <v>-670.782910968177</v>
      </c>
      <c r="E37" s="872" t="n">
        <v>-25363.32873634063</v>
      </c>
      <c r="F37" s="872" t="n"/>
      <c r="G37" s="872" t="n">
        <v>10214.99012836352</v>
      </c>
      <c r="H37" s="872" t="n">
        <v>737977.0941396531</v>
      </c>
      <c r="I37" s="872" t="n">
        <v>262022.9058603469</v>
      </c>
      <c r="J37" s="872" t="n"/>
      <c r="K37" s="872" t="n">
        <v>-727762.1061646828</v>
      </c>
      <c r="L37" s="872" t="n">
        <v>-0.002153393155822414</v>
      </c>
      <c r="N37" s="890" t="n"/>
      <c r="O37" s="872" t="n">
        <v>-670.782910968177</v>
      </c>
      <c r="P37" s="872" t="n">
        <v>-25363.32873634063</v>
      </c>
      <c r="Q37" s="891" t="n">
        <v>-1736.669969200387</v>
      </c>
      <c r="R37" s="872" t="n">
        <v>-27770.78161650919</v>
      </c>
      <c r="S37" s="891" t="n"/>
      <c r="T37" s="872" t="n"/>
      <c r="U37" s="845" t="n">
        <v>-27770.78161650919</v>
      </c>
      <c r="V37" s="892">
        <f>+P37</f>
        <v/>
      </c>
      <c r="X37" s="890" t="n">
        <v>10214.99012836352</v>
      </c>
      <c r="Y37" s="872" t="n">
        <v>0</v>
      </c>
      <c r="Z37" s="845" t="n">
        <v>10214.99012836352</v>
      </c>
      <c r="AB37" s="893" t="n">
        <v>-17555.79148814567</v>
      </c>
    </row>
    <row r="38">
      <c r="A38" s="858" t="inlineStr">
        <is>
          <t>Gregory Brent Wood</t>
        </is>
      </c>
      <c r="B38" s="872" t="n">
        <v>156600.63</v>
      </c>
      <c r="C38" s="872" t="n">
        <v>-38990.16574423623</v>
      </c>
      <c r="D38" s="872" t="n">
        <v>-105.0450264508545</v>
      </c>
      <c r="E38" s="872" t="n">
        <v>-3971.913259008041</v>
      </c>
      <c r="F38" s="872" t="n"/>
      <c r="G38" s="872" t="n">
        <v>1599.673889545509</v>
      </c>
      <c r="H38" s="872" t="n">
        <v>115133.1798598504</v>
      </c>
      <c r="I38" s="872" t="n">
        <v>41467.45014014962</v>
      </c>
      <c r="J38" s="872" t="n"/>
      <c r="K38" s="872" t="n">
        <v>-113533.5043598295</v>
      </c>
      <c r="L38" s="872" t="n">
        <v>0.001610475355846575</v>
      </c>
      <c r="N38" s="890" t="n"/>
      <c r="O38" s="872" t="n">
        <v>-105.0450264508545</v>
      </c>
      <c r="P38" s="872" t="n">
        <v>-3971.913259008041</v>
      </c>
      <c r="Q38" s="891" t="n">
        <v>-271.9636112788611</v>
      </c>
      <c r="R38" s="872" t="n">
        <v>-4348.921896737756</v>
      </c>
      <c r="S38" s="891" t="n"/>
      <c r="T38" s="872" t="n"/>
      <c r="U38" s="845" t="n">
        <v>-4348.921896737756</v>
      </c>
      <c r="V38" s="892">
        <f>+P38</f>
        <v/>
      </c>
      <c r="X38" s="890" t="n">
        <v>1599.673889545509</v>
      </c>
      <c r="Y38" s="872" t="n">
        <v>0</v>
      </c>
      <c r="Z38" s="845" t="n">
        <v>1599.673889545509</v>
      </c>
      <c r="AB38" s="893" t="n">
        <v>-2749.248007192247</v>
      </c>
    </row>
    <row r="39">
      <c r="A39" s="858" t="inlineStr">
        <is>
          <t>Hundley Family Trust</t>
        </is>
      </c>
      <c r="B39" s="872" t="n">
        <v>200000</v>
      </c>
      <c r="C39" s="872" t="n">
        <v>-47770.6508682803</v>
      </c>
      <c r="D39" s="872" t="n">
        <v>-134.1565821935947</v>
      </c>
      <c r="E39" s="872" t="n">
        <v>-5072.665747268155</v>
      </c>
      <c r="F39" s="872" t="n"/>
      <c r="G39" s="872" t="n">
        <v>2042.998025672705</v>
      </c>
      <c r="H39" s="872" t="n">
        <v>149065.5248279307</v>
      </c>
      <c r="I39" s="872" t="n">
        <v>50934.47517206933</v>
      </c>
      <c r="J39" s="872" t="n"/>
      <c r="K39" s="872" t="n">
        <v>-147022.5332329365</v>
      </c>
      <c r="L39" s="872" t="n">
        <v>-0.006430678584592897</v>
      </c>
      <c r="N39" s="890" t="n"/>
      <c r="O39" s="872" t="n">
        <v>-134.1565821935947</v>
      </c>
      <c r="P39" s="872" t="n">
        <v>-5072.665747268155</v>
      </c>
      <c r="Q39" s="891" t="n">
        <v>-347.3339938400773</v>
      </c>
      <c r="R39" s="872" t="n">
        <v>-5554.156323301827</v>
      </c>
      <c r="S39" s="891" t="n"/>
      <c r="T39" s="872" t="n"/>
      <c r="U39" s="845" t="n">
        <v>-5554.156323301827</v>
      </c>
      <c r="V39" s="892">
        <f>+P39</f>
        <v/>
      </c>
      <c r="X39" s="890" t="n">
        <v>2042.998025672705</v>
      </c>
      <c r="Y39" s="872" t="n">
        <v>0</v>
      </c>
      <c r="Z39" s="845" t="n">
        <v>2042.998025672705</v>
      </c>
      <c r="AB39" s="893" t="n">
        <v>-3511.158297629122</v>
      </c>
    </row>
    <row r="40">
      <c r="A40" s="858" t="inlineStr">
        <is>
          <t>In God We Trust 2017 Living Trust</t>
        </is>
      </c>
      <c r="B40" s="872" t="n">
        <v>100000</v>
      </c>
      <c r="C40" s="872" t="n">
        <v>-23885.33043414015</v>
      </c>
      <c r="D40" s="872" t="n">
        <v>-67.07829109679733</v>
      </c>
      <c r="E40" s="872" t="n">
        <v>-2536.332873634077</v>
      </c>
      <c r="F40" s="872" t="n"/>
      <c r="G40" s="872" t="n">
        <v>1021.499012836353</v>
      </c>
      <c r="H40" s="872" t="n">
        <v>74532.75741396533</v>
      </c>
      <c r="I40" s="872" t="n">
        <v>25467.24258603467</v>
      </c>
      <c r="J40" s="872" t="n"/>
      <c r="K40" s="872" t="n">
        <v>-73511.26161646828</v>
      </c>
      <c r="L40" s="872" t="n">
        <v>-0.003215339306848364</v>
      </c>
      <c r="N40" s="890" t="n"/>
      <c r="O40" s="872" t="n">
        <v>-67.07829109679733</v>
      </c>
      <c r="P40" s="872" t="n">
        <v>-2536.332873634077</v>
      </c>
      <c r="Q40" s="891" t="n">
        <v>-173.6669969200387</v>
      </c>
      <c r="R40" s="872" t="n">
        <v>-2777.078161650913</v>
      </c>
      <c r="S40" s="891" t="n"/>
      <c r="T40" s="872" t="n"/>
      <c r="U40" s="845" t="n">
        <v>-2777.078161650913</v>
      </c>
      <c r="V40" s="892">
        <f>+P40</f>
        <v/>
      </c>
      <c r="X40" s="890" t="n">
        <v>1021.499012836353</v>
      </c>
      <c r="Y40" s="872" t="n">
        <v>0</v>
      </c>
      <c r="Z40" s="845" t="n">
        <v>1021.499012836353</v>
      </c>
      <c r="AB40" s="893" t="n">
        <v>-1755.579148814561</v>
      </c>
    </row>
    <row r="41">
      <c r="A41" s="858" t="inlineStr">
        <is>
          <t>James and Natelie Bloomingdale</t>
        </is>
      </c>
      <c r="B41" s="872" t="n">
        <v>0</v>
      </c>
      <c r="C41" s="872" t="n">
        <v>0</v>
      </c>
      <c r="D41" s="872" t="n">
        <v>0</v>
      </c>
      <c r="E41" s="872" t="n">
        <v>0</v>
      </c>
      <c r="F41" s="872" t="n"/>
      <c r="G41" s="872" t="n">
        <v>0</v>
      </c>
      <c r="H41" s="872" t="n">
        <v>0</v>
      </c>
      <c r="I41" s="872" t="n">
        <v>0</v>
      </c>
      <c r="J41" s="872" t="n"/>
      <c r="K41" s="872" t="n">
        <v>0</v>
      </c>
      <c r="L41" s="872" t="n">
        <v>0</v>
      </c>
      <c r="N41" s="890" t="n"/>
      <c r="O41" s="872" t="n">
        <v>0</v>
      </c>
      <c r="P41" s="872" t="n">
        <v>0</v>
      </c>
      <c r="Q41" s="891" t="n">
        <v>0</v>
      </c>
      <c r="R41" s="872" t="n">
        <v>0</v>
      </c>
      <c r="S41" s="891" t="n"/>
      <c r="T41" s="872" t="n"/>
      <c r="U41" s="845" t="n">
        <v>0</v>
      </c>
      <c r="V41" s="892">
        <f>+P41</f>
        <v/>
      </c>
      <c r="X41" s="890" t="n">
        <v>0</v>
      </c>
      <c r="Y41" s="872" t="n">
        <v>0</v>
      </c>
      <c r="Z41" s="845" t="n">
        <v>0</v>
      </c>
      <c r="AB41" s="893" t="n">
        <v>0</v>
      </c>
    </row>
    <row r="42">
      <c r="A42" s="858" t="inlineStr">
        <is>
          <t>James Campbell and Patricia Campbell</t>
        </is>
      </c>
      <c r="B42" s="872" t="n">
        <v>156600.63</v>
      </c>
      <c r="C42" s="872" t="n">
        <v>-38990.16574423623</v>
      </c>
      <c r="D42" s="872" t="n">
        <v>-105.0450264508545</v>
      </c>
      <c r="E42" s="872" t="n">
        <v>-3971.913259008041</v>
      </c>
      <c r="F42" s="872" t="n"/>
      <c r="G42" s="872" t="n">
        <v>1599.673889545509</v>
      </c>
      <c r="H42" s="872" t="n">
        <v>115133.1798598504</v>
      </c>
      <c r="I42" s="872" t="n">
        <v>41467.45014014962</v>
      </c>
      <c r="J42" s="872" t="n"/>
      <c r="K42" s="872" t="n">
        <v>-113533.5043598295</v>
      </c>
      <c r="L42" s="872" t="n">
        <v>0.001610475355846575</v>
      </c>
      <c r="N42" s="890" t="n"/>
      <c r="O42" s="872" t="n">
        <v>-105.0450264508545</v>
      </c>
      <c r="P42" s="872" t="n">
        <v>-3971.913259008041</v>
      </c>
      <c r="Q42" s="891" t="n">
        <v>-271.9636112788611</v>
      </c>
      <c r="R42" s="872" t="n">
        <v>-4348.921896737756</v>
      </c>
      <c r="S42" s="891" t="n"/>
      <c r="T42" s="872" t="n"/>
      <c r="U42" s="845" t="n">
        <v>-4348.921896737756</v>
      </c>
      <c r="V42" s="892">
        <f>+P42</f>
        <v/>
      </c>
      <c r="X42" s="890" t="n">
        <v>1599.673889545509</v>
      </c>
      <c r="Y42" s="872" t="n">
        <v>0</v>
      </c>
      <c r="Z42" s="845" t="n">
        <v>1599.673889545509</v>
      </c>
      <c r="AB42" s="893" t="n">
        <v>-2749.248007192247</v>
      </c>
    </row>
    <row r="43">
      <c r="A43" s="858" t="inlineStr">
        <is>
          <t>James Kane</t>
        </is>
      </c>
      <c r="B43" s="872" t="n">
        <v>156600.63</v>
      </c>
      <c r="C43" s="872" t="n">
        <v>-38990.16574423623</v>
      </c>
      <c r="D43" s="872" t="n">
        <v>-105.0450264508545</v>
      </c>
      <c r="E43" s="872" t="n">
        <v>-3971.913259008041</v>
      </c>
      <c r="F43" s="872" t="n"/>
      <c r="G43" s="872" t="n">
        <v>1599.673889545509</v>
      </c>
      <c r="H43" s="872" t="n">
        <v>115133.1798598504</v>
      </c>
      <c r="I43" s="872" t="n">
        <v>41467.45014014962</v>
      </c>
      <c r="J43" s="872" t="n"/>
      <c r="K43" s="872" t="n">
        <v>-113533.5043598295</v>
      </c>
      <c r="L43" s="872" t="n">
        <v>0.001610475355846575</v>
      </c>
      <c r="N43" s="890" t="n"/>
      <c r="O43" s="872" t="n">
        <v>-105.0450264508545</v>
      </c>
      <c r="P43" s="872" t="n">
        <v>-3971.913259008041</v>
      </c>
      <c r="Q43" s="891" t="n">
        <v>-271.9636112788611</v>
      </c>
      <c r="R43" s="872" t="n">
        <v>-4348.921896737756</v>
      </c>
      <c r="S43" s="891" t="n"/>
      <c r="T43" s="872" t="n"/>
      <c r="U43" s="845" t="n">
        <v>-4348.921896737756</v>
      </c>
      <c r="V43" s="892">
        <f>+P43</f>
        <v/>
      </c>
      <c r="X43" s="890" t="n">
        <v>1599.673889545509</v>
      </c>
      <c r="Y43" s="872" t="n">
        <v>0</v>
      </c>
      <c r="Z43" s="845" t="n">
        <v>1599.673889545509</v>
      </c>
      <c r="AB43" s="893" t="n">
        <v>-2749.248007192247</v>
      </c>
    </row>
    <row r="44">
      <c r="A44" s="858" t="inlineStr">
        <is>
          <t>James Thorp</t>
        </is>
      </c>
      <c r="B44" s="872" t="n">
        <v>195750.79</v>
      </c>
      <c r="C44" s="872" t="n">
        <v>-48737.69504404278</v>
      </c>
      <c r="D44" s="872" t="n">
        <v>-131.3062847405381</v>
      </c>
      <c r="E44" s="872" t="n">
        <v>-4964.89163716833</v>
      </c>
      <c r="F44" s="872" t="n"/>
      <c r="G44" s="872" t="n">
        <v>1999.592387469361</v>
      </c>
      <c r="H44" s="872" t="n">
        <v>143916.4894215177</v>
      </c>
      <c r="I44" s="872" t="n">
        <v>51834.30057848227</v>
      </c>
      <c r="J44" s="872" t="n"/>
      <c r="K44" s="872" t="n">
        <v>-141916.8972324395</v>
      </c>
      <c r="L44" s="872" t="n">
        <v>-0.0001983910840408498</v>
      </c>
      <c r="N44" s="890" t="n"/>
      <c r="O44" s="872" t="n">
        <v>-131.3062847405381</v>
      </c>
      <c r="P44" s="872" t="n">
        <v>-4964.89163716833</v>
      </c>
      <c r="Q44" s="891" t="n">
        <v>-339.9545184402513</v>
      </c>
      <c r="R44" s="872" t="n">
        <v>-5436.152440349119</v>
      </c>
      <c r="S44" s="891" t="n"/>
      <c r="T44" s="872" t="n"/>
      <c r="U44" s="845" t="n">
        <v>-5436.152440349119</v>
      </c>
      <c r="V44" s="892">
        <f>+P44</f>
        <v/>
      </c>
      <c r="X44" s="890" t="n">
        <v>1999.592387469361</v>
      </c>
      <c r="Y44" s="872" t="n">
        <v>0</v>
      </c>
      <c r="Z44" s="845" t="n">
        <v>1999.592387469361</v>
      </c>
      <c r="AB44" s="893" t="n">
        <v>-3436.560052879758</v>
      </c>
    </row>
    <row r="45">
      <c r="A45" s="858" t="inlineStr">
        <is>
          <t>Jeffrey A. Lipsitz Revocable Trust</t>
        </is>
      </c>
      <c r="B45" s="872" t="n">
        <v>1000000</v>
      </c>
      <c r="C45" s="872" t="n">
        <v>-246203.7843414015</v>
      </c>
      <c r="D45" s="872" t="n">
        <v>-670.782910968177</v>
      </c>
      <c r="E45" s="872" t="n">
        <v>-25363.32873634063</v>
      </c>
      <c r="F45" s="872" t="n"/>
      <c r="G45" s="872" t="n">
        <v>10214.99012836352</v>
      </c>
      <c r="H45" s="872" t="n">
        <v>737977.0941396531</v>
      </c>
      <c r="I45" s="872" t="n">
        <v>262022.9058603469</v>
      </c>
      <c r="J45" s="872" t="n"/>
      <c r="K45" s="872" t="n">
        <v>-727762.1061646828</v>
      </c>
      <c r="L45" s="872" t="n">
        <v>-0.002153393155822414</v>
      </c>
      <c r="N45" s="890" t="n"/>
      <c r="O45" s="872" t="n">
        <v>-670.782910968177</v>
      </c>
      <c r="P45" s="872" t="n">
        <v>-25363.32873634063</v>
      </c>
      <c r="Q45" s="891" t="n">
        <v>-1736.669969200387</v>
      </c>
      <c r="R45" s="872" t="n">
        <v>-27770.78161650919</v>
      </c>
      <c r="S45" s="891" t="n"/>
      <c r="T45" s="872" t="n"/>
      <c r="U45" s="845" t="n">
        <v>-27770.78161650919</v>
      </c>
      <c r="V45" s="892">
        <f>+P45</f>
        <v/>
      </c>
      <c r="X45" s="890" t="n">
        <v>10214.99012836352</v>
      </c>
      <c r="Y45" s="872" t="n">
        <v>0</v>
      </c>
      <c r="Z45" s="845" t="n">
        <v>10214.99012836352</v>
      </c>
      <c r="AB45" s="893" t="n">
        <v>-17555.79148814567</v>
      </c>
    </row>
    <row r="46">
      <c r="A46" s="858" t="inlineStr">
        <is>
          <t>Jeffrey D Furber Revocable Trust</t>
        </is>
      </c>
      <c r="B46" s="872" t="n">
        <v>500000</v>
      </c>
      <c r="C46" s="872" t="n">
        <v>-123101.8921707008</v>
      </c>
      <c r="D46" s="872" t="n">
        <v>-335.3914554840885</v>
      </c>
      <c r="E46" s="872" t="n">
        <v>-12681.66436817031</v>
      </c>
      <c r="F46" s="872" t="n"/>
      <c r="G46" s="872" t="n">
        <v>5107.495064181762</v>
      </c>
      <c r="H46" s="872" t="n">
        <v>368988.5470698266</v>
      </c>
      <c r="I46" s="872" t="n">
        <v>131011.4529301734</v>
      </c>
      <c r="J46" s="872" t="n"/>
      <c r="K46" s="872" t="n">
        <v>-363881.0480823414</v>
      </c>
      <c r="L46" s="872" t="n">
        <v>0.003923303426745406</v>
      </c>
      <c r="N46" s="890" t="n"/>
      <c r="O46" s="872" t="n">
        <v>-335.3914554840885</v>
      </c>
      <c r="P46" s="872" t="n">
        <v>-12681.66436817031</v>
      </c>
      <c r="Q46" s="891" t="n">
        <v>-868.3349846001933</v>
      </c>
      <c r="R46" s="872" t="n">
        <v>-13885.39080825459</v>
      </c>
      <c r="S46" s="891" t="n"/>
      <c r="T46" s="872" t="n"/>
      <c r="U46" s="845" t="n">
        <v>-13885.39080825459</v>
      </c>
      <c r="V46" s="892">
        <f>+P46</f>
        <v/>
      </c>
      <c r="X46" s="890" t="n">
        <v>5107.495064181762</v>
      </c>
      <c r="Y46" s="872" t="n">
        <v>0</v>
      </c>
      <c r="Z46" s="845" t="n">
        <v>5107.495064181762</v>
      </c>
      <c r="AB46" s="893" t="n">
        <v>-8777.895744072834</v>
      </c>
    </row>
    <row r="47">
      <c r="A47" s="858" t="inlineStr">
        <is>
          <t>Jeremy M. Jacobs Trust U/A/D April 1, 1973 fbo Margaret L. Reichenback</t>
        </is>
      </c>
      <c r="B47" s="872" t="n">
        <v>1500000</v>
      </c>
      <c r="C47" s="872" t="n">
        <v>-369305.6765121024</v>
      </c>
      <c r="D47" s="872" t="n">
        <v>-1006.174366452498</v>
      </c>
      <c r="E47" s="872" t="n">
        <v>-38044.99310451094</v>
      </c>
      <c r="F47" s="872" t="n"/>
      <c r="G47" s="872" t="n">
        <v>15322.48519254529</v>
      </c>
      <c r="H47" s="872" t="n">
        <v>1106965.641209479</v>
      </c>
      <c r="I47" s="872" t="n">
        <v>393034.3587905206</v>
      </c>
      <c r="J47" s="872" t="n"/>
      <c r="K47" s="872" t="n">
        <v>-1091643.154247024</v>
      </c>
      <c r="L47" s="872" t="n">
        <v>0.001769910035363864</v>
      </c>
      <c r="N47" s="890" t="n"/>
      <c r="O47" s="872" t="n">
        <v>-1006.174366452498</v>
      </c>
      <c r="P47" s="872" t="n">
        <v>-38044.99310451094</v>
      </c>
      <c r="Q47" s="891" t="n">
        <v>-2605.00495380058</v>
      </c>
      <c r="R47" s="872" t="n">
        <v>-41656.17242476402</v>
      </c>
      <c r="S47" s="891" t="n"/>
      <c r="T47" s="872" t="n"/>
      <c r="U47" s="845" t="n">
        <v>-41656.17242476402</v>
      </c>
      <c r="V47" s="892">
        <f>+P47</f>
        <v/>
      </c>
      <c r="X47" s="890" t="n">
        <v>15322.48519254529</v>
      </c>
      <c r="Y47" s="872" t="n">
        <v>0</v>
      </c>
      <c r="Z47" s="845" t="n">
        <v>15322.48519254529</v>
      </c>
      <c r="AB47" s="893" t="n">
        <v>-26333.68723221873</v>
      </c>
    </row>
    <row r="48">
      <c r="A48" s="858" t="inlineStr">
        <is>
          <t>John Mark Comer</t>
        </is>
      </c>
      <c r="B48" s="872" t="n">
        <v>100000</v>
      </c>
      <c r="C48" s="872" t="n">
        <v>-23885.33043414015</v>
      </c>
      <c r="D48" s="872" t="n">
        <v>-67.07829109679733</v>
      </c>
      <c r="E48" s="872" t="n">
        <v>-2536.332873634077</v>
      </c>
      <c r="F48" s="872" t="n"/>
      <c r="G48" s="872" t="n">
        <v>1021.499012836353</v>
      </c>
      <c r="H48" s="872" t="n">
        <v>74532.75741396533</v>
      </c>
      <c r="I48" s="872" t="n">
        <v>25467.24258603467</v>
      </c>
      <c r="J48" s="872" t="n"/>
      <c r="K48" s="872" t="n">
        <v>-73511.26161646828</v>
      </c>
      <c r="L48" s="872" t="n">
        <v>-0.003215339306848364</v>
      </c>
      <c r="N48" s="890" t="n"/>
      <c r="O48" s="872" t="n">
        <v>-67.07829109679733</v>
      </c>
      <c r="P48" s="872" t="n">
        <v>-2536.332873634077</v>
      </c>
      <c r="Q48" s="891" t="n">
        <v>-173.6669969200387</v>
      </c>
      <c r="R48" s="872" t="n">
        <v>-2777.078161650913</v>
      </c>
      <c r="S48" s="891" t="n"/>
      <c r="T48" s="872" t="n"/>
      <c r="U48" s="845" t="n">
        <v>-2777.078161650913</v>
      </c>
      <c r="V48" s="892">
        <f>+P48</f>
        <v/>
      </c>
      <c r="X48" s="890" t="n">
        <v>1021.499012836353</v>
      </c>
      <c r="Y48" s="872" t="n">
        <v>0</v>
      </c>
      <c r="Z48" s="845" t="n">
        <v>1021.499012836353</v>
      </c>
      <c r="AB48" s="893" t="n">
        <v>-1755.579148814561</v>
      </c>
    </row>
    <row r="49">
      <c r="A49" s="858" t="inlineStr">
        <is>
          <t>Landscape I, LP</t>
        </is>
      </c>
      <c r="B49" s="872" t="n">
        <v>750000</v>
      </c>
      <c r="C49" s="872" t="n">
        <v>-184652.8432560511</v>
      </c>
      <c r="D49" s="872" t="n">
        <v>-503.0871832262492</v>
      </c>
      <c r="E49" s="872" t="n">
        <v>-19022.49655225547</v>
      </c>
      <c r="F49" s="872" t="n"/>
      <c r="G49" s="872" t="n">
        <v>7661.242596272645</v>
      </c>
      <c r="H49" s="872" t="n">
        <v>553482.8156047398</v>
      </c>
      <c r="I49" s="872" t="n">
        <v>196517.1843952602</v>
      </c>
      <c r="J49" s="872" t="n"/>
      <c r="K49" s="872" t="n">
        <v>-545821.5821235121</v>
      </c>
      <c r="L49" s="872" t="n">
        <v>-0.009115044875215972</v>
      </c>
      <c r="N49" s="890" t="n"/>
      <c r="O49" s="872" t="n">
        <v>-503.0871832262492</v>
      </c>
      <c r="P49" s="872" t="n">
        <v>-19022.49655225547</v>
      </c>
      <c r="Q49" s="891" t="n">
        <v>-1302.50247690029</v>
      </c>
      <c r="R49" s="872" t="n">
        <v>-20828.08621238201</v>
      </c>
      <c r="S49" s="891" t="n"/>
      <c r="T49" s="872" t="n"/>
      <c r="U49" s="845" t="n">
        <v>-20828.08621238201</v>
      </c>
      <c r="V49" s="892">
        <f>+P49</f>
        <v/>
      </c>
      <c r="X49" s="890" t="n">
        <v>7661.242596272645</v>
      </c>
      <c r="Y49" s="872" t="n">
        <v>0</v>
      </c>
      <c r="Z49" s="845" t="n">
        <v>7661.242596272645</v>
      </c>
      <c r="AB49" s="893" t="n">
        <v>-13166.84361610936</v>
      </c>
    </row>
    <row r="50">
      <c r="A50" s="858" t="inlineStr">
        <is>
          <t>Lisa Bell Trust, Elisabeth B. Bell, Trustee</t>
        </is>
      </c>
      <c r="B50" s="872" t="n">
        <v>234900.95</v>
      </c>
      <c r="C50" s="872" t="n">
        <v>-58485.24434384934</v>
      </c>
      <c r="D50" s="872" t="n">
        <v>-157.5675430302508</v>
      </c>
      <c r="E50" s="872" t="n">
        <v>-5957.870015328663</v>
      </c>
      <c r="F50" s="872" t="n"/>
      <c r="G50" s="872" t="n">
        <v>2399.510885393214</v>
      </c>
      <c r="H50" s="872" t="n">
        <v>172699.778983185</v>
      </c>
      <c r="I50" s="872" t="n">
        <v>62201.17101681503</v>
      </c>
      <c r="J50" s="872" t="n"/>
      <c r="K50" s="872" t="n">
        <v>-170300.2701050494</v>
      </c>
      <c r="L50" s="872" t="n">
        <v>-0.002007257597142598</v>
      </c>
      <c r="N50" s="890" t="n"/>
      <c r="O50" s="872" t="n">
        <v>-157.5675430302508</v>
      </c>
      <c r="P50" s="872" t="n">
        <v>-5957.870015328663</v>
      </c>
      <c r="Q50" s="891" t="n">
        <v>-407.9454256016415</v>
      </c>
      <c r="R50" s="872" t="n">
        <v>-6523.382983960555</v>
      </c>
      <c r="S50" s="891" t="n"/>
      <c r="T50" s="872" t="n"/>
      <c r="U50" s="845" t="n">
        <v>-6523.382983960555</v>
      </c>
      <c r="V50" s="892">
        <f>+P50</f>
        <v/>
      </c>
      <c r="X50" s="890" t="n">
        <v>2399.510885393214</v>
      </c>
      <c r="Y50" s="872" t="n">
        <v>0</v>
      </c>
      <c r="Z50" s="845" t="n">
        <v>2399.510885393214</v>
      </c>
      <c r="AB50" s="893" t="n">
        <v>-4123.872098567341</v>
      </c>
    </row>
    <row r="51">
      <c r="A51" s="858" t="inlineStr">
        <is>
          <t>Madten Investments LLC</t>
        </is>
      </c>
      <c r="B51" s="872" t="n">
        <v>1000000</v>
      </c>
      <c r="C51" s="872" t="n">
        <v>-246203.7843414015</v>
      </c>
      <c r="D51" s="872" t="n">
        <v>-670.782910968177</v>
      </c>
      <c r="E51" s="872" t="n">
        <v>-25363.32873634063</v>
      </c>
      <c r="F51" s="872" t="n"/>
      <c r="G51" s="872" t="n">
        <v>10214.99012836352</v>
      </c>
      <c r="H51" s="872" t="n">
        <v>737977.0941396531</v>
      </c>
      <c r="I51" s="872" t="n">
        <v>262022.9058603469</v>
      </c>
      <c r="J51" s="872" t="n"/>
      <c r="K51" s="872" t="n">
        <v>-727762.1061646828</v>
      </c>
      <c r="L51" s="872" t="n">
        <v>-0.002153393155822414</v>
      </c>
      <c r="N51" s="890" t="n"/>
      <c r="O51" s="872" t="n">
        <v>-670.782910968177</v>
      </c>
      <c r="P51" s="872" t="n">
        <v>-25363.32873634063</v>
      </c>
      <c r="Q51" s="891" t="n">
        <v>-1736.669969200387</v>
      </c>
      <c r="R51" s="872" t="n">
        <v>-27770.78161650919</v>
      </c>
      <c r="S51" s="891" t="n"/>
      <c r="T51" s="872" t="n"/>
      <c r="U51" s="845" t="n">
        <v>-27770.78161650919</v>
      </c>
      <c r="V51" s="892">
        <f>+P51</f>
        <v/>
      </c>
      <c r="X51" s="890" t="n">
        <v>10214.99012836352</v>
      </c>
      <c r="Y51" s="872" t="n">
        <v>0</v>
      </c>
      <c r="Z51" s="845" t="n">
        <v>10214.99012836352</v>
      </c>
      <c r="AB51" s="893" t="n">
        <v>-17555.79148814567</v>
      </c>
    </row>
    <row r="52">
      <c r="A52" s="858" t="inlineStr">
        <is>
          <t>Matt McCoy</t>
        </is>
      </c>
      <c r="B52" s="872" t="n">
        <v>117450.47</v>
      </c>
      <c r="C52" s="872" t="n">
        <v>-29242.62644442964</v>
      </c>
      <c r="D52" s="872" t="n">
        <v>-78.78376816119999</v>
      </c>
      <c r="E52" s="872" t="n">
        <v>-2978.934880847708</v>
      </c>
      <c r="F52" s="872" t="n"/>
      <c r="G52" s="872" t="n">
        <v>1199.755391621656</v>
      </c>
      <c r="H52" s="872" t="n">
        <v>86349.88029818311</v>
      </c>
      <c r="I52" s="872" t="n">
        <v>31100.58970181689</v>
      </c>
      <c r="J52" s="872" t="n"/>
      <c r="K52" s="872" t="n">
        <v>-85150.1214872196</v>
      </c>
      <c r="L52" s="872" t="n">
        <v>0.003419341854396407</v>
      </c>
      <c r="N52" s="890" t="n"/>
      <c r="O52" s="872" t="n">
        <v>-78.78376816119999</v>
      </c>
      <c r="P52" s="872" t="n">
        <v>-2978.934880847708</v>
      </c>
      <c r="Q52" s="891" t="n">
        <v>-203.9727041174709</v>
      </c>
      <c r="R52" s="872" t="n">
        <v>-3261.691353126379</v>
      </c>
      <c r="S52" s="891" t="n"/>
      <c r="T52" s="872" t="n"/>
      <c r="U52" s="845" t="n">
        <v>-3261.691353126379</v>
      </c>
      <c r="V52" s="892">
        <f>+P52</f>
        <v/>
      </c>
      <c r="X52" s="890" t="n">
        <v>1199.755391621656</v>
      </c>
      <c r="Y52" s="872" t="n">
        <v>0</v>
      </c>
      <c r="Z52" s="845" t="n">
        <v>1199.755391621656</v>
      </c>
      <c r="AB52" s="893" t="n">
        <v>-2061.935961504722</v>
      </c>
    </row>
    <row r="53">
      <c r="A53" s="858" t="inlineStr">
        <is>
          <t>Matterhorn Holdings, LLC</t>
        </is>
      </c>
      <c r="B53" s="872" t="n">
        <v>100000</v>
      </c>
      <c r="C53" s="872" t="n">
        <v>-23885.33043414015</v>
      </c>
      <c r="D53" s="872" t="n">
        <v>-67.07829109679733</v>
      </c>
      <c r="E53" s="872" t="n">
        <v>-2536.332873634077</v>
      </c>
      <c r="F53" s="872" t="n"/>
      <c r="G53" s="872" t="n">
        <v>1021.499012836353</v>
      </c>
      <c r="H53" s="872" t="n">
        <v>74532.75741396533</v>
      </c>
      <c r="I53" s="872" t="n">
        <v>25467.24258603467</v>
      </c>
      <c r="J53" s="872" t="n"/>
      <c r="K53" s="872" t="n">
        <v>-73511.26161646828</v>
      </c>
      <c r="L53" s="872" t="n">
        <v>-0.003215339306848364</v>
      </c>
      <c r="N53" s="890" t="n"/>
      <c r="O53" s="872" t="n">
        <v>-67.07829109679733</v>
      </c>
      <c r="P53" s="872" t="n">
        <v>-2536.332873634077</v>
      </c>
      <c r="Q53" s="891" t="n">
        <v>-173.6669969200387</v>
      </c>
      <c r="R53" s="872" t="n">
        <v>-2777.078161650913</v>
      </c>
      <c r="S53" s="891" t="n"/>
      <c r="T53" s="872" t="n"/>
      <c r="U53" s="845" t="n">
        <v>-2777.078161650913</v>
      </c>
      <c r="V53" s="892">
        <f>+P53</f>
        <v/>
      </c>
      <c r="X53" s="890" t="n">
        <v>1021.499012836353</v>
      </c>
      <c r="Y53" s="872" t="n">
        <v>0</v>
      </c>
      <c r="Z53" s="845" t="n">
        <v>1021.499012836353</v>
      </c>
      <c r="AB53" s="893" t="n">
        <v>-1755.579148814561</v>
      </c>
    </row>
    <row r="54">
      <c r="A54" s="858" t="inlineStr">
        <is>
          <t>Max O. Reinbach III</t>
        </is>
      </c>
      <c r="B54" s="872" t="n">
        <v>78300.32000000001</v>
      </c>
      <c r="C54" s="872" t="n">
        <v>-19495.07859961313</v>
      </c>
      <c r="D54" s="872" t="n">
        <v>-52.52251657933812</v>
      </c>
      <c r="E54" s="872" t="n">
        <v>-1985.956756320666</v>
      </c>
      <c r="F54" s="872" t="n"/>
      <c r="G54" s="872" t="n">
        <v>799.8369958477051</v>
      </c>
      <c r="H54" s="872" t="n">
        <v>57566.59912333458</v>
      </c>
      <c r="I54" s="872" t="n">
        <v>20733.72087666543</v>
      </c>
      <c r="J54" s="872" t="n"/>
      <c r="K54" s="872" t="n">
        <v>-56766.76574521985</v>
      </c>
      <c r="L54" s="872" t="n">
        <v>-0.003617732974817045</v>
      </c>
      <c r="N54" s="890" t="n"/>
      <c r="O54" s="872" t="n">
        <v>-52.52251657933812</v>
      </c>
      <c r="P54" s="872" t="n">
        <v>-1985.956756320666</v>
      </c>
      <c r="Q54" s="891" t="n">
        <v>-135.9818143227804</v>
      </c>
      <c r="R54" s="872" t="n">
        <v>-2174.461087222784</v>
      </c>
      <c r="S54" s="891" t="n"/>
      <c r="T54" s="872" t="n"/>
      <c r="U54" s="845" t="n">
        <v>-2174.461087222784</v>
      </c>
      <c r="V54" s="892">
        <f>+P54</f>
        <v/>
      </c>
      <c r="X54" s="890" t="n">
        <v>799.8369958477051</v>
      </c>
      <c r="Y54" s="872" t="n">
        <v>0</v>
      </c>
      <c r="Z54" s="845" t="n">
        <v>799.8369958477051</v>
      </c>
      <c r="AB54" s="893" t="n">
        <v>-1374.624091375079</v>
      </c>
    </row>
    <row r="55">
      <c r="A55" s="858" t="inlineStr">
        <is>
          <t>Meghann C. Robinson</t>
        </is>
      </c>
      <c r="B55" s="872" t="n">
        <v>783003.16</v>
      </c>
      <c r="C55" s="872" t="n">
        <v>-194950.8201761711</v>
      </c>
      <c r="D55" s="872" t="n">
        <v>-525.2251389621524</v>
      </c>
      <c r="E55" s="872" t="n">
        <v>-19859.56654867332</v>
      </c>
      <c r="F55" s="872" t="n"/>
      <c r="G55" s="872" t="n">
        <v>7998.369549877446</v>
      </c>
      <c r="H55" s="872" t="n">
        <v>575665.9176860709</v>
      </c>
      <c r="I55" s="872" t="n">
        <v>207337.2423139291</v>
      </c>
      <c r="J55" s="872" t="n"/>
      <c r="K55" s="872" t="n">
        <v>-567667.5389297578</v>
      </c>
      <c r="L55" s="872" t="n">
        <v>0.009206435673149826</v>
      </c>
      <c r="N55" s="890" t="n"/>
      <c r="O55" s="872" t="n">
        <v>-525.2251389621524</v>
      </c>
      <c r="P55" s="872" t="n">
        <v>-19859.56654867332</v>
      </c>
      <c r="Q55" s="891" t="n">
        <v>-1359.818073761005</v>
      </c>
      <c r="R55" s="872" t="n">
        <v>-21744.60976139648</v>
      </c>
      <c r="S55" s="891" t="n"/>
      <c r="T55" s="872" t="n"/>
      <c r="U55" s="845" t="n">
        <v>-21744.60976139648</v>
      </c>
      <c r="V55" s="892">
        <f>+P55</f>
        <v/>
      </c>
      <c r="X55" s="890" t="n">
        <v>7998.369549877446</v>
      </c>
      <c r="Y55" s="872" t="n">
        <v>0</v>
      </c>
      <c r="Z55" s="845" t="n">
        <v>7998.369549877446</v>
      </c>
      <c r="AB55" s="893" t="n">
        <v>-13746.24021151903</v>
      </c>
    </row>
    <row r="56">
      <c r="A56" s="858" t="inlineStr">
        <is>
          <t>Nahas Investments II LLC</t>
        </is>
      </c>
      <c r="B56" s="872" t="n">
        <v>391501.58</v>
      </c>
      <c r="C56" s="872" t="n">
        <v>-97475.42008808552</v>
      </c>
      <c r="D56" s="872" t="n">
        <v>-262.6125694810762</v>
      </c>
      <c r="E56" s="872" t="n">
        <v>-9929.78327433666</v>
      </c>
      <c r="F56" s="872" t="n"/>
      <c r="G56" s="872" t="n">
        <v>3999.184774938723</v>
      </c>
      <c r="H56" s="872" t="n">
        <v>287832.9488430355</v>
      </c>
      <c r="I56" s="872" t="n">
        <v>103668.6311569645</v>
      </c>
      <c r="J56" s="872" t="n"/>
      <c r="K56" s="872" t="n">
        <v>-283833.7644648789</v>
      </c>
      <c r="L56" s="872" t="n">
        <v>-0.0003967821098740387</v>
      </c>
      <c r="N56" s="890" t="n"/>
      <c r="O56" s="872" t="n">
        <v>-262.6125694810762</v>
      </c>
      <c r="P56" s="872" t="n">
        <v>-9929.78327433666</v>
      </c>
      <c r="Q56" s="891" t="n">
        <v>-679.9090368805026</v>
      </c>
      <c r="R56" s="872" t="n">
        <v>-10872.30488069824</v>
      </c>
      <c r="S56" s="891" t="n"/>
      <c r="T56" s="872" t="n"/>
      <c r="U56" s="845" t="n">
        <v>-10872.30488069824</v>
      </c>
      <c r="V56" s="892">
        <f>+P56</f>
        <v/>
      </c>
      <c r="X56" s="890" t="n">
        <v>3999.184774938723</v>
      </c>
      <c r="Y56" s="872" t="n">
        <v>0</v>
      </c>
      <c r="Z56" s="845" t="n">
        <v>3999.184774938723</v>
      </c>
      <c r="AB56" s="893" t="n">
        <v>-6873.120105759515</v>
      </c>
    </row>
    <row r="57">
      <c r="A57" s="858" t="inlineStr">
        <is>
          <t>Odyssey Holdings, LLC</t>
        </is>
      </c>
      <c r="B57" s="872" t="n">
        <v>703163.88</v>
      </c>
      <c r="C57" s="872" t="n">
        <v>-310280.5768200925</v>
      </c>
      <c r="D57" s="872" t="n">
        <v>126350.365848634</v>
      </c>
      <c r="E57" s="872" t="n">
        <v>-17834.5766439607</v>
      </c>
      <c r="F57" s="872" t="n"/>
      <c r="G57" s="872" t="n">
        <v>7182.812092821795</v>
      </c>
      <c r="H57" s="872" t="n">
        <v>508581.9044774026</v>
      </c>
      <c r="I57" s="872" t="n">
        <v>194581.9755225974</v>
      </c>
      <c r="J57" s="872" t="n"/>
      <c r="K57" s="872" t="n">
        <v>-501398.7508031011</v>
      </c>
      <c r="L57" s="872" t="n">
        <v>0.3415814796635459</v>
      </c>
      <c r="N57" s="890" t="n"/>
      <c r="O57" s="872" t="n">
        <v>126350.365848634</v>
      </c>
      <c r="P57" s="872" t="n">
        <v>-17834.57664396067</v>
      </c>
      <c r="Q57" s="891" t="n">
        <v>-1221.163593822424</v>
      </c>
      <c r="R57" s="872" t="n">
        <v>107294.6256108509</v>
      </c>
      <c r="S57" s="891" t="n">
        <v>-9544.31305836808</v>
      </c>
      <c r="T57" s="872" t="n">
        <v>-126350</v>
      </c>
      <c r="U57" s="845" t="n">
        <v>-28599.68744751716</v>
      </c>
      <c r="V57" s="892">
        <f>+P57+T57</f>
        <v/>
      </c>
      <c r="X57" s="890" t="n">
        <v>7182.812092821795</v>
      </c>
      <c r="Y57" s="872" t="n">
        <v>0</v>
      </c>
      <c r="Z57" s="845" t="n">
        <v>7182.812092821795</v>
      </c>
      <c r="AB57" s="893" t="n">
        <v>-21416.87535469537</v>
      </c>
    </row>
    <row r="58">
      <c r="A58" s="858" t="inlineStr">
        <is>
          <t>Pease River Holdings LLC</t>
        </is>
      </c>
      <c r="B58" s="872" t="n">
        <v>78300.32000000001</v>
      </c>
      <c r="C58" s="872" t="n">
        <v>-19495.07859961313</v>
      </c>
      <c r="D58" s="872" t="n">
        <v>-52.52251657933812</v>
      </c>
      <c r="E58" s="872" t="n">
        <v>-1985.956756320666</v>
      </c>
      <c r="F58" s="872" t="n"/>
      <c r="G58" s="872" t="n">
        <v>799.8369958477051</v>
      </c>
      <c r="H58" s="872" t="n">
        <v>57566.59912333458</v>
      </c>
      <c r="I58" s="872" t="n">
        <v>20733.72087666543</v>
      </c>
      <c r="J58" s="872" t="n"/>
      <c r="K58" s="872" t="n">
        <v>-56766.76574521985</v>
      </c>
      <c r="L58" s="872" t="n">
        <v>-0.003617732974817045</v>
      </c>
      <c r="N58" s="890" t="n"/>
      <c r="O58" s="872" t="n">
        <v>-52.52251657933812</v>
      </c>
      <c r="P58" s="872" t="n">
        <v>-1985.956756320666</v>
      </c>
      <c r="Q58" s="891" t="n">
        <v>-135.9818143227804</v>
      </c>
      <c r="R58" s="872" t="n">
        <v>-2174.461087222784</v>
      </c>
      <c r="S58" s="891" t="n"/>
      <c r="T58" s="872" t="n"/>
      <c r="U58" s="845" t="n">
        <v>-2174.461087222784</v>
      </c>
      <c r="V58" s="892">
        <f>+P58</f>
        <v/>
      </c>
      <c r="X58" s="890" t="n">
        <v>799.8369958477051</v>
      </c>
      <c r="Y58" s="872" t="n">
        <v>0</v>
      </c>
      <c r="Z58" s="845" t="n">
        <v>799.8369958477051</v>
      </c>
      <c r="AB58" s="893" t="n">
        <v>-1374.624091375079</v>
      </c>
    </row>
    <row r="59">
      <c r="A59" s="858" t="inlineStr">
        <is>
          <t>PT Burros, LLC</t>
        </is>
      </c>
      <c r="B59" s="872" t="n">
        <v>329488.2</v>
      </c>
      <c r="C59" s="872" t="n">
        <v>-82663.32213191444</v>
      </c>
      <c r="D59" s="872" t="n">
        <v>-221.0150539256574</v>
      </c>
      <c r="E59" s="872" t="n">
        <v>-8356.917531345156</v>
      </c>
      <c r="F59" s="872" t="n"/>
      <c r="G59" s="872" t="n">
        <v>3365.718710412267</v>
      </c>
      <c r="H59" s="872" t="n">
        <v>241612.663993227</v>
      </c>
      <c r="I59" s="872" t="n">
        <v>87875.53600677298</v>
      </c>
      <c r="J59" s="872" t="n"/>
      <c r="K59" s="872" t="n">
        <v>-238246.9436165983</v>
      </c>
      <c r="L59" s="872" t="n">
        <v>0.001666216446210456</v>
      </c>
      <c r="N59" s="890" t="n"/>
      <c r="O59" s="872" t="n">
        <v>-221.0150539256574</v>
      </c>
      <c r="P59" s="872" t="n">
        <v>-8356.917531345156</v>
      </c>
      <c r="Q59" s="891" t="n">
        <v>-572.2122621458908</v>
      </c>
      <c r="R59" s="872" t="n">
        <v>-9150.144847416705</v>
      </c>
      <c r="S59" s="891" t="n"/>
      <c r="T59" s="872" t="n"/>
      <c r="U59" s="845" t="n">
        <v>-9150.144847416705</v>
      </c>
      <c r="V59" s="892">
        <f>+P59</f>
        <v/>
      </c>
      <c r="X59" s="890" t="n">
        <v>3365.718710412267</v>
      </c>
      <c r="Y59" s="872" t="n">
        <v>0</v>
      </c>
      <c r="Z59" s="845" t="n">
        <v>3365.718710412267</v>
      </c>
      <c r="AB59" s="893" t="n">
        <v>-5784.426137004438</v>
      </c>
    </row>
    <row r="60">
      <c r="A60" s="858" t="inlineStr">
        <is>
          <t>Robert D. Falese III</t>
        </is>
      </c>
      <c r="B60" s="872" t="n">
        <v>877590.41</v>
      </c>
      <c r="C60" s="872" t="n">
        <v>-219128.9079642362</v>
      </c>
      <c r="D60" s="872" t="n">
        <v>-588.6726498575881</v>
      </c>
      <c r="E60" s="872" t="n">
        <v>-22258.61406468996</v>
      </c>
      <c r="F60" s="872" t="n"/>
      <c r="G60" s="872" t="n">
        <v>8964.577374896498</v>
      </c>
      <c r="H60" s="872" t="n">
        <v>644578.7926961128</v>
      </c>
      <c r="I60" s="872" t="n">
        <v>233011.6173038873</v>
      </c>
      <c r="J60" s="872" t="n"/>
      <c r="K60" s="872" t="n">
        <v>-635614.2124413067</v>
      </c>
      <c r="L60" s="872" t="n">
        <v>0.002879909590774332</v>
      </c>
      <c r="N60" s="890" t="n"/>
      <c r="O60" s="872" t="n">
        <v>-588.6726498575881</v>
      </c>
      <c r="P60" s="872" t="n">
        <v>-22258.61406468996</v>
      </c>
      <c r="Q60" s="891" t="n">
        <v>-1524.084910305254</v>
      </c>
      <c r="R60" s="872" t="n">
        <v>-24371.3716248528</v>
      </c>
      <c r="S60" s="891" t="n"/>
      <c r="T60" s="872" t="n"/>
      <c r="U60" s="845" t="n">
        <v>-24371.3716248528</v>
      </c>
      <c r="V60" s="892">
        <f>+P60</f>
        <v/>
      </c>
      <c r="X60" s="890" t="n">
        <v>8964.577374896498</v>
      </c>
      <c r="Y60" s="872" t="n">
        <v>0</v>
      </c>
      <c r="Z60" s="845" t="n">
        <v>8964.577374896498</v>
      </c>
      <c r="AB60" s="893" t="n">
        <v>-15406.7942499563</v>
      </c>
    </row>
    <row r="61">
      <c r="A61" s="858" t="inlineStr">
        <is>
          <t>Robert Parker Yates</t>
        </is>
      </c>
      <c r="B61" s="872" t="n">
        <v>39150.16</v>
      </c>
      <c r="C61" s="872" t="n">
        <v>-9747.549299806567</v>
      </c>
      <c r="D61" s="872" t="n">
        <v>-26.26125828966906</v>
      </c>
      <c r="E61" s="872" t="n">
        <v>-992.9783781603328</v>
      </c>
      <c r="F61" s="872" t="n"/>
      <c r="G61" s="872" t="n">
        <v>399.9184979238526</v>
      </c>
      <c r="H61" s="872" t="n">
        <v>28783.28956166729</v>
      </c>
      <c r="I61" s="872" t="n">
        <v>10366.87043833272</v>
      </c>
      <c r="J61" s="872" t="n"/>
      <c r="K61" s="872" t="n">
        <v>-28383.37287260992</v>
      </c>
      <c r="L61" s="872" t="n">
        <v>-0.001808866487408523</v>
      </c>
      <c r="N61" s="890" t="n"/>
      <c r="O61" s="872" t="n">
        <v>-26.26125828966906</v>
      </c>
      <c r="P61" s="872" t="n">
        <v>-992.9783781603328</v>
      </c>
      <c r="Q61" s="891" t="n">
        <v>-67.99090716139021</v>
      </c>
      <c r="R61" s="872" t="n">
        <v>-1087.230543611392</v>
      </c>
      <c r="S61" s="891" t="n"/>
      <c r="T61" s="872" t="n"/>
      <c r="U61" s="845" t="n">
        <v>-1087.230543611392</v>
      </c>
      <c r="V61" s="892">
        <f>+P61</f>
        <v/>
      </c>
      <c r="X61" s="890" t="n">
        <v>399.9184979238526</v>
      </c>
      <c r="Y61" s="872" t="n">
        <v>0</v>
      </c>
      <c r="Z61" s="845" t="n">
        <v>399.9184979238526</v>
      </c>
      <c r="AB61" s="893" t="n">
        <v>-687.3120456875395</v>
      </c>
    </row>
    <row r="62">
      <c r="A62" s="858" t="inlineStr">
        <is>
          <t>Robert S. Shafir &amp; Donna R. Shafir TEN/COM</t>
        </is>
      </c>
      <c r="B62" s="872" t="n">
        <v>1500000</v>
      </c>
      <c r="C62" s="872" t="n">
        <v>-369305.6765121024</v>
      </c>
      <c r="D62" s="872" t="n">
        <v>-1006.174366452498</v>
      </c>
      <c r="E62" s="872" t="n">
        <v>-38044.99310451094</v>
      </c>
      <c r="F62" s="872" t="n"/>
      <c r="G62" s="872" t="n">
        <v>15322.48519254529</v>
      </c>
      <c r="H62" s="872" t="n">
        <v>1106965.641209479</v>
      </c>
      <c r="I62" s="872" t="n">
        <v>393034.3587905206</v>
      </c>
      <c r="J62" s="872" t="n"/>
      <c r="K62" s="872" t="n">
        <v>-1091643.154247024</v>
      </c>
      <c r="L62" s="872" t="n">
        <v>0.001769910035363864</v>
      </c>
      <c r="N62" s="890" t="n"/>
      <c r="O62" s="872" t="n">
        <v>-1006.174366452498</v>
      </c>
      <c r="P62" s="872" t="n">
        <v>-38044.99310451094</v>
      </c>
      <c r="Q62" s="891" t="n">
        <v>-2605.00495380058</v>
      </c>
      <c r="R62" s="872" t="n">
        <v>-41656.17242476402</v>
      </c>
      <c r="S62" s="891" t="n"/>
      <c r="T62" s="872" t="n"/>
      <c r="U62" s="845" t="n">
        <v>-41656.17242476402</v>
      </c>
      <c r="V62" s="892">
        <f>+P62</f>
        <v/>
      </c>
      <c r="X62" s="890" t="n">
        <v>15322.48519254529</v>
      </c>
      <c r="Y62" s="872" t="n">
        <v>0</v>
      </c>
      <c r="Z62" s="845" t="n">
        <v>15322.48519254529</v>
      </c>
      <c r="AB62" s="893" t="n">
        <v>-26333.68723221873</v>
      </c>
    </row>
    <row r="63">
      <c r="A63" s="858" t="inlineStr">
        <is>
          <t>Robert S. Shafir 2011 Children's Trust</t>
        </is>
      </c>
      <c r="B63" s="872" t="n">
        <v>1000000</v>
      </c>
      <c r="C63" s="872" t="n">
        <v>-246203.7843414015</v>
      </c>
      <c r="D63" s="872" t="n">
        <v>-670.782910968177</v>
      </c>
      <c r="E63" s="872" t="n">
        <v>-25363.32873634063</v>
      </c>
      <c r="F63" s="872" t="n"/>
      <c r="G63" s="872" t="n">
        <v>10214.99012836352</v>
      </c>
      <c r="H63" s="872" t="n">
        <v>737977.0941396531</v>
      </c>
      <c r="I63" s="872" t="n">
        <v>262022.9058603469</v>
      </c>
      <c r="J63" s="872" t="n"/>
      <c r="K63" s="872" t="n">
        <v>-727762.1061646828</v>
      </c>
      <c r="L63" s="872" t="n">
        <v>-0.002153393155822414</v>
      </c>
      <c r="N63" s="890" t="n"/>
      <c r="O63" s="872" t="n">
        <v>-670.782910968177</v>
      </c>
      <c r="P63" s="872" t="n">
        <v>-25363.32873634063</v>
      </c>
      <c r="Q63" s="891" t="n">
        <v>-1736.669969200387</v>
      </c>
      <c r="R63" s="872" t="n">
        <v>-27770.78161650919</v>
      </c>
      <c r="S63" s="891" t="n"/>
      <c r="T63" s="872" t="n"/>
      <c r="U63" s="845" t="n">
        <v>-27770.78161650919</v>
      </c>
      <c r="V63" s="892">
        <f>+P63</f>
        <v/>
      </c>
      <c r="X63" s="890" t="n">
        <v>10214.99012836352</v>
      </c>
      <c r="Y63" s="872" t="n">
        <v>0</v>
      </c>
      <c r="Z63" s="845" t="n">
        <v>10214.99012836352</v>
      </c>
      <c r="AB63" s="893" t="n">
        <v>-17555.79148814567</v>
      </c>
    </row>
    <row r="64">
      <c r="A64" s="858" t="inlineStr">
        <is>
          <t>Romar Partners, LP</t>
        </is>
      </c>
      <c r="B64" s="872" t="n">
        <v>1000000</v>
      </c>
      <c r="C64" s="872" t="n">
        <v>-246203.7843414015</v>
      </c>
      <c r="D64" s="872" t="n">
        <v>-670.782910968177</v>
      </c>
      <c r="E64" s="872" t="n">
        <v>-25363.32873634063</v>
      </c>
      <c r="F64" s="872" t="n"/>
      <c r="G64" s="872" t="n">
        <v>10214.99012836352</v>
      </c>
      <c r="H64" s="872" t="n">
        <v>737977.0941396531</v>
      </c>
      <c r="I64" s="872" t="n">
        <v>262022.9058603469</v>
      </c>
      <c r="J64" s="872" t="n"/>
      <c r="K64" s="872" t="n">
        <v>-727762.1061646828</v>
      </c>
      <c r="L64" s="872" t="n">
        <v>-0.002153393155822414</v>
      </c>
      <c r="N64" s="890" t="n"/>
      <c r="O64" s="872" t="n">
        <v>-670.782910968177</v>
      </c>
      <c r="P64" s="872" t="n">
        <v>-25363.32873634063</v>
      </c>
      <c r="Q64" s="891" t="n">
        <v>-1736.669969200387</v>
      </c>
      <c r="R64" s="872" t="n">
        <v>-27770.78161650919</v>
      </c>
      <c r="S64" s="891" t="n"/>
      <c r="T64" s="872" t="n"/>
      <c r="U64" s="845" t="n">
        <v>-27770.78161650919</v>
      </c>
      <c r="V64" s="892">
        <f>+P64</f>
        <v/>
      </c>
      <c r="X64" s="890" t="n">
        <v>10214.99012836352</v>
      </c>
      <c r="Y64" s="872" t="n">
        <v>0</v>
      </c>
      <c r="Z64" s="845" t="n">
        <v>10214.99012836352</v>
      </c>
      <c r="AB64" s="893" t="n">
        <v>-17555.79148814567</v>
      </c>
    </row>
    <row r="65">
      <c r="A65" s="858" t="inlineStr">
        <is>
          <t>Steven and Chani Laufer 2012 Dynasty Trust</t>
        </is>
      </c>
      <c r="B65" s="872" t="n">
        <v>2000000</v>
      </c>
      <c r="C65" s="872" t="n">
        <v>-492407.5686828028</v>
      </c>
      <c r="D65" s="872" t="n">
        <v>-1341.565821936354</v>
      </c>
      <c r="E65" s="872" t="n">
        <v>-50726.65747268125</v>
      </c>
      <c r="F65" s="872" t="n"/>
      <c r="G65" s="872" t="n">
        <v>20429.98025672705</v>
      </c>
      <c r="H65" s="872" t="n">
        <v>1475954.188279307</v>
      </c>
      <c r="I65" s="872" t="n">
        <v>524045.8117206935</v>
      </c>
      <c r="J65" s="872" t="n"/>
      <c r="K65" s="872" t="n">
        <v>-1455524.202329366</v>
      </c>
      <c r="L65" s="872" t="n">
        <v>0.005693213930499041</v>
      </c>
      <c r="N65" s="890" t="n"/>
      <c r="O65" s="872" t="n">
        <v>-1341.565821936354</v>
      </c>
      <c r="P65" s="872" t="n">
        <v>-50726.65747268125</v>
      </c>
      <c r="Q65" s="891" t="n">
        <v>-3473.339938400773</v>
      </c>
      <c r="R65" s="872" t="n">
        <v>-55541.56323301838</v>
      </c>
      <c r="S65" s="891" t="n"/>
      <c r="T65" s="872" t="n"/>
      <c r="U65" s="845" t="n">
        <v>-55541.56323301838</v>
      </c>
      <c r="V65" s="892">
        <f>+P65</f>
        <v/>
      </c>
      <c r="X65" s="890" t="n">
        <v>20429.98025672705</v>
      </c>
      <c r="Y65" s="872" t="n">
        <v>0</v>
      </c>
      <c r="Z65" s="845" t="n">
        <v>20429.98025672705</v>
      </c>
      <c r="AB65" s="893" t="n">
        <v>-35111.58297629133</v>
      </c>
    </row>
    <row r="66">
      <c r="A66" s="858" t="inlineStr">
        <is>
          <t>Steven M. Laufer 2012 Trust</t>
        </is>
      </c>
      <c r="B66" s="872" t="n">
        <v>1000000</v>
      </c>
      <c r="C66" s="872" t="n">
        <v>-246203.7843414015</v>
      </c>
      <c r="D66" s="872" t="n">
        <v>-670.782910968177</v>
      </c>
      <c r="E66" s="872" t="n">
        <v>-25363.32873634063</v>
      </c>
      <c r="F66" s="872" t="n"/>
      <c r="G66" s="872" t="n">
        <v>10214.99012836352</v>
      </c>
      <c r="H66" s="872" t="n">
        <v>737977.0941396531</v>
      </c>
      <c r="I66" s="872" t="n">
        <v>262022.9058603469</v>
      </c>
      <c r="J66" s="872" t="n"/>
      <c r="K66" s="872" t="n">
        <v>-727762.1061646828</v>
      </c>
      <c r="L66" s="872" t="n">
        <v>-0.002153393155822414</v>
      </c>
      <c r="N66" s="890" t="n"/>
      <c r="O66" s="872" t="n">
        <v>-670.782910968177</v>
      </c>
      <c r="P66" s="872" t="n">
        <v>-25363.32873634063</v>
      </c>
      <c r="Q66" s="891" t="n">
        <v>-1736.669969200387</v>
      </c>
      <c r="R66" s="872" t="n">
        <v>-27770.78161650919</v>
      </c>
      <c r="S66" s="891" t="n"/>
      <c r="T66" s="872" t="n"/>
      <c r="U66" s="845" t="n">
        <v>-27770.78161650919</v>
      </c>
      <c r="V66" s="892">
        <f>+P66</f>
        <v/>
      </c>
      <c r="X66" s="890" t="n">
        <v>10214.99012836352</v>
      </c>
      <c r="Y66" s="872" t="n">
        <v>0</v>
      </c>
      <c r="Z66" s="845" t="n">
        <v>10214.99012836352</v>
      </c>
      <c r="AB66" s="893" t="n">
        <v>-17555.79148814567</v>
      </c>
    </row>
    <row r="67">
      <c r="A67" s="858" t="inlineStr">
        <is>
          <t>Stewart Tate</t>
        </is>
      </c>
      <c r="B67" s="872" t="n">
        <v>523296.86</v>
      </c>
      <c r="C67" s="872" t="n">
        <v>-130540.7489408514</v>
      </c>
      <c r="D67" s="872" t="n">
        <v>-351.0185910513392</v>
      </c>
      <c r="E67" s="872" t="n">
        <v>-13272.55028687487</v>
      </c>
      <c r="F67" s="872" t="n"/>
      <c r="G67" s="872" t="n">
        <v>5345.47225910363</v>
      </c>
      <c r="H67" s="872" t="n">
        <v>384478.014440326</v>
      </c>
      <c r="I67" s="872" t="n">
        <v>138818.845559674</v>
      </c>
      <c r="J67" s="872" t="n"/>
      <c r="K67" s="872" t="n">
        <v>-379132.5439115182</v>
      </c>
      <c r="L67" s="872" t="n">
        <v>-0.001730295789457159</v>
      </c>
      <c r="N67" s="890" t="n"/>
      <c r="O67" s="872" t="n">
        <v>-351.0185910513392</v>
      </c>
      <c r="P67" s="872" t="n">
        <v>-13272.55028687487</v>
      </c>
      <c r="Q67" s="891" t="n">
        <v>-908.7939417388588</v>
      </c>
      <c r="R67" s="872" t="n">
        <v>-14532.36281966507</v>
      </c>
      <c r="S67" s="891" t="n"/>
      <c r="T67" s="872" t="n"/>
      <c r="U67" s="845" t="n">
        <v>-14532.36281966507</v>
      </c>
      <c r="V67" s="892">
        <f>+P67</f>
        <v/>
      </c>
      <c r="X67" s="890" t="n">
        <v>5345.47225910363</v>
      </c>
      <c r="Y67" s="872" t="n">
        <v>0</v>
      </c>
      <c r="Z67" s="845" t="n">
        <v>5345.47225910363</v>
      </c>
      <c r="AB67" s="893" t="n">
        <v>-9186.890560561442</v>
      </c>
    </row>
    <row r="68">
      <c r="A68" s="858" t="inlineStr">
        <is>
          <t>TC Wilson Family Trust</t>
        </is>
      </c>
      <c r="B68" s="872" t="n">
        <v>156600.63</v>
      </c>
      <c r="C68" s="872" t="n">
        <v>-38990.16574423623</v>
      </c>
      <c r="D68" s="872" t="n">
        <v>-105.0450264508545</v>
      </c>
      <c r="E68" s="872" t="n">
        <v>-3971.913259008041</v>
      </c>
      <c r="F68" s="872" t="n"/>
      <c r="G68" s="872" t="n">
        <v>1599.673889545509</v>
      </c>
      <c r="H68" s="872" t="n">
        <v>115133.1798598504</v>
      </c>
      <c r="I68" s="872" t="n">
        <v>41467.45014014962</v>
      </c>
      <c r="J68" s="872" t="n"/>
      <c r="K68" s="872" t="n">
        <v>-113533.5043598295</v>
      </c>
      <c r="L68" s="872" t="n">
        <v>0.001610475355846575</v>
      </c>
      <c r="N68" s="890" t="n"/>
      <c r="O68" s="872" t="n">
        <v>-105.0450264508545</v>
      </c>
      <c r="P68" s="872" t="n">
        <v>-3971.913259008041</v>
      </c>
      <c r="Q68" s="891" t="n">
        <v>-271.9636112788611</v>
      </c>
      <c r="R68" s="872" t="n">
        <v>-4348.921896737756</v>
      </c>
      <c r="S68" s="891" t="n"/>
      <c r="T68" s="872" t="n"/>
      <c r="U68" s="845" t="n">
        <v>-4348.921896737756</v>
      </c>
      <c r="V68" s="892">
        <f>+P68</f>
        <v/>
      </c>
      <c r="X68" s="890" t="n">
        <v>1599.673889545509</v>
      </c>
      <c r="Y68" s="872" t="n">
        <v>0</v>
      </c>
      <c r="Z68" s="845" t="n">
        <v>1599.673889545509</v>
      </c>
      <c r="AB68" s="893" t="n">
        <v>-2749.248007192247</v>
      </c>
    </row>
    <row r="69">
      <c r="A69" s="858" t="inlineStr">
        <is>
          <t>Terminal Refrigerating &amp; Warehousing Corp.</t>
        </is>
      </c>
      <c r="B69" s="872" t="n">
        <v>0</v>
      </c>
      <c r="E69" s="872" t="n">
        <v>0</v>
      </c>
      <c r="F69" s="872" t="n"/>
      <c r="G69" s="872" t="n">
        <v>0</v>
      </c>
      <c r="H69" s="872" t="n">
        <v>0</v>
      </c>
      <c r="I69" s="872" t="n">
        <v>0</v>
      </c>
      <c r="J69" s="872" t="n"/>
      <c r="K69" s="872" t="n">
        <v>0</v>
      </c>
      <c r="L69" s="872" t="n">
        <v>0</v>
      </c>
      <c r="N69" s="890" t="n"/>
      <c r="O69" s="872" t="n">
        <v>0</v>
      </c>
      <c r="P69" s="872" t="n">
        <v>0</v>
      </c>
      <c r="Q69" s="891" t="n">
        <v>0</v>
      </c>
      <c r="R69" s="872" t="n">
        <v>0</v>
      </c>
      <c r="S69" s="891" t="n"/>
      <c r="T69" s="872" t="n"/>
      <c r="U69" s="845" t="n">
        <v>0</v>
      </c>
      <c r="V69" s="892">
        <f>+P69</f>
        <v/>
      </c>
      <c r="X69" s="890" t="n">
        <v>0</v>
      </c>
      <c r="Y69" s="872" t="n">
        <v>0</v>
      </c>
      <c r="Z69" s="845" t="n">
        <v>0</v>
      </c>
      <c r="AB69" s="893" t="n">
        <v>0</v>
      </c>
    </row>
    <row r="70">
      <c r="A70" s="858" t="inlineStr">
        <is>
          <t>The 2015 Pipe Reality Delaware Trust</t>
        </is>
      </c>
      <c r="B70" s="872" t="n">
        <v>1000000</v>
      </c>
      <c r="C70" s="872" t="n">
        <v>-246203.7843414015</v>
      </c>
      <c r="D70" s="872" t="n">
        <v>-670.782910968177</v>
      </c>
      <c r="E70" s="872" t="n">
        <v>-25363.32873634063</v>
      </c>
      <c r="F70" s="872" t="n"/>
      <c r="G70" s="872" t="n">
        <v>10214.99012836352</v>
      </c>
      <c r="H70" s="872" t="n">
        <v>737977.0941396531</v>
      </c>
      <c r="I70" s="872" t="n">
        <v>262022.9058603469</v>
      </c>
      <c r="J70" s="872" t="n"/>
      <c r="K70" s="872" t="n">
        <v>-727762.1061646828</v>
      </c>
      <c r="L70" s="872" t="n">
        <v>-0.002153393155822414</v>
      </c>
      <c r="N70" s="890" t="n"/>
      <c r="O70" s="872" t="n">
        <v>-670.782910968177</v>
      </c>
      <c r="P70" s="872" t="n">
        <v>-25363.32873634063</v>
      </c>
      <c r="Q70" s="891" t="n">
        <v>-1736.669969200387</v>
      </c>
      <c r="R70" s="872" t="n">
        <v>-27770.78161650919</v>
      </c>
      <c r="S70" s="891" t="n"/>
      <c r="T70" s="872" t="n"/>
      <c r="U70" s="845" t="n">
        <v>-27770.78161650919</v>
      </c>
      <c r="V70" s="892">
        <f>+P70</f>
        <v/>
      </c>
      <c r="X70" s="890" t="n">
        <v>10214.99012836352</v>
      </c>
      <c r="Y70" s="872" t="n">
        <v>0</v>
      </c>
      <c r="Z70" s="845" t="n">
        <v>10214.99012836352</v>
      </c>
      <c r="AB70" s="893" t="n">
        <v>-17555.79148814567</v>
      </c>
    </row>
    <row r="71">
      <c r="A71" s="858" t="inlineStr">
        <is>
          <t>The David L. Schnadig 2017 Trust</t>
        </is>
      </c>
      <c r="B71" s="872" t="n">
        <v>1000000</v>
      </c>
      <c r="C71" s="872" t="n">
        <v>-246203.7843414015</v>
      </c>
      <c r="D71" s="872" t="n">
        <v>-670.782910968177</v>
      </c>
      <c r="E71" s="872" t="n">
        <v>-25363.32873634063</v>
      </c>
      <c r="F71" s="872" t="n"/>
      <c r="G71" s="872" t="n">
        <v>10214.99012836352</v>
      </c>
      <c r="H71" s="872" t="n">
        <v>737977.0941396531</v>
      </c>
      <c r="I71" s="872" t="n">
        <v>262022.9058603469</v>
      </c>
      <c r="J71" s="872" t="n"/>
      <c r="K71" s="872" t="n">
        <v>-727762.1061646828</v>
      </c>
      <c r="L71" s="872" t="n">
        <v>-0.002153393155822414</v>
      </c>
      <c r="N71" s="890" t="n"/>
      <c r="O71" s="872" t="n">
        <v>-670.782910968177</v>
      </c>
      <c r="P71" s="872" t="n">
        <v>-25363.32873634063</v>
      </c>
      <c r="Q71" s="891" t="n">
        <v>-1736.669969200387</v>
      </c>
      <c r="R71" s="872" t="n">
        <v>-27770.78161650919</v>
      </c>
      <c r="S71" s="891" t="n"/>
      <c r="T71" s="872" t="n"/>
      <c r="U71" s="845" t="n">
        <v>-27770.78161650919</v>
      </c>
      <c r="V71" s="892">
        <f>+P71</f>
        <v/>
      </c>
      <c r="X71" s="890" t="n">
        <v>10214.99012836352</v>
      </c>
      <c r="Y71" s="872" t="n">
        <v>0</v>
      </c>
      <c r="Z71" s="845" t="n">
        <v>10214.99012836352</v>
      </c>
      <c r="AB71" s="893" t="n">
        <v>-17555.79148814567</v>
      </c>
    </row>
    <row r="72">
      <c r="A72" s="858" t="inlineStr">
        <is>
          <t>The Diane Rosen 2021 Irrevocable Family Trust</t>
        </is>
      </c>
      <c r="B72" s="872" t="n">
        <v>600000</v>
      </c>
      <c r="C72" s="872" t="n">
        <v>-147722.2726048408</v>
      </c>
      <c r="D72" s="872" t="n">
        <v>-402.4697465809295</v>
      </c>
      <c r="E72" s="872" t="n">
        <v>-15217.99724180432</v>
      </c>
      <c r="F72" s="872" t="n"/>
      <c r="G72" s="872" t="n">
        <v>6128.994077018116</v>
      </c>
      <c r="H72" s="872" t="n">
        <v>442786.2544837921</v>
      </c>
      <c r="I72" s="872" t="n">
        <v>157213.7455162079</v>
      </c>
      <c r="J72" s="872" t="n"/>
      <c r="K72" s="872" t="n">
        <v>-436657.2596988098</v>
      </c>
      <c r="L72" s="872" t="n">
        <v>0.0007079641773088952</v>
      </c>
      <c r="N72" s="890" t="n"/>
      <c r="O72" s="872" t="n">
        <v>-402.4697465809295</v>
      </c>
      <c r="P72" s="872" t="n">
        <v>-15217.99724180432</v>
      </c>
      <c r="Q72" s="891" t="n">
        <v>-1042.001981520232</v>
      </c>
      <c r="R72" s="872" t="n">
        <v>-16662.46896990548</v>
      </c>
      <c r="S72" s="891" t="n"/>
      <c r="T72" s="872" t="n"/>
      <c r="U72" s="845" t="n">
        <v>-16662.46896990548</v>
      </c>
      <c r="V72" s="892">
        <f>+P72</f>
        <v/>
      </c>
      <c r="X72" s="890" t="n">
        <v>6128.994077018116</v>
      </c>
      <c r="Y72" s="872" t="n">
        <v>0</v>
      </c>
      <c r="Z72" s="845" t="n">
        <v>6128.994077018116</v>
      </c>
      <c r="AB72" s="893" t="n">
        <v>-10533.47489288736</v>
      </c>
    </row>
    <row r="73">
      <c r="A73" s="858" t="inlineStr">
        <is>
          <t>The Mark T. Kirchdorfer 2015 Family Delaware Dynasty Trust</t>
        </is>
      </c>
      <c r="B73" s="872" t="n">
        <v>1000000</v>
      </c>
      <c r="C73" s="872" t="n">
        <v>-246203.7843414015</v>
      </c>
      <c r="D73" s="872" t="n">
        <v>-670.782910968177</v>
      </c>
      <c r="E73" s="872" t="n">
        <v>-25363.32873634063</v>
      </c>
      <c r="F73" s="872" t="n"/>
      <c r="G73" s="872" t="n">
        <v>10214.99012836352</v>
      </c>
      <c r="H73" s="872" t="n">
        <v>737977.0941396531</v>
      </c>
      <c r="I73" s="872" t="n">
        <v>262022.9058603469</v>
      </c>
      <c r="J73" s="872" t="n"/>
      <c r="K73" s="872" t="n">
        <v>-727762.1061646828</v>
      </c>
      <c r="L73" s="872" t="n">
        <v>-0.002153393155822414</v>
      </c>
      <c r="N73" s="890" t="n"/>
      <c r="O73" s="872" t="n">
        <v>-670.782910968177</v>
      </c>
      <c r="P73" s="872" t="n">
        <v>-25363.32873634063</v>
      </c>
      <c r="Q73" s="891" t="n">
        <v>-1736.669969200387</v>
      </c>
      <c r="R73" s="872" t="n">
        <v>-27770.78161650919</v>
      </c>
      <c r="S73" s="891" t="n"/>
      <c r="T73" s="872" t="n"/>
      <c r="U73" s="845" t="n">
        <v>-27770.78161650919</v>
      </c>
      <c r="V73" s="892">
        <f>+P73</f>
        <v/>
      </c>
      <c r="X73" s="890" t="n">
        <v>10214.99012836352</v>
      </c>
      <c r="Y73" s="872" t="n">
        <v>0</v>
      </c>
      <c r="Z73" s="845" t="n">
        <v>10214.99012836352</v>
      </c>
      <c r="AB73" s="893" t="n">
        <v>-17555.79148814567</v>
      </c>
    </row>
    <row r="74">
      <c r="A74" s="858" t="inlineStr">
        <is>
          <t>University of Southern California</t>
        </is>
      </c>
      <c r="B74" s="872" t="n">
        <v>20000000</v>
      </c>
      <c r="C74" s="872" t="n">
        <v>-4849075.706828028</v>
      </c>
      <c r="D74" s="872" t="n">
        <v>-13415.65821936354</v>
      </c>
      <c r="E74" s="872" t="n">
        <v>-507266.5747268125</v>
      </c>
      <c r="F74" s="872" t="n"/>
      <c r="G74" s="872" t="n">
        <v>204299.8025672705</v>
      </c>
      <c r="H74" s="872" t="n">
        <v>14834541.86279307</v>
      </c>
      <c r="I74" s="872" t="n">
        <v>5165458.137206934</v>
      </c>
      <c r="J74" s="872" t="n"/>
      <c r="K74" s="872" t="n">
        <v>-14630242.06329366</v>
      </c>
      <c r="L74" s="872" t="n">
        <v>-0.003067861223826185</v>
      </c>
      <c r="N74" s="890" t="n"/>
      <c r="O74" s="872" t="n">
        <v>-13415.65821936354</v>
      </c>
      <c r="P74" s="872" t="n">
        <v>-507266.5747268125</v>
      </c>
      <c r="Q74" s="891" t="n">
        <v>-34733.39938400773</v>
      </c>
      <c r="R74" s="872" t="n">
        <v>-555415.6323301839</v>
      </c>
      <c r="S74" s="891" t="n"/>
      <c r="T74" s="872" t="n"/>
      <c r="U74" s="845" t="n">
        <v>-555415.6323301839</v>
      </c>
      <c r="V74" s="892">
        <f>+P74</f>
        <v/>
      </c>
      <c r="X74" s="890" t="n">
        <v>204299.8025672705</v>
      </c>
      <c r="Y74" s="872" t="n">
        <v>0</v>
      </c>
      <c r="Z74" s="845" t="n">
        <v>204299.8025672705</v>
      </c>
      <c r="AB74" s="893" t="n">
        <v>-351115.8297629134</v>
      </c>
    </row>
    <row r="75">
      <c r="A75" s="858" t="inlineStr">
        <is>
          <t>Walker D. Zimmerman</t>
        </is>
      </c>
      <c r="B75" s="872" t="n">
        <v>250000</v>
      </c>
      <c r="C75" s="872" t="n">
        <v>-59713.3110853504</v>
      </c>
      <c r="D75" s="872" t="n">
        <v>-167.6957277420443</v>
      </c>
      <c r="E75" s="872" t="n">
        <v>-6340.832184085157</v>
      </c>
      <c r="F75" s="872" t="n"/>
      <c r="G75" s="872" t="n">
        <v>2553.747532090881</v>
      </c>
      <c r="H75" s="872" t="n">
        <v>186331.9085349133</v>
      </c>
      <c r="I75" s="872" t="n">
        <v>63668.09146508673</v>
      </c>
      <c r="J75" s="872" t="n"/>
      <c r="K75" s="872" t="n">
        <v>-183778.1640411707</v>
      </c>
      <c r="L75" s="872" t="n">
        <v>-0.00303834832038774</v>
      </c>
      <c r="N75" s="890" t="n"/>
      <c r="O75" s="872" t="n">
        <v>-167.6957277420443</v>
      </c>
      <c r="P75" s="872" t="n">
        <v>-6340.832184085157</v>
      </c>
      <c r="Q75" s="891" t="n">
        <v>-434.1674923000966</v>
      </c>
      <c r="R75" s="872" t="n">
        <v>-6942.695404127297</v>
      </c>
      <c r="S75" s="891" t="n"/>
      <c r="T75" s="872" t="n"/>
      <c r="U75" s="845" t="n">
        <v>-6942.695404127297</v>
      </c>
      <c r="V75" s="892">
        <f>+P75</f>
        <v/>
      </c>
      <c r="X75" s="890" t="n">
        <v>2553.747532090881</v>
      </c>
      <c r="Y75" s="872" t="n">
        <v>0</v>
      </c>
      <c r="Z75" s="845" t="n">
        <v>2553.747532090881</v>
      </c>
      <c r="AB75" s="893" t="n">
        <v>-4388.947872036417</v>
      </c>
    </row>
    <row r="76">
      <c r="A76" s="858" t="inlineStr">
        <is>
          <t>Wilson Family Trust DTD 3-6-1987</t>
        </is>
      </c>
      <c r="B76" s="872" t="n">
        <v>313201.26</v>
      </c>
      <c r="C76" s="872" t="n">
        <v>-77980.35148847237</v>
      </c>
      <c r="D76" s="872" t="n">
        <v>-210.090052901709</v>
      </c>
      <c r="E76" s="872" t="n">
        <v>-7943.826518016052</v>
      </c>
      <c r="F76" s="872" t="n"/>
      <c r="G76" s="872" t="n">
        <v>3199.347779091018</v>
      </c>
      <c r="H76" s="872" t="n">
        <v>230266.3397197009</v>
      </c>
      <c r="I76" s="872" t="n">
        <v>82934.92028029912</v>
      </c>
      <c r="J76" s="872" t="n"/>
      <c r="K76" s="872" t="n">
        <v>-227066.9987196591</v>
      </c>
      <c r="L76" s="872" t="n">
        <v>-0.006779049181204755</v>
      </c>
      <c r="N76" s="890" t="n"/>
      <c r="O76" s="872" t="n">
        <v>-210.090052901709</v>
      </c>
      <c r="P76" s="872" t="n">
        <v>-7943.826518016052</v>
      </c>
      <c r="Q76" s="891" t="n">
        <v>-543.9272225577222</v>
      </c>
      <c r="R76" s="872" t="n">
        <v>-8697.843793475484</v>
      </c>
      <c r="S76" s="891" t="n"/>
      <c r="T76" s="872" t="n"/>
      <c r="U76" s="845" t="n">
        <v>-8697.843793475484</v>
      </c>
      <c r="V76" s="892">
        <f>+P76</f>
        <v/>
      </c>
      <c r="X76" s="890" t="n">
        <v>3199.347779091018</v>
      </c>
      <c r="Y76" s="872" t="n">
        <v>0</v>
      </c>
      <c r="Z76" s="845" t="n">
        <v>3199.347779091018</v>
      </c>
      <c r="AB76" s="893" t="n">
        <v>-5498.496014384466</v>
      </c>
      <c r="AI76" s="894" t="n"/>
    </row>
    <row r="77">
      <c r="A77" s="858" t="inlineStr">
        <is>
          <t>Wilson GST Exempt Trust</t>
        </is>
      </c>
      <c r="B77" s="872" t="n">
        <v>313201.26</v>
      </c>
      <c r="C77" s="872" t="n">
        <v>-77980.35148847237</v>
      </c>
      <c r="D77" s="872" t="n">
        <v>-210.090052901709</v>
      </c>
      <c r="E77" s="872" t="n">
        <v>-7943.826518016052</v>
      </c>
      <c r="F77" s="872" t="n"/>
      <c r="G77" s="872" t="n">
        <v>3199.347779091018</v>
      </c>
      <c r="H77" s="872" t="n">
        <v>230266.3397197009</v>
      </c>
      <c r="I77" s="872" t="n">
        <v>82934.92028029912</v>
      </c>
      <c r="J77" s="872" t="n"/>
      <c r="K77" s="872" t="n">
        <v>-227066.9987196591</v>
      </c>
      <c r="L77" s="872" t="n">
        <v>-0.006779049181204755</v>
      </c>
      <c r="N77" s="890" t="n"/>
      <c r="O77" s="872" t="n">
        <v>-210.090052901709</v>
      </c>
      <c r="P77" s="872" t="n">
        <v>-7943.826518016052</v>
      </c>
      <c r="Q77" s="891" t="n">
        <v>-543.9272225577222</v>
      </c>
      <c r="R77" s="872" t="n">
        <v>-8697.843793475484</v>
      </c>
      <c r="S77" s="891" t="n"/>
      <c r="T77" s="872" t="n"/>
      <c r="U77" s="845" t="n">
        <v>-8697.843793475484</v>
      </c>
      <c r="V77" s="892">
        <f>+P77</f>
        <v/>
      </c>
      <c r="X77" s="890" t="n">
        <v>3199.347779091018</v>
      </c>
      <c r="Y77" s="872" t="n">
        <v>0</v>
      </c>
      <c r="Z77" s="845" t="n">
        <v>3199.347779091018</v>
      </c>
      <c r="AB77" s="893" t="n">
        <v>-5498.496014384466</v>
      </c>
      <c r="AI77" s="894" t="n"/>
    </row>
    <row r="78">
      <c r="A78" s="858" t="inlineStr">
        <is>
          <t>Texas Emerging Managers Private Markets Program, L.P. (2025-1 RE Investment Series)</t>
        </is>
      </c>
      <c r="B78" s="872" t="n">
        <v>5000000</v>
      </c>
      <c r="C78" s="833" t="n">
        <v>3768981.07384257</v>
      </c>
      <c r="D78" s="833" t="n">
        <v>-3353.914554840885</v>
      </c>
      <c r="E78" s="833" t="n">
        <v>-126816.6436817031</v>
      </c>
      <c r="F78" s="872" t="n"/>
      <c r="G78" s="872" t="n">
        <v>51074.95064181762</v>
      </c>
      <c r="H78" s="872" t="n">
        <v>3689885.466247844</v>
      </c>
      <c r="I78" s="833" t="n">
        <v>1310114.533752156</v>
      </c>
      <c r="J78" s="872" t="n"/>
      <c r="K78" s="833" t="n">
        <v>-3638810.515606023</v>
      </c>
      <c r="L78" s="872" t="n">
        <v>3.048626240342855e-09</v>
      </c>
      <c r="N78" s="890" t="n"/>
      <c r="O78" s="872" t="n">
        <v>-3353.914554840885</v>
      </c>
      <c r="P78" s="872" t="n">
        <v>-126816.6436817031</v>
      </c>
      <c r="Q78" s="891" t="n">
        <v>-8683.349846001933</v>
      </c>
      <c r="R78" s="872" t="n">
        <v>-138853.908082546</v>
      </c>
      <c r="S78" s="891" t="n"/>
      <c r="T78" s="872" t="n"/>
      <c r="U78" s="845" t="n">
        <v>-138853.908082546</v>
      </c>
      <c r="V78" s="892">
        <f>+P78</f>
        <v/>
      </c>
      <c r="X78" s="890" t="n">
        <v>51074.95064181762</v>
      </c>
      <c r="Y78" s="872" t="n">
        <v>0</v>
      </c>
      <c r="Z78" s="845" t="n">
        <v>51074.95064181762</v>
      </c>
      <c r="AB78" s="893" t="n">
        <v>-87778.95744072835</v>
      </c>
      <c r="AF78" s="872" t="n"/>
      <c r="AI78" s="894" t="n"/>
    </row>
    <row r="79">
      <c r="A79" s="858" t="inlineStr">
        <is>
          <t>GCM Grosvenor NJ RE Emerging Managers Program, LP (2023-1 Investment Series)</t>
        </is>
      </c>
      <c r="B79" s="872" t="n">
        <v>7500000</v>
      </c>
      <c r="C79" s="833" t="n">
        <v>5653471.61076385</v>
      </c>
      <c r="D79" s="833" t="n">
        <v>-5030.871832261793</v>
      </c>
      <c r="E79" s="833" t="n">
        <v>-190224.9655225538</v>
      </c>
      <c r="F79" s="872" t="n"/>
      <c r="G79" s="872" t="n">
        <v>76612.42596272644</v>
      </c>
      <c r="H79" s="872" t="n">
        <v>5534828.199371761</v>
      </c>
      <c r="I79" s="833" t="n">
        <v>1965171.800628239</v>
      </c>
      <c r="J79" s="872" t="n"/>
      <c r="K79" s="833" t="n">
        <v>-5458215.773409034</v>
      </c>
      <c r="L79" s="872" t="n">
        <v>1.455191522836685e-10</v>
      </c>
      <c r="N79" s="890" t="n"/>
      <c r="O79" s="872" t="n">
        <v>-5030.871832261793</v>
      </c>
      <c r="P79" s="872" t="n">
        <v>-190224.9655225538</v>
      </c>
      <c r="Q79" s="891" t="n">
        <v>-13025.0247690029</v>
      </c>
      <c r="R79" s="872" t="n">
        <v>-208280.8621238185</v>
      </c>
      <c r="S79" s="891" t="n"/>
      <c r="T79" s="872" t="n"/>
      <c r="U79" s="845" t="n">
        <v>-208280.8621238185</v>
      </c>
      <c r="V79" s="892">
        <f>+P79</f>
        <v/>
      </c>
      <c r="X79" s="890" t="n">
        <v>76612.42596272644</v>
      </c>
      <c r="Y79" s="872" t="n">
        <v>0</v>
      </c>
      <c r="Z79" s="845" t="n">
        <v>76612.42596272644</v>
      </c>
      <c r="AB79" s="893" t="n">
        <v>-131668.436161092</v>
      </c>
      <c r="AF79" s="872" t="n"/>
      <c r="AI79" s="894" t="n"/>
    </row>
    <row r="80">
      <c r="A80" s="858" t="inlineStr">
        <is>
          <t>GCM Grosvenor - NYSTRS Real Estate Investment Partners, L.P. (2024-1 Series)</t>
        </is>
      </c>
      <c r="B80" s="872" t="n">
        <v>5000000</v>
      </c>
      <c r="C80" s="833" t="n">
        <v>3768981.07384257</v>
      </c>
      <c r="D80" s="833" t="n">
        <v>-3353.91455484089</v>
      </c>
      <c r="E80" s="833" t="n">
        <v>-126816.6436817031</v>
      </c>
      <c r="F80" s="872" t="n"/>
      <c r="G80" s="872" t="n">
        <v>51074.95064181762</v>
      </c>
      <c r="H80" s="872" t="n">
        <v>3689885.466247844</v>
      </c>
      <c r="I80" s="833" t="n">
        <v>1310114.533752156</v>
      </c>
      <c r="J80" s="872" t="n"/>
      <c r="K80" s="833" t="n">
        <v>-3638810.515606023</v>
      </c>
      <c r="L80" s="872" t="n">
        <v>3.048626240342855e-09</v>
      </c>
      <c r="N80" s="890" t="n"/>
      <c r="O80" s="872" t="n">
        <v>-3353.91455484089</v>
      </c>
      <c r="P80" s="872" t="n">
        <v>-126816.6436817031</v>
      </c>
      <c r="Q80" s="891" t="n">
        <v>-8683.349846001933</v>
      </c>
      <c r="R80" s="872" t="n">
        <v>-138853.908082546</v>
      </c>
      <c r="S80" s="891" t="n"/>
      <c r="T80" s="872" t="n"/>
      <c r="U80" s="845" t="n">
        <v>-138853.908082546</v>
      </c>
      <c r="V80" s="892">
        <f>+P80</f>
        <v/>
      </c>
      <c r="X80" s="890" t="n">
        <v>51074.95064181762</v>
      </c>
      <c r="Y80" s="872" t="n">
        <v>0</v>
      </c>
      <c r="Z80" s="845" t="n">
        <v>51074.95064181762</v>
      </c>
      <c r="AB80" s="893" t="n">
        <v>-87778.95744072835</v>
      </c>
      <c r="AF80" s="872" t="n"/>
    </row>
    <row r="81">
      <c r="A81" s="858" t="inlineStr">
        <is>
          <t>CRPTF-GCM Middle-Market RE Partnership, L.P. (2025-01 Investment Series)</t>
        </is>
      </c>
      <c r="B81" s="872" t="n">
        <v>30000000</v>
      </c>
      <c r="C81" s="833" t="n">
        <v>22613886.4430554</v>
      </c>
      <c r="D81" s="833" t="n">
        <v>-20123.48732904717</v>
      </c>
      <c r="E81" s="833" t="n">
        <v>-760899.8620902151</v>
      </c>
      <c r="F81" s="872" t="n"/>
      <c r="G81" s="872" t="n">
        <v>306449.7038509058</v>
      </c>
      <c r="H81" s="872" t="n">
        <v>22139312.79748704</v>
      </c>
      <c r="I81" s="833" t="n">
        <v>7860687.202512957</v>
      </c>
      <c r="J81" s="872" t="n"/>
      <c r="K81" s="833" t="n">
        <v>-21832863.09363614</v>
      </c>
      <c r="L81" s="872" t="n">
        <v>5.820766091346741e-10</v>
      </c>
      <c r="N81" s="890" t="n"/>
      <c r="O81" s="872" t="n">
        <v>-20123.48732904717</v>
      </c>
      <c r="P81" s="872" t="n">
        <v>-760899.8620902151</v>
      </c>
      <c r="Q81" s="891" t="n">
        <v>-52100.09907601159</v>
      </c>
      <c r="R81" s="872" t="n">
        <v>-833123.4484952738</v>
      </c>
      <c r="S81" s="891" t="n"/>
      <c r="T81" s="872" t="n"/>
      <c r="U81" s="845" t="n">
        <v>-833123.4484952738</v>
      </c>
      <c r="V81" s="892">
        <f>+P81</f>
        <v/>
      </c>
      <c r="X81" s="890" t="n">
        <v>306449.7038509058</v>
      </c>
      <c r="Y81" s="872" t="n">
        <v>0</v>
      </c>
      <c r="Z81" s="845" t="n">
        <v>306449.7038509058</v>
      </c>
      <c r="AB81" s="893" t="n">
        <v>-526673.7446443681</v>
      </c>
      <c r="AF81" s="872" t="n"/>
    </row>
    <row r="82">
      <c r="A82" s="858" t="inlineStr">
        <is>
          <t>Legacy Knight Strategic Opportunities Fund LLC - CL Rail Series</t>
        </is>
      </c>
      <c r="B82" s="872" t="n">
        <v>10000000</v>
      </c>
      <c r="C82" s="872" t="n">
        <v>-2388532.423414014</v>
      </c>
      <c r="D82" s="872" t="n">
        <v>-6707.82910968177</v>
      </c>
      <c r="E82" s="872" t="n">
        <v>4671621.444853012</v>
      </c>
      <c r="F82" s="872" t="n"/>
      <c r="G82" s="872" t="n">
        <v>170590.3351436709</v>
      </c>
      <c r="H82" s="872" t="n">
        <v>12446971.52747299</v>
      </c>
      <c r="I82" s="872" t="n">
        <v>-2446971.527472988</v>
      </c>
      <c r="J82" s="872" t="n"/>
      <c r="K82" s="833" t="n">
        <v>-12276381.1938632</v>
      </c>
      <c r="L82" s="872" t="n">
        <v>-0.001533883129013702</v>
      </c>
      <c r="N82" s="890" t="n">
        <v>5008186.21114857</v>
      </c>
      <c r="O82" s="872" t="n">
        <v>-6707.82910968177</v>
      </c>
      <c r="P82" s="872" t="n">
        <v>0</v>
      </c>
      <c r="Q82" s="891" t="n">
        <v>-17366.69969200387</v>
      </c>
      <c r="R82" s="872" t="n">
        <v>4984111.682346885</v>
      </c>
      <c r="S82" s="891" t="n"/>
      <c r="T82" s="872" t="n">
        <v>-5161409.84</v>
      </c>
      <c r="U82" s="845" t="n">
        <v>-177298.1576531148</v>
      </c>
      <c r="V82" s="892">
        <f>+P82</f>
        <v/>
      </c>
      <c r="X82" s="895" t="n">
        <v>170590.3351436709</v>
      </c>
      <c r="Y82" s="872" t="n">
        <v>0</v>
      </c>
      <c r="Z82" s="845" t="n">
        <v>170590.3351436709</v>
      </c>
      <c r="AB82" s="893" t="n">
        <v>-6707.822509443882</v>
      </c>
      <c r="AI82" s="894" t="n"/>
    </row>
    <row r="83">
      <c r="A83" s="858" t="inlineStr">
        <is>
          <t>Argos Holdings, LLC</t>
        </is>
      </c>
      <c r="B83" s="872" t="n">
        <v>391501.58</v>
      </c>
      <c r="C83" s="872" t="n">
        <v>-97475.42008808552</v>
      </c>
      <c r="D83" s="872" t="n">
        <v>-262.6125694810762</v>
      </c>
      <c r="E83" s="872" t="n">
        <v>-9929.78327433666</v>
      </c>
      <c r="F83" s="872" t="n"/>
      <c r="G83" s="872" t="n">
        <v>3999.184774938723</v>
      </c>
      <c r="H83" s="872" t="n">
        <v>287832.9488430355</v>
      </c>
      <c r="I83" s="872" t="n">
        <v>103668.6311569645</v>
      </c>
      <c r="J83" s="872" t="n"/>
      <c r="K83" s="872" t="n">
        <v>-283833.7644648789</v>
      </c>
      <c r="L83" s="872" t="n">
        <v>-0.0003967821098740387</v>
      </c>
      <c r="N83" s="890" t="n"/>
      <c r="O83" s="872" t="n">
        <v>-262.6125694810762</v>
      </c>
      <c r="P83" s="872" t="n">
        <v>-9929.78327433666</v>
      </c>
      <c r="Q83" s="891" t="n">
        <v>-679.9090368805026</v>
      </c>
      <c r="R83" s="872" t="n">
        <v>-10872.30488069824</v>
      </c>
      <c r="S83" s="891" t="n"/>
      <c r="T83" s="872" t="n"/>
      <c r="U83" s="845" t="n">
        <v>-10872.30488069824</v>
      </c>
      <c r="V83" s="892">
        <f>+P83</f>
        <v/>
      </c>
      <c r="X83" s="890" t="n">
        <v>3999.184774938723</v>
      </c>
      <c r="Y83" s="872" t="n">
        <v>0</v>
      </c>
      <c r="Z83" s="845" t="n">
        <v>3999.184774938723</v>
      </c>
      <c r="AB83" s="893" t="n">
        <v>-6873.120105759515</v>
      </c>
      <c r="AI83" s="894" t="n"/>
    </row>
    <row r="84">
      <c r="A84" s="858" t="inlineStr">
        <is>
          <t>Palmatum HR Illiquid, LLC</t>
        </is>
      </c>
      <c r="B84" s="872" t="n">
        <v>2000000</v>
      </c>
      <c r="C84" s="872" t="n">
        <v>-492407.5686828028</v>
      </c>
      <c r="D84" s="872" t="n">
        <v>-1341.565821936354</v>
      </c>
      <c r="E84" s="872" t="n">
        <v>-50726.65747268125</v>
      </c>
      <c r="F84" s="872" t="n"/>
      <c r="G84" s="872" t="n">
        <v>20429.98025672705</v>
      </c>
      <c r="H84" s="872" t="n">
        <v>1475954.188279307</v>
      </c>
      <c r="I84" s="872" t="n">
        <v>524045.8117206935</v>
      </c>
      <c r="J84" s="872" t="n"/>
      <c r="K84" s="872" t="n">
        <v>-1455524.202329366</v>
      </c>
      <c r="L84" s="872" t="n">
        <v>0.005693213930499041</v>
      </c>
      <c r="N84" s="890" t="n"/>
      <c r="O84" s="872" t="n">
        <v>-1341.565821936354</v>
      </c>
      <c r="P84" s="872" t="n">
        <v>-50726.65747268125</v>
      </c>
      <c r="Q84" s="891" t="n">
        <v>-3473.339938400773</v>
      </c>
      <c r="R84" s="872" t="n">
        <v>-55541.56323301838</v>
      </c>
      <c r="S84" s="891" t="n"/>
      <c r="T84" s="872" t="n"/>
      <c r="U84" s="845" t="n">
        <v>-55541.5632330184</v>
      </c>
      <c r="V84" s="892">
        <f>+P84</f>
        <v/>
      </c>
      <c r="X84" s="890" t="n">
        <v>20429.98025672705</v>
      </c>
      <c r="Y84" s="872" t="n">
        <v>0</v>
      </c>
      <c r="Z84" s="845" t="n">
        <v>20429.98025672705</v>
      </c>
      <c r="AB84" s="893" t="n">
        <v>-35111.58297629133</v>
      </c>
      <c r="AI84" s="894" t="n"/>
    </row>
    <row r="85" ht="15" customHeight="1" s="759">
      <c r="A85" s="858" t="inlineStr">
        <is>
          <t>James Bloomingdale</t>
        </is>
      </c>
      <c r="B85" s="872" t="n">
        <v>0</v>
      </c>
      <c r="C85" s="872" t="n">
        <v>0</v>
      </c>
      <c r="D85" s="872" t="n">
        <v>0</v>
      </c>
      <c r="E85" s="896" t="n">
        <v>18377.81616498663</v>
      </c>
      <c r="F85" s="896" t="n"/>
      <c r="G85" s="872" t="n">
        <v>255.3747532090881</v>
      </c>
      <c r="H85" s="872" t="n">
        <v>18633.19091819572</v>
      </c>
      <c r="I85" s="872" t="n">
        <v>-18633.19091819572</v>
      </c>
      <c r="K85" s="872" t="n">
        <v>-18377.8161649866</v>
      </c>
      <c r="L85" s="872" t="n">
        <v>3.385025593161117e-11</v>
      </c>
      <c r="N85" s="897" t="n">
        <v>19702.0748095278</v>
      </c>
      <c r="O85" s="898" t="n">
        <v>0</v>
      </c>
      <c r="P85" s="899" t="n">
        <v>0</v>
      </c>
      <c r="Q85" s="900" t="n">
        <v>0</v>
      </c>
      <c r="R85" s="898" t="n">
        <v>19702.0748095278</v>
      </c>
      <c r="S85" s="901" t="n"/>
      <c r="T85" s="898" t="n"/>
      <c r="U85" s="849" t="n">
        <v>19702.0748095278</v>
      </c>
      <c r="V85" s="892">
        <f>+P85</f>
        <v/>
      </c>
      <c r="X85" s="897" t="n">
        <v>255.3747532090881</v>
      </c>
      <c r="Y85" s="898" t="n">
        <v>0</v>
      </c>
      <c r="Z85" s="849" t="n">
        <v>255.3747532090881</v>
      </c>
      <c r="AB85" s="902" t="n">
        <v>19957.44956273689</v>
      </c>
    </row>
    <row r="86">
      <c r="N86" s="903" t="n">
        <v>5027888.285958098</v>
      </c>
      <c r="O86" s="904" t="n"/>
      <c r="P86" s="904" t="n">
        <v>-4541702.046344073</v>
      </c>
      <c r="Q86" s="903" t="n">
        <v>-328344.7118817276</v>
      </c>
      <c r="R86" s="904" t="n">
        <v>157841.5277323018</v>
      </c>
      <c r="S86" s="903" t="n">
        <v>-9544.31305836808</v>
      </c>
      <c r="T86" s="904" t="n">
        <v>-5287759.84</v>
      </c>
      <c r="U86" s="904" t="n">
        <v>-5139462.62532607</v>
      </c>
      <c r="V86" s="905">
        <f>SUM(V4:V85)</f>
        <v/>
      </c>
      <c r="X86" s="903" t="n">
        <v>2000000</v>
      </c>
      <c r="Y86" s="904" t="n">
        <v>0</v>
      </c>
      <c r="Z86" s="904" t="n">
        <v>2000000</v>
      </c>
      <c r="AB86" s="904" t="n">
        <v>-3139462.625326072</v>
      </c>
    </row>
    <row r="87">
      <c r="H87" s="833" t="n"/>
      <c r="I87" s="833" t="n"/>
    </row>
    <row r="88">
      <c r="H88" s="833" t="n"/>
      <c r="I88" s="833" t="n"/>
      <c r="K88" s="833" t="n"/>
      <c r="S88" s="906" t="inlineStr">
        <is>
          <t>Management fees - Legacy Knight</t>
        </is>
      </c>
      <c r="T88" s="907" t="n"/>
      <c r="U88" s="872" t="n">
        <v>-147745.923913043</v>
      </c>
      <c r="V88" s="892" t="n"/>
      <c r="Y88" s="907" t="n"/>
      <c r="Z88" s="872" t="n"/>
      <c r="AA88" s="907" t="inlineStr">
        <is>
          <t>Cash to balance sheet</t>
        </is>
      </c>
      <c r="AB88" s="872" t="n">
        <v>2000000</v>
      </c>
    </row>
    <row r="89">
      <c r="K89" s="833" t="n"/>
      <c r="S89" s="906" t="inlineStr">
        <is>
          <t>Management fees - James Bloomingdale</t>
        </is>
      </c>
      <c r="T89" s="907" t="n"/>
      <c r="U89" s="908" t="n">
        <v>-551.290760869565</v>
      </c>
      <c r="V89" s="892" t="n"/>
      <c r="Y89" s="907" t="n"/>
      <c r="AA89" s="907" t="inlineStr">
        <is>
          <t>Management fees</t>
        </is>
      </c>
      <c r="AB89" s="908" t="n">
        <v>148297.2146739126</v>
      </c>
    </row>
    <row r="90">
      <c r="K90" s="833" t="n"/>
      <c r="S90" s="909" t="inlineStr">
        <is>
          <t>Total</t>
        </is>
      </c>
      <c r="T90" s="871" t="n"/>
      <c r="U90" s="904" t="n">
        <v>-148297.2146739126</v>
      </c>
      <c r="V90" s="905" t="n"/>
      <c r="Y90" s="871" t="n"/>
      <c r="Z90" s="904" t="n"/>
      <c r="AA90" s="871" t="inlineStr">
        <is>
          <t>Total cash retained by CLRF</t>
        </is>
      </c>
      <c r="AB90" s="904" t="n">
        <v>2148297.214673913</v>
      </c>
    </row>
    <row r="91">
      <c r="Z91" s="830" t="n"/>
    </row>
    <row r="92">
      <c r="S92" s="909" t="inlineStr">
        <is>
          <t>Difference</t>
        </is>
      </c>
      <c r="T92" s="871" t="n"/>
      <c r="U92" s="833" t="n">
        <v>2.235174179077148e-08</v>
      </c>
      <c r="V92" s="910" t="n"/>
      <c r="Z92" s="830" t="n"/>
      <c r="AB92" s="833" t="n"/>
      <c r="AE92" s="894" t="n"/>
    </row>
    <row r="93">
      <c r="AE93" s="911" t="n"/>
    </row>
    <row r="94">
      <c r="AE94" s="911" t="n"/>
    </row>
    <row r="95">
      <c r="S95" s="912" t="n"/>
      <c r="T95" s="894" t="n"/>
      <c r="AE95" s="911" t="n"/>
    </row>
    <row r="96">
      <c r="K96" s="872" t="n"/>
      <c r="S96" s="912" t="n"/>
      <c r="T96" s="894" t="n"/>
      <c r="U96" s="913" t="inlineStr">
        <is>
          <t>Total Contribution to Q2'26</t>
        </is>
      </c>
      <c r="X96" s="905">
        <f>+N86+Q86+S86+X86</f>
        <v/>
      </c>
    </row>
    <row r="97">
      <c r="K97" s="833" t="n"/>
      <c r="S97" s="912" t="n"/>
      <c r="T97" s="894" t="n"/>
      <c r="U97" s="913" t="inlineStr">
        <is>
          <t>Total Distribution to Q2'26</t>
        </is>
      </c>
      <c r="X97" s="905">
        <f>+P86</f>
        <v/>
      </c>
    </row>
    <row r="98" ht="15" customHeight="1" s="759">
      <c r="S98" s="914" t="n"/>
      <c r="T98" s="915" t="n"/>
      <c r="U98" s="916" t="inlineStr">
        <is>
          <t>Net Cash Impact</t>
        </is>
      </c>
      <c r="V98" s="916" t="n"/>
      <c r="W98" s="916" t="n"/>
      <c r="X98" s="917">
        <f>SUM(X96:X97)</f>
        <v/>
      </c>
    </row>
    <row r="99">
      <c r="S99" s="912" t="n"/>
      <c r="T99" s="894" t="n"/>
    </row>
  </sheetData>
  <pageMargins left="0.7" right="0.7" top="0.75" bottom="0.75" header="0.3" footer="0.3"/>
</worksheet>
</file>

<file path=xl/worksheets/sheet3.xml><?xml version="1.0" encoding="utf-8"?>
<worksheet xmlns="http://schemas.openxmlformats.org/spreadsheetml/2006/main">
  <sheetPr>
    <tabColor theme="9" tint="0.3999755851924192"/>
    <outlinePr summaryBelow="1" summaryRight="1"/>
    <pageSetUpPr/>
  </sheetPr>
  <dimension ref="A1:BE108"/>
  <sheetViews>
    <sheetView tabSelected="1" zoomScale="110" zoomScaleNormal="96" zoomScaleSheetLayoutView="102" workbookViewId="0">
      <pane xSplit="4" ySplit="3" topLeftCell="AT75" activePane="bottomRight" state="frozen"/>
      <selection pane="topRight" activeCell="E1" sqref="E1"/>
      <selection pane="bottomLeft" activeCell="A4" sqref="A4"/>
      <selection pane="bottomRight" activeCell="AY76" sqref="AY76"/>
    </sheetView>
  </sheetViews>
  <sheetFormatPr baseColWidth="8" defaultRowHeight="15"/>
  <cols>
    <col width="78.85546875" bestFit="1" customWidth="1" style="759" min="1" max="1"/>
    <col hidden="1" outlineLevel="1" width="18.28515625" customWidth="1" style="759" min="2" max="4"/>
    <col collapsed="1" width="18.28515625" customWidth="1" style="759" min="5" max="5"/>
    <col width="16.28515625" customWidth="1" style="759" min="6" max="6"/>
    <col width="18.28515625" customWidth="1" style="759" min="7" max="7"/>
    <col width="16.28515625" customWidth="1" style="759" min="8" max="8"/>
    <col width="14.140625" bestFit="1" customWidth="1" style="759" min="9" max="9"/>
    <col width="14.7109375" bestFit="1" customWidth="1" style="759" min="10" max="10"/>
    <col width="12.140625" bestFit="1" customWidth="1" style="759" min="11" max="11"/>
    <col width="5.7109375" customWidth="1" style="759" min="12" max="12"/>
    <col width="18.7109375" customWidth="1" style="759" min="13" max="13"/>
    <col width="17.7109375" customWidth="1" style="759" min="14" max="14"/>
    <col hidden="1" outlineLevel="1" width="17.7109375" customWidth="1" style="759" min="15" max="15"/>
    <col collapsed="1" width="17.7109375" customWidth="1" style="759" min="16" max="16"/>
    <col width="17.7109375" customWidth="1" style="759" min="17" max="18"/>
    <col width="5.28515625" customWidth="1" style="759" min="19" max="19"/>
    <col width="17.7109375" customWidth="1" style="759" min="20" max="20"/>
    <col outlineLevel="1" width="17" customWidth="1" style="759" min="21" max="21"/>
    <col width="17.7109375" customWidth="1" style="759" min="22" max="24"/>
    <col width="17" bestFit="1" customWidth="1" style="759" min="25" max="25"/>
    <col outlineLevel="1" width="3.28515625" customWidth="1" style="759" min="26" max="26"/>
    <col outlineLevel="1" width="19" customWidth="1" style="759" min="27" max="27"/>
    <col outlineLevel="1" width="17.7109375" customWidth="1" style="759" min="28" max="30"/>
    <col outlineLevel="1" width="12.140625" customWidth="1" style="759" min="31" max="31"/>
    <col width="3.28515625" customWidth="1" style="759" min="32" max="32"/>
    <col width="17.140625" customWidth="1" style="759" min="33" max="33"/>
    <col width="17.140625" bestFit="1" customWidth="1" style="759" min="34" max="34"/>
    <col hidden="1" width="18.5703125" customWidth="1" style="759" min="35" max="35"/>
    <col hidden="1" width="17.140625" customWidth="1" style="759" min="36" max="38"/>
    <col outlineLevel="1" width="1.7109375" customWidth="1" style="759" min="39" max="39"/>
    <col outlineLevel="1" width="17.140625" customWidth="1" style="759" min="40" max="40"/>
    <col outlineLevel="1" width="15.5703125" customWidth="1" style="759" min="41" max="43"/>
    <col width="1.7109375" customWidth="1" style="759" min="44" max="44"/>
    <col width="17.140625" customWidth="1" style="759" min="45" max="45"/>
    <col width="17.140625" bestFit="1" customWidth="1" style="759" min="46" max="46"/>
    <col hidden="1" outlineLevel="1" width="17.140625" customWidth="1" style="759" min="47" max="47"/>
    <col hidden="1" outlineLevel="1" width="15.5703125" customWidth="1" style="759" min="48" max="48"/>
    <col collapsed="1" width="1.7109375" customWidth="1" style="759" min="49" max="49"/>
    <col width="17.140625" bestFit="1" customWidth="1" style="759" min="50" max="50"/>
    <col width="17.140625" customWidth="1" style="759" min="51" max="51"/>
    <col width="1.7109375" customWidth="1" style="759" min="52" max="52"/>
    <col width="17.140625" customWidth="1" style="759" min="53" max="53"/>
    <col width="17.140625" bestFit="1" customWidth="1" style="759" min="54" max="54"/>
    <col collapsed="1" width="1.7109375" customWidth="1" style="759" min="55" max="55"/>
    <col width="10.28515625" bestFit="1" customWidth="1" style="759" min="57" max="57"/>
  </cols>
  <sheetData>
    <row r="1">
      <c r="A1" s="222" t="inlineStr">
        <is>
          <t>County Line Rail Subsequent Close Workbook - Legacy Knight</t>
        </is>
      </c>
      <c r="B1" s="107" t="n"/>
      <c r="C1" s="107" t="n"/>
      <c r="D1" s="107" t="n"/>
      <c r="E1" s="107" t="n"/>
      <c r="F1" s="107" t="n"/>
      <c r="G1" s="107" t="n"/>
      <c r="H1" s="107" t="n"/>
      <c r="I1" s="107" t="n"/>
      <c r="J1" s="107" t="n"/>
      <c r="K1" s="107" t="n"/>
      <c r="M1" s="108" t="inlineStr">
        <is>
          <t>Amount before Rebalance</t>
        </is>
      </c>
      <c r="N1" s="109" t="n"/>
      <c r="O1" s="109" t="n"/>
      <c r="P1" s="109" t="n"/>
      <c r="Q1" s="109" t="n"/>
      <c r="R1" s="109" t="n"/>
      <c r="S1" s="196" t="n"/>
      <c r="T1" s="103" t="inlineStr">
        <is>
          <t>Rebalance</t>
        </is>
      </c>
      <c r="U1" s="103" t="n"/>
      <c r="V1" s="103" t="n"/>
      <c r="W1" s="103" t="n"/>
      <c r="X1" s="103" t="n"/>
      <c r="Y1" s="103" t="n"/>
      <c r="Z1" s="103" t="n"/>
      <c r="AA1" s="103" t="n"/>
      <c r="AB1" s="103" t="n"/>
      <c r="AC1" s="103" t="n"/>
      <c r="AD1" s="103" t="n"/>
      <c r="AE1" s="103" t="n"/>
      <c r="AF1" s="103" t="n"/>
      <c r="AG1" s="319" t="inlineStr">
        <is>
          <t>RETURN OF CAPITAL</t>
        </is>
      </c>
      <c r="AH1" s="320" t="n"/>
      <c r="AI1" s="320" t="n"/>
      <c r="AJ1" s="320" t="n"/>
      <c r="AK1" s="320" t="n"/>
      <c r="AL1" s="320" t="n"/>
      <c r="AM1" s="320" t="n"/>
      <c r="AN1" s="320" t="n"/>
      <c r="AO1" s="321" t="n"/>
      <c r="AP1" s="321" t="n"/>
      <c r="AQ1" s="322" t="n"/>
      <c r="AR1" s="342" t="n"/>
      <c r="AS1" s="319" t="inlineStr">
        <is>
          <t>INTEREST DISTRIBUTION</t>
        </is>
      </c>
      <c r="AT1" s="320" t="n"/>
      <c r="AU1" s="320" t="n"/>
      <c r="AV1" s="322" t="n"/>
      <c r="AW1" s="342" t="n"/>
      <c r="AX1" s="339" t="inlineStr">
        <is>
          <t>TOTAL LP DISTRIBUTION</t>
        </is>
      </c>
      <c r="AY1" s="320" t="n"/>
      <c r="AZ1" s="342" t="n"/>
      <c r="BA1" s="319" t="inlineStr">
        <is>
          <t>MANAGEMENT FEE INTEREST</t>
        </is>
      </c>
      <c r="BB1" s="339" t="n"/>
      <c r="BC1" s="343" t="n"/>
    </row>
    <row r="2" ht="75" customHeight="1" s="759">
      <c r="A2" s="225" t="inlineStr">
        <is>
          <t xml:space="preserve"> </t>
        </is>
      </c>
      <c r="B2" s="225" t="n"/>
      <c r="C2" s="225" t="n"/>
      <c r="D2" s="225" t="n"/>
      <c r="E2" s="225" t="n"/>
      <c r="F2" s="225" t="n"/>
      <c r="G2" s="225" t="n"/>
      <c r="H2" s="225" t="n"/>
      <c r="I2" s="225" t="n"/>
      <c r="J2" s="225" t="n"/>
      <c r="K2" s="567" t="n"/>
      <c r="M2" s="221" t="inlineStr">
        <is>
          <t>Contribution - Investment</t>
        </is>
      </c>
      <c r="N2" s="221" t="inlineStr">
        <is>
          <t>Contribution - Mgmt Fees</t>
        </is>
      </c>
      <c r="O2" s="221" t="inlineStr">
        <is>
          <t>Q1'26 Management Fee Contributions (existing investors)</t>
        </is>
      </c>
      <c r="P2" s="221" t="inlineStr">
        <is>
          <t>Contribution - Org Exp</t>
        </is>
      </c>
      <c r="Q2" s="221" t="inlineStr">
        <is>
          <t>Contribution - General</t>
        </is>
      </c>
      <c r="R2" s="221" t="inlineStr">
        <is>
          <t>Total Before Subsequent Close</t>
        </is>
      </c>
      <c r="S2" s="250" t="n"/>
      <c r="T2" s="221" t="inlineStr">
        <is>
          <t>Contribution - Investment (Rebalanced)</t>
        </is>
      </c>
      <c r="U2" s="221" t="inlineStr">
        <is>
          <t>Management Fee Contributions (new investors)</t>
        </is>
      </c>
      <c r="V2" s="221" t="inlineStr">
        <is>
          <t>Contribution - Managmeent Fees (Rebalanced)</t>
        </is>
      </c>
      <c r="W2" s="221" t="inlineStr">
        <is>
          <t>Contribution - Org Exp (Rebalanced)</t>
        </is>
      </c>
      <c r="X2" s="221" t="inlineStr">
        <is>
          <t>Contribution - General (Rebalanced)</t>
        </is>
      </c>
      <c r="Y2" s="221" t="inlineStr">
        <is>
          <t>Total After Subsequent Close</t>
        </is>
      </c>
      <c r="Z2" s="250" t="n"/>
      <c r="AA2" s="221" t="inlineStr">
        <is>
          <t>Contribution - Investment</t>
        </is>
      </c>
      <c r="AB2" s="221" t="inlineStr">
        <is>
          <t>Contribution - Mgmt Fees</t>
        </is>
      </c>
      <c r="AC2" s="221" t="inlineStr">
        <is>
          <t>Contribution - Org Exp</t>
        </is>
      </c>
      <c r="AD2" s="221" t="inlineStr">
        <is>
          <t>Contribution - General</t>
        </is>
      </c>
      <c r="AE2" s="221" t="inlineStr">
        <is>
          <t>Total</t>
        </is>
      </c>
      <c r="AF2" s="250" t="n"/>
      <c r="AG2" s="323" t="inlineStr">
        <is>
          <t>New Investor Contribution</t>
        </is>
      </c>
      <c r="AH2" s="221" t="inlineStr">
        <is>
          <t xml:space="preserve">Distribution to LPs </t>
        </is>
      </c>
      <c r="AI2" s="710" t="inlineStr">
        <is>
          <t>GCM Sub Close Return of Capital Paid on 3/23/26
[a]</t>
        </is>
      </c>
      <c r="AJ2" s="710" t="inlineStr">
        <is>
          <t>GCM Sub Close Return of Capital Revised
[b]</t>
        </is>
      </c>
      <c r="AK2" s="710" t="inlineStr">
        <is>
          <t>Difference in GCM Sub Close Return of Capital
[c] = [b] - [a]</t>
        </is>
      </c>
      <c r="AL2" s="710" t="inlineStr">
        <is>
          <t>Total Return of Capital to LPs</t>
        </is>
      </c>
      <c r="AM2" s="250" t="n"/>
      <c r="AN2" s="792" t="inlineStr">
        <is>
          <t>Unreturned Capital Contributions</t>
        </is>
      </c>
      <c r="AO2" s="793" t="inlineStr">
        <is>
          <t>Equalization Percentage (unadjusted)</t>
        </is>
      </c>
      <c r="AP2" s="793" t="inlineStr">
        <is>
          <t>Adjustments: Management Fee</t>
        </is>
      </c>
      <c r="AQ2" s="794" t="inlineStr">
        <is>
          <t xml:space="preserve">Equalization Percentage </t>
        </is>
      </c>
      <c r="AR2" s="250" t="n"/>
      <c r="AS2" s="563" t="inlineStr">
        <is>
          <t>New Investor Contribution</t>
        </is>
      </c>
      <c r="AT2" s="801" t="inlineStr">
        <is>
          <t xml:space="preserve">Distribution to LPs </t>
        </is>
      </c>
      <c r="AU2" s="289" t="inlineStr">
        <is>
          <t>Distribution</t>
        </is>
      </c>
      <c r="AV2" s="291" t="inlineStr">
        <is>
          <t>Pref Distribution %</t>
        </is>
      </c>
      <c r="AW2" s="250" t="n"/>
      <c r="AX2" s="563" t="inlineStr">
        <is>
          <t>New Investor Contribution</t>
        </is>
      </c>
      <c r="AY2" s="801" t="inlineStr">
        <is>
          <t xml:space="preserve">Distribution to LPs </t>
        </is>
      </c>
      <c r="AZ2" s="250" t="n"/>
      <c r="BA2" s="323" t="inlineStr">
        <is>
          <t>New Investor Contribution</t>
        </is>
      </c>
      <c r="BB2" s="341" t="inlineStr">
        <is>
          <t>Distribution to GP</t>
        </is>
      </c>
      <c r="BC2" s="344" t="n"/>
    </row>
    <row r="3" ht="45" customHeight="1" s="759">
      <c r="A3" s="206" t="inlineStr">
        <is>
          <t>Investor Name</t>
        </is>
      </c>
      <c r="B3" s="144" t="inlineStr">
        <is>
          <t>CLIP Rollover Contribution</t>
        </is>
      </c>
      <c r="C3" s="144" t="inlineStr">
        <is>
          <t>Silsbee Rollover Contribution</t>
        </is>
      </c>
      <c r="D3" s="144" t="inlineStr">
        <is>
          <t>Management Fee Rate</t>
        </is>
      </c>
      <c r="E3" s="106" t="inlineStr">
        <is>
          <t>Total Commitment Before Call</t>
        </is>
      </c>
      <c r="F3" s="106" t="inlineStr">
        <is>
          <t>LP
Commitment %
Before call</t>
        </is>
      </c>
      <c r="G3" s="106" t="inlineStr">
        <is>
          <t>Total Commitment After Call</t>
        </is>
      </c>
      <c r="H3" s="106" t="inlineStr">
        <is>
          <t>LP &amp; GP Commitment % Before call</t>
        </is>
      </c>
      <c r="I3" s="106" t="inlineStr">
        <is>
          <t>LP &amp; GP Commitment % after call</t>
        </is>
      </c>
      <c r="J3" s="106" t="inlineStr">
        <is>
          <t>LP Commitment</t>
        </is>
      </c>
      <c r="K3" s="106" t="inlineStr">
        <is>
          <t xml:space="preserve">Commitment </t>
        </is>
      </c>
      <c r="M3" s="220" t="n">
        <v>-125602254.41</v>
      </c>
      <c r="N3" s="220">
        <f>SUM(N4:N84)</f>
        <v/>
      </c>
      <c r="O3" s="220">
        <f>SUM(O4:O84)</f>
        <v/>
      </c>
      <c r="P3" s="220" t="n">
        <v>-55914.34</v>
      </c>
      <c r="Q3" s="220">
        <f>SUM(Q4:Q84)</f>
        <v/>
      </c>
      <c r="R3" s="220" t="inlineStr">
        <is>
          <t>Total</t>
        </is>
      </c>
      <c r="S3" s="223" t="n"/>
      <c r="T3" s="241">
        <f>M3</f>
        <v/>
      </c>
      <c r="U3" s="245">
        <f>SUM(U4:U82)</f>
        <v/>
      </c>
      <c r="V3" s="241">
        <f>SUM(V4:V84)</f>
        <v/>
      </c>
      <c r="W3" s="241" t="n">
        <v>-55914.34</v>
      </c>
      <c r="X3" s="241">
        <f>Q3</f>
        <v/>
      </c>
      <c r="Y3" s="241" t="inlineStr">
        <is>
          <t>Total</t>
        </is>
      </c>
      <c r="Z3" s="223" t="n"/>
      <c r="AA3" s="789" t="inlineStr">
        <is>
          <t>A</t>
        </is>
      </c>
      <c r="AB3" s="789" t="n"/>
      <c r="AC3" s="789" t="inlineStr">
        <is>
          <t>B</t>
        </is>
      </c>
      <c r="AD3" s="789" t="inlineStr">
        <is>
          <t>C</t>
        </is>
      </c>
      <c r="AE3" s="789" t="inlineStr">
        <is>
          <t>A + B +C</t>
        </is>
      </c>
      <c r="AF3" s="223" t="n"/>
      <c r="AG3" s="336">
        <f>SUM(AG4:AG85)</f>
        <v/>
      </c>
      <c r="AH3" s="465">
        <f>SUM(AH4:AH85)</f>
        <v/>
      </c>
      <c r="AI3" s="711">
        <f>SUM(AI4:AI84)</f>
        <v/>
      </c>
      <c r="AJ3" s="711">
        <f>SUM(AJ4:AJ84)</f>
        <v/>
      </c>
      <c r="AK3" s="711">
        <f>SUM(AK4:AK84)</f>
        <v/>
      </c>
      <c r="AL3" s="711">
        <f>SUM(AL4:AL84)</f>
        <v/>
      </c>
      <c r="AM3" s="314" t="n"/>
      <c r="AN3" s="795" t="inlineStr">
        <is>
          <t>CHECKING</t>
        </is>
      </c>
      <c r="AO3" s="796" t="n"/>
      <c r="AP3" s="796" t="n"/>
      <c r="AQ3" s="797" t="n"/>
      <c r="AR3" s="314" t="n"/>
      <c r="AS3" s="565">
        <f>SUM(AS4:AS85)</f>
        <v/>
      </c>
      <c r="AT3" s="566">
        <f>SUM(AT4:AT84)</f>
        <v/>
      </c>
      <c r="AU3" s="315" t="inlineStr">
        <is>
          <t>CHECKING</t>
        </is>
      </c>
      <c r="AV3" s="329" t="n"/>
      <c r="AW3" s="314" t="n"/>
      <c r="AX3" s="565">
        <f>SUM(AX4:AX85)</f>
        <v/>
      </c>
      <c r="AY3" s="566">
        <f>SUM(AY4:AY84)</f>
        <v/>
      </c>
      <c r="AZ3" s="314" t="n"/>
      <c r="BA3" s="324">
        <f>SUM(BA4:BA85)</f>
        <v/>
      </c>
      <c r="BB3" s="338">
        <f>SUM(BB4:BB82)</f>
        <v/>
      </c>
      <c r="BC3" s="314" t="n"/>
    </row>
    <row r="4">
      <c r="A4" s="752" t="inlineStr">
        <is>
          <t>1999 Britta Biesecker Declaration of Trust DTD 5/12/99</t>
        </is>
      </c>
      <c r="B4" s="351">
        <f>_xlfn.XLOOKUP(A4,'CLIP_Schedule B'!A:A,'CLIP_Schedule B'!E:E,0,FALSE)</f>
        <v/>
      </c>
      <c r="C4" s="351">
        <f>_xlfn.XLOOKUP(A4,'Silsbee_Schedule B'!B:B,'Silsbee_Schedule B'!F:F,0,FALSE)</f>
        <v/>
      </c>
      <c r="D4" s="351">
        <f>_xlfn.XLOOKUP(A4,'Q2''26 Management Fee'!B:B,'Q2''26 Management Fee'!C:C)</f>
        <v/>
      </c>
      <c r="E4" s="761">
        <f>SUMIFS(Commitment!G:G,Commitment!A:A,'Subsequent Close'!A4)</f>
        <v/>
      </c>
      <c r="F4" s="760">
        <f>E4/$E$90</f>
        <v/>
      </c>
      <c r="G4" s="761">
        <f>E4</f>
        <v/>
      </c>
      <c r="H4" s="760">
        <f>E4/$E$86</f>
        <v/>
      </c>
      <c r="I4" s="760">
        <f>G4/$G$86</f>
        <v/>
      </c>
      <c r="J4" s="761">
        <f>-G4</f>
        <v/>
      </c>
      <c r="K4" s="760">
        <f>J4/$J$86</f>
        <v/>
      </c>
      <c r="L4" s="762" t="n"/>
      <c r="M4" s="351">
        <f>$M$3*H4</f>
        <v/>
      </c>
      <c r="N4" s="351" t="n">
        <v>-7350.54</v>
      </c>
      <c r="O4" s="351" t="n"/>
      <c r="P4" s="351">
        <f>$P$3*H4</f>
        <v/>
      </c>
      <c r="Q4" s="351" t="n">
        <v>-36898.66144222948</v>
      </c>
      <c r="R4" s="351">
        <f>SUM(M4:Q4)</f>
        <v/>
      </c>
      <c r="S4" s="761" t="n"/>
      <c r="T4" s="249">
        <f>$T$3*I4</f>
        <v/>
      </c>
      <c r="U4" s="754" t="n">
        <v>0</v>
      </c>
      <c r="V4" s="249">
        <f>N4</f>
        <v/>
      </c>
      <c r="W4" s="249">
        <f>I4*$W$3</f>
        <v/>
      </c>
      <c r="X4" s="249">
        <f>$X$3*I4</f>
        <v/>
      </c>
      <c r="Y4" s="249">
        <f>T4+W4+X4+V4+U4</f>
        <v/>
      </c>
      <c r="Z4" s="761" t="n"/>
      <c r="AA4" s="299">
        <f>T4/G4</f>
        <v/>
      </c>
      <c r="AB4" s="300">
        <f>V4/G4</f>
        <v/>
      </c>
      <c r="AC4" s="300">
        <f>W4/G4</f>
        <v/>
      </c>
      <c r="AD4" s="300">
        <f>X4/G4</f>
        <v/>
      </c>
      <c r="AE4" s="918">
        <f>AD4+AC4+AA4</f>
        <v/>
      </c>
      <c r="AF4" s="761" t="n"/>
      <c r="AG4" s="330" t="n"/>
      <c r="AH4" s="331">
        <f>-Y4+R4</f>
        <v/>
      </c>
      <c r="AI4" s="717">
        <f>_xlfn.XLOOKUP(A4,'2.10.26 Sub Close Old'!A:A,'2.10.26 Sub Close Old'!AK:AK)</f>
        <v/>
      </c>
      <c r="AJ4" s="717">
        <f>_xlfn.XLOOKUP(A4,'2.10.26 Sub Close New'!A:A,'2.10.26 Sub Close New'!AJ:AJ)</f>
        <v/>
      </c>
      <c r="AK4" s="717">
        <f>+AJ4-AI4</f>
        <v/>
      </c>
      <c r="AL4" s="717">
        <f>+AH4+AK4</f>
        <v/>
      </c>
      <c r="AM4" s="756" t="n"/>
      <c r="AN4" s="308">
        <f>+Y4</f>
        <v/>
      </c>
      <c r="AO4" s="758">
        <f>AN4/G4</f>
        <v/>
      </c>
      <c r="AP4" s="758">
        <f>AB4</f>
        <v/>
      </c>
      <c r="AQ4" s="310">
        <f>+AO4-AP4</f>
        <v/>
      </c>
      <c r="AR4" s="756" t="n"/>
      <c r="AS4" s="326" t="n"/>
      <c r="AT4" s="249">
        <f>-$AS$3*H4</f>
        <v/>
      </c>
      <c r="AU4" s="466">
        <f>AT4</f>
        <v/>
      </c>
      <c r="AV4" s="467">
        <f>AU4/R4</f>
        <v/>
      </c>
      <c r="AW4" s="756" t="n"/>
      <c r="AX4" s="326" t="n"/>
      <c r="AY4" s="332">
        <f>AT4+AH4</f>
        <v/>
      </c>
      <c r="AZ4" s="756" t="n"/>
      <c r="BA4" s="330" t="n"/>
      <c r="BB4" s="331" t="n"/>
      <c r="BC4" s="756" t="n"/>
    </row>
    <row r="5">
      <c r="A5" s="752" t="inlineStr">
        <is>
          <t>1999 Frederick N Biesecker II Declaration of Trust DTD 5/12/99</t>
        </is>
      </c>
      <c r="B5" s="351">
        <f>_xlfn.XLOOKUP(A5,'CLIP_Schedule B'!A:A,'CLIP_Schedule B'!E:E,0,FALSE)</f>
        <v/>
      </c>
      <c r="C5" s="351">
        <f>_xlfn.XLOOKUP(A5,'Silsbee_Schedule B'!B:B,'Silsbee_Schedule B'!F:F,0,FALSE)</f>
        <v/>
      </c>
      <c r="D5" s="351">
        <f>_xlfn.XLOOKUP(A5,'Q2''26 Management Fee'!B:B,'Q2''26 Management Fee'!C:C)</f>
        <v/>
      </c>
      <c r="E5" s="761">
        <f>SUMIFS(Commitment!G:G,Commitment!A:A,'Subsequent Close'!A5)</f>
        <v/>
      </c>
      <c r="F5" s="760">
        <f>E5/$E$90</f>
        <v/>
      </c>
      <c r="G5" s="761">
        <f>E5</f>
        <v/>
      </c>
      <c r="H5" s="760">
        <f>E5/$E$86</f>
        <v/>
      </c>
      <c r="I5" s="760">
        <f>G5/$G$86</f>
        <v/>
      </c>
      <c r="J5" s="761">
        <f>-G5</f>
        <v/>
      </c>
      <c r="K5" s="760">
        <f>J5/$J$86</f>
        <v/>
      </c>
      <c r="L5" s="762" t="n"/>
      <c r="M5" s="351">
        <f>$M$3*H5</f>
        <v/>
      </c>
      <c r="N5" s="351" t="n">
        <v>-10290.76</v>
      </c>
      <c r="O5" s="351" t="n"/>
      <c r="P5" s="351">
        <f>$P$3*H5</f>
        <v/>
      </c>
      <c r="Q5" s="351" t="n">
        <v>-51658.12601912127</v>
      </c>
      <c r="R5" s="351">
        <f>SUM(M5:Q5)</f>
        <v/>
      </c>
      <c r="S5" s="761" t="n"/>
      <c r="T5" s="249">
        <f>$T$3*I5</f>
        <v/>
      </c>
      <c r="U5" s="754" t="n">
        <v>0</v>
      </c>
      <c r="V5" s="249">
        <f>N5</f>
        <v/>
      </c>
      <c r="W5" s="249">
        <f>I5*$W$3</f>
        <v/>
      </c>
      <c r="X5" s="249">
        <f>$X$3*I5</f>
        <v/>
      </c>
      <c r="Y5" s="249">
        <f>T5+W5+X5+V5+U5</f>
        <v/>
      </c>
      <c r="Z5" s="761" t="n"/>
      <c r="AA5" s="302">
        <f>T5/G5</f>
        <v/>
      </c>
      <c r="AB5" s="303">
        <f>V5/G5</f>
        <v/>
      </c>
      <c r="AC5" s="303">
        <f>W5/G5</f>
        <v/>
      </c>
      <c r="AD5" s="303">
        <f>X5/G5</f>
        <v/>
      </c>
      <c r="AE5" s="919">
        <f>AD5+AC5+AA5</f>
        <v/>
      </c>
      <c r="AF5" s="761" t="n"/>
      <c r="AG5" s="326" t="n"/>
      <c r="AH5" s="332">
        <f>-Y5+R5</f>
        <v/>
      </c>
      <c r="AI5" s="717">
        <f>_xlfn.XLOOKUP(A5,'2.10.26 Sub Close Old'!A:A,'2.10.26 Sub Close Old'!AK:AK)</f>
        <v/>
      </c>
      <c r="AJ5" s="717">
        <f>_xlfn.XLOOKUP(A5,'2.10.26 Sub Close New'!A:A,'2.10.26 Sub Close New'!AJ:AJ)</f>
        <v/>
      </c>
      <c r="AK5" s="717">
        <f>+AJ5-AI5</f>
        <v/>
      </c>
      <c r="AL5" s="717">
        <f>+AH5+AK5</f>
        <v/>
      </c>
      <c r="AM5" s="756" t="n"/>
      <c r="AN5" s="308">
        <f>+Y5</f>
        <v/>
      </c>
      <c r="AO5" s="758">
        <f>AN5/G5</f>
        <v/>
      </c>
      <c r="AP5" s="758">
        <f>AB5</f>
        <v/>
      </c>
      <c r="AQ5" s="310">
        <f>+AO5-AP5</f>
        <v/>
      </c>
      <c r="AR5" s="756" t="n"/>
      <c r="AS5" s="326" t="n"/>
      <c r="AT5" s="249">
        <f>-$AS$3*H5</f>
        <v/>
      </c>
      <c r="AU5" s="308">
        <f>AT5</f>
        <v/>
      </c>
      <c r="AV5" s="310">
        <f>AT5/R5</f>
        <v/>
      </c>
      <c r="AW5" s="756" t="n"/>
      <c r="AX5" s="326" t="n"/>
      <c r="AY5" s="332">
        <f>AT5+AH5</f>
        <v/>
      </c>
      <c r="AZ5" s="756" t="n"/>
      <c r="BA5" s="326" t="n"/>
      <c r="BB5" s="332" t="n"/>
      <c r="BC5" s="756" t="n"/>
    </row>
    <row r="6">
      <c r="A6" s="752" t="inlineStr">
        <is>
          <t>1999 Lissa Biesecker Longacre Declaration of Trust DTD 5/12/99</t>
        </is>
      </c>
      <c r="B6" s="351">
        <f>_xlfn.XLOOKUP(A6,'CLIP_Schedule B'!A:A,'CLIP_Schedule B'!E:E,0,FALSE)</f>
        <v/>
      </c>
      <c r="C6" s="351">
        <f>_xlfn.XLOOKUP(A6,'Silsbee_Schedule B'!B:B,'Silsbee_Schedule B'!F:F,0,FALSE)</f>
        <v/>
      </c>
      <c r="D6" s="351">
        <f>_xlfn.XLOOKUP(A6,'Q2''26 Management Fee'!B:B,'Q2''26 Management Fee'!C:C)</f>
        <v/>
      </c>
      <c r="E6" s="761">
        <f>SUMIFS(Commitment!G:G,Commitment!A:A,'Subsequent Close'!A6)</f>
        <v/>
      </c>
      <c r="F6" s="760">
        <f>E6/$E$90</f>
        <v/>
      </c>
      <c r="G6" s="761">
        <f>E6</f>
        <v/>
      </c>
      <c r="H6" s="760">
        <f>E6/$E$86</f>
        <v/>
      </c>
      <c r="I6" s="760">
        <f>G6/$G$86</f>
        <v/>
      </c>
      <c r="J6" s="761">
        <f>-G6</f>
        <v/>
      </c>
      <c r="K6" s="760">
        <f>J6/$J$86</f>
        <v/>
      </c>
      <c r="L6" s="762" t="n"/>
      <c r="M6" s="351">
        <f>$M$3*H6</f>
        <v/>
      </c>
      <c r="N6" s="351" t="n">
        <v>-8820.65</v>
      </c>
      <c r="O6" s="351" t="n"/>
      <c r="P6" s="351">
        <f>$P$3*H6</f>
        <v/>
      </c>
      <c r="Q6" s="351" t="n">
        <v>-44278.39373067537</v>
      </c>
      <c r="R6" s="351">
        <f>SUM(M6:Q6)</f>
        <v/>
      </c>
      <c r="S6" s="761" t="n"/>
      <c r="T6" s="249">
        <f>$T$3*I6</f>
        <v/>
      </c>
      <c r="U6" s="754" t="n">
        <v>0</v>
      </c>
      <c r="V6" s="249">
        <f>N6</f>
        <v/>
      </c>
      <c r="W6" s="249">
        <f>I6*$W$3</f>
        <v/>
      </c>
      <c r="X6" s="249">
        <f>$X$3*I6</f>
        <v/>
      </c>
      <c r="Y6" s="249">
        <f>T6+W6+X6+V6+U6</f>
        <v/>
      </c>
      <c r="Z6" s="761" t="n"/>
      <c r="AA6" s="302">
        <f>T6/G6</f>
        <v/>
      </c>
      <c r="AB6" s="303">
        <f>V6/G6</f>
        <v/>
      </c>
      <c r="AC6" s="303">
        <f>W6/G6</f>
        <v/>
      </c>
      <c r="AD6" s="303">
        <f>X6/G6</f>
        <v/>
      </c>
      <c r="AE6" s="919">
        <f>AD6+AC6+AA6</f>
        <v/>
      </c>
      <c r="AF6" s="761" t="n"/>
      <c r="AG6" s="326" t="n"/>
      <c r="AH6" s="332">
        <f>-Y6+R6</f>
        <v/>
      </c>
      <c r="AI6" s="717">
        <f>_xlfn.XLOOKUP(A6,'2.10.26 Sub Close Old'!A:A,'2.10.26 Sub Close Old'!AK:AK)</f>
        <v/>
      </c>
      <c r="AJ6" s="717">
        <f>_xlfn.XLOOKUP(A6,'2.10.26 Sub Close New'!A:A,'2.10.26 Sub Close New'!AJ:AJ)</f>
        <v/>
      </c>
      <c r="AK6" s="717">
        <f>+AJ6-AI6</f>
        <v/>
      </c>
      <c r="AL6" s="717">
        <f>+AH6+AK6</f>
        <v/>
      </c>
      <c r="AM6" s="756" t="n"/>
      <c r="AN6" s="308">
        <f>+Y6</f>
        <v/>
      </c>
      <c r="AO6" s="758">
        <f>AN6/G6</f>
        <v/>
      </c>
      <c r="AP6" s="758">
        <f>AB6</f>
        <v/>
      </c>
      <c r="AQ6" s="310">
        <f>+AO6-AP6</f>
        <v/>
      </c>
      <c r="AR6" s="756" t="n"/>
      <c r="AS6" s="326" t="n"/>
      <c r="AT6" s="249">
        <f>-$AS$3*H6</f>
        <v/>
      </c>
      <c r="AU6" s="308">
        <f>AT6</f>
        <v/>
      </c>
      <c r="AV6" s="310">
        <f>AT6/R6</f>
        <v/>
      </c>
      <c r="AW6" s="756" t="n"/>
      <c r="AX6" s="326" t="n"/>
      <c r="AY6" s="332">
        <f>AT6+AH6</f>
        <v/>
      </c>
      <c r="AZ6" s="756" t="n"/>
      <c r="BA6" s="326" t="n"/>
      <c r="BB6" s="332" t="n"/>
      <c r="BC6" s="756" t="n"/>
    </row>
    <row r="7">
      <c r="A7" s="752" t="inlineStr">
        <is>
          <t>Abigail Levy</t>
        </is>
      </c>
      <c r="B7" s="351">
        <f>_xlfn.XLOOKUP(A7,'CLIP_Schedule B'!A:A,'CLIP_Schedule B'!E:E,0,FALSE)</f>
        <v/>
      </c>
      <c r="C7" s="351">
        <f>_xlfn.XLOOKUP(A7,'Silsbee_Schedule B'!B:B,'Silsbee_Schedule B'!F:F,0,FALSE)</f>
        <v/>
      </c>
      <c r="D7" s="351">
        <f>_xlfn.XLOOKUP(A7,'Q2''26 Management Fee'!B:B,'Q2''26 Management Fee'!C:C)</f>
        <v/>
      </c>
      <c r="E7" s="761">
        <f>SUMIFS(Commitment!G:G,Commitment!A:A,'Subsequent Close'!A7)</f>
        <v/>
      </c>
      <c r="F7" s="760">
        <f>E7/$E$90</f>
        <v/>
      </c>
      <c r="G7" s="761">
        <f>E7</f>
        <v/>
      </c>
      <c r="H7" s="760">
        <f>E7/$E$86</f>
        <v/>
      </c>
      <c r="I7" s="760">
        <f>G7/$G$86</f>
        <v/>
      </c>
      <c r="J7" s="761">
        <f>-G7</f>
        <v/>
      </c>
      <c r="K7" s="760">
        <f>J7/$J$86</f>
        <v/>
      </c>
      <c r="L7" s="762" t="n"/>
      <c r="M7" s="351">
        <f>$M$3*H7</f>
        <v/>
      </c>
      <c r="N7" s="351" t="n">
        <v>-11025.82</v>
      </c>
      <c r="O7" s="351" t="n"/>
      <c r="P7" s="351">
        <f>$P$3*H7</f>
        <v/>
      </c>
      <c r="Q7" s="351" t="n">
        <v>-55347.99216334422</v>
      </c>
      <c r="R7" s="351">
        <f>SUM(M7:Q7)</f>
        <v/>
      </c>
      <c r="S7" s="761" t="n"/>
      <c r="T7" s="249">
        <f>$T$3*I7</f>
        <v/>
      </c>
      <c r="U7" s="754" t="n">
        <v>0</v>
      </c>
      <c r="V7" s="249">
        <f>N7</f>
        <v/>
      </c>
      <c r="W7" s="249">
        <f>I7*$W$3</f>
        <v/>
      </c>
      <c r="X7" s="249">
        <f>$X$3*I7</f>
        <v/>
      </c>
      <c r="Y7" s="249">
        <f>T7+W7+X7+V7+U7</f>
        <v/>
      </c>
      <c r="Z7" s="761" t="n"/>
      <c r="AA7" s="302">
        <f>T7/G7</f>
        <v/>
      </c>
      <c r="AB7" s="303">
        <f>V7/G7</f>
        <v/>
      </c>
      <c r="AC7" s="303">
        <f>W7/G7</f>
        <v/>
      </c>
      <c r="AD7" s="303">
        <f>X7/G7</f>
        <v/>
      </c>
      <c r="AE7" s="919">
        <f>AD7+AC7+AA7</f>
        <v/>
      </c>
      <c r="AF7" s="761" t="n"/>
      <c r="AG7" s="326" t="n"/>
      <c r="AH7" s="332">
        <f>-Y7+R7</f>
        <v/>
      </c>
      <c r="AI7" s="717">
        <f>_xlfn.XLOOKUP(A7,'2.10.26 Sub Close Old'!A:A,'2.10.26 Sub Close Old'!AK:AK)</f>
        <v/>
      </c>
      <c r="AJ7" s="717">
        <f>_xlfn.XLOOKUP(A7,'2.10.26 Sub Close New'!A:A,'2.10.26 Sub Close New'!AJ:AJ)</f>
        <v/>
      </c>
      <c r="AK7" s="717">
        <f>+AJ7-AI7</f>
        <v/>
      </c>
      <c r="AL7" s="717">
        <f>+AH7+AK7</f>
        <v/>
      </c>
      <c r="AM7" s="756" t="n"/>
      <c r="AN7" s="308">
        <f>+Y7</f>
        <v/>
      </c>
      <c r="AO7" s="758">
        <f>AN7/G7</f>
        <v/>
      </c>
      <c r="AP7" s="758">
        <f>AB7</f>
        <v/>
      </c>
      <c r="AQ7" s="310">
        <f>+AO7-AP7</f>
        <v/>
      </c>
      <c r="AR7" s="756" t="n"/>
      <c r="AS7" s="326" t="n"/>
      <c r="AT7" s="249">
        <f>-$AS$3*H7</f>
        <v/>
      </c>
      <c r="AU7" s="308">
        <f>AT7</f>
        <v/>
      </c>
      <c r="AV7" s="310">
        <f>AT7/R7</f>
        <v/>
      </c>
      <c r="AW7" s="756" t="n"/>
      <c r="AX7" s="326" t="n"/>
      <c r="AY7" s="332">
        <f>AT7+AH7</f>
        <v/>
      </c>
      <c r="AZ7" s="756" t="n"/>
      <c r="BA7" s="326" t="n"/>
      <c r="BB7" s="332" t="n"/>
      <c r="BC7" s="756" t="n"/>
    </row>
    <row r="8">
      <c r="A8" s="752" t="inlineStr">
        <is>
          <t>AKWT LLC</t>
        </is>
      </c>
      <c r="B8" s="351">
        <f>_xlfn.XLOOKUP(A8,'CLIP_Schedule B'!A:A,'CLIP_Schedule B'!E:E,0,FALSE)</f>
        <v/>
      </c>
      <c r="C8" s="351">
        <f>_xlfn.XLOOKUP(A8,'Silsbee_Schedule B'!B:B,'Silsbee_Schedule B'!F:F,0,FALSE)</f>
        <v/>
      </c>
      <c r="D8" s="351">
        <f>_xlfn.XLOOKUP(A8,'Q2''26 Management Fee'!B:B,'Q2''26 Management Fee'!C:C)</f>
        <v/>
      </c>
      <c r="E8" s="761">
        <f>SUMIFS(Commitment!G:G,Commitment!A:A,'Subsequent Close'!A8)</f>
        <v/>
      </c>
      <c r="F8" s="760">
        <f>E8/$E$90</f>
        <v/>
      </c>
      <c r="G8" s="761">
        <f>E8</f>
        <v/>
      </c>
      <c r="H8" s="760">
        <f>E8/$E$86</f>
        <v/>
      </c>
      <c r="I8" s="760">
        <f>G8/$G$86</f>
        <v/>
      </c>
      <c r="J8" s="761">
        <f>-G8</f>
        <v/>
      </c>
      <c r="K8" s="760">
        <f>J8/$J$86</f>
        <v/>
      </c>
      <c r="L8" s="762" t="n"/>
      <c r="M8" s="351">
        <f>$M$3*H8</f>
        <v/>
      </c>
      <c r="N8" s="351" t="n">
        <v>-933.86</v>
      </c>
      <c r="O8" s="351" t="n"/>
      <c r="P8" s="351">
        <f>$P$3*H8</f>
        <v/>
      </c>
      <c r="Q8" s="351" t="n">
        <v>-5778.35399699646</v>
      </c>
      <c r="R8" s="351">
        <f>SUM(M8:Q8)</f>
        <v/>
      </c>
      <c r="S8" s="761" t="n"/>
      <c r="T8" s="249">
        <f>$T$3*I8</f>
        <v/>
      </c>
      <c r="U8" s="754" t="n">
        <v>0</v>
      </c>
      <c r="V8" s="249">
        <f>N8</f>
        <v/>
      </c>
      <c r="W8" s="249">
        <f>I8*$W$3</f>
        <v/>
      </c>
      <c r="X8" s="249">
        <f>$X$3*I8</f>
        <v/>
      </c>
      <c r="Y8" s="249">
        <f>T8+W8+X8+V8+U8</f>
        <v/>
      </c>
      <c r="Z8" s="761" t="n"/>
      <c r="AA8" s="302">
        <f>T8/G8</f>
        <v/>
      </c>
      <c r="AB8" s="303">
        <f>V8/G8</f>
        <v/>
      </c>
      <c r="AC8" s="303">
        <f>W8/G8</f>
        <v/>
      </c>
      <c r="AD8" s="303">
        <f>X8/G8</f>
        <v/>
      </c>
      <c r="AE8" s="919">
        <f>AD8+AC8+AA8</f>
        <v/>
      </c>
      <c r="AF8" s="761" t="n"/>
      <c r="AG8" s="326" t="n"/>
      <c r="AH8" s="332">
        <f>-Y8+R8</f>
        <v/>
      </c>
      <c r="AI8" s="717">
        <f>_xlfn.XLOOKUP(A8,'2.10.26 Sub Close Old'!A:A,'2.10.26 Sub Close Old'!AK:AK)</f>
        <v/>
      </c>
      <c r="AJ8" s="717">
        <f>_xlfn.XLOOKUP(A8,'2.10.26 Sub Close New'!A:A,'2.10.26 Sub Close New'!AJ:AJ)</f>
        <v/>
      </c>
      <c r="AK8" s="717">
        <f>+AJ8-AI8</f>
        <v/>
      </c>
      <c r="AL8" s="717">
        <f>+AH8+AK8</f>
        <v/>
      </c>
      <c r="AM8" s="756" t="n"/>
      <c r="AN8" s="308">
        <f>+Y8</f>
        <v/>
      </c>
      <c r="AO8" s="758">
        <f>AN8/G8</f>
        <v/>
      </c>
      <c r="AP8" s="758">
        <f>AB8</f>
        <v/>
      </c>
      <c r="AQ8" s="310">
        <f>+AO8-AP8</f>
        <v/>
      </c>
      <c r="AR8" s="756" t="n"/>
      <c r="AS8" s="326" t="n"/>
      <c r="AT8" s="249">
        <f>-$AS$3*H8</f>
        <v/>
      </c>
      <c r="AU8" s="308">
        <f>AT8</f>
        <v/>
      </c>
      <c r="AV8" s="310">
        <f>AT8/R8</f>
        <v/>
      </c>
      <c r="AW8" s="756" t="n"/>
      <c r="AX8" s="326" t="n"/>
      <c r="AY8" s="332">
        <f>AT8+AH8</f>
        <v/>
      </c>
      <c r="AZ8" s="756" t="n"/>
      <c r="BA8" s="326" t="n"/>
      <c r="BB8" s="332" t="n"/>
      <c r="BC8" s="756" t="n"/>
    </row>
    <row r="9">
      <c r="A9" s="752" t="inlineStr">
        <is>
          <t>Alexander S. Bloomingdale</t>
        </is>
      </c>
      <c r="B9" s="351">
        <f>_xlfn.XLOOKUP(A9,'CLIP_Schedule B'!A:A,'CLIP_Schedule B'!E:E,0,FALSE)</f>
        <v/>
      </c>
      <c r="C9" s="351">
        <f>_xlfn.XLOOKUP(A9,'Silsbee_Schedule B'!B:B,'Silsbee_Schedule B'!F:F,0,FALSE)</f>
        <v/>
      </c>
      <c r="D9" s="351">
        <f>_xlfn.XLOOKUP(A9,'Q2''26 Management Fee'!B:B,'Q2''26 Management Fee'!C:C)</f>
        <v/>
      </c>
      <c r="E9" s="761">
        <f>SUMIFS(Commitment!G:G,Commitment!A:A,'Subsequent Close'!A9)</f>
        <v/>
      </c>
      <c r="F9" s="760">
        <f>E9/$E$90</f>
        <v/>
      </c>
      <c r="G9" s="761">
        <f>E9</f>
        <v/>
      </c>
      <c r="H9" s="760">
        <f>E9/$E$86</f>
        <v/>
      </c>
      <c r="I9" s="760">
        <f>G9/$G$86</f>
        <v/>
      </c>
      <c r="J9" s="761">
        <f>-G9</f>
        <v/>
      </c>
      <c r="K9" s="760">
        <f>J9/$J$86</f>
        <v/>
      </c>
      <c r="L9" s="762" t="n"/>
      <c r="M9" s="351">
        <f>$M$3*H9</f>
        <v/>
      </c>
      <c r="N9" s="351" t="n">
        <v>-1594.206582065217</v>
      </c>
      <c r="O9" s="351" t="n"/>
      <c r="P9" s="351">
        <f>$P$3*H9</f>
        <v/>
      </c>
      <c r="Q9" s="351" t="n">
        <v>-10641.4234134003</v>
      </c>
      <c r="R9" s="351">
        <f>SUM(M9:Q9)</f>
        <v/>
      </c>
      <c r="S9" s="761" t="n"/>
      <c r="T9" s="249">
        <f>$T$3*I9</f>
        <v/>
      </c>
      <c r="U9" s="754" t="n">
        <v>0</v>
      </c>
      <c r="V9" s="249">
        <f>N9</f>
        <v/>
      </c>
      <c r="W9" s="249">
        <f>I9*$W$3</f>
        <v/>
      </c>
      <c r="X9" s="249">
        <f>$X$3*I9</f>
        <v/>
      </c>
      <c r="Y9" s="249">
        <f>T9+W9+X9+V9+U9</f>
        <v/>
      </c>
      <c r="Z9" s="761" t="n"/>
      <c r="AA9" s="302">
        <f>T9/G9</f>
        <v/>
      </c>
      <c r="AB9" s="303">
        <f>V9/G9</f>
        <v/>
      </c>
      <c r="AC9" s="303">
        <f>W9/G9</f>
        <v/>
      </c>
      <c r="AD9" s="303">
        <f>X9/G9</f>
        <v/>
      </c>
      <c r="AE9" s="919">
        <f>AD9+AC9+AA9</f>
        <v/>
      </c>
      <c r="AF9" s="761" t="n"/>
      <c r="AG9" s="326" t="n"/>
      <c r="AH9" s="332">
        <f>-Y9+R9</f>
        <v/>
      </c>
      <c r="AI9" s="717">
        <f>_xlfn.XLOOKUP(A9,'2.10.26 Sub Close Old'!A:A,'2.10.26 Sub Close Old'!AK:AK)</f>
        <v/>
      </c>
      <c r="AJ9" s="717">
        <f>_xlfn.XLOOKUP(A9,'2.10.26 Sub Close New'!A:A,'2.10.26 Sub Close New'!AJ:AJ)</f>
        <v/>
      </c>
      <c r="AK9" s="717">
        <f>+AJ9-AI9</f>
        <v/>
      </c>
      <c r="AL9" s="717">
        <f>+AH9+AK9</f>
        <v/>
      </c>
      <c r="AM9" s="756" t="n"/>
      <c r="AN9" s="308">
        <f>+Y9</f>
        <v/>
      </c>
      <c r="AO9" s="758">
        <f>AN9/G9</f>
        <v/>
      </c>
      <c r="AP9" s="758">
        <f>AB9</f>
        <v/>
      </c>
      <c r="AQ9" s="310">
        <f>+AO9-AP9</f>
        <v/>
      </c>
      <c r="AR9" s="756" t="n"/>
      <c r="AS9" s="326" t="n"/>
      <c r="AT9" s="249">
        <f>-$AS$3*H9</f>
        <v/>
      </c>
      <c r="AU9" s="308">
        <f>AT9</f>
        <v/>
      </c>
      <c r="AV9" s="310">
        <f>AT9/R9</f>
        <v/>
      </c>
      <c r="AW9" s="756" t="n"/>
      <c r="AX9" s="326" t="n"/>
      <c r="AY9" s="332">
        <f>AT9+AH9</f>
        <v/>
      </c>
      <c r="AZ9" s="756" t="n"/>
      <c r="BA9" s="326" t="n"/>
      <c r="BB9" s="332" t="n"/>
      <c r="BC9" s="756" t="n"/>
    </row>
    <row r="10">
      <c r="A10" s="752" t="inlineStr">
        <is>
          <t>Alexander Sharpe Moore</t>
        </is>
      </c>
      <c r="B10" s="351">
        <f>_xlfn.XLOOKUP(A10,'CLIP_Schedule B'!A:A,'CLIP_Schedule B'!E:E,0,FALSE)</f>
        <v/>
      </c>
      <c r="C10" s="351">
        <f>_xlfn.XLOOKUP(A10,'Silsbee_Schedule B'!B:B,'Silsbee_Schedule B'!F:F,0,FALSE)</f>
        <v/>
      </c>
      <c r="D10" s="351">
        <f>_xlfn.XLOOKUP(A10,'Q2''26 Management Fee'!B:B,'Q2''26 Management Fee'!C:C)</f>
        <v/>
      </c>
      <c r="E10" s="761">
        <f>SUMIFS(Commitment!G:G,Commitment!A:A,'Subsequent Close'!A10)</f>
        <v/>
      </c>
      <c r="F10" s="760">
        <f>E10/$E$90</f>
        <v/>
      </c>
      <c r="G10" s="761">
        <f>E10</f>
        <v/>
      </c>
      <c r="H10" s="760">
        <f>E10/$E$86</f>
        <v/>
      </c>
      <c r="I10" s="760">
        <f>G10/$G$86</f>
        <v/>
      </c>
      <c r="J10" s="761">
        <f>-G10</f>
        <v/>
      </c>
      <c r="K10" s="760">
        <f>J10/$J$86</f>
        <v/>
      </c>
      <c r="L10" s="762" t="n"/>
      <c r="M10" s="351">
        <f>$M$3*H10</f>
        <v/>
      </c>
      <c r="N10" s="351" t="n">
        <v>-1867.7</v>
      </c>
      <c r="O10" s="351" t="n"/>
      <c r="P10" s="351">
        <f>$P$3*H10</f>
        <v/>
      </c>
      <c r="Q10" s="351" t="n">
        <v>-11556.70725601969</v>
      </c>
      <c r="R10" s="351">
        <f>SUM(M10:Q10)</f>
        <v/>
      </c>
      <c r="S10" s="761" t="n"/>
      <c r="T10" s="249">
        <f>$T$3*I10</f>
        <v/>
      </c>
      <c r="U10" s="754" t="n">
        <v>0</v>
      </c>
      <c r="V10" s="249">
        <f>N10</f>
        <v/>
      </c>
      <c r="W10" s="249">
        <f>I10*$W$3</f>
        <v/>
      </c>
      <c r="X10" s="249">
        <f>$X$3*I10</f>
        <v/>
      </c>
      <c r="Y10" s="249">
        <f>T10+W10+X10+V10+U10</f>
        <v/>
      </c>
      <c r="Z10" s="761" t="n"/>
      <c r="AA10" s="302">
        <f>T10/G10</f>
        <v/>
      </c>
      <c r="AB10" s="303">
        <f>V10/G10</f>
        <v/>
      </c>
      <c r="AC10" s="303">
        <f>W10/G10</f>
        <v/>
      </c>
      <c r="AD10" s="303">
        <f>X10/G10</f>
        <v/>
      </c>
      <c r="AE10" s="919">
        <f>AD10+AC10+AA10</f>
        <v/>
      </c>
      <c r="AF10" s="761" t="n"/>
      <c r="AG10" s="326" t="n"/>
      <c r="AH10" s="332">
        <f>-Y10+R10</f>
        <v/>
      </c>
      <c r="AI10" s="717">
        <f>_xlfn.XLOOKUP(A10,'2.10.26 Sub Close Old'!A:A,'2.10.26 Sub Close Old'!AK:AK)</f>
        <v/>
      </c>
      <c r="AJ10" s="717">
        <f>_xlfn.XLOOKUP(A10,'2.10.26 Sub Close New'!A:A,'2.10.26 Sub Close New'!AJ:AJ)</f>
        <v/>
      </c>
      <c r="AK10" s="717">
        <f>+AJ10-AI10</f>
        <v/>
      </c>
      <c r="AL10" s="717">
        <f>+AH10+AK10</f>
        <v/>
      </c>
      <c r="AM10" s="756" t="n"/>
      <c r="AN10" s="308">
        <f>+Y10</f>
        <v/>
      </c>
      <c r="AO10" s="758">
        <f>AN10/G10</f>
        <v/>
      </c>
      <c r="AP10" s="758">
        <f>AB10</f>
        <v/>
      </c>
      <c r="AQ10" s="310">
        <f>+AO10-AP10</f>
        <v/>
      </c>
      <c r="AR10" s="756" t="n"/>
      <c r="AS10" s="326" t="n"/>
      <c r="AT10" s="249">
        <f>-$AS$3*H10</f>
        <v/>
      </c>
      <c r="AU10" s="308">
        <f>AT10</f>
        <v/>
      </c>
      <c r="AV10" s="310">
        <f>AT10/R10</f>
        <v/>
      </c>
      <c r="AW10" s="756" t="n"/>
      <c r="AX10" s="326" t="n"/>
      <c r="AY10" s="332">
        <f>AT10+AH10</f>
        <v/>
      </c>
      <c r="AZ10" s="756" t="n"/>
      <c r="BA10" s="326" t="n"/>
      <c r="BB10" s="332" t="n"/>
      <c r="BC10" s="756" t="n"/>
    </row>
    <row r="11">
      <c r="A11" s="752" t="inlineStr">
        <is>
          <t>All Dogs Go To Heaven, LLC</t>
        </is>
      </c>
      <c r="B11" s="351">
        <f>_xlfn.XLOOKUP(A11,'CLIP_Schedule B'!A:A,'CLIP_Schedule B'!E:E,0,FALSE)</f>
        <v/>
      </c>
      <c r="C11" s="351">
        <f>_xlfn.XLOOKUP(A11,'Silsbee_Schedule B'!B:B,'Silsbee_Schedule B'!F:F,0,FALSE)</f>
        <v/>
      </c>
      <c r="D11" s="351">
        <f>_xlfn.XLOOKUP(A11,'Q2''26 Management Fee'!B:B,'Q2''26 Management Fee'!C:C)</f>
        <v/>
      </c>
      <c r="E11" s="761">
        <f>SUMIFS(Commitment!G:G,Commitment!A:A,'Subsequent Close'!A11)</f>
        <v/>
      </c>
      <c r="F11" s="760">
        <f>E11/$E$90</f>
        <v/>
      </c>
      <c r="G11" s="761">
        <f>E11</f>
        <v/>
      </c>
      <c r="H11" s="760">
        <f>E11/$E$86</f>
        <v/>
      </c>
      <c r="I11" s="760">
        <f>G11/$G$86</f>
        <v/>
      </c>
      <c r="J11" s="761">
        <f>-G11</f>
        <v/>
      </c>
      <c r="K11" s="760">
        <f>J11/$J$86</f>
        <v/>
      </c>
      <c r="L11" s="762" t="n"/>
      <c r="M11" s="351">
        <f>$M$3*H11</f>
        <v/>
      </c>
      <c r="N11" s="351" t="n">
        <v>-5989.953164130435</v>
      </c>
      <c r="O11" s="351" t="n"/>
      <c r="P11" s="351">
        <f>$P$3*H11</f>
        <v/>
      </c>
      <c r="Q11" s="351" t="n">
        <v>-38617.90734184351</v>
      </c>
      <c r="R11" s="351">
        <f>SUM(M11:Q11)</f>
        <v/>
      </c>
      <c r="S11" s="761" t="n"/>
      <c r="T11" s="249">
        <f>$T$3*I11</f>
        <v/>
      </c>
      <c r="U11" s="754" t="n">
        <v>0</v>
      </c>
      <c r="V11" s="249">
        <f>N11</f>
        <v/>
      </c>
      <c r="W11" s="249">
        <f>I11*$W$3</f>
        <v/>
      </c>
      <c r="X11" s="249">
        <f>$X$3*I11</f>
        <v/>
      </c>
      <c r="Y11" s="249">
        <f>T11+W11+X11+V11+U11</f>
        <v/>
      </c>
      <c r="Z11" s="761" t="n"/>
      <c r="AA11" s="302">
        <f>T11/G11</f>
        <v/>
      </c>
      <c r="AB11" s="303">
        <f>V11/G11</f>
        <v/>
      </c>
      <c r="AC11" s="303">
        <f>W11/G11</f>
        <v/>
      </c>
      <c r="AD11" s="303">
        <f>X11/G11</f>
        <v/>
      </c>
      <c r="AE11" s="919">
        <f>AD11+AC11+AA11</f>
        <v/>
      </c>
      <c r="AF11" s="761" t="n"/>
      <c r="AG11" s="326" t="n"/>
      <c r="AH11" s="332">
        <f>-Y11+R11</f>
        <v/>
      </c>
      <c r="AI11" s="717">
        <f>_xlfn.XLOOKUP(A11,'2.10.26 Sub Close Old'!A:A,'2.10.26 Sub Close Old'!AK:AK)</f>
        <v/>
      </c>
      <c r="AJ11" s="717">
        <f>_xlfn.XLOOKUP(A11,'2.10.26 Sub Close New'!A:A,'2.10.26 Sub Close New'!AJ:AJ)</f>
        <v/>
      </c>
      <c r="AK11" s="717">
        <f>+AJ11-AI11</f>
        <v/>
      </c>
      <c r="AL11" s="717">
        <f>+AH11+AK11</f>
        <v/>
      </c>
      <c r="AM11" s="756" t="n"/>
      <c r="AN11" s="308">
        <f>+Y11</f>
        <v/>
      </c>
      <c r="AO11" s="758">
        <f>AN11/G11</f>
        <v/>
      </c>
      <c r="AP11" s="758">
        <f>AB11</f>
        <v/>
      </c>
      <c r="AQ11" s="310">
        <f>+AO11-AP11</f>
        <v/>
      </c>
      <c r="AR11" s="756" t="n"/>
      <c r="AS11" s="326" t="n"/>
      <c r="AT11" s="249">
        <f>-$AS$3*H11</f>
        <v/>
      </c>
      <c r="AU11" s="308">
        <f>AT11</f>
        <v/>
      </c>
      <c r="AV11" s="310">
        <f>AT11/R11</f>
        <v/>
      </c>
      <c r="AW11" s="756" t="n"/>
      <c r="AX11" s="326" t="n"/>
      <c r="AY11" s="332">
        <f>AT11+AH11</f>
        <v/>
      </c>
      <c r="AZ11" s="756" t="n"/>
      <c r="BA11" s="326" t="n"/>
      <c r="BB11" s="332" t="n"/>
      <c r="BC11" s="756" t="n"/>
    </row>
    <row r="12">
      <c r="A12" s="752" t="inlineStr">
        <is>
          <t>Alten Investments LLC</t>
        </is>
      </c>
      <c r="B12" s="351">
        <f>_xlfn.XLOOKUP(A12,'CLIP_Schedule B'!A:A,'CLIP_Schedule B'!E:E,0,FALSE)</f>
        <v/>
      </c>
      <c r="C12" s="351">
        <f>_xlfn.XLOOKUP(A12,'Silsbee_Schedule B'!B:B,'Silsbee_Schedule B'!F:F,0,FALSE)</f>
        <v/>
      </c>
      <c r="D12" s="351">
        <f>_xlfn.XLOOKUP(A12,'Q2''26 Management Fee'!B:B,'Q2''26 Management Fee'!C:C)</f>
        <v/>
      </c>
      <c r="E12" s="761">
        <f>SUMIFS(Commitment!G:G,Commitment!A:A,'Subsequent Close'!A12)</f>
        <v/>
      </c>
      <c r="F12" s="760">
        <f>E12/$E$90</f>
        <v/>
      </c>
      <c r="G12" s="761">
        <f>E12</f>
        <v/>
      </c>
      <c r="H12" s="760">
        <f>E12/$E$86</f>
        <v/>
      </c>
      <c r="I12" s="760">
        <f>G12/$G$86</f>
        <v/>
      </c>
      <c r="J12" s="761">
        <f>-G12</f>
        <v/>
      </c>
      <c r="K12" s="760">
        <f>J12/$J$86</f>
        <v/>
      </c>
      <c r="L12" s="762" t="n"/>
      <c r="M12" s="351">
        <f>$M$3*H12</f>
        <v/>
      </c>
      <c r="N12" s="351" t="n">
        <v>-14701.09</v>
      </c>
      <c r="O12" s="351" t="n"/>
      <c r="P12" s="351">
        <f>$P$3*H12</f>
        <v/>
      </c>
      <c r="Q12" s="351" t="n">
        <v>-73797.32288445896</v>
      </c>
      <c r="R12" s="351">
        <f>SUM(M12:Q12)</f>
        <v/>
      </c>
      <c r="S12" s="761" t="n"/>
      <c r="T12" s="249">
        <f>$T$3*I12</f>
        <v/>
      </c>
      <c r="U12" s="754" t="n">
        <v>0</v>
      </c>
      <c r="V12" s="249">
        <f>N12</f>
        <v/>
      </c>
      <c r="W12" s="249">
        <f>I12*$W$3</f>
        <v/>
      </c>
      <c r="X12" s="249">
        <f>$X$3*I12</f>
        <v/>
      </c>
      <c r="Y12" s="249">
        <f>T12+W12+X12+V12+U12</f>
        <v/>
      </c>
      <c r="Z12" s="761" t="n"/>
      <c r="AA12" s="302">
        <f>T12/G12</f>
        <v/>
      </c>
      <c r="AB12" s="303">
        <f>V12/G12</f>
        <v/>
      </c>
      <c r="AC12" s="303">
        <f>W12/G12</f>
        <v/>
      </c>
      <c r="AD12" s="303">
        <f>X12/G12</f>
        <v/>
      </c>
      <c r="AE12" s="919">
        <f>AD12+AC12+AA12</f>
        <v/>
      </c>
      <c r="AF12" s="761" t="n"/>
      <c r="AG12" s="326" t="n"/>
      <c r="AH12" s="332">
        <f>-Y12+R12</f>
        <v/>
      </c>
      <c r="AI12" s="717">
        <f>_xlfn.XLOOKUP(A12,'2.10.26 Sub Close Old'!A:A,'2.10.26 Sub Close Old'!AK:AK)</f>
        <v/>
      </c>
      <c r="AJ12" s="717">
        <f>_xlfn.XLOOKUP(A12,'2.10.26 Sub Close New'!A:A,'2.10.26 Sub Close New'!AJ:AJ)</f>
        <v/>
      </c>
      <c r="AK12" s="717">
        <f>+AJ12-AI12</f>
        <v/>
      </c>
      <c r="AL12" s="717">
        <f>+AH12+AK12</f>
        <v/>
      </c>
      <c r="AM12" s="756" t="n"/>
      <c r="AN12" s="308">
        <f>+Y12</f>
        <v/>
      </c>
      <c r="AO12" s="758">
        <f>AN12/G12</f>
        <v/>
      </c>
      <c r="AP12" s="758">
        <f>AB12</f>
        <v/>
      </c>
      <c r="AQ12" s="310">
        <f>+AO12-AP12</f>
        <v/>
      </c>
      <c r="AR12" s="756" t="n"/>
      <c r="AS12" s="326" t="n"/>
      <c r="AT12" s="249">
        <f>-$AS$3*H12</f>
        <v/>
      </c>
      <c r="AU12" s="308">
        <f>AT12</f>
        <v/>
      </c>
      <c r="AV12" s="310">
        <f>AT12/R12</f>
        <v/>
      </c>
      <c r="AW12" s="756" t="n"/>
      <c r="AX12" s="326" t="n"/>
      <c r="AY12" s="332">
        <f>AT12+AH12</f>
        <v/>
      </c>
      <c r="AZ12" s="756" t="n"/>
      <c r="BA12" s="326" t="n"/>
      <c r="BB12" s="332" t="n"/>
      <c r="BC12" s="756" t="n"/>
    </row>
    <row r="13">
      <c r="A13" s="752" t="inlineStr">
        <is>
          <t>Avery Ryan Klann</t>
        </is>
      </c>
      <c r="B13" s="351">
        <f>_xlfn.XLOOKUP(A13,'CLIP_Schedule B'!A:A,'CLIP_Schedule B'!E:E,0,FALSE)</f>
        <v/>
      </c>
      <c r="C13" s="351">
        <f>_xlfn.XLOOKUP(A13,'Silsbee_Schedule B'!B:B,'Silsbee_Schedule B'!F:F,0,FALSE)</f>
        <v/>
      </c>
      <c r="D13" s="351">
        <f>_xlfn.XLOOKUP(A13,'Q2''26 Management Fee'!B:B,'Q2''26 Management Fee'!C:C)</f>
        <v/>
      </c>
      <c r="E13" s="761">
        <f>SUMIFS(Commitment!G:G,Commitment!A:A,'Subsequent Close'!A13)</f>
        <v/>
      </c>
      <c r="F13" s="760">
        <f>E13/$E$90</f>
        <v/>
      </c>
      <c r="G13" s="761">
        <f>E13</f>
        <v/>
      </c>
      <c r="H13" s="760">
        <f>E13/$E$86</f>
        <v/>
      </c>
      <c r="I13" s="760">
        <f>G13/$G$86</f>
        <v/>
      </c>
      <c r="J13" s="761">
        <f>-G13</f>
        <v/>
      </c>
      <c r="K13" s="760">
        <f>J13/$J$86</f>
        <v/>
      </c>
      <c r="L13" s="762" t="n"/>
      <c r="M13" s="351">
        <f>$M$3*H13</f>
        <v/>
      </c>
      <c r="N13" s="351" t="n">
        <v>-4669.25</v>
      </c>
      <c r="O13" s="351" t="n"/>
      <c r="P13" s="351">
        <f>$P$3*H13</f>
        <v/>
      </c>
      <c r="Q13" s="351" t="n">
        <v>-28891.76850903584</v>
      </c>
      <c r="R13" s="351">
        <f>SUM(M13:Q13)</f>
        <v/>
      </c>
      <c r="S13" s="761" t="n"/>
      <c r="T13" s="249">
        <f>$T$3*I13</f>
        <v/>
      </c>
      <c r="U13" s="754" t="n">
        <v>0</v>
      </c>
      <c r="V13" s="249">
        <f>N13</f>
        <v/>
      </c>
      <c r="W13" s="249">
        <f>I13*$W$3</f>
        <v/>
      </c>
      <c r="X13" s="249">
        <f>$X$3*I13</f>
        <v/>
      </c>
      <c r="Y13" s="249">
        <f>T13+W13+X13+V13+U13</f>
        <v/>
      </c>
      <c r="Z13" s="761" t="n"/>
      <c r="AA13" s="302">
        <f>T13/G13</f>
        <v/>
      </c>
      <c r="AB13" s="303">
        <f>V13/G13</f>
        <v/>
      </c>
      <c r="AC13" s="303">
        <f>W13/G13</f>
        <v/>
      </c>
      <c r="AD13" s="303">
        <f>X13/G13</f>
        <v/>
      </c>
      <c r="AE13" s="919">
        <f>AD13+AC13+AA13</f>
        <v/>
      </c>
      <c r="AF13" s="761" t="n"/>
      <c r="AG13" s="326" t="n"/>
      <c r="AH13" s="332">
        <f>-Y13+R13</f>
        <v/>
      </c>
      <c r="AI13" s="717">
        <f>_xlfn.XLOOKUP(A13,'2.10.26 Sub Close Old'!A:A,'2.10.26 Sub Close Old'!AK:AK)</f>
        <v/>
      </c>
      <c r="AJ13" s="717">
        <f>_xlfn.XLOOKUP(A13,'2.10.26 Sub Close New'!A:A,'2.10.26 Sub Close New'!AJ:AJ)</f>
        <v/>
      </c>
      <c r="AK13" s="717">
        <f>+AJ13-AI13</f>
        <v/>
      </c>
      <c r="AL13" s="717">
        <f>+AH13+AK13</f>
        <v/>
      </c>
      <c r="AM13" s="756" t="n"/>
      <c r="AN13" s="308">
        <f>+Y13</f>
        <v/>
      </c>
      <c r="AO13" s="758">
        <f>AN13/G13</f>
        <v/>
      </c>
      <c r="AP13" s="758">
        <f>AB13</f>
        <v/>
      </c>
      <c r="AQ13" s="310">
        <f>+AO13-AP13</f>
        <v/>
      </c>
      <c r="AR13" s="756" t="n"/>
      <c r="AS13" s="326" t="n"/>
      <c r="AT13" s="249">
        <f>-$AS$3*H13</f>
        <v/>
      </c>
      <c r="AU13" s="308">
        <f>AT13</f>
        <v/>
      </c>
      <c r="AV13" s="310">
        <f>AT13/R13</f>
        <v/>
      </c>
      <c r="AW13" s="756" t="n"/>
      <c r="AX13" s="326" t="n"/>
      <c r="AY13" s="332">
        <f>AT13+AH13</f>
        <v/>
      </c>
      <c r="AZ13" s="756" t="n"/>
      <c r="BA13" s="326" t="n"/>
      <c r="BB13" s="332" t="n"/>
      <c r="BC13" s="756" t="n"/>
    </row>
    <row r="14">
      <c r="A14" s="752" t="inlineStr">
        <is>
          <t>BBR Real Assets Fund 2024 LLC</t>
        </is>
      </c>
      <c r="B14" s="351">
        <f>_xlfn.XLOOKUP(A14,'CLIP_Schedule B'!A:A,'CLIP_Schedule B'!E:E,0,FALSE)</f>
        <v/>
      </c>
      <c r="C14" s="351">
        <f>_xlfn.XLOOKUP(A14,'Silsbee_Schedule B'!B:B,'Silsbee_Schedule B'!F:F,0,FALSE)</f>
        <v/>
      </c>
      <c r="D14" s="351">
        <f>_xlfn.XLOOKUP(A14,'Q2''26 Management Fee'!B:B,'Q2''26 Management Fee'!C:C)</f>
        <v/>
      </c>
      <c r="E14" s="761">
        <f>SUMIFS(Commitment!G:G,Commitment!A:A,'Subsequent Close'!A14)</f>
        <v/>
      </c>
      <c r="F14" s="760">
        <f>E14/$E$90</f>
        <v/>
      </c>
      <c r="G14" s="761">
        <f>E14</f>
        <v/>
      </c>
      <c r="H14" s="760">
        <f>E14/$E$86</f>
        <v/>
      </c>
      <c r="I14" s="760">
        <f>G14/$G$86</f>
        <v/>
      </c>
      <c r="J14" s="761">
        <f>-G14</f>
        <v/>
      </c>
      <c r="K14" s="760">
        <f>J14/$J$86</f>
        <v/>
      </c>
      <c r="L14" s="762" t="n"/>
      <c r="M14" s="351">
        <f>$M$3*H14</f>
        <v/>
      </c>
      <c r="N14" s="351" t="n">
        <v>-147010.85</v>
      </c>
      <c r="O14" s="351" t="n"/>
      <c r="P14" s="351">
        <f>$P$3*H14</f>
        <v/>
      </c>
      <c r="Q14" s="351" t="n">
        <v>-737973.2288445896</v>
      </c>
      <c r="R14" s="351">
        <f>SUM(M14:Q14)</f>
        <v/>
      </c>
      <c r="S14" s="761" t="n"/>
      <c r="T14" s="249">
        <f>$T$3*I14</f>
        <v/>
      </c>
      <c r="U14" s="754" t="n">
        <v>0</v>
      </c>
      <c r="V14" s="249">
        <f>N14</f>
        <v/>
      </c>
      <c r="W14" s="249">
        <f>I14*$W$3</f>
        <v/>
      </c>
      <c r="X14" s="249">
        <f>$X$3*I14</f>
        <v/>
      </c>
      <c r="Y14" s="249">
        <f>T14+W14+X14+V14+U14</f>
        <v/>
      </c>
      <c r="Z14" s="761" t="n"/>
      <c r="AA14" s="302">
        <f>T14/G14</f>
        <v/>
      </c>
      <c r="AB14" s="303">
        <f>V14/G14</f>
        <v/>
      </c>
      <c r="AC14" s="303">
        <f>W14/G14</f>
        <v/>
      </c>
      <c r="AD14" s="303">
        <f>X14/G14</f>
        <v/>
      </c>
      <c r="AE14" s="919">
        <f>AD14+AC14+AA14</f>
        <v/>
      </c>
      <c r="AF14" s="761" t="n"/>
      <c r="AG14" s="326" t="n"/>
      <c r="AH14" s="332">
        <f>-Y14+R14</f>
        <v/>
      </c>
      <c r="AI14" s="717">
        <f>_xlfn.XLOOKUP(A14,'2.10.26 Sub Close Old'!A:A,'2.10.26 Sub Close Old'!AK:AK)</f>
        <v/>
      </c>
      <c r="AJ14" s="717">
        <f>_xlfn.XLOOKUP(A14,'2.10.26 Sub Close New'!A:A,'2.10.26 Sub Close New'!AJ:AJ)</f>
        <v/>
      </c>
      <c r="AK14" s="717">
        <f>+AJ14-AI14</f>
        <v/>
      </c>
      <c r="AL14" s="717">
        <f>+AH14+AK14</f>
        <v/>
      </c>
      <c r="AM14" s="756" t="n"/>
      <c r="AN14" s="308">
        <f>+Y14</f>
        <v/>
      </c>
      <c r="AO14" s="758">
        <f>AN14/G14</f>
        <v/>
      </c>
      <c r="AP14" s="758">
        <f>AB14</f>
        <v/>
      </c>
      <c r="AQ14" s="310">
        <f>+AO14-AP14</f>
        <v/>
      </c>
      <c r="AR14" s="756" t="n"/>
      <c r="AS14" s="326" t="n"/>
      <c r="AT14" s="249">
        <f>-$AS$3*H14</f>
        <v/>
      </c>
      <c r="AU14" s="308">
        <f>AT14</f>
        <v/>
      </c>
      <c r="AV14" s="310">
        <f>AT14/R14</f>
        <v/>
      </c>
      <c r="AW14" s="756" t="n"/>
      <c r="AX14" s="326" t="n"/>
      <c r="AY14" s="332">
        <f>AT14+AH14</f>
        <v/>
      </c>
      <c r="AZ14" s="756" t="n"/>
      <c r="BA14" s="326" t="n"/>
      <c r="BB14" s="332" t="n"/>
      <c r="BC14" s="756" t="n"/>
    </row>
    <row r="15">
      <c r="A15" s="752" t="inlineStr">
        <is>
          <t>Belclaire Asset Management, LLC</t>
        </is>
      </c>
      <c r="B15" s="351">
        <f>_xlfn.XLOOKUP(A15,'CLIP_Schedule B'!A:A,'CLIP_Schedule B'!E:E,0,FALSE)</f>
        <v/>
      </c>
      <c r="C15" s="351">
        <f>_xlfn.XLOOKUP(A15,'Silsbee_Schedule B'!B:B,'Silsbee_Schedule B'!F:F,0,FALSE)</f>
        <v/>
      </c>
      <c r="D15" s="351">
        <f>_xlfn.XLOOKUP(A15,'Q2''26 Management Fee'!B:B,'Q2''26 Management Fee'!C:C)</f>
        <v/>
      </c>
      <c r="E15" s="761">
        <f>SUMIFS(Commitment!G:G,Commitment!A:A,'Subsequent Close'!A15)</f>
        <v/>
      </c>
      <c r="F15" s="760">
        <f>E15/$E$90</f>
        <v/>
      </c>
      <c r="G15" s="761">
        <f>E15</f>
        <v/>
      </c>
      <c r="H15" s="760">
        <f>E15/$E$86</f>
        <v/>
      </c>
      <c r="I15" s="760">
        <f>G15/$G$86</f>
        <v/>
      </c>
      <c r="J15" s="761">
        <f>-G15</f>
        <v/>
      </c>
      <c r="K15" s="760">
        <f>J15/$J$86</f>
        <v/>
      </c>
      <c r="L15" s="762" t="n"/>
      <c r="M15" s="351">
        <f>$M$3*H15</f>
        <v/>
      </c>
      <c r="N15" s="351" t="n">
        <v>-10659.21316413043</v>
      </c>
      <c r="O15" s="351" t="n"/>
      <c r="P15" s="351">
        <f>$P$3*H15</f>
        <v/>
      </c>
      <c r="Q15" s="351" t="n">
        <v>-67509.67585087934</v>
      </c>
      <c r="R15" s="351">
        <f>SUM(M15:Q15)</f>
        <v/>
      </c>
      <c r="S15" s="761" t="n"/>
      <c r="T15" s="249">
        <f>$T$3*I15</f>
        <v/>
      </c>
      <c r="U15" s="754" t="n">
        <v>0</v>
      </c>
      <c r="V15" s="249">
        <f>N15</f>
        <v/>
      </c>
      <c r="W15" s="249">
        <f>I15*$W$3</f>
        <v/>
      </c>
      <c r="X15" s="249">
        <f>$X$3*I15</f>
        <v/>
      </c>
      <c r="Y15" s="249">
        <f>T15+W15+X15+V15+U15</f>
        <v/>
      </c>
      <c r="Z15" s="761" t="n"/>
      <c r="AA15" s="302">
        <f>T15/G15</f>
        <v/>
      </c>
      <c r="AB15" s="303">
        <f>V15/G15</f>
        <v/>
      </c>
      <c r="AC15" s="303">
        <f>W15/G15</f>
        <v/>
      </c>
      <c r="AD15" s="303">
        <f>X15/G15</f>
        <v/>
      </c>
      <c r="AE15" s="919">
        <f>AD15+AC15+AA15</f>
        <v/>
      </c>
      <c r="AF15" s="761" t="n"/>
      <c r="AG15" s="326" t="n"/>
      <c r="AH15" s="332">
        <f>-Y15+R15</f>
        <v/>
      </c>
      <c r="AI15" s="717">
        <f>_xlfn.XLOOKUP(A15,'2.10.26 Sub Close Old'!A:A,'2.10.26 Sub Close Old'!AK:AK)</f>
        <v/>
      </c>
      <c r="AJ15" s="717">
        <f>_xlfn.XLOOKUP(A15,'2.10.26 Sub Close New'!A:A,'2.10.26 Sub Close New'!AJ:AJ)</f>
        <v/>
      </c>
      <c r="AK15" s="717">
        <f>+AJ15-AI15</f>
        <v/>
      </c>
      <c r="AL15" s="717">
        <f>+AH15+AK15</f>
        <v/>
      </c>
      <c r="AM15" s="756" t="n"/>
      <c r="AN15" s="308">
        <f>+Y15</f>
        <v/>
      </c>
      <c r="AO15" s="758">
        <f>AN15/G15</f>
        <v/>
      </c>
      <c r="AP15" s="758">
        <f>AB15</f>
        <v/>
      </c>
      <c r="AQ15" s="310">
        <f>+AO15-AP15</f>
        <v/>
      </c>
      <c r="AR15" s="756" t="n"/>
      <c r="AS15" s="326" t="n"/>
      <c r="AT15" s="249">
        <f>-$AS$3*H15</f>
        <v/>
      </c>
      <c r="AU15" s="308">
        <f>AT15</f>
        <v/>
      </c>
      <c r="AV15" s="310">
        <f>AT15/R15</f>
        <v/>
      </c>
      <c r="AW15" s="756" t="n"/>
      <c r="AX15" s="326" t="n"/>
      <c r="AY15" s="332">
        <f>AT15+AH15</f>
        <v/>
      </c>
      <c r="AZ15" s="756" t="n"/>
      <c r="BA15" s="326" t="n"/>
      <c r="BB15" s="332" t="n"/>
      <c r="BC15" s="756" t="n"/>
    </row>
    <row r="16">
      <c r="A16" s="752" t="inlineStr">
        <is>
          <t>Benaiah Inc.</t>
        </is>
      </c>
      <c r="B16" s="351">
        <f>_xlfn.XLOOKUP(A16,'CLIP_Schedule B'!A:A,'CLIP_Schedule B'!E:E,0,FALSE)</f>
        <v/>
      </c>
      <c r="C16" s="351">
        <f>_xlfn.XLOOKUP(A16,'Silsbee_Schedule B'!B:B,'Silsbee_Schedule B'!F:F,0,FALSE)</f>
        <v/>
      </c>
      <c r="D16" s="351">
        <f>_xlfn.XLOOKUP(A16,'Q2''26 Management Fee'!B:B,'Q2''26 Management Fee'!C:C)</f>
        <v/>
      </c>
      <c r="E16" s="761">
        <f>SUMIFS(Commitment!G:G,Commitment!A:A,'Subsequent Close'!A16)</f>
        <v/>
      </c>
      <c r="F16" s="760">
        <f>E16/$E$90</f>
        <v/>
      </c>
      <c r="G16" s="761">
        <f>E16</f>
        <v/>
      </c>
      <c r="H16" s="760">
        <f>E16/$E$86</f>
        <v/>
      </c>
      <c r="I16" s="760">
        <f>G16/$G$86</f>
        <v/>
      </c>
      <c r="J16" s="761">
        <f>-G16</f>
        <v/>
      </c>
      <c r="K16" s="760">
        <f>J16/$J$86</f>
        <v/>
      </c>
      <c r="L16" s="762" t="n"/>
      <c r="M16" s="351">
        <f>$M$3*H16</f>
        <v/>
      </c>
      <c r="N16" s="351" t="n">
        <v>-10659.21316413043</v>
      </c>
      <c r="O16" s="351" t="n"/>
      <c r="P16" s="351">
        <f>$P$3*H16</f>
        <v/>
      </c>
      <c r="Q16" s="351" t="n">
        <v>-67509.67585087934</v>
      </c>
      <c r="R16" s="351">
        <f>SUM(M16:Q16)</f>
        <v/>
      </c>
      <c r="S16" s="761" t="n"/>
      <c r="T16" s="249">
        <f>$T$3*I16</f>
        <v/>
      </c>
      <c r="U16" s="754" t="n">
        <v>0</v>
      </c>
      <c r="V16" s="249">
        <f>N16</f>
        <v/>
      </c>
      <c r="W16" s="249">
        <f>I16*$W$3</f>
        <v/>
      </c>
      <c r="X16" s="249">
        <f>$X$3*I16</f>
        <v/>
      </c>
      <c r="Y16" s="249">
        <f>T16+W16+X16+V16+U16</f>
        <v/>
      </c>
      <c r="Z16" s="761" t="n"/>
      <c r="AA16" s="302">
        <f>T16/G16</f>
        <v/>
      </c>
      <c r="AB16" s="303">
        <f>V16/G16</f>
        <v/>
      </c>
      <c r="AC16" s="303">
        <f>W16/G16</f>
        <v/>
      </c>
      <c r="AD16" s="303">
        <f>X16/G16</f>
        <v/>
      </c>
      <c r="AE16" s="919">
        <f>AD16+AC16+AA16</f>
        <v/>
      </c>
      <c r="AF16" s="761" t="n"/>
      <c r="AG16" s="326" t="n"/>
      <c r="AH16" s="332">
        <f>-Y16+R16</f>
        <v/>
      </c>
      <c r="AI16" s="717">
        <f>_xlfn.XLOOKUP(A16,'2.10.26 Sub Close Old'!A:A,'2.10.26 Sub Close Old'!AK:AK)</f>
        <v/>
      </c>
      <c r="AJ16" s="717">
        <f>_xlfn.XLOOKUP(A16,'2.10.26 Sub Close New'!A:A,'2.10.26 Sub Close New'!AJ:AJ)</f>
        <v/>
      </c>
      <c r="AK16" s="717">
        <f>+AJ16-AI16</f>
        <v/>
      </c>
      <c r="AL16" s="717">
        <f>+AH16+AK16</f>
        <v/>
      </c>
      <c r="AM16" s="756" t="n"/>
      <c r="AN16" s="308">
        <f>+Y16</f>
        <v/>
      </c>
      <c r="AO16" s="758">
        <f>AN16/G16</f>
        <v/>
      </c>
      <c r="AP16" s="758">
        <f>AB16</f>
        <v/>
      </c>
      <c r="AQ16" s="310">
        <f>+AO16-AP16</f>
        <v/>
      </c>
      <c r="AR16" s="756" t="n"/>
      <c r="AS16" s="326" t="n"/>
      <c r="AT16" s="249">
        <f>-$AS$3*H16</f>
        <v/>
      </c>
      <c r="AU16" s="308">
        <f>AT16</f>
        <v/>
      </c>
      <c r="AV16" s="310">
        <f>AT16/R16</f>
        <v/>
      </c>
      <c r="AW16" s="756" t="n"/>
      <c r="AX16" s="326" t="n"/>
      <c r="AY16" s="332">
        <f>AT16+AH16</f>
        <v/>
      </c>
      <c r="AZ16" s="756" t="n"/>
      <c r="BA16" s="326" t="n"/>
      <c r="BB16" s="332" t="n"/>
      <c r="BC16" s="756" t="n"/>
    </row>
    <row r="17">
      <c r="A17" s="752" t="inlineStr">
        <is>
          <t>Benjamin Johnson</t>
        </is>
      </c>
      <c r="B17" s="351">
        <f>_xlfn.XLOOKUP(A17,'CLIP_Schedule B'!A:A,'CLIP_Schedule B'!E:E,0,FALSE)</f>
        <v/>
      </c>
      <c r="C17" s="351">
        <f>_xlfn.XLOOKUP(A17,'Silsbee_Schedule B'!B:B,'Silsbee_Schedule B'!F:F,0,FALSE)</f>
        <v/>
      </c>
      <c r="D17" s="351">
        <f>_xlfn.XLOOKUP(A17,'Q2''26 Management Fee'!B:B,'Q2''26 Management Fee'!C:C)</f>
        <v/>
      </c>
      <c r="E17" s="761">
        <f>SUMIFS(Commitment!G:G,Commitment!A:A,'Subsequent Close'!A17)</f>
        <v/>
      </c>
      <c r="F17" s="760">
        <f>E17/$E$90</f>
        <v/>
      </c>
      <c r="G17" s="761">
        <f>E17</f>
        <v/>
      </c>
      <c r="H17" s="760">
        <f>E17/$E$86</f>
        <v/>
      </c>
      <c r="I17" s="760">
        <f>G17/$G$86</f>
        <v/>
      </c>
      <c r="J17" s="761">
        <f>-G17</f>
        <v/>
      </c>
      <c r="K17" s="760">
        <f>J17/$J$86</f>
        <v/>
      </c>
      <c r="L17" s="762" t="n"/>
      <c r="M17" s="351">
        <f>$M$3*H17</f>
        <v/>
      </c>
      <c r="N17" s="351" t="n">
        <v>-933.86</v>
      </c>
      <c r="O17" s="351" t="n"/>
      <c r="P17" s="351">
        <f>$P$3*H17</f>
        <v/>
      </c>
      <c r="Q17" s="351" t="n">
        <v>-5778.35399699646</v>
      </c>
      <c r="R17" s="351">
        <f>SUM(M17:Q17)</f>
        <v/>
      </c>
      <c r="S17" s="761" t="n"/>
      <c r="T17" s="249">
        <f>$T$3*I17</f>
        <v/>
      </c>
      <c r="U17" s="754" t="n">
        <v>0</v>
      </c>
      <c r="V17" s="249">
        <f>N17</f>
        <v/>
      </c>
      <c r="W17" s="249">
        <f>I17*$W$3</f>
        <v/>
      </c>
      <c r="X17" s="249">
        <f>$X$3*I17</f>
        <v/>
      </c>
      <c r="Y17" s="249">
        <f>T17+W17+X17+V17+U17</f>
        <v/>
      </c>
      <c r="Z17" s="761" t="n"/>
      <c r="AA17" s="302">
        <f>T17/G17</f>
        <v/>
      </c>
      <c r="AB17" s="303">
        <f>V17/G17</f>
        <v/>
      </c>
      <c r="AC17" s="303">
        <f>W17/G17</f>
        <v/>
      </c>
      <c r="AD17" s="303">
        <f>X17/G17</f>
        <v/>
      </c>
      <c r="AE17" s="919">
        <f>AD17+AC17+AA17</f>
        <v/>
      </c>
      <c r="AF17" s="761" t="n"/>
      <c r="AG17" s="326" t="n"/>
      <c r="AH17" s="332">
        <f>-Y17+R17</f>
        <v/>
      </c>
      <c r="AI17" s="717">
        <f>_xlfn.XLOOKUP(A17,'2.10.26 Sub Close Old'!A:A,'2.10.26 Sub Close Old'!AK:AK)</f>
        <v/>
      </c>
      <c r="AJ17" s="717">
        <f>_xlfn.XLOOKUP(A17,'2.10.26 Sub Close New'!A:A,'2.10.26 Sub Close New'!AJ:AJ)</f>
        <v/>
      </c>
      <c r="AK17" s="717">
        <f>+AJ17-AI17</f>
        <v/>
      </c>
      <c r="AL17" s="717">
        <f>+AH17+AK17</f>
        <v/>
      </c>
      <c r="AM17" s="756" t="n"/>
      <c r="AN17" s="308">
        <f>+Y17</f>
        <v/>
      </c>
      <c r="AO17" s="758">
        <f>AN17/G17</f>
        <v/>
      </c>
      <c r="AP17" s="758">
        <f>AB17</f>
        <v/>
      </c>
      <c r="AQ17" s="310">
        <f>+AO17-AP17</f>
        <v/>
      </c>
      <c r="AR17" s="756" t="n"/>
      <c r="AS17" s="326" t="n"/>
      <c r="AT17" s="249">
        <f>-$AS$3*H17</f>
        <v/>
      </c>
      <c r="AU17" s="308">
        <f>AT17</f>
        <v/>
      </c>
      <c r="AV17" s="310">
        <f>AT17/R17</f>
        <v/>
      </c>
      <c r="AW17" s="756" t="n"/>
      <c r="AX17" s="326" t="n"/>
      <c r="AY17" s="332">
        <f>AT17+AH17</f>
        <v/>
      </c>
      <c r="AZ17" s="756" t="n"/>
      <c r="BA17" s="326" t="n"/>
      <c r="BB17" s="332" t="n"/>
      <c r="BC17" s="756" t="n"/>
    </row>
    <row r="18">
      <c r="A18" s="752" t="inlineStr">
        <is>
          <t>Bloomingdale Family Trust Share #3</t>
        </is>
      </c>
      <c r="B18" s="351">
        <f>_xlfn.XLOOKUP(A18,'CLIP_Schedule B'!A:A,'CLIP_Schedule B'!E:E,0,FALSE)</f>
        <v/>
      </c>
      <c r="C18" s="351">
        <f>_xlfn.XLOOKUP(A18,'Silsbee_Schedule B'!B:B,'Silsbee_Schedule B'!F:F,0,FALSE)</f>
        <v/>
      </c>
      <c r="D18" s="351">
        <f>_xlfn.XLOOKUP(A18,'Q2''26 Management Fee'!B:B,'Q2''26 Management Fee'!C:C)</f>
        <v/>
      </c>
      <c r="E18" s="761">
        <f>SUMIFS(Commitment!G:G,Commitment!A:A,'Subsequent Close'!A18)</f>
        <v/>
      </c>
      <c r="F18" s="760">
        <f>E18/$E$90</f>
        <v/>
      </c>
      <c r="G18" s="761">
        <f>E18</f>
        <v/>
      </c>
      <c r="H18" s="760">
        <f>E18/$E$86</f>
        <v/>
      </c>
      <c r="I18" s="760">
        <f>G18/$G$86</f>
        <v/>
      </c>
      <c r="J18" s="761">
        <f>-G18</f>
        <v/>
      </c>
      <c r="K18" s="760">
        <f>J18/$J$86</f>
        <v/>
      </c>
      <c r="L18" s="762" t="n"/>
      <c r="M18" s="351">
        <f>$M$3*H18</f>
        <v/>
      </c>
      <c r="N18" s="351" t="n">
        <v>-2801.56</v>
      </c>
      <c r="O18" s="351" t="n"/>
      <c r="P18" s="351">
        <f>$P$3*H18</f>
        <v/>
      </c>
      <c r="Q18" s="351" t="n">
        <v>-17335.06125301615</v>
      </c>
      <c r="R18" s="351">
        <f>SUM(M18:Q18)</f>
        <v/>
      </c>
      <c r="S18" s="761" t="n"/>
      <c r="T18" s="249">
        <f>$T$3*I18</f>
        <v/>
      </c>
      <c r="U18" s="754" t="n">
        <v>0</v>
      </c>
      <c r="V18" s="249">
        <f>N18</f>
        <v/>
      </c>
      <c r="W18" s="249">
        <f>I18*$W$3</f>
        <v/>
      </c>
      <c r="X18" s="249">
        <f>$X$3*I18</f>
        <v/>
      </c>
      <c r="Y18" s="249">
        <f>T18+W18+X18+V18+U18</f>
        <v/>
      </c>
      <c r="Z18" s="761" t="n"/>
      <c r="AA18" s="302">
        <f>T18/G18</f>
        <v/>
      </c>
      <c r="AB18" s="303">
        <f>V18/G18</f>
        <v/>
      </c>
      <c r="AC18" s="303">
        <f>W18/G18</f>
        <v/>
      </c>
      <c r="AD18" s="303">
        <f>X18/G18</f>
        <v/>
      </c>
      <c r="AE18" s="919">
        <f>AD18+AC18+AA18</f>
        <v/>
      </c>
      <c r="AF18" s="761" t="n"/>
      <c r="AG18" s="326" t="n"/>
      <c r="AH18" s="332">
        <f>-Y18+R18</f>
        <v/>
      </c>
      <c r="AI18" s="717">
        <f>_xlfn.XLOOKUP(A18,'2.10.26 Sub Close Old'!A:A,'2.10.26 Sub Close Old'!AK:AK)</f>
        <v/>
      </c>
      <c r="AJ18" s="717">
        <f>_xlfn.XLOOKUP(A18,'2.10.26 Sub Close New'!A:A,'2.10.26 Sub Close New'!AJ:AJ)</f>
        <v/>
      </c>
      <c r="AK18" s="717">
        <f>+AJ18-AI18</f>
        <v/>
      </c>
      <c r="AL18" s="717">
        <f>+AH18+AK18</f>
        <v/>
      </c>
      <c r="AM18" s="756" t="n"/>
      <c r="AN18" s="308">
        <f>+Y18</f>
        <v/>
      </c>
      <c r="AO18" s="758">
        <f>AN18/G18</f>
        <v/>
      </c>
      <c r="AP18" s="758">
        <f>AB18</f>
        <v/>
      </c>
      <c r="AQ18" s="310">
        <f>+AO18-AP18</f>
        <v/>
      </c>
      <c r="AR18" s="756" t="n"/>
      <c r="AS18" s="326" t="n"/>
      <c r="AT18" s="249">
        <f>-$AS$3*H18</f>
        <v/>
      </c>
      <c r="AU18" s="308">
        <f>AT18</f>
        <v/>
      </c>
      <c r="AV18" s="310">
        <f>AT18/R18</f>
        <v/>
      </c>
      <c r="AW18" s="756" t="n"/>
      <c r="AX18" s="326" t="n"/>
      <c r="AY18" s="332">
        <f>AT18+AH18</f>
        <v/>
      </c>
      <c r="AZ18" s="756" t="n"/>
      <c r="BA18" s="326" t="n"/>
      <c r="BB18" s="332" t="n"/>
      <c r="BC18" s="756" t="n"/>
    </row>
    <row r="19">
      <c r="A19" s="752" t="inlineStr">
        <is>
          <t>Brian Carroll 2011 Long-Term Trust</t>
        </is>
      </c>
      <c r="B19" s="351">
        <f>_xlfn.XLOOKUP(A19,'CLIP_Schedule B'!A:A,'CLIP_Schedule B'!E:E,0,FALSE)</f>
        <v/>
      </c>
      <c r="C19" s="351">
        <f>_xlfn.XLOOKUP(A19,'Silsbee_Schedule B'!B:B,'Silsbee_Schedule B'!F:F,0,FALSE)</f>
        <v/>
      </c>
      <c r="D19" s="351">
        <f>_xlfn.XLOOKUP(A19,'Q2''26 Management Fee'!B:B,'Q2''26 Management Fee'!C:C)</f>
        <v/>
      </c>
      <c r="E19" s="761">
        <f>SUMIFS(Commitment!G:G,Commitment!A:A,'Subsequent Close'!A19)</f>
        <v/>
      </c>
      <c r="F19" s="760">
        <f>E19/$E$90</f>
        <v/>
      </c>
      <c r="G19" s="761">
        <f>E19</f>
        <v/>
      </c>
      <c r="H19" s="760">
        <f>E19/$E$86</f>
        <v/>
      </c>
      <c r="I19" s="760">
        <f>G19/$G$86</f>
        <v/>
      </c>
      <c r="J19" s="761">
        <f>-G19</f>
        <v/>
      </c>
      <c r="K19" s="760">
        <f>J19/$J$86</f>
        <v/>
      </c>
      <c r="L19" s="762" t="n"/>
      <c r="M19" s="351">
        <f>$M$3*H19</f>
        <v/>
      </c>
      <c r="N19" s="351" t="n">
        <v>-7350.54</v>
      </c>
      <c r="O19" s="351" t="n"/>
      <c r="P19" s="351">
        <f>$P$3*H19</f>
        <v/>
      </c>
      <c r="Q19" s="351" t="n">
        <v>-36898.66144222948</v>
      </c>
      <c r="R19" s="351">
        <f>SUM(M19:Q19)</f>
        <v/>
      </c>
      <c r="S19" s="761" t="n"/>
      <c r="T19" s="249">
        <f>$T$3*I19</f>
        <v/>
      </c>
      <c r="U19" s="754" t="n">
        <v>0</v>
      </c>
      <c r="V19" s="249">
        <f>N19</f>
        <v/>
      </c>
      <c r="W19" s="249">
        <f>I19*$W$3</f>
        <v/>
      </c>
      <c r="X19" s="249">
        <f>$X$3*I19</f>
        <v/>
      </c>
      <c r="Y19" s="249">
        <f>T19+W19+X19+V19+U19</f>
        <v/>
      </c>
      <c r="Z19" s="761" t="n"/>
      <c r="AA19" s="302">
        <f>T19/G19</f>
        <v/>
      </c>
      <c r="AB19" s="303">
        <f>V19/G19</f>
        <v/>
      </c>
      <c r="AC19" s="303">
        <f>W19/G19</f>
        <v/>
      </c>
      <c r="AD19" s="303">
        <f>X19/G19</f>
        <v/>
      </c>
      <c r="AE19" s="919">
        <f>AD19+AC19+AA19</f>
        <v/>
      </c>
      <c r="AF19" s="761" t="n"/>
      <c r="AG19" s="326" t="n"/>
      <c r="AH19" s="332">
        <f>-Y19+R19</f>
        <v/>
      </c>
      <c r="AI19" s="717">
        <f>_xlfn.XLOOKUP(A19,'2.10.26 Sub Close Old'!A:A,'2.10.26 Sub Close Old'!AK:AK)</f>
        <v/>
      </c>
      <c r="AJ19" s="717">
        <f>_xlfn.XLOOKUP(A19,'2.10.26 Sub Close New'!A:A,'2.10.26 Sub Close New'!AJ:AJ)</f>
        <v/>
      </c>
      <c r="AK19" s="717">
        <f>+AJ19-AI19</f>
        <v/>
      </c>
      <c r="AL19" s="717">
        <f>+AH19+AK19</f>
        <v/>
      </c>
      <c r="AM19" s="756" t="n"/>
      <c r="AN19" s="308">
        <f>+Y19</f>
        <v/>
      </c>
      <c r="AO19" s="758">
        <f>AN19/G19</f>
        <v/>
      </c>
      <c r="AP19" s="758">
        <f>AB19</f>
        <v/>
      </c>
      <c r="AQ19" s="310">
        <f>+AO19-AP19</f>
        <v/>
      </c>
      <c r="AR19" s="756" t="n"/>
      <c r="AS19" s="326" t="n"/>
      <c r="AT19" s="249">
        <f>-$AS$3*H19</f>
        <v/>
      </c>
      <c r="AU19" s="308">
        <f>AT19</f>
        <v/>
      </c>
      <c r="AV19" s="310">
        <f>AT19/R19</f>
        <v/>
      </c>
      <c r="AW19" s="756" t="n"/>
      <c r="AX19" s="326" t="n"/>
      <c r="AY19" s="332">
        <f>AT19+AH19</f>
        <v/>
      </c>
      <c r="AZ19" s="756" t="n"/>
      <c r="BA19" s="326" t="n"/>
      <c r="BB19" s="332" t="n"/>
      <c r="BC19" s="756" t="n"/>
    </row>
    <row r="20">
      <c r="A20" s="752" t="inlineStr">
        <is>
          <t>Bryan C. White LLC</t>
        </is>
      </c>
      <c r="B20" s="351">
        <f>_xlfn.XLOOKUP(A20,'CLIP_Schedule B'!A:A,'CLIP_Schedule B'!E:E,0,FALSE)</f>
        <v/>
      </c>
      <c r="C20" s="351">
        <f>_xlfn.XLOOKUP(A20,'Silsbee_Schedule B'!B:B,'Silsbee_Schedule B'!F:F,0,FALSE)</f>
        <v/>
      </c>
      <c r="D20" s="351">
        <f>_xlfn.XLOOKUP(A20,'Q2''26 Management Fee'!B:B,'Q2''26 Management Fee'!C:C)</f>
        <v/>
      </c>
      <c r="E20" s="761">
        <f>SUMIFS(Commitment!G:G,Commitment!A:A,'Subsequent Close'!A20)</f>
        <v/>
      </c>
      <c r="F20" s="760">
        <f>E20/$E$90</f>
        <v/>
      </c>
      <c r="G20" s="761">
        <f>E20</f>
        <v/>
      </c>
      <c r="H20" s="760">
        <f>E20/$E$86</f>
        <v/>
      </c>
      <c r="I20" s="760">
        <f>G20/$G$86</f>
        <v/>
      </c>
      <c r="J20" s="761">
        <f>-G20</f>
        <v/>
      </c>
      <c r="K20" s="760">
        <f>J20/$J$86</f>
        <v/>
      </c>
      <c r="L20" s="762" t="n"/>
      <c r="M20" s="351">
        <f>$M$3*H20</f>
        <v/>
      </c>
      <c r="N20" s="351" t="n">
        <v>-2334.64</v>
      </c>
      <c r="O20" s="351" t="n"/>
      <c r="P20" s="351">
        <f>$P$3*H20</f>
        <v/>
      </c>
      <c r="Q20" s="351" t="n">
        <v>-14445.88425451792</v>
      </c>
      <c r="R20" s="351">
        <f>SUM(M20:Q20)</f>
        <v/>
      </c>
      <c r="S20" s="761" t="n"/>
      <c r="T20" s="249">
        <f>$T$3*I20</f>
        <v/>
      </c>
      <c r="U20" s="754" t="n">
        <v>0</v>
      </c>
      <c r="V20" s="249">
        <f>N20</f>
        <v/>
      </c>
      <c r="W20" s="249">
        <f>I20*$W$3</f>
        <v/>
      </c>
      <c r="X20" s="249">
        <f>$X$3*I20</f>
        <v/>
      </c>
      <c r="Y20" s="249">
        <f>T20+W20+X20+V20+U20</f>
        <v/>
      </c>
      <c r="Z20" s="761" t="n"/>
      <c r="AA20" s="302">
        <f>T20/G20</f>
        <v/>
      </c>
      <c r="AB20" s="303">
        <f>V20/G20</f>
        <v/>
      </c>
      <c r="AC20" s="303">
        <f>W20/G20</f>
        <v/>
      </c>
      <c r="AD20" s="303">
        <f>X20/G20</f>
        <v/>
      </c>
      <c r="AE20" s="919">
        <f>AD20+AC20+AA20</f>
        <v/>
      </c>
      <c r="AF20" s="761" t="n"/>
      <c r="AG20" s="326" t="n"/>
      <c r="AH20" s="332">
        <f>-Y20+R20</f>
        <v/>
      </c>
      <c r="AI20" s="717">
        <f>_xlfn.XLOOKUP(A20,'2.10.26 Sub Close Old'!A:A,'2.10.26 Sub Close Old'!AK:AK)</f>
        <v/>
      </c>
      <c r="AJ20" s="717">
        <f>_xlfn.XLOOKUP(A20,'2.10.26 Sub Close New'!A:A,'2.10.26 Sub Close New'!AJ:AJ)</f>
        <v/>
      </c>
      <c r="AK20" s="717">
        <f>+AJ20-AI20</f>
        <v/>
      </c>
      <c r="AL20" s="717">
        <f>+AH20+AK20</f>
        <v/>
      </c>
      <c r="AM20" s="756" t="n"/>
      <c r="AN20" s="308">
        <f>+Y20</f>
        <v/>
      </c>
      <c r="AO20" s="758">
        <f>AN20/G20</f>
        <v/>
      </c>
      <c r="AP20" s="758">
        <f>AB20</f>
        <v/>
      </c>
      <c r="AQ20" s="310">
        <f>+AO20-AP20</f>
        <v/>
      </c>
      <c r="AR20" s="756" t="n"/>
      <c r="AS20" s="326" t="n"/>
      <c r="AT20" s="249">
        <f>-$AS$3*H20</f>
        <v/>
      </c>
      <c r="AU20" s="308">
        <f>AT20</f>
        <v/>
      </c>
      <c r="AV20" s="310">
        <f>AT20/R20</f>
        <v/>
      </c>
      <c r="AW20" s="756" t="n"/>
      <c r="AX20" s="326" t="n"/>
      <c r="AY20" s="332">
        <f>AT20+AH20</f>
        <v/>
      </c>
      <c r="AZ20" s="756" t="n"/>
      <c r="BA20" s="326" t="n"/>
      <c r="BB20" s="332" t="n"/>
      <c r="BC20" s="756" t="n"/>
    </row>
    <row r="21">
      <c r="A21" s="752" t="inlineStr">
        <is>
          <t>Cameron J. Tringale</t>
        </is>
      </c>
      <c r="B21" s="351">
        <f>_xlfn.XLOOKUP(A21,'CLIP_Schedule B'!A:A,'CLIP_Schedule B'!E:E,0,FALSE)</f>
        <v/>
      </c>
      <c r="C21" s="351">
        <f>_xlfn.XLOOKUP(A21,'Silsbee_Schedule B'!B:B,'Silsbee_Schedule B'!F:F,0,FALSE)</f>
        <v/>
      </c>
      <c r="D21" s="351">
        <f>_xlfn.XLOOKUP(A21,'Q2''26 Management Fee'!B:B,'Q2''26 Management Fee'!C:C)</f>
        <v/>
      </c>
      <c r="E21" s="761">
        <f>SUMIFS(Commitment!G:G,Commitment!A:A,'Subsequent Close'!A21)</f>
        <v/>
      </c>
      <c r="F21" s="760">
        <f>E21/$E$90</f>
        <v/>
      </c>
      <c r="G21" s="761">
        <f>E21</f>
        <v/>
      </c>
      <c r="H21" s="760">
        <f>E21/$E$86</f>
        <v/>
      </c>
      <c r="I21" s="760">
        <f>G21/$G$86</f>
        <v/>
      </c>
      <c r="J21" s="761">
        <f>-G21</f>
        <v/>
      </c>
      <c r="K21" s="760">
        <f>J21/$J$86</f>
        <v/>
      </c>
      <c r="L21" s="762" t="n"/>
      <c r="M21" s="351">
        <f>$M$3*H21</f>
        <v/>
      </c>
      <c r="N21" s="351" t="n">
        <v>-11025.82</v>
      </c>
      <c r="O21" s="351" t="n"/>
      <c r="P21" s="351">
        <f>$P$3*H21</f>
        <v/>
      </c>
      <c r="Q21" s="351" t="n">
        <v>-36898.66144222948</v>
      </c>
      <c r="R21" s="351">
        <f>SUM(M21:Q21)</f>
        <v/>
      </c>
      <c r="S21" s="761" t="n"/>
      <c r="T21" s="249">
        <f>$T$3*I21</f>
        <v/>
      </c>
      <c r="U21" s="754" t="n">
        <v>0</v>
      </c>
      <c r="V21" s="249">
        <f>N21</f>
        <v/>
      </c>
      <c r="W21" s="249">
        <f>I21*$W$3</f>
        <v/>
      </c>
      <c r="X21" s="249">
        <f>$X$3*I21</f>
        <v/>
      </c>
      <c r="Y21" s="249">
        <f>T21+W21+X21+V21+U21</f>
        <v/>
      </c>
      <c r="Z21" s="761" t="n"/>
      <c r="AA21" s="302">
        <f>T21/G21</f>
        <v/>
      </c>
      <c r="AB21" s="303">
        <f>V21/G21</f>
        <v/>
      </c>
      <c r="AC21" s="303">
        <f>W21/G21</f>
        <v/>
      </c>
      <c r="AD21" s="303">
        <f>X21/G21</f>
        <v/>
      </c>
      <c r="AE21" s="919">
        <f>AD21+AC21+AA21</f>
        <v/>
      </c>
      <c r="AF21" s="761" t="n"/>
      <c r="AG21" s="326" t="n"/>
      <c r="AH21" s="332">
        <f>-Y21+R21</f>
        <v/>
      </c>
      <c r="AI21" s="717">
        <f>_xlfn.XLOOKUP(A21,'2.10.26 Sub Close Old'!A:A,'2.10.26 Sub Close Old'!AK:AK)</f>
        <v/>
      </c>
      <c r="AJ21" s="717">
        <f>_xlfn.XLOOKUP(A21,'2.10.26 Sub Close New'!A:A,'2.10.26 Sub Close New'!AJ:AJ)</f>
        <v/>
      </c>
      <c r="AK21" s="717">
        <f>+AJ21-AI21</f>
        <v/>
      </c>
      <c r="AL21" s="717">
        <f>+AH21+AK21</f>
        <v/>
      </c>
      <c r="AM21" s="756" t="n"/>
      <c r="AN21" s="308">
        <f>+Y21</f>
        <v/>
      </c>
      <c r="AO21" s="758">
        <f>AN21/G21</f>
        <v/>
      </c>
      <c r="AP21" s="758">
        <f>AB21</f>
        <v/>
      </c>
      <c r="AQ21" s="310">
        <f>+AO21-AP21</f>
        <v/>
      </c>
      <c r="AR21" s="756" t="n"/>
      <c r="AS21" s="326" t="n"/>
      <c r="AT21" s="249">
        <f>-$AS$3*H21</f>
        <v/>
      </c>
      <c r="AU21" s="308">
        <f>AT21</f>
        <v/>
      </c>
      <c r="AV21" s="310">
        <f>AT21/R21</f>
        <v/>
      </c>
      <c r="AW21" s="756" t="n"/>
      <c r="AX21" s="326" t="n"/>
      <c r="AY21" s="332">
        <f>AT21+AH21</f>
        <v/>
      </c>
      <c r="AZ21" s="756" t="n"/>
      <c r="BA21" s="326" t="n"/>
      <c r="BB21" s="332" t="n"/>
      <c r="BC21" s="756" t="n"/>
    </row>
    <row r="22">
      <c r="A22" s="752" t="inlineStr">
        <is>
          <t>Charing Hatcherville LLC</t>
        </is>
      </c>
      <c r="B22" s="351">
        <f>_xlfn.XLOOKUP(A22,'CLIP_Schedule B'!A:A,'CLIP_Schedule B'!E:E,0,FALSE)</f>
        <v/>
      </c>
      <c r="C22" s="351">
        <f>_xlfn.XLOOKUP(A22,'Silsbee_Schedule B'!B:B,'Silsbee_Schedule B'!F:F,0,FALSE)</f>
        <v/>
      </c>
      <c r="D22" s="351">
        <f>_xlfn.XLOOKUP(A22,'Q2''26 Management Fee'!B:B,'Q2''26 Management Fee'!C:C)</f>
        <v/>
      </c>
      <c r="E22" s="761">
        <f>SUMIFS(Commitment!G:G,Commitment!A:A,'Subsequent Close'!A22)</f>
        <v/>
      </c>
      <c r="F22" s="760">
        <f>E22/$E$90</f>
        <v/>
      </c>
      <c r="G22" s="761">
        <f>E22</f>
        <v/>
      </c>
      <c r="H22" s="760">
        <f>E22/$E$86</f>
        <v/>
      </c>
      <c r="I22" s="760">
        <f>G22/$G$86</f>
        <v/>
      </c>
      <c r="J22" s="761">
        <f>-G22</f>
        <v/>
      </c>
      <c r="K22" s="760">
        <f>J22/$J$86</f>
        <v/>
      </c>
      <c r="L22" s="762" t="n"/>
      <c r="M22" s="351">
        <f>$M$3*H22</f>
        <v/>
      </c>
      <c r="N22" s="351" t="n">
        <v>-607825.1799999999</v>
      </c>
      <c r="O22" s="351" t="n"/>
      <c r="P22" s="351">
        <f>$P$3*H22</f>
        <v/>
      </c>
      <c r="Q22" s="351" t="n">
        <v>-3761017.494352286</v>
      </c>
      <c r="R22" s="351">
        <f>SUM(M22:Q22)</f>
        <v/>
      </c>
      <c r="S22" s="761" t="n"/>
      <c r="T22" s="249">
        <f>$T$3*I22</f>
        <v/>
      </c>
      <c r="U22" s="754" t="n">
        <v>0</v>
      </c>
      <c r="V22" s="249">
        <f>N22</f>
        <v/>
      </c>
      <c r="W22" s="249">
        <f>I22*$W$3</f>
        <v/>
      </c>
      <c r="X22" s="249">
        <f>$X$3*I22</f>
        <v/>
      </c>
      <c r="Y22" s="249">
        <f>T22+W22+X22+V22+U22</f>
        <v/>
      </c>
      <c r="Z22" s="761" t="n"/>
      <c r="AA22" s="302">
        <f>T22/G22</f>
        <v/>
      </c>
      <c r="AB22" s="303">
        <f>V22/G22</f>
        <v/>
      </c>
      <c r="AC22" s="303">
        <f>W22/G22</f>
        <v/>
      </c>
      <c r="AD22" s="303">
        <f>X22/G22</f>
        <v/>
      </c>
      <c r="AE22" s="919">
        <f>AD22+AC22+AA22</f>
        <v/>
      </c>
      <c r="AF22" s="761" t="n"/>
      <c r="AG22" s="326" t="n"/>
      <c r="AH22" s="332">
        <f>-Y22+R22</f>
        <v/>
      </c>
      <c r="AI22" s="717">
        <f>_xlfn.XLOOKUP(A22,'2.10.26 Sub Close Old'!A:A,'2.10.26 Sub Close Old'!AK:AK)</f>
        <v/>
      </c>
      <c r="AJ22" s="717">
        <f>_xlfn.XLOOKUP(A22,'2.10.26 Sub Close New'!A:A,'2.10.26 Sub Close New'!AJ:AJ)</f>
        <v/>
      </c>
      <c r="AK22" s="717">
        <f>+AJ22-AI22</f>
        <v/>
      </c>
      <c r="AL22" s="717">
        <f>+AH22+AK22</f>
        <v/>
      </c>
      <c r="AM22" s="756" t="n"/>
      <c r="AN22" s="308">
        <f>+Y22</f>
        <v/>
      </c>
      <c r="AO22" s="758">
        <f>AN22/G22</f>
        <v/>
      </c>
      <c r="AP22" s="758">
        <f>AB22</f>
        <v/>
      </c>
      <c r="AQ22" s="310">
        <f>+AO22-AP22</f>
        <v/>
      </c>
      <c r="AR22" s="756" t="n"/>
      <c r="AS22" s="326" t="n"/>
      <c r="AT22" s="249">
        <f>-$AS$3*H22</f>
        <v/>
      </c>
      <c r="AU22" s="308">
        <f>AT22</f>
        <v/>
      </c>
      <c r="AV22" s="310">
        <f>AT22/R22</f>
        <v/>
      </c>
      <c r="AW22" s="756" t="n"/>
      <c r="AX22" s="326" t="n"/>
      <c r="AY22" s="332">
        <f>AT22+AH22</f>
        <v/>
      </c>
      <c r="AZ22" s="756" t="n"/>
      <c r="BA22" s="326" t="n"/>
      <c r="BB22" s="332" t="n"/>
      <c r="BC22" s="756" t="n"/>
    </row>
    <row r="23">
      <c r="A23" s="752" t="inlineStr">
        <is>
          <t>Charing Silsbee, LLC</t>
        </is>
      </c>
      <c r="B23" s="351">
        <f>_xlfn.XLOOKUP(A23,'CLIP_Schedule B'!A:A,'CLIP_Schedule B'!E:E,0,FALSE)</f>
        <v/>
      </c>
      <c r="C23" s="351">
        <f>_xlfn.XLOOKUP(A23,'Silsbee_Schedule B'!B:B,'Silsbee_Schedule B'!F:F,0,FALSE)</f>
        <v/>
      </c>
      <c r="D23" s="351">
        <f>_xlfn.XLOOKUP(A23,'Q2''26 Management Fee'!B:B,'Q2''26 Management Fee'!C:C)</f>
        <v/>
      </c>
      <c r="E23" s="761">
        <f>SUMIFS(Commitment!G:G,Commitment!A:A,'Subsequent Close'!A23)</f>
        <v/>
      </c>
      <c r="F23" s="760">
        <f>E23/$E$90</f>
        <v/>
      </c>
      <c r="G23" s="761">
        <f>E23</f>
        <v/>
      </c>
      <c r="H23" s="760">
        <f>E23/$E$86</f>
        <v/>
      </c>
      <c r="I23" s="760">
        <f>G23/$G$86</f>
        <v/>
      </c>
      <c r="J23" s="761">
        <f>-G23</f>
        <v/>
      </c>
      <c r="K23" s="760">
        <f>J23/$J$86</f>
        <v/>
      </c>
      <c r="L23" s="762" t="n"/>
      <c r="M23" s="351">
        <f>$M$3*H23</f>
        <v/>
      </c>
      <c r="N23" s="351" t="n">
        <v>-63393.74100516304</v>
      </c>
      <c r="O23" s="351" t="n"/>
      <c r="P23" s="351">
        <f>$P$3*H23</f>
        <v/>
      </c>
      <c r="Q23" s="351" t="n">
        <v>-466854.6595469291</v>
      </c>
      <c r="R23" s="351">
        <f>SUM(M23:Q23)</f>
        <v/>
      </c>
      <c r="S23" s="761" t="n"/>
      <c r="T23" s="249">
        <f>$T$3*I23</f>
        <v/>
      </c>
      <c r="U23" s="754" t="n">
        <v>0</v>
      </c>
      <c r="V23" s="249">
        <f>N23</f>
        <v/>
      </c>
      <c r="W23" s="249">
        <f>I23*$W$3</f>
        <v/>
      </c>
      <c r="X23" s="249">
        <f>$X$3*I23</f>
        <v/>
      </c>
      <c r="Y23" s="249">
        <f>T23+W23+X23+V23+U23</f>
        <v/>
      </c>
      <c r="Z23" s="761" t="n"/>
      <c r="AA23" s="302">
        <f>T23/G23</f>
        <v/>
      </c>
      <c r="AB23" s="303">
        <f>V23/G23</f>
        <v/>
      </c>
      <c r="AC23" s="303">
        <f>W23/G23</f>
        <v/>
      </c>
      <c r="AD23" s="303">
        <f>X23/G23</f>
        <v/>
      </c>
      <c r="AE23" s="919">
        <f>AD23+AC23+AA23</f>
        <v/>
      </c>
      <c r="AF23" s="761" t="n"/>
      <c r="AG23" s="326" t="n"/>
      <c r="AH23" s="332">
        <f>-Y23+R23</f>
        <v/>
      </c>
      <c r="AI23" s="717">
        <f>_xlfn.XLOOKUP(A23,'2.10.26 Sub Close Old'!A:A,'2.10.26 Sub Close Old'!AK:AK)</f>
        <v/>
      </c>
      <c r="AJ23" s="717">
        <f>_xlfn.XLOOKUP(A23,'2.10.26 Sub Close New'!A:A,'2.10.26 Sub Close New'!AJ:AJ)</f>
        <v/>
      </c>
      <c r="AK23" s="717">
        <f>+AJ23-AI23</f>
        <v/>
      </c>
      <c r="AL23" s="717">
        <f>+AH23+AK23</f>
        <v/>
      </c>
      <c r="AM23" s="756" t="n"/>
      <c r="AN23" s="308">
        <f>+Y23</f>
        <v/>
      </c>
      <c r="AO23" s="758">
        <f>AN23/G23</f>
        <v/>
      </c>
      <c r="AP23" s="758">
        <f>AB23</f>
        <v/>
      </c>
      <c r="AQ23" s="310">
        <f>+AO23-AP23</f>
        <v/>
      </c>
      <c r="AR23" s="756" t="n"/>
      <c r="AS23" s="326" t="n"/>
      <c r="AT23" s="249">
        <f>-$AS$3*H23</f>
        <v/>
      </c>
      <c r="AU23" s="308">
        <f>AT23</f>
        <v/>
      </c>
      <c r="AV23" s="310">
        <f>AT23/R23</f>
        <v/>
      </c>
      <c r="AW23" s="756" t="n"/>
      <c r="AX23" s="326" t="n"/>
      <c r="AY23" s="332">
        <f>AT23+AH23</f>
        <v/>
      </c>
      <c r="AZ23" s="756" t="n"/>
      <c r="BA23" s="326" t="n"/>
      <c r="BB23" s="332" t="n"/>
      <c r="BC23" s="756" t="n"/>
    </row>
    <row r="24">
      <c r="A24" s="752" t="inlineStr">
        <is>
          <t>Chase F. Monroe</t>
        </is>
      </c>
      <c r="B24" s="351">
        <f>_xlfn.XLOOKUP(A24,'CLIP_Schedule B'!A:A,'CLIP_Schedule B'!E:E,0,FALSE)</f>
        <v/>
      </c>
      <c r="C24" s="351">
        <f>_xlfn.XLOOKUP(A24,'Silsbee_Schedule B'!B:B,'Silsbee_Schedule B'!F:F,0,FALSE)</f>
        <v/>
      </c>
      <c r="D24" s="351">
        <f>_xlfn.XLOOKUP(A24,'Q2''26 Management Fee'!B:B,'Q2''26 Management Fee'!C:C)</f>
        <v/>
      </c>
      <c r="E24" s="761">
        <f>SUMIFS(Commitment!G:G,Commitment!A:A,'Subsequent Close'!A24)</f>
        <v/>
      </c>
      <c r="F24" s="760">
        <f>E24/$E$90</f>
        <v/>
      </c>
      <c r="G24" s="761">
        <f>E24</f>
        <v/>
      </c>
      <c r="H24" s="760">
        <f>E24/$E$86</f>
        <v/>
      </c>
      <c r="I24" s="760">
        <f>G24/$G$86</f>
        <v/>
      </c>
      <c r="J24" s="761">
        <f>-G24</f>
        <v/>
      </c>
      <c r="K24" s="760">
        <f>J24/$J$86</f>
        <v/>
      </c>
      <c r="L24" s="762" t="n"/>
      <c r="M24" s="351">
        <f>$M$3*H24</f>
        <v/>
      </c>
      <c r="N24" s="351" t="n">
        <v>-2334.64</v>
      </c>
      <c r="O24" s="351" t="n"/>
      <c r="P24" s="351">
        <f>$P$3*H24</f>
        <v/>
      </c>
      <c r="Q24" s="351" t="n">
        <v>-14445.88425451792</v>
      </c>
      <c r="R24" s="351">
        <f>SUM(M24:Q24)</f>
        <v/>
      </c>
      <c r="S24" s="761" t="n"/>
      <c r="T24" s="249">
        <f>$T$3*I24</f>
        <v/>
      </c>
      <c r="U24" s="754" t="n">
        <v>0</v>
      </c>
      <c r="V24" s="249">
        <f>N24</f>
        <v/>
      </c>
      <c r="W24" s="249">
        <f>I24*$W$3</f>
        <v/>
      </c>
      <c r="X24" s="249">
        <f>$X$3*I24</f>
        <v/>
      </c>
      <c r="Y24" s="249">
        <f>T24+W24+X24+V24+U24</f>
        <v/>
      </c>
      <c r="Z24" s="761" t="n"/>
      <c r="AA24" s="302">
        <f>T24/G24</f>
        <v/>
      </c>
      <c r="AB24" s="303">
        <f>V24/G24</f>
        <v/>
      </c>
      <c r="AC24" s="303">
        <f>W24/G24</f>
        <v/>
      </c>
      <c r="AD24" s="303">
        <f>X24/G24</f>
        <v/>
      </c>
      <c r="AE24" s="919">
        <f>AD24+AC24+AA24</f>
        <v/>
      </c>
      <c r="AF24" s="761" t="n"/>
      <c r="AG24" s="326" t="n"/>
      <c r="AH24" s="332">
        <f>-Y24+R24</f>
        <v/>
      </c>
      <c r="AI24" s="717">
        <f>_xlfn.XLOOKUP(A24,'2.10.26 Sub Close Old'!A:A,'2.10.26 Sub Close Old'!AK:AK)</f>
        <v/>
      </c>
      <c r="AJ24" s="717">
        <f>_xlfn.XLOOKUP(A24,'2.10.26 Sub Close New'!A:A,'2.10.26 Sub Close New'!AJ:AJ)</f>
        <v/>
      </c>
      <c r="AK24" s="717">
        <f>+AJ24-AI24</f>
        <v/>
      </c>
      <c r="AL24" s="717">
        <f>+AH24+AK24</f>
        <v/>
      </c>
      <c r="AM24" s="756" t="n"/>
      <c r="AN24" s="308">
        <f>+Y24</f>
        <v/>
      </c>
      <c r="AO24" s="758">
        <f>AN24/G24</f>
        <v/>
      </c>
      <c r="AP24" s="758">
        <f>AB24</f>
        <v/>
      </c>
      <c r="AQ24" s="310">
        <f>+AO24-AP24</f>
        <v/>
      </c>
      <c r="AR24" s="756" t="n"/>
      <c r="AS24" s="326" t="n"/>
      <c r="AT24" s="249">
        <f>-$AS$3*H24</f>
        <v/>
      </c>
      <c r="AU24" s="308">
        <f>AT24</f>
        <v/>
      </c>
      <c r="AV24" s="310">
        <f>AT24/R24</f>
        <v/>
      </c>
      <c r="AW24" s="756" t="n"/>
      <c r="AX24" s="326" t="n"/>
      <c r="AY24" s="332">
        <f>AT24+AH24</f>
        <v/>
      </c>
      <c r="AZ24" s="756" t="n"/>
      <c r="BA24" s="326" t="n"/>
      <c r="BB24" s="332" t="n"/>
      <c r="BC24" s="756" t="n"/>
    </row>
    <row r="25">
      <c r="A25" s="752" t="inlineStr">
        <is>
          <t>Chase The Lion, Inc.</t>
        </is>
      </c>
      <c r="B25" s="351">
        <f>_xlfn.XLOOKUP(A25,'CLIP_Schedule B'!A:A,'CLIP_Schedule B'!E:E,0,FALSE)</f>
        <v/>
      </c>
      <c r="C25" s="351">
        <f>_xlfn.XLOOKUP(A25,'Silsbee_Schedule B'!B:B,'Silsbee_Schedule B'!F:F,0,FALSE)</f>
        <v/>
      </c>
      <c r="D25" s="351">
        <f>_xlfn.XLOOKUP(A25,'Q2''26 Management Fee'!B:B,'Q2''26 Management Fee'!C:C)</f>
        <v/>
      </c>
      <c r="E25" s="761">
        <f>SUMIFS(Commitment!G:G,Commitment!A:A,'Subsequent Close'!A25)</f>
        <v/>
      </c>
      <c r="F25" s="760">
        <f>E25/$E$90</f>
        <v/>
      </c>
      <c r="G25" s="761">
        <f>E25</f>
        <v/>
      </c>
      <c r="H25" s="760">
        <f>E25/$E$86</f>
        <v/>
      </c>
      <c r="I25" s="760">
        <f>G25/$G$86</f>
        <v/>
      </c>
      <c r="J25" s="761">
        <f>-G25</f>
        <v/>
      </c>
      <c r="K25" s="760">
        <f>J25/$J$86</f>
        <v/>
      </c>
      <c r="L25" s="762" t="n"/>
      <c r="M25" s="351">
        <f>$M$3*H25</f>
        <v/>
      </c>
      <c r="N25" s="351" t="n">
        <v>-14845.42291032609</v>
      </c>
      <c r="O25" s="351" t="n"/>
      <c r="P25" s="351">
        <f>$P$3*H25</f>
        <v/>
      </c>
      <c r="Q25" s="351" t="n">
        <v>-89478.61638853677</v>
      </c>
      <c r="R25" s="351">
        <f>SUM(M25:Q25)</f>
        <v/>
      </c>
      <c r="S25" s="761" t="n"/>
      <c r="T25" s="249">
        <f>$T$3*I25</f>
        <v/>
      </c>
      <c r="U25" s="754" t="n">
        <v>0</v>
      </c>
      <c r="V25" s="249">
        <f>N25</f>
        <v/>
      </c>
      <c r="W25" s="249">
        <f>I25*$W$3</f>
        <v/>
      </c>
      <c r="X25" s="249">
        <f>$X$3*I25</f>
        <v/>
      </c>
      <c r="Y25" s="249">
        <f>T25+W25+X25+V25+U25</f>
        <v/>
      </c>
      <c r="Z25" s="761" t="n"/>
      <c r="AA25" s="302">
        <f>T25/G25</f>
        <v/>
      </c>
      <c r="AB25" s="303">
        <f>V25/G25</f>
        <v/>
      </c>
      <c r="AC25" s="303">
        <f>W25/G25</f>
        <v/>
      </c>
      <c r="AD25" s="303">
        <f>X25/G25</f>
        <v/>
      </c>
      <c r="AE25" s="919">
        <f>AD25+AC25+AA25</f>
        <v/>
      </c>
      <c r="AF25" s="761" t="n"/>
      <c r="AG25" s="326" t="n"/>
      <c r="AH25" s="332">
        <f>-Y25+R25</f>
        <v/>
      </c>
      <c r="AI25" s="717">
        <f>_xlfn.XLOOKUP(A25,'2.10.26 Sub Close Old'!A:A,'2.10.26 Sub Close Old'!AK:AK)</f>
        <v/>
      </c>
      <c r="AJ25" s="717">
        <f>_xlfn.XLOOKUP(A25,'2.10.26 Sub Close New'!A:A,'2.10.26 Sub Close New'!AJ:AJ)</f>
        <v/>
      </c>
      <c r="AK25" s="717">
        <f>+AJ25-AI25</f>
        <v/>
      </c>
      <c r="AL25" s="717">
        <f>+AH25+AK25</f>
        <v/>
      </c>
      <c r="AM25" s="756" t="n"/>
      <c r="AN25" s="308">
        <f>+Y25</f>
        <v/>
      </c>
      <c r="AO25" s="758">
        <f>AN25/G25</f>
        <v/>
      </c>
      <c r="AP25" s="758">
        <f>AB25</f>
        <v/>
      </c>
      <c r="AQ25" s="310">
        <f>+AO25-AP25</f>
        <v/>
      </c>
      <c r="AR25" s="756" t="n"/>
      <c r="AS25" s="326" t="n"/>
      <c r="AT25" s="249">
        <f>-$AS$3*H25</f>
        <v/>
      </c>
      <c r="AU25" s="308">
        <f>AT25</f>
        <v/>
      </c>
      <c r="AV25" s="310">
        <f>AT25/R25</f>
        <v/>
      </c>
      <c r="AW25" s="756" t="n"/>
      <c r="AX25" s="326" t="n"/>
      <c r="AY25" s="332">
        <f>AT25+AH25</f>
        <v/>
      </c>
      <c r="AZ25" s="756" t="n"/>
      <c r="BA25" s="326" t="n"/>
      <c r="BB25" s="332" t="n"/>
      <c r="BC25" s="756" t="n"/>
    </row>
    <row r="26">
      <c r="A26" s="752" t="inlineStr">
        <is>
          <t>Chris Schaaf</t>
        </is>
      </c>
      <c r="B26" s="351">
        <f>_xlfn.XLOOKUP(A26,'CLIP_Schedule B'!A:A,'CLIP_Schedule B'!E:E,0,FALSE)</f>
        <v/>
      </c>
      <c r="C26" s="351">
        <f>_xlfn.XLOOKUP(A26,'Silsbee_Schedule B'!B:B,'Silsbee_Schedule B'!F:F,0,FALSE)</f>
        <v/>
      </c>
      <c r="D26" s="351">
        <f>_xlfn.XLOOKUP(A26,'Q2''26 Management Fee'!B:B,'Q2''26 Management Fee'!C:C)</f>
        <v/>
      </c>
      <c r="E26" s="761">
        <f>SUMIFS(Commitment!G:G,Commitment!A:A,'Subsequent Close'!A26)</f>
        <v/>
      </c>
      <c r="F26" s="760">
        <f>E26/$E$90</f>
        <v/>
      </c>
      <c r="G26" s="761">
        <f>E26</f>
        <v/>
      </c>
      <c r="H26" s="760">
        <f>E26/$E$86</f>
        <v/>
      </c>
      <c r="I26" s="760">
        <f>G26/$G$86</f>
        <v/>
      </c>
      <c r="J26" s="761">
        <f>-G26</f>
        <v/>
      </c>
      <c r="K26" s="760">
        <f>J26/$J$86</f>
        <v/>
      </c>
      <c r="L26" s="762" t="n"/>
      <c r="M26" s="351">
        <f>$M$3*H26</f>
        <v/>
      </c>
      <c r="N26" s="351" t="n">
        <v>-2334.64</v>
      </c>
      <c r="O26" s="351" t="n"/>
      <c r="P26" s="351">
        <f>$P$3*H26</f>
        <v/>
      </c>
      <c r="Q26" s="351" t="n">
        <v>-14445.88425451792</v>
      </c>
      <c r="R26" s="351">
        <f>SUM(M26:Q26)</f>
        <v/>
      </c>
      <c r="S26" s="761" t="n"/>
      <c r="T26" s="249">
        <f>$T$3*I26</f>
        <v/>
      </c>
      <c r="U26" s="754" t="n">
        <v>0</v>
      </c>
      <c r="V26" s="249">
        <f>N26</f>
        <v/>
      </c>
      <c r="W26" s="249">
        <f>I26*$W$3</f>
        <v/>
      </c>
      <c r="X26" s="249">
        <f>$X$3*I26</f>
        <v/>
      </c>
      <c r="Y26" s="249">
        <f>T26+W26+X26+V26+U26</f>
        <v/>
      </c>
      <c r="Z26" s="761" t="n"/>
      <c r="AA26" s="302">
        <f>T26/G26</f>
        <v/>
      </c>
      <c r="AB26" s="303">
        <f>V26/G26</f>
        <v/>
      </c>
      <c r="AC26" s="303">
        <f>W26/G26</f>
        <v/>
      </c>
      <c r="AD26" s="303">
        <f>X26/G26</f>
        <v/>
      </c>
      <c r="AE26" s="919">
        <f>AD26+AC26+AA26</f>
        <v/>
      </c>
      <c r="AF26" s="761" t="n"/>
      <c r="AG26" s="326" t="n"/>
      <c r="AH26" s="332">
        <f>-Y26+R26</f>
        <v/>
      </c>
      <c r="AI26" s="717">
        <f>_xlfn.XLOOKUP(A26,'2.10.26 Sub Close Old'!A:A,'2.10.26 Sub Close Old'!AK:AK)</f>
        <v/>
      </c>
      <c r="AJ26" s="717">
        <f>_xlfn.XLOOKUP(A26,'2.10.26 Sub Close New'!A:A,'2.10.26 Sub Close New'!AJ:AJ)</f>
        <v/>
      </c>
      <c r="AK26" s="717">
        <f>+AJ26-AI26</f>
        <v/>
      </c>
      <c r="AL26" s="717">
        <f>+AH26+AK26</f>
        <v/>
      </c>
      <c r="AM26" s="756" t="n"/>
      <c r="AN26" s="308">
        <f>+Y26</f>
        <v/>
      </c>
      <c r="AO26" s="758">
        <f>AN26/G26</f>
        <v/>
      </c>
      <c r="AP26" s="758">
        <f>AB26</f>
        <v/>
      </c>
      <c r="AQ26" s="310">
        <f>+AO26-AP26</f>
        <v/>
      </c>
      <c r="AR26" s="756" t="n"/>
      <c r="AS26" s="326" t="n"/>
      <c r="AT26" s="249">
        <f>-$AS$3*H26</f>
        <v/>
      </c>
      <c r="AU26" s="308">
        <f>AT26</f>
        <v/>
      </c>
      <c r="AV26" s="310">
        <f>AT26/R26</f>
        <v/>
      </c>
      <c r="AW26" s="756" t="n"/>
      <c r="AX26" s="326" t="n"/>
      <c r="AY26" s="332">
        <f>AT26+AH26</f>
        <v/>
      </c>
      <c r="AZ26" s="756" t="n"/>
      <c r="BA26" s="326" t="n"/>
      <c r="BB26" s="332" t="n"/>
      <c r="BC26" s="756" t="n"/>
    </row>
    <row r="27">
      <c r="A27" s="752" t="inlineStr">
        <is>
          <t>Christopher J. Campbell</t>
        </is>
      </c>
      <c r="B27" s="351">
        <f>_xlfn.XLOOKUP(A27,'CLIP_Schedule B'!A:A,'CLIP_Schedule B'!E:E,0,FALSE)</f>
        <v/>
      </c>
      <c r="C27" s="351">
        <f>_xlfn.XLOOKUP(A27,'Silsbee_Schedule B'!B:B,'Silsbee_Schedule B'!F:F,0,FALSE)</f>
        <v/>
      </c>
      <c r="D27" s="351">
        <f>_xlfn.XLOOKUP(A27,'Q2''26 Management Fee'!B:B,'Q2''26 Management Fee'!C:C)</f>
        <v/>
      </c>
      <c r="E27" s="761">
        <f>SUMIFS(Commitment!G:G,Commitment!A:A,'Subsequent Close'!A27)</f>
        <v/>
      </c>
      <c r="F27" s="760">
        <f>E27/$E$90</f>
        <v/>
      </c>
      <c r="G27" s="761">
        <f>E27</f>
        <v/>
      </c>
      <c r="H27" s="760">
        <f>E27/$E$86</f>
        <v/>
      </c>
      <c r="I27" s="760">
        <f>G27/$G$86</f>
        <v/>
      </c>
      <c r="J27" s="761">
        <f>-G27</f>
        <v/>
      </c>
      <c r="K27" s="760">
        <f>J27/$J$86</f>
        <v/>
      </c>
      <c r="L27" s="762" t="n"/>
      <c r="M27" s="351">
        <f>$M$3*H27</f>
        <v/>
      </c>
      <c r="N27" s="351" t="n">
        <v>-7350.54</v>
      </c>
      <c r="O27" s="351" t="n"/>
      <c r="P27" s="351">
        <f>$P$3*H27</f>
        <v/>
      </c>
      <c r="Q27" s="351" t="n">
        <v>-36898.66144222948</v>
      </c>
      <c r="R27" s="351">
        <f>SUM(M27:Q27)</f>
        <v/>
      </c>
      <c r="S27" s="761" t="n"/>
      <c r="T27" s="249">
        <f>$T$3*I27</f>
        <v/>
      </c>
      <c r="U27" s="754" t="n">
        <v>0</v>
      </c>
      <c r="V27" s="249">
        <f>N27</f>
        <v/>
      </c>
      <c r="W27" s="249">
        <f>I27*$W$3</f>
        <v/>
      </c>
      <c r="X27" s="249">
        <f>$X$3*I27</f>
        <v/>
      </c>
      <c r="Y27" s="249">
        <f>T27+W27+X27+V27+U27</f>
        <v/>
      </c>
      <c r="Z27" s="761" t="n"/>
      <c r="AA27" s="302">
        <f>T27/G27</f>
        <v/>
      </c>
      <c r="AB27" s="303">
        <f>V27/G27</f>
        <v/>
      </c>
      <c r="AC27" s="303">
        <f>W27/G27</f>
        <v/>
      </c>
      <c r="AD27" s="303">
        <f>X27/G27</f>
        <v/>
      </c>
      <c r="AE27" s="919">
        <f>AD27+AC27+AA27</f>
        <v/>
      </c>
      <c r="AF27" s="761" t="n"/>
      <c r="AG27" s="326" t="n"/>
      <c r="AH27" s="332">
        <f>-Y27+R27</f>
        <v/>
      </c>
      <c r="AI27" s="717">
        <f>_xlfn.XLOOKUP(A27,'2.10.26 Sub Close Old'!A:A,'2.10.26 Sub Close Old'!AK:AK)</f>
        <v/>
      </c>
      <c r="AJ27" s="717">
        <f>_xlfn.XLOOKUP(A27,'2.10.26 Sub Close New'!A:A,'2.10.26 Sub Close New'!AJ:AJ)</f>
        <v/>
      </c>
      <c r="AK27" s="717">
        <f>+AJ27-AI27</f>
        <v/>
      </c>
      <c r="AL27" s="717">
        <f>+AH27+AK27</f>
        <v/>
      </c>
      <c r="AM27" s="756" t="n"/>
      <c r="AN27" s="308">
        <f>+Y27</f>
        <v/>
      </c>
      <c r="AO27" s="758">
        <f>AN27/G27</f>
        <v/>
      </c>
      <c r="AP27" s="758">
        <f>AB27</f>
        <v/>
      </c>
      <c r="AQ27" s="310">
        <f>+AO27-AP27</f>
        <v/>
      </c>
      <c r="AR27" s="756" t="n"/>
      <c r="AS27" s="326" t="n"/>
      <c r="AT27" s="249">
        <f>-$AS$3*H27</f>
        <v/>
      </c>
      <c r="AU27" s="308">
        <f>AT27</f>
        <v/>
      </c>
      <c r="AV27" s="310">
        <f>AT27/R27</f>
        <v/>
      </c>
      <c r="AW27" s="756" t="n"/>
      <c r="AX27" s="326" t="n"/>
      <c r="AY27" s="332">
        <f>AT27+AH27</f>
        <v/>
      </c>
      <c r="AZ27" s="756" t="n"/>
      <c r="BA27" s="326" t="n"/>
      <c r="BB27" s="332" t="n"/>
      <c r="BC27" s="756" t="n"/>
    </row>
    <row r="28">
      <c r="A28" s="752" t="inlineStr">
        <is>
          <t>Christopher Johnson</t>
        </is>
      </c>
      <c r="B28" s="351">
        <f>_xlfn.XLOOKUP(A28,'CLIP_Schedule B'!A:A,'CLIP_Schedule B'!E:E,0,FALSE)</f>
        <v/>
      </c>
      <c r="C28" s="351">
        <f>_xlfn.XLOOKUP(A28,'Silsbee_Schedule B'!B:B,'Silsbee_Schedule B'!F:F,0,FALSE)</f>
        <v/>
      </c>
      <c r="D28" s="351">
        <f>_xlfn.XLOOKUP(A28,'Q2''26 Management Fee'!B:B,'Q2''26 Management Fee'!C:C)</f>
        <v/>
      </c>
      <c r="E28" s="761">
        <f>SUMIFS(Commitment!G:G,Commitment!A:A,'Subsequent Close'!A28)</f>
        <v/>
      </c>
      <c r="F28" s="760">
        <f>E28/$E$90</f>
        <v/>
      </c>
      <c r="G28" s="761">
        <f>E28</f>
        <v/>
      </c>
      <c r="H28" s="760">
        <f>E28/$E$86</f>
        <v/>
      </c>
      <c r="I28" s="760">
        <f>G28/$G$86</f>
        <v/>
      </c>
      <c r="J28" s="761">
        <f>-G28</f>
        <v/>
      </c>
      <c r="K28" s="760">
        <f>J28/$J$86</f>
        <v/>
      </c>
      <c r="L28" s="762" t="n"/>
      <c r="M28" s="351">
        <f>$M$3*H28</f>
        <v/>
      </c>
      <c r="N28" s="351" t="n">
        <v>-2865.516582065217</v>
      </c>
      <c r="O28" s="351" t="n"/>
      <c r="P28" s="351">
        <f>$P$3*H28</f>
        <v/>
      </c>
      <c r="Q28" s="351" t="n">
        <v>-12242.80170484973</v>
      </c>
      <c r="R28" s="351">
        <f>SUM(M28:Q28)</f>
        <v/>
      </c>
      <c r="S28" s="761" t="n"/>
      <c r="T28" s="249">
        <f>$T$3*I28</f>
        <v/>
      </c>
      <c r="U28" s="754" t="n">
        <v>0</v>
      </c>
      <c r="V28" s="249">
        <f>N28</f>
        <v/>
      </c>
      <c r="W28" s="249">
        <f>I28*$W$3</f>
        <v/>
      </c>
      <c r="X28" s="249">
        <f>$X$3*I28</f>
        <v/>
      </c>
      <c r="Y28" s="249">
        <f>T28+W28+X28+V28+U28</f>
        <v/>
      </c>
      <c r="Z28" s="761" t="n"/>
      <c r="AA28" s="302">
        <f>T28/G28</f>
        <v/>
      </c>
      <c r="AB28" s="303">
        <f>V28/G28</f>
        <v/>
      </c>
      <c r="AC28" s="303">
        <f>W28/G28</f>
        <v/>
      </c>
      <c r="AD28" s="303">
        <f>X28/G28</f>
        <v/>
      </c>
      <c r="AE28" s="919">
        <f>AD28+AC28+AA28</f>
        <v/>
      </c>
      <c r="AF28" s="761" t="n"/>
      <c r="AG28" s="326" t="n"/>
      <c r="AH28" s="332">
        <f>-Y28+R28</f>
        <v/>
      </c>
      <c r="AI28" s="717">
        <f>_xlfn.XLOOKUP(A28,'2.10.26 Sub Close Old'!A:A,'2.10.26 Sub Close Old'!AK:AK)</f>
        <v/>
      </c>
      <c r="AJ28" s="717">
        <f>_xlfn.XLOOKUP(A28,'2.10.26 Sub Close New'!A:A,'2.10.26 Sub Close New'!AJ:AJ)</f>
        <v/>
      </c>
      <c r="AK28" s="717">
        <f>+AJ28-AI28</f>
        <v/>
      </c>
      <c r="AL28" s="717">
        <f>+AH28+AK28</f>
        <v/>
      </c>
      <c r="AM28" s="756" t="n"/>
      <c r="AN28" s="308">
        <f>+Y28</f>
        <v/>
      </c>
      <c r="AO28" s="758">
        <f>AN28/G28</f>
        <v/>
      </c>
      <c r="AP28" s="758">
        <f>AB28</f>
        <v/>
      </c>
      <c r="AQ28" s="310">
        <f>+AO28-AP28</f>
        <v/>
      </c>
      <c r="AR28" s="756" t="n"/>
      <c r="AS28" s="326" t="n"/>
      <c r="AT28" s="249">
        <f>-$AS$3*H28</f>
        <v/>
      </c>
      <c r="AU28" s="308">
        <f>AT28</f>
        <v/>
      </c>
      <c r="AV28" s="310">
        <f>AT28/R28</f>
        <v/>
      </c>
      <c r="AW28" s="756" t="n"/>
      <c r="AX28" s="326" t="n"/>
      <c r="AY28" s="332">
        <f>AT28+AH28</f>
        <v/>
      </c>
      <c r="AZ28" s="756" t="n"/>
      <c r="BA28" s="326" t="n"/>
      <c r="BB28" s="332" t="n"/>
      <c r="BC28" s="756" t="n"/>
    </row>
    <row r="29">
      <c r="A29" s="517" t="inlineStr">
        <is>
          <t>CLIP Sponsor LLC</t>
        </is>
      </c>
      <c r="B29" s="351">
        <f>_xlfn.XLOOKUP(A29,'CLIP_Schedule B'!A:A,'CLIP_Schedule B'!E:E,0,FALSE)+'CLIP_Schedule B'!B49</f>
        <v/>
      </c>
      <c r="C29" s="351">
        <f>_xlfn.XLOOKUP(A29,'Silsbee_Schedule B'!B:B,'Silsbee_Schedule B'!F:F,0,FALSE)</f>
        <v/>
      </c>
      <c r="D29" s="351">
        <f>_xlfn.XLOOKUP(A29,'Q2''26 Management Fee'!B:B,'Q2''26 Management Fee'!C:C)</f>
        <v/>
      </c>
      <c r="E29" s="761">
        <f>SUMIFS(Commitment!G:G,Commitment!A:A,'Subsequent Close'!A29)</f>
        <v/>
      </c>
      <c r="F29" s="532" t="n">
        <v>0</v>
      </c>
      <c r="G29" s="761">
        <f>E29</f>
        <v/>
      </c>
      <c r="H29" s="760">
        <f>E29/$E$86</f>
        <v/>
      </c>
      <c r="I29" s="760">
        <f>G29/$G$86</f>
        <v/>
      </c>
      <c r="J29" s="761" t="n"/>
      <c r="K29" s="760">
        <f>J29/$J$86</f>
        <v/>
      </c>
      <c r="L29" s="762" t="n"/>
      <c r="M29" s="351">
        <f>$M$3*H29</f>
        <v/>
      </c>
      <c r="N29" s="351" t="n">
        <v>0</v>
      </c>
      <c r="O29" s="351" t="n"/>
      <c r="P29" s="351">
        <f>$P$3*H29</f>
        <v/>
      </c>
      <c r="Q29" s="351" t="n">
        <v>-354415.6651067114</v>
      </c>
      <c r="R29" s="351">
        <f>SUM(M29:Q29)</f>
        <v/>
      </c>
      <c r="S29" s="761" t="n"/>
      <c r="T29" s="249">
        <f>$T$3*I29</f>
        <v/>
      </c>
      <c r="U29" s="754" t="n">
        <v>0</v>
      </c>
      <c r="V29" s="249">
        <f>N29</f>
        <v/>
      </c>
      <c r="W29" s="249">
        <f>I29*$W$3</f>
        <v/>
      </c>
      <c r="X29" s="249">
        <f>$X$3*I29</f>
        <v/>
      </c>
      <c r="Y29" s="249">
        <f>T29+W29+X29+V29+U29</f>
        <v/>
      </c>
      <c r="Z29" s="761" t="n"/>
      <c r="AA29" s="302">
        <f>T29/G29</f>
        <v/>
      </c>
      <c r="AB29" s="303">
        <f>V29/G29</f>
        <v/>
      </c>
      <c r="AC29" s="303">
        <f>W29/G29</f>
        <v/>
      </c>
      <c r="AD29" s="303">
        <f>X29/G29</f>
        <v/>
      </c>
      <c r="AE29" s="919">
        <f>AD29+AC29+AA29</f>
        <v/>
      </c>
      <c r="AF29" s="761" t="n"/>
      <c r="AG29" s="326" t="n"/>
      <c r="AH29" s="332">
        <f>-Y29+R29</f>
        <v/>
      </c>
      <c r="AI29" s="717">
        <f>_xlfn.XLOOKUP(A29,'2.10.26 Sub Close Old'!A:A,'2.10.26 Sub Close Old'!AK:AK)</f>
        <v/>
      </c>
      <c r="AJ29" s="717">
        <f>_xlfn.XLOOKUP(A29,'2.10.26 Sub Close New'!A:A,'2.10.26 Sub Close New'!AJ:AJ)</f>
        <v/>
      </c>
      <c r="AK29" s="717">
        <f>+AJ29-AI29</f>
        <v/>
      </c>
      <c r="AL29" s="717">
        <f>+AH29+AK29</f>
        <v/>
      </c>
      <c r="AM29" s="756" t="n"/>
      <c r="AN29" s="308">
        <f>+Y29</f>
        <v/>
      </c>
      <c r="AO29" s="758">
        <f>AN29/G29</f>
        <v/>
      </c>
      <c r="AP29" s="758">
        <f>AB29</f>
        <v/>
      </c>
      <c r="AQ29" s="310">
        <f>+AO29-AP29</f>
        <v/>
      </c>
      <c r="AR29" s="756" t="n"/>
      <c r="AS29" s="326" t="n"/>
      <c r="AT29" s="249">
        <f>-$AS$3*H29</f>
        <v/>
      </c>
      <c r="AU29" s="308">
        <f>AT29</f>
        <v/>
      </c>
      <c r="AV29" s="310">
        <f>AT29/R29</f>
        <v/>
      </c>
      <c r="AW29" s="756" t="n"/>
      <c r="AX29" s="326" t="n"/>
      <c r="AY29" s="332">
        <f>AT29+AH29</f>
        <v/>
      </c>
      <c r="AZ29" s="756" t="n"/>
      <c r="BA29" s="326" t="n"/>
      <c r="BB29" s="332" t="n"/>
      <c r="BC29" s="756" t="n"/>
    </row>
    <row r="30">
      <c r="A30" s="517" t="inlineStr">
        <is>
          <t>CLR Silsbee Sponsor LLC</t>
        </is>
      </c>
      <c r="B30" s="351" t="n">
        <v>0</v>
      </c>
      <c r="C30" s="351">
        <f>'Silsbee_Schedule B'!C26</f>
        <v/>
      </c>
      <c r="D30" s="351">
        <f>_xlfn.XLOOKUP(A30,'Q2''26 Management Fee'!B:B,'Q2''26 Management Fee'!C:C)</f>
        <v/>
      </c>
      <c r="E30" s="761">
        <f>SUMIFS(Commitment!G:G,Commitment!A:A,'Subsequent Close'!A30)</f>
        <v/>
      </c>
      <c r="F30" s="532" t="n">
        <v>0</v>
      </c>
      <c r="G30" s="761">
        <f>E30</f>
        <v/>
      </c>
      <c r="H30" s="760">
        <f>E30/$E$86</f>
        <v/>
      </c>
      <c r="I30" s="760">
        <f>G30/$G$86</f>
        <v/>
      </c>
      <c r="J30" s="761" t="n"/>
      <c r="K30" s="760">
        <f>J30/$J$86</f>
        <v/>
      </c>
      <c r="L30" s="762" t="n"/>
      <c r="M30" s="351">
        <f>$M$3*H30</f>
        <v/>
      </c>
      <c r="N30" s="351" t="n">
        <v>0</v>
      </c>
      <c r="O30" s="351" t="n"/>
      <c r="P30" s="351">
        <f>$P$3*H30</f>
        <v/>
      </c>
      <c r="Q30" s="351" t="n">
        <v>-27273.76737060668</v>
      </c>
      <c r="R30" s="351">
        <f>SUM(M30:Q30)</f>
        <v/>
      </c>
      <c r="S30" s="761" t="n"/>
      <c r="T30" s="249">
        <f>$T$3*I30</f>
        <v/>
      </c>
      <c r="U30" s="754" t="n">
        <v>0</v>
      </c>
      <c r="V30" s="249">
        <f>N30</f>
        <v/>
      </c>
      <c r="W30" s="249">
        <f>I30*$W$3</f>
        <v/>
      </c>
      <c r="X30" s="249">
        <f>$X$3*I30</f>
        <v/>
      </c>
      <c r="Y30" s="249">
        <f>T30+W30+X30+V30+U30</f>
        <v/>
      </c>
      <c r="Z30" s="761" t="n"/>
      <c r="AA30" s="302">
        <f>T30/G30</f>
        <v/>
      </c>
      <c r="AB30" s="303">
        <f>V30/G30</f>
        <v/>
      </c>
      <c r="AC30" s="303">
        <f>W30/G30</f>
        <v/>
      </c>
      <c r="AD30" s="303">
        <f>X30/G30</f>
        <v/>
      </c>
      <c r="AE30" s="919">
        <f>AD30+AC30+AA30</f>
        <v/>
      </c>
      <c r="AF30" s="761" t="n"/>
      <c r="AG30" s="326" t="n"/>
      <c r="AH30" s="332">
        <f>-Y30+R30</f>
        <v/>
      </c>
      <c r="AI30" s="717">
        <f>_xlfn.XLOOKUP(A30,'2.10.26 Sub Close Old'!A:A,'2.10.26 Sub Close Old'!AK:AK)</f>
        <v/>
      </c>
      <c r="AJ30" s="717">
        <f>_xlfn.XLOOKUP(A30,'2.10.26 Sub Close New'!A:A,'2.10.26 Sub Close New'!AJ:AJ)</f>
        <v/>
      </c>
      <c r="AK30" s="717">
        <f>+AJ30-AI30</f>
        <v/>
      </c>
      <c r="AL30" s="717">
        <f>+AH30+AK30</f>
        <v/>
      </c>
      <c r="AM30" s="756" t="n"/>
      <c r="AN30" s="308">
        <f>+Y30</f>
        <v/>
      </c>
      <c r="AO30" s="758">
        <f>AN30/G30</f>
        <v/>
      </c>
      <c r="AP30" s="758">
        <f>AB30</f>
        <v/>
      </c>
      <c r="AQ30" s="310">
        <f>+AO30-AP30</f>
        <v/>
      </c>
      <c r="AR30" s="756" t="n"/>
      <c r="AS30" s="326" t="n"/>
      <c r="AT30" s="249">
        <f>-$AS$3*H30</f>
        <v/>
      </c>
      <c r="AU30" s="308">
        <f>AT30</f>
        <v/>
      </c>
      <c r="AV30" s="310">
        <f>AT30/R30</f>
        <v/>
      </c>
      <c r="AW30" s="756" t="n"/>
      <c r="AX30" s="326" t="n"/>
      <c r="AY30" s="332">
        <f>AT30+AH30</f>
        <v/>
      </c>
      <c r="AZ30" s="756" t="n"/>
      <c r="BA30" s="326" t="n"/>
      <c r="BB30" s="332" t="n"/>
      <c r="BC30" s="756" t="n"/>
    </row>
    <row r="31">
      <c r="A31" s="752" t="inlineStr">
        <is>
          <t>Daniel Ross</t>
        </is>
      </c>
      <c r="B31" s="351">
        <f>_xlfn.XLOOKUP(A31,'CLIP_Schedule B'!A:A,'CLIP_Schedule B'!E:E,0,FALSE)</f>
        <v/>
      </c>
      <c r="C31" s="351">
        <f>_xlfn.XLOOKUP(A31,'Silsbee_Schedule B'!B:B,'Silsbee_Schedule B'!F:F,0,FALSE)</f>
        <v/>
      </c>
      <c r="D31" s="351">
        <f>_xlfn.XLOOKUP(A31,'Q2''26 Management Fee'!B:B,'Q2''26 Management Fee'!C:C)</f>
        <v/>
      </c>
      <c r="E31" s="761">
        <f>SUMIFS(Commitment!G:G,Commitment!A:A,'Subsequent Close'!A31)</f>
        <v/>
      </c>
      <c r="F31" s="760">
        <f>E31/$E$90</f>
        <v/>
      </c>
      <c r="G31" s="761">
        <f>E31</f>
        <v/>
      </c>
      <c r="H31" s="760">
        <f>E31/$E$86</f>
        <v/>
      </c>
      <c r="I31" s="760">
        <f>G31/$G$86</f>
        <v/>
      </c>
      <c r="J31" s="761">
        <f>-G31</f>
        <v/>
      </c>
      <c r="K31" s="760">
        <f>J31/$J$86</f>
        <v/>
      </c>
      <c r="L31" s="762" t="n"/>
      <c r="M31" s="351">
        <f>$M$3*H31</f>
        <v/>
      </c>
      <c r="N31" s="351" t="n">
        <v>-1867.7</v>
      </c>
      <c r="O31" s="351" t="n"/>
      <c r="P31" s="351">
        <f>$P$3*H31</f>
        <v/>
      </c>
      <c r="Q31" s="351" t="n">
        <v>-11556.70725601969</v>
      </c>
      <c r="R31" s="351">
        <f>SUM(M31:Q31)</f>
        <v/>
      </c>
      <c r="S31" s="761" t="n"/>
      <c r="T31" s="249">
        <f>$T$3*I31</f>
        <v/>
      </c>
      <c r="U31" s="754" t="n">
        <v>0</v>
      </c>
      <c r="V31" s="249">
        <f>N31</f>
        <v/>
      </c>
      <c r="W31" s="249">
        <f>I31*$W$3</f>
        <v/>
      </c>
      <c r="X31" s="249">
        <f>$X$3*I31</f>
        <v/>
      </c>
      <c r="Y31" s="249">
        <f>T31+W31+X31+V31+U31</f>
        <v/>
      </c>
      <c r="Z31" s="761" t="n"/>
      <c r="AA31" s="302">
        <f>T31/G31</f>
        <v/>
      </c>
      <c r="AB31" s="303">
        <f>V31/G31</f>
        <v/>
      </c>
      <c r="AC31" s="303">
        <f>W31/G31</f>
        <v/>
      </c>
      <c r="AD31" s="303">
        <f>X31/G31</f>
        <v/>
      </c>
      <c r="AE31" s="919">
        <f>AD31+AC31+AA31</f>
        <v/>
      </c>
      <c r="AF31" s="761" t="n"/>
      <c r="AG31" s="326" t="n"/>
      <c r="AH31" s="332">
        <f>-Y31+R31</f>
        <v/>
      </c>
      <c r="AI31" s="717">
        <f>_xlfn.XLOOKUP(A31,'2.10.26 Sub Close Old'!A:A,'2.10.26 Sub Close Old'!AK:AK)</f>
        <v/>
      </c>
      <c r="AJ31" s="717">
        <f>_xlfn.XLOOKUP(A31,'2.10.26 Sub Close New'!A:A,'2.10.26 Sub Close New'!AJ:AJ)</f>
        <v/>
      </c>
      <c r="AK31" s="717">
        <f>+AJ31-AI31</f>
        <v/>
      </c>
      <c r="AL31" s="717">
        <f>+AH31+AK31</f>
        <v/>
      </c>
      <c r="AM31" s="756" t="n"/>
      <c r="AN31" s="308">
        <f>+Y31</f>
        <v/>
      </c>
      <c r="AO31" s="758">
        <f>AN31/G31</f>
        <v/>
      </c>
      <c r="AP31" s="758">
        <f>AB31</f>
        <v/>
      </c>
      <c r="AQ31" s="310">
        <f>+AO31-AP31</f>
        <v/>
      </c>
      <c r="AR31" s="756" t="n"/>
      <c r="AS31" s="326" t="n"/>
      <c r="AT31" s="249">
        <f>-$AS$3*H31</f>
        <v/>
      </c>
      <c r="AU31" s="308">
        <f>AT31</f>
        <v/>
      </c>
      <c r="AV31" s="310">
        <f>AT31/R31</f>
        <v/>
      </c>
      <c r="AW31" s="756" t="n"/>
      <c r="AX31" s="326" t="n"/>
      <c r="AY31" s="332">
        <f>AT31+AH31</f>
        <v/>
      </c>
      <c r="AZ31" s="756" t="n"/>
      <c r="BA31" s="326" t="n"/>
      <c r="BB31" s="332" t="n"/>
      <c r="BC31" s="756" t="n"/>
    </row>
    <row r="32">
      <c r="A32" s="752" t="inlineStr">
        <is>
          <t>Endurance Companies LLC</t>
        </is>
      </c>
      <c r="B32" s="351">
        <f>_xlfn.XLOOKUP(A32,'CLIP_Schedule B'!A:A,'CLIP_Schedule B'!E:E,0,FALSE)</f>
        <v/>
      </c>
      <c r="C32" s="351">
        <f>_xlfn.XLOOKUP(A32,'Silsbee_Schedule B'!B:B,'Silsbee_Schedule B'!F:F,0,FALSE)</f>
        <v/>
      </c>
      <c r="D32" s="351">
        <f>_xlfn.XLOOKUP(A32,'Q2''26 Management Fee'!B:B,'Q2''26 Management Fee'!C:C)</f>
        <v/>
      </c>
      <c r="E32" s="761">
        <f>SUMIFS(Commitment!G:G,Commitment!A:A,'Subsequent Close'!A32)</f>
        <v/>
      </c>
      <c r="F32" s="760">
        <f>E32/$E$90</f>
        <v/>
      </c>
      <c r="G32" s="761">
        <f>E32</f>
        <v/>
      </c>
      <c r="H32" s="760">
        <f>E32/$E$86</f>
        <v/>
      </c>
      <c r="I32" s="760">
        <f>G32/$G$86</f>
        <v/>
      </c>
      <c r="J32" s="761">
        <f>-G32</f>
        <v/>
      </c>
      <c r="K32" s="760">
        <f>J32/$J$86</f>
        <v/>
      </c>
      <c r="L32" s="762" t="n"/>
      <c r="M32" s="351">
        <f>$M$3*H32</f>
        <v/>
      </c>
      <c r="N32" s="351" t="n">
        <v>-18743.89</v>
      </c>
      <c r="O32" s="351" t="n"/>
      <c r="P32" s="351">
        <f>$P$3*H32</f>
        <v/>
      </c>
      <c r="Q32" s="351" t="n">
        <v>-62727.72445179011</v>
      </c>
      <c r="R32" s="351">
        <f>SUM(M32:Q32)</f>
        <v/>
      </c>
      <c r="S32" s="761" t="n"/>
      <c r="T32" s="249">
        <f>$T$3*I32</f>
        <v/>
      </c>
      <c r="U32" s="754" t="n">
        <v>0</v>
      </c>
      <c r="V32" s="249">
        <f>N32</f>
        <v/>
      </c>
      <c r="W32" s="249">
        <f>I32*$W$3</f>
        <v/>
      </c>
      <c r="X32" s="249">
        <f>$X$3*I32</f>
        <v/>
      </c>
      <c r="Y32" s="249">
        <f>T32+W32+X32+V32+U32</f>
        <v/>
      </c>
      <c r="Z32" s="761" t="n"/>
      <c r="AA32" s="302">
        <f>T32/G32</f>
        <v/>
      </c>
      <c r="AB32" s="303">
        <f>V32/G32</f>
        <v/>
      </c>
      <c r="AC32" s="303">
        <f>W32/G32</f>
        <v/>
      </c>
      <c r="AD32" s="303">
        <f>X32/G32</f>
        <v/>
      </c>
      <c r="AE32" s="919">
        <f>AD32+AC32+AA32</f>
        <v/>
      </c>
      <c r="AF32" s="761" t="n"/>
      <c r="AG32" s="326" t="n"/>
      <c r="AH32" s="332">
        <f>-Y32+R32</f>
        <v/>
      </c>
      <c r="AI32" s="717">
        <f>_xlfn.XLOOKUP(A32,'2.10.26 Sub Close Old'!A:A,'2.10.26 Sub Close Old'!AK:AK)</f>
        <v/>
      </c>
      <c r="AJ32" s="717">
        <f>_xlfn.XLOOKUP(A32,'2.10.26 Sub Close New'!A:A,'2.10.26 Sub Close New'!AJ:AJ)</f>
        <v/>
      </c>
      <c r="AK32" s="717">
        <f>+AJ32-AI32</f>
        <v/>
      </c>
      <c r="AL32" s="717">
        <f>+AH32+AK32</f>
        <v/>
      </c>
      <c r="AM32" s="756" t="n"/>
      <c r="AN32" s="308">
        <f>+Y32</f>
        <v/>
      </c>
      <c r="AO32" s="758">
        <f>AN32/G32</f>
        <v/>
      </c>
      <c r="AP32" s="758">
        <f>AB32</f>
        <v/>
      </c>
      <c r="AQ32" s="310">
        <f>+AO32-AP32</f>
        <v/>
      </c>
      <c r="AR32" s="756" t="n"/>
      <c r="AS32" s="326" t="n"/>
      <c r="AT32" s="249">
        <f>-$AS$3*H32</f>
        <v/>
      </c>
      <c r="AU32" s="308">
        <f>AT32</f>
        <v/>
      </c>
      <c r="AV32" s="310">
        <f>AT32/R32</f>
        <v/>
      </c>
      <c r="AW32" s="756" t="n"/>
      <c r="AX32" s="326" t="n"/>
      <c r="AY32" s="332">
        <f>AT32+AH32</f>
        <v/>
      </c>
      <c r="AZ32" s="756" t="n"/>
      <c r="BA32" s="326" t="n"/>
      <c r="BB32" s="332" t="n"/>
      <c r="BC32" s="756" t="n"/>
    </row>
    <row r="33">
      <c r="A33" s="752" t="inlineStr">
        <is>
          <t>Forem Capital, LLC</t>
        </is>
      </c>
      <c r="B33" s="351">
        <f>_xlfn.XLOOKUP(A33,'CLIP_Schedule B'!A:A,'CLIP_Schedule B'!E:E,0,FALSE)</f>
        <v/>
      </c>
      <c r="C33" s="351">
        <f>_xlfn.XLOOKUP(A33,'Silsbee_Schedule B'!B:B,'Silsbee_Schedule B'!F:F,0,FALSE)</f>
        <v/>
      </c>
      <c r="D33" s="351">
        <f>_xlfn.XLOOKUP(A33,'Q2''26 Management Fee'!B:B,'Q2''26 Management Fee'!C:C)</f>
        <v/>
      </c>
      <c r="E33" s="761">
        <f>SUMIFS(Commitment!G:G,Commitment!A:A,'Subsequent Close'!A33)</f>
        <v/>
      </c>
      <c r="F33" s="760">
        <f>E33/$E$90</f>
        <v/>
      </c>
      <c r="G33" s="761">
        <f>E33</f>
        <v/>
      </c>
      <c r="H33" s="760">
        <f>E33/$E$86</f>
        <v/>
      </c>
      <c r="I33" s="760">
        <f>G33/$G$86</f>
        <v/>
      </c>
      <c r="J33" s="761">
        <f>-G33</f>
        <v/>
      </c>
      <c r="K33" s="760">
        <f>J33/$J$86</f>
        <v/>
      </c>
      <c r="L33" s="762" t="n"/>
      <c r="M33" s="351">
        <f>$M$3*H33</f>
        <v/>
      </c>
      <c r="N33" s="351" t="n">
        <v>-22051.63</v>
      </c>
      <c r="O33" s="351" t="n"/>
      <c r="P33" s="351">
        <f>$P$3*H33</f>
        <v/>
      </c>
      <c r="Q33" s="351" t="n">
        <v>-110695.9843266884</v>
      </c>
      <c r="R33" s="351">
        <f>SUM(M33:Q33)</f>
        <v/>
      </c>
      <c r="S33" s="761" t="n"/>
      <c r="T33" s="249">
        <f>$T$3*I33</f>
        <v/>
      </c>
      <c r="U33" s="754" t="n">
        <v>0</v>
      </c>
      <c r="V33" s="249">
        <f>N33</f>
        <v/>
      </c>
      <c r="W33" s="249">
        <f>I33*$W$3</f>
        <v/>
      </c>
      <c r="X33" s="249">
        <f>$X$3*I33</f>
        <v/>
      </c>
      <c r="Y33" s="249">
        <f>T33+W33+X33+V33+U33</f>
        <v/>
      </c>
      <c r="Z33" s="761" t="n"/>
      <c r="AA33" s="302">
        <f>T33/G33</f>
        <v/>
      </c>
      <c r="AB33" s="303">
        <f>V33/G33</f>
        <v/>
      </c>
      <c r="AC33" s="303">
        <f>W33/G33</f>
        <v/>
      </c>
      <c r="AD33" s="303">
        <f>X33/G33</f>
        <v/>
      </c>
      <c r="AE33" s="919">
        <f>AD33+AC33+AA33</f>
        <v/>
      </c>
      <c r="AF33" s="761" t="n"/>
      <c r="AG33" s="326" t="n"/>
      <c r="AH33" s="332">
        <f>-Y33+R33</f>
        <v/>
      </c>
      <c r="AI33" s="717">
        <f>_xlfn.XLOOKUP(A33,'2.10.26 Sub Close Old'!A:A,'2.10.26 Sub Close Old'!AK:AK)</f>
        <v/>
      </c>
      <c r="AJ33" s="717">
        <f>_xlfn.XLOOKUP(A33,'2.10.26 Sub Close New'!A:A,'2.10.26 Sub Close New'!AJ:AJ)</f>
        <v/>
      </c>
      <c r="AK33" s="717">
        <f>+AJ33-AI33</f>
        <v/>
      </c>
      <c r="AL33" s="717">
        <f>+AH33+AK33</f>
        <v/>
      </c>
      <c r="AM33" s="756" t="n"/>
      <c r="AN33" s="308">
        <f>+Y33</f>
        <v/>
      </c>
      <c r="AO33" s="758">
        <f>AN33/G33</f>
        <v/>
      </c>
      <c r="AP33" s="758">
        <f>AB33</f>
        <v/>
      </c>
      <c r="AQ33" s="310">
        <f>+AO33-AP33</f>
        <v/>
      </c>
      <c r="AR33" s="756" t="n"/>
      <c r="AS33" s="326" t="n"/>
      <c r="AT33" s="249">
        <f>-$AS$3*H33</f>
        <v/>
      </c>
      <c r="AU33" s="308">
        <f>AT33</f>
        <v/>
      </c>
      <c r="AV33" s="310">
        <f>AT33/R33</f>
        <v/>
      </c>
      <c r="AW33" s="756" t="n"/>
      <c r="AX33" s="326" t="n"/>
      <c r="AY33" s="332">
        <f>AT33+AH33</f>
        <v/>
      </c>
      <c r="AZ33" s="756" t="n"/>
      <c r="BA33" s="326" t="n"/>
      <c r="BB33" s="332" t="n"/>
      <c r="BC33" s="756" t="n"/>
    </row>
    <row r="34">
      <c r="A34" s="752" t="inlineStr">
        <is>
          <t>Francis Brawley</t>
        </is>
      </c>
      <c r="B34" s="351">
        <f>_xlfn.XLOOKUP(A34,'CLIP_Schedule B'!A:A,'CLIP_Schedule B'!E:E,0,FALSE)</f>
        <v/>
      </c>
      <c r="C34" s="351">
        <f>_xlfn.XLOOKUP(A34,'Silsbee_Schedule B'!B:B,'Silsbee_Schedule B'!F:F,0,FALSE)</f>
        <v/>
      </c>
      <c r="D34" s="351">
        <f>_xlfn.XLOOKUP(A34,'Q2''26 Management Fee'!B:B,'Q2''26 Management Fee'!C:C)</f>
        <v/>
      </c>
      <c r="E34" s="761">
        <f>SUMIFS(Commitment!G:G,Commitment!A:A,'Subsequent Close'!A34)</f>
        <v/>
      </c>
      <c r="F34" s="760">
        <f>E34/$E$90</f>
        <v/>
      </c>
      <c r="G34" s="761">
        <f>E34</f>
        <v/>
      </c>
      <c r="H34" s="760">
        <f>E34/$E$86</f>
        <v/>
      </c>
      <c r="I34" s="760">
        <f>G34/$G$86</f>
        <v/>
      </c>
      <c r="J34" s="761">
        <f>-G34</f>
        <v/>
      </c>
      <c r="K34" s="760">
        <f>J34/$J$86</f>
        <v/>
      </c>
      <c r="L34" s="762" t="n"/>
      <c r="M34" s="351">
        <f>$M$3*H34</f>
        <v/>
      </c>
      <c r="N34" s="351" t="n">
        <v>-3735.39</v>
      </c>
      <c r="O34" s="351" t="n"/>
      <c r="P34" s="351">
        <f>$P$3*H34</f>
        <v/>
      </c>
      <c r="Q34" s="351" t="n">
        <v>-23113.41451203938</v>
      </c>
      <c r="R34" s="351">
        <f>SUM(M34:Q34)</f>
        <v/>
      </c>
      <c r="S34" s="761" t="n"/>
      <c r="T34" s="249">
        <f>$T$3*I34</f>
        <v/>
      </c>
      <c r="U34" s="754" t="n">
        <v>0</v>
      </c>
      <c r="V34" s="249">
        <f>N34</f>
        <v/>
      </c>
      <c r="W34" s="249">
        <f>I34*$W$3</f>
        <v/>
      </c>
      <c r="X34" s="249">
        <f>$X$3*I34</f>
        <v/>
      </c>
      <c r="Y34" s="249">
        <f>T34+W34+X34+V34+U34</f>
        <v/>
      </c>
      <c r="Z34" s="761" t="n"/>
      <c r="AA34" s="302">
        <f>T34/G34</f>
        <v/>
      </c>
      <c r="AB34" s="303">
        <f>V34/G34</f>
        <v/>
      </c>
      <c r="AC34" s="303">
        <f>W34/G34</f>
        <v/>
      </c>
      <c r="AD34" s="303">
        <f>X34/G34</f>
        <v/>
      </c>
      <c r="AE34" s="919">
        <f>AD34+AC34+AA34</f>
        <v/>
      </c>
      <c r="AF34" s="761" t="n"/>
      <c r="AG34" s="326" t="n"/>
      <c r="AH34" s="332">
        <f>-Y34+R34</f>
        <v/>
      </c>
      <c r="AI34" s="717">
        <f>_xlfn.XLOOKUP(A34,'2.10.26 Sub Close Old'!A:A,'2.10.26 Sub Close Old'!AK:AK)</f>
        <v/>
      </c>
      <c r="AJ34" s="717">
        <f>_xlfn.XLOOKUP(A34,'2.10.26 Sub Close New'!A:A,'2.10.26 Sub Close New'!AJ:AJ)</f>
        <v/>
      </c>
      <c r="AK34" s="717">
        <f>+AJ34-AI34</f>
        <v/>
      </c>
      <c r="AL34" s="717">
        <f>+AH34+AK34</f>
        <v/>
      </c>
      <c r="AM34" s="756" t="n"/>
      <c r="AN34" s="308">
        <f>+Y34</f>
        <v/>
      </c>
      <c r="AO34" s="758">
        <f>AN34/G34</f>
        <v/>
      </c>
      <c r="AP34" s="758">
        <f>AB34</f>
        <v/>
      </c>
      <c r="AQ34" s="310">
        <f>+AO34-AP34</f>
        <v/>
      </c>
      <c r="AR34" s="756" t="n"/>
      <c r="AS34" s="326" t="n"/>
      <c r="AT34" s="249">
        <f>-$AS$3*H34</f>
        <v/>
      </c>
      <c r="AU34" s="308">
        <f>AT34</f>
        <v/>
      </c>
      <c r="AV34" s="310">
        <f>AT34/R34</f>
        <v/>
      </c>
      <c r="AW34" s="756" t="n"/>
      <c r="AX34" s="326" t="n"/>
      <c r="AY34" s="332">
        <f>AT34+AH34</f>
        <v/>
      </c>
      <c r="AZ34" s="756" t="n"/>
      <c r="BA34" s="326" t="n"/>
      <c r="BB34" s="332" t="n"/>
      <c r="BC34" s="756" t="n"/>
    </row>
    <row r="35">
      <c r="A35" s="752" t="inlineStr">
        <is>
          <t>Geoffrey and Elizabeth Bloomingdale Living Trust</t>
        </is>
      </c>
      <c r="B35" s="351">
        <f>_xlfn.XLOOKUP(A35,'CLIP_Schedule B'!A:A,'CLIP_Schedule B'!E:E,0,FALSE)</f>
        <v/>
      </c>
      <c r="C35" s="351">
        <f>_xlfn.XLOOKUP(A35,'Silsbee_Schedule B'!B:B,'Silsbee_Schedule B'!F:F,0,FALSE)</f>
        <v/>
      </c>
      <c r="D35" s="351">
        <f>_xlfn.XLOOKUP(A35,'Q2''26 Management Fee'!B:B,'Q2''26 Management Fee'!C:C)</f>
        <v/>
      </c>
      <c r="E35" s="761">
        <f>SUMIFS(Commitment!G:G,Commitment!A:A,'Subsequent Close'!A35)</f>
        <v/>
      </c>
      <c r="F35" s="760">
        <f>E35/$E$90</f>
        <v/>
      </c>
      <c r="G35" s="761">
        <f>E35</f>
        <v/>
      </c>
      <c r="H35" s="760">
        <f>E35/$E$86</f>
        <v/>
      </c>
      <c r="I35" s="760">
        <f>G35/$G$86</f>
        <v/>
      </c>
      <c r="J35" s="761">
        <f>-G35</f>
        <v/>
      </c>
      <c r="K35" s="760">
        <f>J35/$J$86</f>
        <v/>
      </c>
      <c r="L35" s="762" t="n"/>
      <c r="M35" s="351">
        <f>$M$3*H35</f>
        <v/>
      </c>
      <c r="N35" s="351" t="n">
        <v>-2801.56</v>
      </c>
      <c r="O35" s="351" t="n"/>
      <c r="P35" s="351">
        <f>$P$3*H35</f>
        <v/>
      </c>
      <c r="Q35" s="351" t="n">
        <v>-17335.06125301615</v>
      </c>
      <c r="R35" s="351">
        <f>SUM(M35:Q35)</f>
        <v/>
      </c>
      <c r="S35" s="761" t="n"/>
      <c r="T35" s="249">
        <f>$T$3*I35</f>
        <v/>
      </c>
      <c r="U35" s="754" t="n">
        <v>0</v>
      </c>
      <c r="V35" s="249">
        <f>N35</f>
        <v/>
      </c>
      <c r="W35" s="249">
        <f>I35*$W$3</f>
        <v/>
      </c>
      <c r="X35" s="249">
        <f>$X$3*I35</f>
        <v/>
      </c>
      <c r="Y35" s="249">
        <f>T35+W35+X35+V35+U35</f>
        <v/>
      </c>
      <c r="Z35" s="761" t="n"/>
      <c r="AA35" s="302">
        <f>T35/G35</f>
        <v/>
      </c>
      <c r="AB35" s="303">
        <f>V35/G35</f>
        <v/>
      </c>
      <c r="AC35" s="303">
        <f>W35/G35</f>
        <v/>
      </c>
      <c r="AD35" s="303">
        <f>X35/G35</f>
        <v/>
      </c>
      <c r="AE35" s="919">
        <f>AD35+AC35+AA35</f>
        <v/>
      </c>
      <c r="AF35" s="761" t="n"/>
      <c r="AG35" s="326" t="n"/>
      <c r="AH35" s="332">
        <f>-Y35+R35</f>
        <v/>
      </c>
      <c r="AI35" s="717">
        <f>_xlfn.XLOOKUP(A35,'2.10.26 Sub Close Old'!A:A,'2.10.26 Sub Close Old'!AK:AK)</f>
        <v/>
      </c>
      <c r="AJ35" s="717">
        <f>_xlfn.XLOOKUP(A35,'2.10.26 Sub Close New'!A:A,'2.10.26 Sub Close New'!AJ:AJ)</f>
        <v/>
      </c>
      <c r="AK35" s="717">
        <f>+AJ35-AI35</f>
        <v/>
      </c>
      <c r="AL35" s="717">
        <f>+AH35+AK35</f>
        <v/>
      </c>
      <c r="AM35" s="756" t="n"/>
      <c r="AN35" s="308">
        <f>+Y35</f>
        <v/>
      </c>
      <c r="AO35" s="758">
        <f>AN35/G35</f>
        <v/>
      </c>
      <c r="AP35" s="758">
        <f>AB35</f>
        <v/>
      </c>
      <c r="AQ35" s="310">
        <f>+AO35-AP35</f>
        <v/>
      </c>
      <c r="AR35" s="756" t="n"/>
      <c r="AS35" s="326" t="n"/>
      <c r="AT35" s="249">
        <f>-$AS$3*H35</f>
        <v/>
      </c>
      <c r="AU35" s="308">
        <f>AT35</f>
        <v/>
      </c>
      <c r="AV35" s="310">
        <f>AT35/R35</f>
        <v/>
      </c>
      <c r="AW35" s="756" t="n"/>
      <c r="AX35" s="326" t="n"/>
      <c r="AY35" s="332">
        <f>AT35+AH35</f>
        <v/>
      </c>
      <c r="AZ35" s="756" t="n"/>
      <c r="BA35" s="326" t="n"/>
      <c r="BB35" s="332" t="n"/>
      <c r="BC35" s="756" t="n"/>
    </row>
    <row r="36">
      <c r="A36" s="752" t="inlineStr">
        <is>
          <t>Greene 2000 Family Trust</t>
        </is>
      </c>
      <c r="B36" s="351">
        <f>_xlfn.XLOOKUP(A36,'CLIP_Schedule B'!A:A,'CLIP_Schedule B'!E:E,0,FALSE)</f>
        <v/>
      </c>
      <c r="C36" s="351">
        <f>_xlfn.XLOOKUP(A36,'Silsbee_Schedule B'!B:B,'Silsbee_Schedule B'!F:F,0,FALSE)</f>
        <v/>
      </c>
      <c r="D36" s="351">
        <f>_xlfn.XLOOKUP(A36,'Q2''26 Management Fee'!B:B,'Q2''26 Management Fee'!C:C)</f>
        <v/>
      </c>
      <c r="E36" s="761">
        <f>SUMIFS(Commitment!G:G,Commitment!A:A,'Subsequent Close'!A36)</f>
        <v/>
      </c>
      <c r="F36" s="760">
        <f>E36/$E$90</f>
        <v/>
      </c>
      <c r="G36" s="761">
        <f>E36</f>
        <v/>
      </c>
      <c r="H36" s="760">
        <f>E36/$E$86</f>
        <v/>
      </c>
      <c r="I36" s="760">
        <f>G36/$G$86</f>
        <v/>
      </c>
      <c r="J36" s="761">
        <f>-G36</f>
        <v/>
      </c>
      <c r="K36" s="760">
        <f>J36/$J$86</f>
        <v/>
      </c>
      <c r="L36" s="762" t="n"/>
      <c r="M36" s="351">
        <f>$M$3*H36</f>
        <v/>
      </c>
      <c r="N36" s="351" t="n">
        <v>-14701.09</v>
      </c>
      <c r="O36" s="351" t="n"/>
      <c r="P36" s="351">
        <f>$P$3*H36</f>
        <v/>
      </c>
      <c r="Q36" s="351" t="n">
        <v>-73797.32288445896</v>
      </c>
      <c r="R36" s="351">
        <f>SUM(M36:Q36)</f>
        <v/>
      </c>
      <c r="S36" s="761" t="n"/>
      <c r="T36" s="249">
        <f>$T$3*I36</f>
        <v/>
      </c>
      <c r="U36" s="754" t="n">
        <v>0</v>
      </c>
      <c r="V36" s="249">
        <f>N36</f>
        <v/>
      </c>
      <c r="W36" s="249">
        <f>I36*$W$3</f>
        <v/>
      </c>
      <c r="X36" s="249">
        <f>$X$3*I36</f>
        <v/>
      </c>
      <c r="Y36" s="249">
        <f>T36+W36+X36+V36+U36</f>
        <v/>
      </c>
      <c r="Z36" s="761" t="n"/>
      <c r="AA36" s="302">
        <f>T36/G36</f>
        <v/>
      </c>
      <c r="AB36" s="303">
        <f>V36/G36</f>
        <v/>
      </c>
      <c r="AC36" s="303">
        <f>W36/G36</f>
        <v/>
      </c>
      <c r="AD36" s="303">
        <f>X36/G36</f>
        <v/>
      </c>
      <c r="AE36" s="919">
        <f>AD36+AC36+AA36</f>
        <v/>
      </c>
      <c r="AF36" s="761" t="n"/>
      <c r="AG36" s="326" t="n"/>
      <c r="AH36" s="332">
        <f>-Y36+R36</f>
        <v/>
      </c>
      <c r="AI36" s="717">
        <f>_xlfn.XLOOKUP(A36,'2.10.26 Sub Close Old'!A:A,'2.10.26 Sub Close Old'!AK:AK)</f>
        <v/>
      </c>
      <c r="AJ36" s="717">
        <f>_xlfn.XLOOKUP(A36,'2.10.26 Sub Close New'!A:A,'2.10.26 Sub Close New'!AJ:AJ)</f>
        <v/>
      </c>
      <c r="AK36" s="717">
        <f>+AJ36-AI36</f>
        <v/>
      </c>
      <c r="AL36" s="717">
        <f>+AH36+AK36</f>
        <v/>
      </c>
      <c r="AM36" s="756" t="n"/>
      <c r="AN36" s="308">
        <f>+Y36</f>
        <v/>
      </c>
      <c r="AO36" s="758">
        <f>AN36/G36</f>
        <v/>
      </c>
      <c r="AP36" s="758">
        <f>AB36</f>
        <v/>
      </c>
      <c r="AQ36" s="310">
        <f>+AO36-AP36</f>
        <v/>
      </c>
      <c r="AR36" s="756" t="n"/>
      <c r="AS36" s="326" t="n"/>
      <c r="AT36" s="249">
        <f>-$AS$3*H36</f>
        <v/>
      </c>
      <c r="AU36" s="308">
        <f>AT36</f>
        <v/>
      </c>
      <c r="AV36" s="310">
        <f>AT36/R36</f>
        <v/>
      </c>
      <c r="AW36" s="756" t="n"/>
      <c r="AX36" s="326" t="n"/>
      <c r="AY36" s="332">
        <f>AT36+AH36</f>
        <v/>
      </c>
      <c r="AZ36" s="756" t="n"/>
      <c r="BA36" s="326" t="n"/>
      <c r="BB36" s="332" t="n"/>
      <c r="BC36" s="756" t="n"/>
    </row>
    <row r="37">
      <c r="A37" s="752" t="inlineStr">
        <is>
          <t>Greene Marital Trust</t>
        </is>
      </c>
      <c r="B37" s="351">
        <f>_xlfn.XLOOKUP(A37,'CLIP_Schedule B'!A:A,'CLIP_Schedule B'!E:E,0,FALSE)</f>
        <v/>
      </c>
      <c r="C37" s="351">
        <f>_xlfn.XLOOKUP(A37,'Silsbee_Schedule B'!B:B,'Silsbee_Schedule B'!F:F,0,FALSE)</f>
        <v/>
      </c>
      <c r="D37" s="351">
        <f>_xlfn.XLOOKUP(A37,'Q2''26 Management Fee'!B:B,'Q2''26 Management Fee'!C:C)</f>
        <v/>
      </c>
      <c r="E37" s="761">
        <f>SUMIFS(Commitment!G:G,Commitment!A:A,'Subsequent Close'!A37)</f>
        <v/>
      </c>
      <c r="F37" s="760">
        <f>E37/$E$90</f>
        <v/>
      </c>
      <c r="G37" s="761">
        <f>E37</f>
        <v/>
      </c>
      <c r="H37" s="760">
        <f>E37/$E$86</f>
        <v/>
      </c>
      <c r="I37" s="760">
        <f>G37/$G$86</f>
        <v/>
      </c>
      <c r="J37" s="761">
        <f>-G37</f>
        <v/>
      </c>
      <c r="K37" s="760">
        <f>J37/$J$86</f>
        <v/>
      </c>
      <c r="L37" s="762" t="n"/>
      <c r="M37" s="351">
        <f>$M$3*H37</f>
        <v/>
      </c>
      <c r="N37" s="351" t="n">
        <v>-14701.09</v>
      </c>
      <c r="O37" s="351" t="n"/>
      <c r="P37" s="351">
        <f>$P$3*H37</f>
        <v/>
      </c>
      <c r="Q37" s="351" t="n">
        <v>-73797.32288445896</v>
      </c>
      <c r="R37" s="351">
        <f>SUM(M37:Q37)</f>
        <v/>
      </c>
      <c r="S37" s="761" t="n"/>
      <c r="T37" s="249">
        <f>$T$3*I37</f>
        <v/>
      </c>
      <c r="U37" s="754" t="n">
        <v>0</v>
      </c>
      <c r="V37" s="249">
        <f>N37</f>
        <v/>
      </c>
      <c r="W37" s="249">
        <f>I37*$W$3</f>
        <v/>
      </c>
      <c r="X37" s="249">
        <f>$X$3*I37</f>
        <v/>
      </c>
      <c r="Y37" s="249">
        <f>T37+W37+X37+V37+U37</f>
        <v/>
      </c>
      <c r="Z37" s="761" t="n"/>
      <c r="AA37" s="302">
        <f>T37/G37</f>
        <v/>
      </c>
      <c r="AB37" s="303">
        <f>V37/G37</f>
        <v/>
      </c>
      <c r="AC37" s="303">
        <f>W37/G37</f>
        <v/>
      </c>
      <c r="AD37" s="303">
        <f>X37/G37</f>
        <v/>
      </c>
      <c r="AE37" s="919">
        <f>AD37+AC37+AA37</f>
        <v/>
      </c>
      <c r="AF37" s="761" t="n"/>
      <c r="AG37" s="326" t="n"/>
      <c r="AH37" s="332">
        <f>-Y37+R37</f>
        <v/>
      </c>
      <c r="AI37" s="717">
        <f>_xlfn.XLOOKUP(A37,'2.10.26 Sub Close Old'!A:A,'2.10.26 Sub Close Old'!AK:AK)</f>
        <v/>
      </c>
      <c r="AJ37" s="717">
        <f>_xlfn.XLOOKUP(A37,'2.10.26 Sub Close New'!A:A,'2.10.26 Sub Close New'!AJ:AJ)</f>
        <v/>
      </c>
      <c r="AK37" s="717">
        <f>+AJ37-AI37</f>
        <v/>
      </c>
      <c r="AL37" s="717">
        <f>+AH37+AK37</f>
        <v/>
      </c>
      <c r="AM37" s="756" t="n"/>
      <c r="AN37" s="308">
        <f>+Y37</f>
        <v/>
      </c>
      <c r="AO37" s="758">
        <f>AN37/G37</f>
        <v/>
      </c>
      <c r="AP37" s="758">
        <f>AB37</f>
        <v/>
      </c>
      <c r="AQ37" s="310">
        <f>+AO37-AP37</f>
        <v/>
      </c>
      <c r="AR37" s="756" t="n"/>
      <c r="AS37" s="326" t="n"/>
      <c r="AT37" s="249">
        <f>-$AS$3*H37</f>
        <v/>
      </c>
      <c r="AU37" s="308">
        <f>AT37</f>
        <v/>
      </c>
      <c r="AV37" s="310">
        <f>AT37/R37</f>
        <v/>
      </c>
      <c r="AW37" s="756" t="n"/>
      <c r="AX37" s="326" t="n"/>
      <c r="AY37" s="332">
        <f>AT37+AH37</f>
        <v/>
      </c>
      <c r="AZ37" s="756" t="n"/>
      <c r="BA37" s="326" t="n"/>
      <c r="BB37" s="332" t="n"/>
      <c r="BC37" s="756" t="n"/>
    </row>
    <row r="38">
      <c r="A38" s="752" t="inlineStr">
        <is>
          <t>Gregory Brent Wood</t>
        </is>
      </c>
      <c r="B38" s="351">
        <f>_xlfn.XLOOKUP(A38,'CLIP_Schedule B'!A:A,'CLIP_Schedule B'!E:E,0,FALSE)</f>
        <v/>
      </c>
      <c r="C38" s="351">
        <f>_xlfn.XLOOKUP(A38,'Silsbee_Schedule B'!B:B,'Silsbee_Schedule B'!F:F,0,FALSE)</f>
        <v/>
      </c>
      <c r="D38" s="351">
        <f>_xlfn.XLOOKUP(A38,'Q2''26 Management Fee'!B:B,'Q2''26 Management Fee'!C:C)</f>
        <v/>
      </c>
      <c r="E38" s="761">
        <f>SUMIFS(Commitment!G:G,Commitment!A:A,'Subsequent Close'!A38)</f>
        <v/>
      </c>
      <c r="F38" s="760">
        <f>E38/$E$90</f>
        <v/>
      </c>
      <c r="G38" s="761">
        <f>E38</f>
        <v/>
      </c>
      <c r="H38" s="760">
        <f>E38/$E$86</f>
        <v/>
      </c>
      <c r="I38" s="760">
        <f>G38/$G$86</f>
        <v/>
      </c>
      <c r="J38" s="761">
        <f>-G38</f>
        <v/>
      </c>
      <c r="K38" s="760">
        <f>J38/$J$86</f>
        <v/>
      </c>
      <c r="L38" s="762" t="n"/>
      <c r="M38" s="351">
        <f>$M$3*H38</f>
        <v/>
      </c>
      <c r="N38" s="351" t="n">
        <v>-1867.7</v>
      </c>
      <c r="O38" s="351" t="n"/>
      <c r="P38" s="351">
        <f>$P$3*H38</f>
        <v/>
      </c>
      <c r="Q38" s="351" t="n">
        <v>-11556.70725601969</v>
      </c>
      <c r="R38" s="351">
        <f>SUM(M38:Q38)</f>
        <v/>
      </c>
      <c r="S38" s="761" t="n"/>
      <c r="T38" s="249">
        <f>$T$3*I38</f>
        <v/>
      </c>
      <c r="U38" s="754" t="n">
        <v>0</v>
      </c>
      <c r="V38" s="249">
        <f>N38</f>
        <v/>
      </c>
      <c r="W38" s="249">
        <f>I38*$W$3</f>
        <v/>
      </c>
      <c r="X38" s="249">
        <f>$X$3*I38</f>
        <v/>
      </c>
      <c r="Y38" s="249">
        <f>T38+W38+X38+V38+U38</f>
        <v/>
      </c>
      <c r="Z38" s="761" t="n"/>
      <c r="AA38" s="302">
        <f>T38/G38</f>
        <v/>
      </c>
      <c r="AB38" s="303">
        <f>V38/G38</f>
        <v/>
      </c>
      <c r="AC38" s="303">
        <f>W38/G38</f>
        <v/>
      </c>
      <c r="AD38" s="303">
        <f>X38/G38</f>
        <v/>
      </c>
      <c r="AE38" s="919">
        <f>AD38+AC38+AA38</f>
        <v/>
      </c>
      <c r="AF38" s="761" t="n"/>
      <c r="AG38" s="326" t="n"/>
      <c r="AH38" s="332">
        <f>-Y38+R38</f>
        <v/>
      </c>
      <c r="AI38" s="717">
        <f>_xlfn.XLOOKUP(A38,'2.10.26 Sub Close Old'!A:A,'2.10.26 Sub Close Old'!AK:AK)</f>
        <v/>
      </c>
      <c r="AJ38" s="717">
        <f>_xlfn.XLOOKUP(A38,'2.10.26 Sub Close New'!A:A,'2.10.26 Sub Close New'!AJ:AJ)</f>
        <v/>
      </c>
      <c r="AK38" s="717">
        <f>+AJ38-AI38</f>
        <v/>
      </c>
      <c r="AL38" s="717">
        <f>+AH38+AK38</f>
        <v/>
      </c>
      <c r="AM38" s="756" t="n"/>
      <c r="AN38" s="308">
        <f>+Y38</f>
        <v/>
      </c>
      <c r="AO38" s="758">
        <f>AN38/G38</f>
        <v/>
      </c>
      <c r="AP38" s="758">
        <f>AB38</f>
        <v/>
      </c>
      <c r="AQ38" s="310">
        <f>+AO38-AP38</f>
        <v/>
      </c>
      <c r="AR38" s="756" t="n"/>
      <c r="AS38" s="326" t="n"/>
      <c r="AT38" s="249">
        <f>-$AS$3*H38</f>
        <v/>
      </c>
      <c r="AU38" s="308">
        <f>AT38</f>
        <v/>
      </c>
      <c r="AV38" s="310">
        <f>AT38/R38</f>
        <v/>
      </c>
      <c r="AW38" s="756" t="n"/>
      <c r="AX38" s="326" t="n"/>
      <c r="AY38" s="332">
        <f>AT38+AH38</f>
        <v/>
      </c>
      <c r="AZ38" s="756" t="n"/>
      <c r="BA38" s="326" t="n"/>
      <c r="BB38" s="332" t="n"/>
      <c r="BC38" s="756" t="n"/>
    </row>
    <row r="39">
      <c r="A39" s="752" t="inlineStr">
        <is>
          <t>Hundley Family Trust</t>
        </is>
      </c>
      <c r="B39" s="351">
        <f>_xlfn.XLOOKUP(A39,'CLIP_Schedule B'!A:A,'CLIP_Schedule B'!E:E,0,FALSE)</f>
        <v/>
      </c>
      <c r="C39" s="351">
        <f>_xlfn.XLOOKUP(A39,'Silsbee_Schedule B'!B:B,'Silsbee_Schedule B'!F:F,0,FALSE)</f>
        <v/>
      </c>
      <c r="D39" s="351">
        <f>_xlfn.XLOOKUP(A39,'Q2''26 Management Fee'!B:B,'Q2''26 Management Fee'!C:C)</f>
        <v/>
      </c>
      <c r="E39" s="761">
        <f>SUMIFS(Commitment!G:G,Commitment!A:A,'Subsequent Close'!A39)</f>
        <v/>
      </c>
      <c r="F39" s="760">
        <f>E39/$E$90</f>
        <v/>
      </c>
      <c r="G39" s="761">
        <f>E39</f>
        <v/>
      </c>
      <c r="H39" s="760">
        <f>E39/$E$86</f>
        <v/>
      </c>
      <c r="I39" s="760">
        <f>G39/$G$86</f>
        <v/>
      </c>
      <c r="J39" s="761">
        <f>-G39</f>
        <v/>
      </c>
      <c r="K39" s="760">
        <f>J39/$J$86</f>
        <v/>
      </c>
      <c r="L39" s="762" t="n"/>
      <c r="M39" s="351">
        <f>$M$3*H39</f>
        <v/>
      </c>
      <c r="N39" s="351" t="n">
        <v>-4410.33</v>
      </c>
      <c r="O39" s="351" t="n"/>
      <c r="P39" s="351">
        <f>$P$3*H39</f>
        <v/>
      </c>
      <c r="Q39" s="351" t="n">
        <v>-14759.46457689179</v>
      </c>
      <c r="R39" s="351">
        <f>SUM(M39:Q39)</f>
        <v/>
      </c>
      <c r="S39" s="761" t="n"/>
      <c r="T39" s="249">
        <f>$T$3*I39</f>
        <v/>
      </c>
      <c r="U39" s="754" t="n">
        <v>0</v>
      </c>
      <c r="V39" s="249">
        <f>N39</f>
        <v/>
      </c>
      <c r="W39" s="249">
        <f>I39*$W$3</f>
        <v/>
      </c>
      <c r="X39" s="249">
        <f>$X$3*I39</f>
        <v/>
      </c>
      <c r="Y39" s="249">
        <f>T39+W39+X39+V39+U39</f>
        <v/>
      </c>
      <c r="Z39" s="761" t="n"/>
      <c r="AA39" s="302">
        <f>T39/G39</f>
        <v/>
      </c>
      <c r="AB39" s="303">
        <f>V39/G39</f>
        <v/>
      </c>
      <c r="AC39" s="303">
        <f>W39/G39</f>
        <v/>
      </c>
      <c r="AD39" s="303">
        <f>X39/G39</f>
        <v/>
      </c>
      <c r="AE39" s="919">
        <f>AD39+AC39+AA39</f>
        <v/>
      </c>
      <c r="AF39" s="761" t="n"/>
      <c r="AG39" s="326" t="n"/>
      <c r="AH39" s="332">
        <f>-Y39+R39</f>
        <v/>
      </c>
      <c r="AI39" s="717">
        <f>_xlfn.XLOOKUP(A39,'2.10.26 Sub Close Old'!A:A,'2.10.26 Sub Close Old'!AK:AK)</f>
        <v/>
      </c>
      <c r="AJ39" s="717">
        <f>_xlfn.XLOOKUP(A39,'2.10.26 Sub Close New'!A:A,'2.10.26 Sub Close New'!AJ:AJ)</f>
        <v/>
      </c>
      <c r="AK39" s="717">
        <f>+AJ39-AI39</f>
        <v/>
      </c>
      <c r="AL39" s="717">
        <f>+AH39+AK39</f>
        <v/>
      </c>
      <c r="AM39" s="756" t="n"/>
      <c r="AN39" s="308">
        <f>+Y39</f>
        <v/>
      </c>
      <c r="AO39" s="758">
        <f>AN39/G39</f>
        <v/>
      </c>
      <c r="AP39" s="758">
        <f>AB39</f>
        <v/>
      </c>
      <c r="AQ39" s="310">
        <f>+AO39-AP39</f>
        <v/>
      </c>
      <c r="AR39" s="756" t="n"/>
      <c r="AS39" s="326" t="n"/>
      <c r="AT39" s="249">
        <f>-$AS$3*H39</f>
        <v/>
      </c>
      <c r="AU39" s="308">
        <f>AT39</f>
        <v/>
      </c>
      <c r="AV39" s="310">
        <f>AT39/R39</f>
        <v/>
      </c>
      <c r="AW39" s="756" t="n"/>
      <c r="AX39" s="326" t="n"/>
      <c r="AY39" s="332">
        <f>AT39+AH39</f>
        <v/>
      </c>
      <c r="AZ39" s="756" t="n"/>
      <c r="BA39" s="326" t="n"/>
      <c r="BB39" s="332" t="n"/>
      <c r="BC39" s="756" t="n"/>
    </row>
    <row r="40">
      <c r="A40" s="752" t="inlineStr">
        <is>
          <t>In God We Trust 2017 Living Trust</t>
        </is>
      </c>
      <c r="B40" s="351">
        <f>_xlfn.XLOOKUP(A40,'CLIP_Schedule B'!A:A,'CLIP_Schedule B'!E:E,0,FALSE)</f>
        <v/>
      </c>
      <c r="C40" s="351">
        <f>_xlfn.XLOOKUP(A40,'Silsbee_Schedule B'!B:B,'Silsbee_Schedule B'!F:F,0,FALSE)</f>
        <v/>
      </c>
      <c r="D40" s="351">
        <f>_xlfn.XLOOKUP(A40,'Q2''26 Management Fee'!B:B,'Q2''26 Management Fee'!C:C)</f>
        <v/>
      </c>
      <c r="E40" s="761">
        <f>SUMIFS(Commitment!G:G,Commitment!A:A,'Subsequent Close'!A40)</f>
        <v/>
      </c>
      <c r="F40" s="760">
        <f>E40/$E$90</f>
        <v/>
      </c>
      <c r="G40" s="761">
        <f>E40</f>
        <v/>
      </c>
      <c r="H40" s="760">
        <f>E40/$E$86</f>
        <v/>
      </c>
      <c r="I40" s="760">
        <f>G40/$G$86</f>
        <v/>
      </c>
      <c r="J40" s="761">
        <f>-G40</f>
        <v/>
      </c>
      <c r="K40" s="760">
        <f>J40/$J$86</f>
        <v/>
      </c>
      <c r="L40" s="762" t="n"/>
      <c r="M40" s="351">
        <f>$M$3*H40</f>
        <v/>
      </c>
      <c r="N40" s="351" t="n">
        <v>-2205.16</v>
      </c>
      <c r="O40" s="351" t="n"/>
      <c r="P40" s="351">
        <f>$P$3*H40</f>
        <v/>
      </c>
      <c r="Q40" s="351" t="n">
        <v>-7379.732288445896</v>
      </c>
      <c r="R40" s="351">
        <f>SUM(M40:Q40)</f>
        <v/>
      </c>
      <c r="S40" s="761" t="n"/>
      <c r="T40" s="249">
        <f>$T$3*I40</f>
        <v/>
      </c>
      <c r="U40" s="754" t="n">
        <v>0</v>
      </c>
      <c r="V40" s="249">
        <f>N40</f>
        <v/>
      </c>
      <c r="W40" s="249">
        <f>I40*$W$3</f>
        <v/>
      </c>
      <c r="X40" s="249">
        <f>$X$3*I40</f>
        <v/>
      </c>
      <c r="Y40" s="249">
        <f>T40+W40+X40+V40+U40</f>
        <v/>
      </c>
      <c r="Z40" s="761" t="n"/>
      <c r="AA40" s="302">
        <f>T40/G40</f>
        <v/>
      </c>
      <c r="AB40" s="303">
        <f>V40/G40</f>
        <v/>
      </c>
      <c r="AC40" s="303">
        <f>W40/G40</f>
        <v/>
      </c>
      <c r="AD40" s="303">
        <f>X40/G40</f>
        <v/>
      </c>
      <c r="AE40" s="919">
        <f>AD40+AC40+AA40</f>
        <v/>
      </c>
      <c r="AF40" s="761" t="n"/>
      <c r="AG40" s="326" t="n"/>
      <c r="AH40" s="332">
        <f>-Y40+R40</f>
        <v/>
      </c>
      <c r="AI40" s="717">
        <f>_xlfn.XLOOKUP(A40,'2.10.26 Sub Close Old'!A:A,'2.10.26 Sub Close Old'!AK:AK)</f>
        <v/>
      </c>
      <c r="AJ40" s="717">
        <f>_xlfn.XLOOKUP(A40,'2.10.26 Sub Close New'!A:A,'2.10.26 Sub Close New'!AJ:AJ)</f>
        <v/>
      </c>
      <c r="AK40" s="717">
        <f>+AJ40-AI40</f>
        <v/>
      </c>
      <c r="AL40" s="717">
        <f>+AH40+AK40</f>
        <v/>
      </c>
      <c r="AM40" s="756" t="n"/>
      <c r="AN40" s="308">
        <f>+Y40</f>
        <v/>
      </c>
      <c r="AO40" s="758">
        <f>AN40/G40</f>
        <v/>
      </c>
      <c r="AP40" s="758">
        <f>AB40</f>
        <v/>
      </c>
      <c r="AQ40" s="310">
        <f>+AO40-AP40</f>
        <v/>
      </c>
      <c r="AR40" s="756" t="n"/>
      <c r="AS40" s="326" t="n"/>
      <c r="AT40" s="249">
        <f>-$AS$3*H40</f>
        <v/>
      </c>
      <c r="AU40" s="308">
        <f>AT40</f>
        <v/>
      </c>
      <c r="AV40" s="310">
        <f>AT40/R40</f>
        <v/>
      </c>
      <c r="AW40" s="756" t="n"/>
      <c r="AX40" s="326" t="n"/>
      <c r="AY40" s="332">
        <f>AT40+AH40</f>
        <v/>
      </c>
      <c r="AZ40" s="756" t="n"/>
      <c r="BA40" s="326" t="n"/>
      <c r="BB40" s="332" t="n"/>
      <c r="BC40" s="756" t="n"/>
    </row>
    <row r="41">
      <c r="A41" s="752" t="inlineStr">
        <is>
          <t>James and Natelie Bloomingdale</t>
        </is>
      </c>
      <c r="B41" s="351" t="n"/>
      <c r="C41" s="351" t="n"/>
      <c r="D41" s="351" t="n"/>
      <c r="E41" s="761" t="n"/>
      <c r="F41" s="760" t="n"/>
      <c r="G41" s="761" t="n"/>
      <c r="H41" s="760" t="n"/>
      <c r="I41" s="760" t="n"/>
      <c r="J41" s="761" t="n"/>
      <c r="K41" s="760" t="n"/>
      <c r="L41" s="762" t="n"/>
      <c r="M41" s="351" t="n"/>
      <c r="N41" s="351" t="n"/>
      <c r="O41" s="351" t="n"/>
      <c r="P41" s="351" t="n"/>
      <c r="Q41" s="351" t="n">
        <v>0</v>
      </c>
      <c r="R41" s="351">
        <f>SUM(M41:Q41)</f>
        <v/>
      </c>
      <c r="S41" s="761" t="n"/>
      <c r="T41" s="249" t="n"/>
      <c r="U41" s="754" t="n"/>
      <c r="V41" s="249" t="n"/>
      <c r="W41" s="249" t="n"/>
      <c r="X41" s="249" t="n"/>
      <c r="Y41" s="249">
        <f>T41+W41+X41+V41+U41</f>
        <v/>
      </c>
      <c r="Z41" s="761" t="n"/>
      <c r="AA41" s="302" t="n"/>
      <c r="AB41" s="303" t="n"/>
      <c r="AC41" s="303" t="n"/>
      <c r="AD41" s="303" t="n"/>
      <c r="AE41" s="919" t="n"/>
      <c r="AF41" s="761" t="n"/>
      <c r="AG41" s="326" t="n"/>
      <c r="AH41" s="332">
        <f>-Y41+R41</f>
        <v/>
      </c>
      <c r="AI41" s="717" t="n"/>
      <c r="AJ41" s="717" t="n"/>
      <c r="AK41" s="717" t="n"/>
      <c r="AL41" s="717" t="n"/>
      <c r="AM41" s="756" t="n"/>
      <c r="AN41" s="308" t="n"/>
      <c r="AO41" s="758" t="n"/>
      <c r="AP41" s="758" t="n"/>
      <c r="AQ41" s="310" t="n"/>
      <c r="AR41" s="756" t="n"/>
      <c r="AS41" s="326" t="n"/>
      <c r="AT41" s="249">
        <f>-$AS$3*H41</f>
        <v/>
      </c>
      <c r="AU41" s="308" t="n"/>
      <c r="AV41" s="310" t="n"/>
      <c r="AW41" s="756" t="n"/>
      <c r="AX41" s="326" t="n"/>
      <c r="AY41" s="332">
        <f>AT41+AH41</f>
        <v/>
      </c>
      <c r="AZ41" s="756" t="n"/>
      <c r="BA41" s="326" t="n"/>
      <c r="BB41" s="332" t="n"/>
      <c r="BC41" s="756" t="n"/>
    </row>
    <row r="42">
      <c r="A42" s="752" t="inlineStr">
        <is>
          <t>James Campbell and Patricia Campbell</t>
        </is>
      </c>
      <c r="B42" s="351">
        <f>_xlfn.XLOOKUP(A42,'CLIP_Schedule B'!A:A,'CLIP_Schedule B'!E:E,0,FALSE)</f>
        <v/>
      </c>
      <c r="C42" s="351">
        <f>_xlfn.XLOOKUP(A42,'Silsbee_Schedule B'!B:B,'Silsbee_Schedule B'!F:F,0,FALSE)</f>
        <v/>
      </c>
      <c r="D42" s="351">
        <f>_xlfn.XLOOKUP(A42,'Q2''26 Management Fee'!B:B,'Q2''26 Management Fee'!C:C)</f>
        <v/>
      </c>
      <c r="E42" s="761">
        <f>SUMIFS(Commitment!G:G,Commitment!A:A,'Subsequent Close'!A42)</f>
        <v/>
      </c>
      <c r="F42" s="760">
        <f>E42/$E$90</f>
        <v/>
      </c>
      <c r="G42" s="761">
        <f>E42</f>
        <v/>
      </c>
      <c r="H42" s="760">
        <f>E42/$E$86</f>
        <v/>
      </c>
      <c r="I42" s="760">
        <f>G42/$G$86</f>
        <v/>
      </c>
      <c r="J42" s="761">
        <f>-G42</f>
        <v/>
      </c>
      <c r="K42" s="760">
        <f>J42/$J$86</f>
        <v/>
      </c>
      <c r="L42" s="762" t="n"/>
      <c r="M42" s="351">
        <f>$M$3*H42</f>
        <v/>
      </c>
      <c r="N42" s="351" t="n">
        <v>-1867.7</v>
      </c>
      <c r="O42" s="351" t="n"/>
      <c r="P42" s="351">
        <f>$P$3*H42</f>
        <v/>
      </c>
      <c r="Q42" s="351" t="n">
        <v>-11556.70725601969</v>
      </c>
      <c r="R42" s="351">
        <f>SUM(M42:Q42)</f>
        <v/>
      </c>
      <c r="S42" s="761" t="n"/>
      <c r="T42" s="249">
        <f>$T$3*I42</f>
        <v/>
      </c>
      <c r="U42" s="754" t="n">
        <v>0</v>
      </c>
      <c r="V42" s="249">
        <f>N42</f>
        <v/>
      </c>
      <c r="W42" s="249">
        <f>I42*$W$3</f>
        <v/>
      </c>
      <c r="X42" s="249">
        <f>$X$3*I42</f>
        <v/>
      </c>
      <c r="Y42" s="249">
        <f>T42+W42+X42+V42+U42</f>
        <v/>
      </c>
      <c r="Z42" s="761" t="n"/>
      <c r="AA42" s="302">
        <f>T42/G42</f>
        <v/>
      </c>
      <c r="AB42" s="303">
        <f>V42/G42</f>
        <v/>
      </c>
      <c r="AC42" s="303">
        <f>W42/G42</f>
        <v/>
      </c>
      <c r="AD42" s="303">
        <f>X42/G42</f>
        <v/>
      </c>
      <c r="AE42" s="919">
        <f>AD42+AC42+AA42</f>
        <v/>
      </c>
      <c r="AF42" s="761" t="n"/>
      <c r="AG42" s="326" t="n"/>
      <c r="AH42" s="332">
        <f>-Y42+R42</f>
        <v/>
      </c>
      <c r="AI42" s="717">
        <f>_xlfn.XLOOKUP(A42,'2.10.26 Sub Close Old'!A:A,'2.10.26 Sub Close Old'!AK:AK)</f>
        <v/>
      </c>
      <c r="AJ42" s="717">
        <f>_xlfn.XLOOKUP(A42,'2.10.26 Sub Close New'!A:A,'2.10.26 Sub Close New'!AJ:AJ)</f>
        <v/>
      </c>
      <c r="AK42" s="717">
        <f>+AJ42-AI42</f>
        <v/>
      </c>
      <c r="AL42" s="717">
        <f>+AH42+AK42</f>
        <v/>
      </c>
      <c r="AM42" s="756" t="n"/>
      <c r="AN42" s="308">
        <f>+Y42</f>
        <v/>
      </c>
      <c r="AO42" s="758">
        <f>AN42/G42</f>
        <v/>
      </c>
      <c r="AP42" s="758">
        <f>AB42</f>
        <v/>
      </c>
      <c r="AQ42" s="310">
        <f>+AO42-AP42</f>
        <v/>
      </c>
      <c r="AR42" s="756" t="n"/>
      <c r="AS42" s="326" t="n"/>
      <c r="AT42" s="249">
        <f>-$AS$3*H42</f>
        <v/>
      </c>
      <c r="AU42" s="308">
        <f>AT42</f>
        <v/>
      </c>
      <c r="AV42" s="310">
        <f>AT42/R42</f>
        <v/>
      </c>
      <c r="AW42" s="756" t="n"/>
      <c r="AX42" s="326" t="n"/>
      <c r="AY42" s="332">
        <f>AT42+AH42</f>
        <v/>
      </c>
      <c r="AZ42" s="756" t="n"/>
      <c r="BA42" s="326" t="n"/>
      <c r="BB42" s="332" t="n"/>
      <c r="BC42" s="756" t="n"/>
    </row>
    <row r="43">
      <c r="A43" s="752" t="inlineStr">
        <is>
          <t>James Kane</t>
        </is>
      </c>
      <c r="B43" s="351">
        <f>_xlfn.XLOOKUP(A43,'CLIP_Schedule B'!A:A,'CLIP_Schedule B'!E:E,0,FALSE)</f>
        <v/>
      </c>
      <c r="C43" s="351">
        <f>_xlfn.XLOOKUP(A43,'Silsbee_Schedule B'!B:B,'Silsbee_Schedule B'!F:F,0,FALSE)</f>
        <v/>
      </c>
      <c r="D43" s="351">
        <f>_xlfn.XLOOKUP(A43,'Q2''26 Management Fee'!B:B,'Q2''26 Management Fee'!C:C)</f>
        <v/>
      </c>
      <c r="E43" s="761">
        <f>SUMIFS(Commitment!G:G,Commitment!A:A,'Subsequent Close'!A43)</f>
        <v/>
      </c>
      <c r="F43" s="760">
        <f>E43/$E$90</f>
        <v/>
      </c>
      <c r="G43" s="761">
        <f>E43</f>
        <v/>
      </c>
      <c r="H43" s="760">
        <f>E43/$E$86</f>
        <v/>
      </c>
      <c r="I43" s="760">
        <f>G43/$G$86</f>
        <v/>
      </c>
      <c r="J43" s="761">
        <f>-G43</f>
        <v/>
      </c>
      <c r="K43" s="760">
        <f>J43/$J$86</f>
        <v/>
      </c>
      <c r="L43" s="762" t="n"/>
      <c r="M43" s="351">
        <f>$M$3*H43</f>
        <v/>
      </c>
      <c r="N43" s="351" t="n">
        <v>-1867.7</v>
      </c>
      <c r="O43" s="351" t="n"/>
      <c r="P43" s="351">
        <f>$P$3*H43</f>
        <v/>
      </c>
      <c r="Q43" s="351" t="n">
        <v>-11556.70725601969</v>
      </c>
      <c r="R43" s="351">
        <f>SUM(M43:Q43)</f>
        <v/>
      </c>
      <c r="S43" s="761" t="n"/>
      <c r="T43" s="249">
        <f>$T$3*I43</f>
        <v/>
      </c>
      <c r="U43" s="754" t="n">
        <v>0</v>
      </c>
      <c r="V43" s="249">
        <f>N43</f>
        <v/>
      </c>
      <c r="W43" s="249">
        <f>I43*$W$3</f>
        <v/>
      </c>
      <c r="X43" s="249">
        <f>$X$3*I43</f>
        <v/>
      </c>
      <c r="Y43" s="249">
        <f>T43+W43+X43+V43+U43</f>
        <v/>
      </c>
      <c r="Z43" s="761" t="n"/>
      <c r="AA43" s="302">
        <f>T43/G43</f>
        <v/>
      </c>
      <c r="AB43" s="303">
        <f>V43/G43</f>
        <v/>
      </c>
      <c r="AC43" s="303">
        <f>W43/G43</f>
        <v/>
      </c>
      <c r="AD43" s="303">
        <f>X43/G43</f>
        <v/>
      </c>
      <c r="AE43" s="919">
        <f>AD43+AC43+AA43</f>
        <v/>
      </c>
      <c r="AF43" s="761" t="n"/>
      <c r="AG43" s="326" t="n"/>
      <c r="AH43" s="332">
        <f>-Y43+R43</f>
        <v/>
      </c>
      <c r="AI43" s="717">
        <f>_xlfn.XLOOKUP(A43,'2.10.26 Sub Close Old'!A:A,'2.10.26 Sub Close Old'!AK:AK)</f>
        <v/>
      </c>
      <c r="AJ43" s="717">
        <f>_xlfn.XLOOKUP(A43,'2.10.26 Sub Close New'!A:A,'2.10.26 Sub Close New'!AJ:AJ)</f>
        <v/>
      </c>
      <c r="AK43" s="717">
        <f>+AJ43-AI43</f>
        <v/>
      </c>
      <c r="AL43" s="717">
        <f>+AH43+AK43</f>
        <v/>
      </c>
      <c r="AM43" s="756" t="n"/>
      <c r="AN43" s="308">
        <f>+Y43</f>
        <v/>
      </c>
      <c r="AO43" s="758">
        <f>AN43/G43</f>
        <v/>
      </c>
      <c r="AP43" s="758">
        <f>AB43</f>
        <v/>
      </c>
      <c r="AQ43" s="310">
        <f>+AO43-AP43</f>
        <v/>
      </c>
      <c r="AR43" s="756" t="n"/>
      <c r="AS43" s="326" t="n"/>
      <c r="AT43" s="249">
        <f>-$AS$3*H43</f>
        <v/>
      </c>
      <c r="AU43" s="308">
        <f>AT43</f>
        <v/>
      </c>
      <c r="AV43" s="310">
        <f>AT43/R43</f>
        <v/>
      </c>
      <c r="AW43" s="756" t="n"/>
      <c r="AX43" s="326" t="n"/>
      <c r="AY43" s="332">
        <f>AT43+AH43</f>
        <v/>
      </c>
      <c r="AZ43" s="756" t="n"/>
      <c r="BA43" s="326" t="n"/>
      <c r="BB43" s="332" t="n"/>
      <c r="BC43" s="756" t="n"/>
    </row>
    <row r="44">
      <c r="A44" s="752" t="inlineStr">
        <is>
          <t>James Thorp</t>
        </is>
      </c>
      <c r="B44" s="351">
        <f>_xlfn.XLOOKUP(A44,'CLIP_Schedule B'!A:A,'CLIP_Schedule B'!E:E,0,FALSE)</f>
        <v/>
      </c>
      <c r="C44" s="351">
        <f>_xlfn.XLOOKUP(A44,'Silsbee_Schedule B'!B:B,'Silsbee_Schedule B'!F:F,0,FALSE)</f>
        <v/>
      </c>
      <c r="D44" s="351">
        <f>_xlfn.XLOOKUP(A44,'Q2''26 Management Fee'!B:B,'Q2''26 Management Fee'!C:C)</f>
        <v/>
      </c>
      <c r="E44" s="761">
        <f>SUMIFS(Commitment!G:G,Commitment!A:A,'Subsequent Close'!A44)</f>
        <v/>
      </c>
      <c r="F44" s="760">
        <f>E44/$E$90</f>
        <v/>
      </c>
      <c r="G44" s="761">
        <f>E44</f>
        <v/>
      </c>
      <c r="H44" s="760">
        <f>E44/$E$86</f>
        <v/>
      </c>
      <c r="I44" s="760">
        <f>G44/$G$86</f>
        <v/>
      </c>
      <c r="J44" s="761">
        <f>-G44</f>
        <v/>
      </c>
      <c r="K44" s="760">
        <f>J44/$J$86</f>
        <v/>
      </c>
      <c r="L44" s="762" t="n"/>
      <c r="M44" s="351">
        <f>$M$3*H44</f>
        <v/>
      </c>
      <c r="N44" s="351" t="n">
        <v>-2334.64</v>
      </c>
      <c r="O44" s="351" t="n"/>
      <c r="P44" s="351">
        <f>$P$3*H44</f>
        <v/>
      </c>
      <c r="Q44" s="351" t="n">
        <v>-14445.88425451792</v>
      </c>
      <c r="R44" s="351">
        <f>SUM(M44:Q44)</f>
        <v/>
      </c>
      <c r="S44" s="761" t="n"/>
      <c r="T44" s="249">
        <f>$T$3*I44</f>
        <v/>
      </c>
      <c r="U44" s="754" t="n">
        <v>0</v>
      </c>
      <c r="V44" s="249">
        <f>N44</f>
        <v/>
      </c>
      <c r="W44" s="249">
        <f>I44*$W$3</f>
        <v/>
      </c>
      <c r="X44" s="249">
        <f>$X$3*I44</f>
        <v/>
      </c>
      <c r="Y44" s="249">
        <f>T44+W44+X44+V44+U44</f>
        <v/>
      </c>
      <c r="Z44" s="761" t="n"/>
      <c r="AA44" s="302">
        <f>T44/G44</f>
        <v/>
      </c>
      <c r="AB44" s="303">
        <f>V44/G44</f>
        <v/>
      </c>
      <c r="AC44" s="303">
        <f>W44/G44</f>
        <v/>
      </c>
      <c r="AD44" s="303">
        <f>X44/G44</f>
        <v/>
      </c>
      <c r="AE44" s="919">
        <f>AD44+AC44+AA44</f>
        <v/>
      </c>
      <c r="AF44" s="761" t="n"/>
      <c r="AG44" s="326" t="n"/>
      <c r="AH44" s="332">
        <f>-Y44+R44</f>
        <v/>
      </c>
      <c r="AI44" s="717">
        <f>_xlfn.XLOOKUP(A44,'2.10.26 Sub Close Old'!A:A,'2.10.26 Sub Close Old'!AK:AK)</f>
        <v/>
      </c>
      <c r="AJ44" s="717">
        <f>_xlfn.XLOOKUP(A44,'2.10.26 Sub Close New'!A:A,'2.10.26 Sub Close New'!AJ:AJ)</f>
        <v/>
      </c>
      <c r="AK44" s="717">
        <f>+AJ44-AI44</f>
        <v/>
      </c>
      <c r="AL44" s="717">
        <f>+AH44+AK44</f>
        <v/>
      </c>
      <c r="AM44" s="756" t="n"/>
      <c r="AN44" s="308">
        <f>+Y44</f>
        <v/>
      </c>
      <c r="AO44" s="758">
        <f>AN44/G44</f>
        <v/>
      </c>
      <c r="AP44" s="758">
        <f>AB44</f>
        <v/>
      </c>
      <c r="AQ44" s="310">
        <f>+AO44-AP44</f>
        <v/>
      </c>
      <c r="AR44" s="756" t="n"/>
      <c r="AS44" s="326" t="n"/>
      <c r="AT44" s="249">
        <f>-$AS$3*H44</f>
        <v/>
      </c>
      <c r="AU44" s="308">
        <f>AT44</f>
        <v/>
      </c>
      <c r="AV44" s="310">
        <f>AT44/R44</f>
        <v/>
      </c>
      <c r="AW44" s="756" t="n"/>
      <c r="AX44" s="326" t="n"/>
      <c r="AY44" s="332">
        <f>AT44+AH44</f>
        <v/>
      </c>
      <c r="AZ44" s="756" t="n"/>
      <c r="BA44" s="326" t="n"/>
      <c r="BB44" s="332" t="n"/>
      <c r="BC44" s="756" t="n"/>
    </row>
    <row r="45">
      <c r="A45" s="752" t="inlineStr">
        <is>
          <t>Jeffrey A. Lipsitz Revocable Trust</t>
        </is>
      </c>
      <c r="B45" s="351">
        <f>_xlfn.XLOOKUP(A45,'CLIP_Schedule B'!A:A,'CLIP_Schedule B'!E:E,0,FALSE)</f>
        <v/>
      </c>
      <c r="C45" s="351">
        <f>_xlfn.XLOOKUP(A45,'Silsbee_Schedule B'!B:B,'Silsbee_Schedule B'!F:F,0,FALSE)</f>
        <v/>
      </c>
      <c r="D45" s="351">
        <f>_xlfn.XLOOKUP(A45,'Q2''26 Management Fee'!B:B,'Q2''26 Management Fee'!C:C)</f>
        <v/>
      </c>
      <c r="E45" s="761">
        <f>SUMIFS(Commitment!G:G,Commitment!A:A,'Subsequent Close'!A45)</f>
        <v/>
      </c>
      <c r="F45" s="760">
        <f>E45/$E$90</f>
        <v/>
      </c>
      <c r="G45" s="761">
        <f>E45</f>
        <v/>
      </c>
      <c r="H45" s="760">
        <f>E45/$E$86</f>
        <v/>
      </c>
      <c r="I45" s="760">
        <f>G45/$G$86</f>
        <v/>
      </c>
      <c r="J45" s="761">
        <f>-G45</f>
        <v/>
      </c>
      <c r="K45" s="760">
        <f>J45/$J$86</f>
        <v/>
      </c>
      <c r="L45" s="762" t="n"/>
      <c r="M45" s="351">
        <f>$M$3*H45</f>
        <v/>
      </c>
      <c r="N45" s="351" t="n">
        <v>-14701.09</v>
      </c>
      <c r="O45" s="351" t="n"/>
      <c r="P45" s="351">
        <f>$P$3*H45</f>
        <v/>
      </c>
      <c r="Q45" s="351" t="n">
        <v>-73797.32288445896</v>
      </c>
      <c r="R45" s="351">
        <f>SUM(M45:Q45)</f>
        <v/>
      </c>
      <c r="S45" s="761" t="n"/>
      <c r="T45" s="249">
        <f>$T$3*I45</f>
        <v/>
      </c>
      <c r="U45" s="754" t="n">
        <v>0</v>
      </c>
      <c r="V45" s="249">
        <f>N45</f>
        <v/>
      </c>
      <c r="W45" s="249">
        <f>I45*$W$3</f>
        <v/>
      </c>
      <c r="X45" s="249">
        <f>$X$3*I45</f>
        <v/>
      </c>
      <c r="Y45" s="249">
        <f>T45+W45+X45+V45+U45</f>
        <v/>
      </c>
      <c r="Z45" s="761" t="n"/>
      <c r="AA45" s="302">
        <f>T45/G45</f>
        <v/>
      </c>
      <c r="AB45" s="303">
        <f>V45/G45</f>
        <v/>
      </c>
      <c r="AC45" s="303">
        <f>W45/G45</f>
        <v/>
      </c>
      <c r="AD45" s="303">
        <f>X45/G45</f>
        <v/>
      </c>
      <c r="AE45" s="919">
        <f>AD45+AC45+AA45</f>
        <v/>
      </c>
      <c r="AF45" s="761" t="n"/>
      <c r="AG45" s="326" t="n"/>
      <c r="AH45" s="332">
        <f>-Y45+R45</f>
        <v/>
      </c>
      <c r="AI45" s="717">
        <f>_xlfn.XLOOKUP(A45,'2.10.26 Sub Close Old'!A:A,'2.10.26 Sub Close Old'!AK:AK)</f>
        <v/>
      </c>
      <c r="AJ45" s="717">
        <f>_xlfn.XLOOKUP(A45,'2.10.26 Sub Close New'!A:A,'2.10.26 Sub Close New'!AJ:AJ)</f>
        <v/>
      </c>
      <c r="AK45" s="717">
        <f>+AJ45-AI45</f>
        <v/>
      </c>
      <c r="AL45" s="717">
        <f>+AH45+AK45</f>
        <v/>
      </c>
      <c r="AM45" s="756" t="n"/>
      <c r="AN45" s="308">
        <f>+Y45</f>
        <v/>
      </c>
      <c r="AO45" s="758">
        <f>AN45/G45</f>
        <v/>
      </c>
      <c r="AP45" s="758">
        <f>AB45</f>
        <v/>
      </c>
      <c r="AQ45" s="310">
        <f>+AO45-AP45</f>
        <v/>
      </c>
      <c r="AR45" s="756" t="n"/>
      <c r="AS45" s="326" t="n"/>
      <c r="AT45" s="249">
        <f>-$AS$3*H45</f>
        <v/>
      </c>
      <c r="AU45" s="308">
        <f>AT45</f>
        <v/>
      </c>
      <c r="AV45" s="310">
        <f>AT45/R45</f>
        <v/>
      </c>
      <c r="AW45" s="756" t="n"/>
      <c r="AX45" s="326" t="n"/>
      <c r="AY45" s="332">
        <f>AT45+AH45</f>
        <v/>
      </c>
      <c r="AZ45" s="756" t="n"/>
      <c r="BA45" s="326" t="n"/>
      <c r="BB45" s="332" t="n"/>
      <c r="BC45" s="756" t="n"/>
    </row>
    <row r="46">
      <c r="A46" s="752" t="inlineStr">
        <is>
          <t>Jeffrey D Furber Revocable Trust</t>
        </is>
      </c>
      <c r="B46" s="351">
        <f>_xlfn.XLOOKUP(A46,'CLIP_Schedule B'!A:A,'CLIP_Schedule B'!E:E,0,FALSE)</f>
        <v/>
      </c>
      <c r="C46" s="351">
        <f>_xlfn.XLOOKUP(A46,'Silsbee_Schedule B'!B:B,'Silsbee_Schedule B'!F:F,0,FALSE)</f>
        <v/>
      </c>
      <c r="D46" s="351">
        <f>_xlfn.XLOOKUP(A46,'Q2''26 Management Fee'!B:B,'Q2''26 Management Fee'!C:C)</f>
        <v/>
      </c>
      <c r="E46" s="761">
        <f>SUMIFS(Commitment!G:G,Commitment!A:A,'Subsequent Close'!A46)</f>
        <v/>
      </c>
      <c r="F46" s="760">
        <f>E46/$E$90</f>
        <v/>
      </c>
      <c r="G46" s="761">
        <f>E46</f>
        <v/>
      </c>
      <c r="H46" s="760">
        <f>E46/$E$86</f>
        <v/>
      </c>
      <c r="I46" s="760">
        <f>G46/$G$86</f>
        <v/>
      </c>
      <c r="J46" s="761">
        <f>-G46</f>
        <v/>
      </c>
      <c r="K46" s="760">
        <f>J46/$J$86</f>
        <v/>
      </c>
      <c r="L46" s="762" t="n"/>
      <c r="M46" s="351">
        <f>$M$3*H46</f>
        <v/>
      </c>
      <c r="N46" s="351" t="n">
        <v>-7350.54</v>
      </c>
      <c r="O46" s="351" t="n"/>
      <c r="P46" s="351">
        <f>$P$3*H46</f>
        <v/>
      </c>
      <c r="Q46" s="351" t="n">
        <v>-36898.66144222948</v>
      </c>
      <c r="R46" s="351">
        <f>SUM(M46:Q46)</f>
        <v/>
      </c>
      <c r="S46" s="761" t="n"/>
      <c r="T46" s="249">
        <f>$T$3*I46</f>
        <v/>
      </c>
      <c r="U46" s="754" t="n">
        <v>0</v>
      </c>
      <c r="V46" s="249">
        <f>N46</f>
        <v/>
      </c>
      <c r="W46" s="249">
        <f>I46*$W$3</f>
        <v/>
      </c>
      <c r="X46" s="249">
        <f>$X$3*I46</f>
        <v/>
      </c>
      <c r="Y46" s="249">
        <f>T46+W46+X46+V46+U46</f>
        <v/>
      </c>
      <c r="Z46" s="761" t="n"/>
      <c r="AA46" s="302">
        <f>T46/G46</f>
        <v/>
      </c>
      <c r="AB46" s="303">
        <f>V46/G46</f>
        <v/>
      </c>
      <c r="AC46" s="303">
        <f>W46/G46</f>
        <v/>
      </c>
      <c r="AD46" s="303">
        <f>X46/G46</f>
        <v/>
      </c>
      <c r="AE46" s="919">
        <f>AD46+AC46+AA46</f>
        <v/>
      </c>
      <c r="AF46" s="761" t="n"/>
      <c r="AG46" s="326" t="n"/>
      <c r="AH46" s="332">
        <f>-Y46+R46</f>
        <v/>
      </c>
      <c r="AI46" s="717">
        <f>_xlfn.XLOOKUP(A46,'2.10.26 Sub Close Old'!A:A,'2.10.26 Sub Close Old'!AK:AK)</f>
        <v/>
      </c>
      <c r="AJ46" s="717">
        <f>_xlfn.XLOOKUP(A46,'2.10.26 Sub Close New'!A:A,'2.10.26 Sub Close New'!AJ:AJ)</f>
        <v/>
      </c>
      <c r="AK46" s="717">
        <f>+AJ46-AI46</f>
        <v/>
      </c>
      <c r="AL46" s="717">
        <f>+AH46+AK46</f>
        <v/>
      </c>
      <c r="AM46" s="756" t="n"/>
      <c r="AN46" s="308">
        <f>+Y46</f>
        <v/>
      </c>
      <c r="AO46" s="758">
        <f>AN46/G46</f>
        <v/>
      </c>
      <c r="AP46" s="758">
        <f>AB46</f>
        <v/>
      </c>
      <c r="AQ46" s="310">
        <f>+AO46-AP46</f>
        <v/>
      </c>
      <c r="AR46" s="756" t="n"/>
      <c r="AS46" s="326" t="n"/>
      <c r="AT46" s="249">
        <f>-$AS$3*H46</f>
        <v/>
      </c>
      <c r="AU46" s="308">
        <f>AT46</f>
        <v/>
      </c>
      <c r="AV46" s="310">
        <f>AT46/R46</f>
        <v/>
      </c>
      <c r="AW46" s="756" t="n"/>
      <c r="AX46" s="326" t="n"/>
      <c r="AY46" s="332">
        <f>AT46+AH46</f>
        <v/>
      </c>
      <c r="AZ46" s="756" t="n"/>
      <c r="BA46" s="326" t="n"/>
      <c r="BB46" s="332" t="n"/>
      <c r="BC46" s="756" t="n"/>
    </row>
    <row r="47">
      <c r="A47" s="752" t="inlineStr">
        <is>
          <t>Jeremy M. Jacobs Trust U/A/D April 1, 1973 fbo Margaret L. Reichenback</t>
        </is>
      </c>
      <c r="B47" s="351">
        <f>_xlfn.XLOOKUP(A47,'CLIP_Schedule B'!A:A,'CLIP_Schedule B'!E:E,0,FALSE)</f>
        <v/>
      </c>
      <c r="C47" s="351">
        <f>_xlfn.XLOOKUP(A47,'Silsbee_Schedule B'!B:B,'Silsbee_Schedule B'!F:F,0,FALSE)</f>
        <v/>
      </c>
      <c r="D47" s="351">
        <f>_xlfn.XLOOKUP(A47,'Q2''26 Management Fee'!B:B,'Q2''26 Management Fee'!C:C)</f>
        <v/>
      </c>
      <c r="E47" s="761">
        <f>SUMIFS(Commitment!G:G,Commitment!A:A,'Subsequent Close'!A47)</f>
        <v/>
      </c>
      <c r="F47" s="760">
        <f>E47/$E$90</f>
        <v/>
      </c>
      <c r="G47" s="761">
        <f>E47</f>
        <v/>
      </c>
      <c r="H47" s="760">
        <f>E47/$E$86</f>
        <v/>
      </c>
      <c r="I47" s="760">
        <f>G47/$G$86</f>
        <v/>
      </c>
      <c r="J47" s="761">
        <f>-G47</f>
        <v/>
      </c>
      <c r="K47" s="760">
        <f>J47/$J$86</f>
        <v/>
      </c>
      <c r="L47" s="762" t="n"/>
      <c r="M47" s="351">
        <f>$M$3*H47</f>
        <v/>
      </c>
      <c r="N47" s="351" t="n">
        <v>-22051.63</v>
      </c>
      <c r="O47" s="351" t="n"/>
      <c r="P47" s="351">
        <f>$P$3*H47</f>
        <v/>
      </c>
      <c r="Q47" s="351" t="n">
        <v>-110695.9843266884</v>
      </c>
      <c r="R47" s="351">
        <f>SUM(M47:Q47)</f>
        <v/>
      </c>
      <c r="S47" s="761" t="n"/>
      <c r="T47" s="249">
        <f>$T$3*I47</f>
        <v/>
      </c>
      <c r="U47" s="754" t="n">
        <v>0</v>
      </c>
      <c r="V47" s="249">
        <f>N47</f>
        <v/>
      </c>
      <c r="W47" s="249">
        <f>I47*$W$3</f>
        <v/>
      </c>
      <c r="X47" s="249">
        <f>$X$3*I47</f>
        <v/>
      </c>
      <c r="Y47" s="249">
        <f>T47+W47+X47+V47+U47</f>
        <v/>
      </c>
      <c r="Z47" s="761" t="n"/>
      <c r="AA47" s="302">
        <f>T47/G47</f>
        <v/>
      </c>
      <c r="AB47" s="303">
        <f>V47/G47</f>
        <v/>
      </c>
      <c r="AC47" s="303">
        <f>W47/G47</f>
        <v/>
      </c>
      <c r="AD47" s="303">
        <f>X47/G47</f>
        <v/>
      </c>
      <c r="AE47" s="919">
        <f>AD47+AC47+AA47</f>
        <v/>
      </c>
      <c r="AF47" s="761" t="n"/>
      <c r="AG47" s="326" t="n"/>
      <c r="AH47" s="332">
        <f>-Y47+R47</f>
        <v/>
      </c>
      <c r="AI47" s="717">
        <f>_xlfn.XLOOKUP(A47,'2.10.26 Sub Close Old'!A:A,'2.10.26 Sub Close Old'!AK:AK)</f>
        <v/>
      </c>
      <c r="AJ47" s="717">
        <f>_xlfn.XLOOKUP(A47,'2.10.26 Sub Close New'!A:A,'2.10.26 Sub Close New'!AJ:AJ)</f>
        <v/>
      </c>
      <c r="AK47" s="717">
        <f>+AJ47-AI47</f>
        <v/>
      </c>
      <c r="AL47" s="717">
        <f>+AH47+AK47</f>
        <v/>
      </c>
      <c r="AM47" s="756" t="n"/>
      <c r="AN47" s="308">
        <f>+Y47</f>
        <v/>
      </c>
      <c r="AO47" s="758">
        <f>AN47/G47</f>
        <v/>
      </c>
      <c r="AP47" s="758">
        <f>AB47</f>
        <v/>
      </c>
      <c r="AQ47" s="310">
        <f>+AO47-AP47</f>
        <v/>
      </c>
      <c r="AR47" s="756" t="n"/>
      <c r="AS47" s="326" t="n"/>
      <c r="AT47" s="249">
        <f>-$AS$3*H47</f>
        <v/>
      </c>
      <c r="AU47" s="308">
        <f>AT47</f>
        <v/>
      </c>
      <c r="AV47" s="310">
        <f>AT47/R47</f>
        <v/>
      </c>
      <c r="AW47" s="756" t="n"/>
      <c r="AX47" s="326" t="n"/>
      <c r="AY47" s="332">
        <f>AT47+AH47</f>
        <v/>
      </c>
      <c r="AZ47" s="756" t="n"/>
      <c r="BA47" s="326" t="n"/>
      <c r="BB47" s="332" t="n"/>
      <c r="BC47" s="756" t="n"/>
    </row>
    <row r="48">
      <c r="A48" s="752" t="inlineStr">
        <is>
          <t>John Mark Comer</t>
        </is>
      </c>
      <c r="B48" s="351">
        <f>_xlfn.XLOOKUP(A48,'CLIP_Schedule B'!A:A,'CLIP_Schedule B'!E:E,0,FALSE)</f>
        <v/>
      </c>
      <c r="C48" s="351">
        <f>_xlfn.XLOOKUP(A48,'Silsbee_Schedule B'!B:B,'Silsbee_Schedule B'!F:F,0,FALSE)</f>
        <v/>
      </c>
      <c r="D48" s="351">
        <f>_xlfn.XLOOKUP(A48,'Q2''26 Management Fee'!B:B,'Q2''26 Management Fee'!C:C)</f>
        <v/>
      </c>
      <c r="E48" s="761">
        <f>SUMIFS(Commitment!G:G,Commitment!A:A,'Subsequent Close'!A48)</f>
        <v/>
      </c>
      <c r="F48" s="760">
        <f>E48/$E$90</f>
        <v/>
      </c>
      <c r="G48" s="761">
        <f>E48</f>
        <v/>
      </c>
      <c r="H48" s="760">
        <f>E48/$E$86</f>
        <v/>
      </c>
      <c r="I48" s="760">
        <f>G48/$G$86</f>
        <v/>
      </c>
      <c r="J48" s="761">
        <f>-G48</f>
        <v/>
      </c>
      <c r="K48" s="760">
        <f>J48/$J$86</f>
        <v/>
      </c>
      <c r="L48" s="762" t="n"/>
      <c r="M48" s="351">
        <f>$M$3*H48</f>
        <v/>
      </c>
      <c r="N48" s="351" t="n">
        <v>-2205.16</v>
      </c>
      <c r="O48" s="351" t="n"/>
      <c r="P48" s="351">
        <f>$P$3*H48</f>
        <v/>
      </c>
      <c r="Q48" s="351" t="n">
        <v>-7379.732288445896</v>
      </c>
      <c r="R48" s="351">
        <f>SUM(M48:Q48)</f>
        <v/>
      </c>
      <c r="S48" s="761" t="n"/>
      <c r="T48" s="249">
        <f>$T$3*I48</f>
        <v/>
      </c>
      <c r="U48" s="754" t="n">
        <v>0</v>
      </c>
      <c r="V48" s="249">
        <f>N48</f>
        <v/>
      </c>
      <c r="W48" s="249">
        <f>I48*$W$3</f>
        <v/>
      </c>
      <c r="X48" s="249">
        <f>$X$3*I48</f>
        <v/>
      </c>
      <c r="Y48" s="249">
        <f>T48+W48+X48+V48+U48</f>
        <v/>
      </c>
      <c r="Z48" s="761" t="n"/>
      <c r="AA48" s="302">
        <f>T48/G48</f>
        <v/>
      </c>
      <c r="AB48" s="303">
        <f>V48/G48</f>
        <v/>
      </c>
      <c r="AC48" s="303">
        <f>W48/G48</f>
        <v/>
      </c>
      <c r="AD48" s="303">
        <f>X48/G48</f>
        <v/>
      </c>
      <c r="AE48" s="919">
        <f>AD48+AC48+AA48</f>
        <v/>
      </c>
      <c r="AF48" s="761" t="n"/>
      <c r="AG48" s="326" t="n"/>
      <c r="AH48" s="332">
        <f>-Y48+R48</f>
        <v/>
      </c>
      <c r="AI48" s="717">
        <f>_xlfn.XLOOKUP(A48,'2.10.26 Sub Close Old'!A:A,'2.10.26 Sub Close Old'!AK:AK)</f>
        <v/>
      </c>
      <c r="AJ48" s="717">
        <f>_xlfn.XLOOKUP(A48,'2.10.26 Sub Close New'!A:A,'2.10.26 Sub Close New'!AJ:AJ)</f>
        <v/>
      </c>
      <c r="AK48" s="717">
        <f>+AJ48-AI48</f>
        <v/>
      </c>
      <c r="AL48" s="717">
        <f>+AH48+AK48</f>
        <v/>
      </c>
      <c r="AM48" s="756" t="n"/>
      <c r="AN48" s="308">
        <f>+Y48</f>
        <v/>
      </c>
      <c r="AO48" s="758">
        <f>AN48/G48</f>
        <v/>
      </c>
      <c r="AP48" s="758">
        <f>AB48</f>
        <v/>
      </c>
      <c r="AQ48" s="310">
        <f>+AO48-AP48</f>
        <v/>
      </c>
      <c r="AR48" s="756" t="n"/>
      <c r="AS48" s="326" t="n"/>
      <c r="AT48" s="249">
        <f>-$AS$3*H48</f>
        <v/>
      </c>
      <c r="AU48" s="308">
        <f>AT48</f>
        <v/>
      </c>
      <c r="AV48" s="310">
        <f>AT48/R48</f>
        <v/>
      </c>
      <c r="AW48" s="756" t="n"/>
      <c r="AX48" s="326" t="n"/>
      <c r="AY48" s="332">
        <f>AT48+AH48</f>
        <v/>
      </c>
      <c r="AZ48" s="756" t="n"/>
      <c r="BA48" s="326" t="n"/>
      <c r="BB48" s="332" t="n"/>
      <c r="BC48" s="756" t="n"/>
    </row>
    <row r="49">
      <c r="A49" s="752" t="inlineStr">
        <is>
          <t>Landscape I, LP</t>
        </is>
      </c>
      <c r="B49" s="351">
        <f>_xlfn.XLOOKUP(A49,'CLIP_Schedule B'!A:A,'CLIP_Schedule B'!E:E,0,FALSE)</f>
        <v/>
      </c>
      <c r="C49" s="351">
        <f>_xlfn.XLOOKUP(A49,'Silsbee_Schedule B'!B:B,'Silsbee_Schedule B'!F:F,0,FALSE)</f>
        <v/>
      </c>
      <c r="D49" s="351">
        <f>_xlfn.XLOOKUP(A49,'Q2''26 Management Fee'!B:B,'Q2''26 Management Fee'!C:C)</f>
        <v/>
      </c>
      <c r="E49" s="761">
        <f>SUMIFS(Commitment!G:G,Commitment!A:A,'Subsequent Close'!A49)</f>
        <v/>
      </c>
      <c r="F49" s="760">
        <f>E49/$E$90</f>
        <v/>
      </c>
      <c r="G49" s="761">
        <f>E49</f>
        <v/>
      </c>
      <c r="H49" s="760">
        <f>E49/$E$86</f>
        <v/>
      </c>
      <c r="I49" s="760">
        <f>G49/$G$86</f>
        <v/>
      </c>
      <c r="J49" s="761">
        <f>-G49</f>
        <v/>
      </c>
      <c r="K49" s="760">
        <f>J49/$J$86</f>
        <v/>
      </c>
      <c r="L49" s="762" t="n"/>
      <c r="M49" s="351">
        <f>$M$3*H49</f>
        <v/>
      </c>
      <c r="N49" s="351" t="n">
        <v>-11025.82</v>
      </c>
      <c r="O49" s="351" t="n"/>
      <c r="P49" s="351">
        <f>$P$3*H49</f>
        <v/>
      </c>
      <c r="Q49" s="351" t="n">
        <v>-55347.99216334422</v>
      </c>
      <c r="R49" s="351">
        <f>SUM(M49:Q49)</f>
        <v/>
      </c>
      <c r="S49" s="761" t="n"/>
      <c r="T49" s="249">
        <f>$T$3*I49</f>
        <v/>
      </c>
      <c r="U49" s="754" t="n">
        <v>0</v>
      </c>
      <c r="V49" s="249">
        <f>N49</f>
        <v/>
      </c>
      <c r="W49" s="249">
        <f>I49*$W$3</f>
        <v/>
      </c>
      <c r="X49" s="249">
        <f>$X$3*I49</f>
        <v/>
      </c>
      <c r="Y49" s="249">
        <f>T49+W49+X49+V49+U49</f>
        <v/>
      </c>
      <c r="Z49" s="761" t="n"/>
      <c r="AA49" s="302">
        <f>T49/G49</f>
        <v/>
      </c>
      <c r="AB49" s="303">
        <f>V49/G49</f>
        <v/>
      </c>
      <c r="AC49" s="303">
        <f>W49/G49</f>
        <v/>
      </c>
      <c r="AD49" s="303">
        <f>X49/G49</f>
        <v/>
      </c>
      <c r="AE49" s="919">
        <f>AD49+AC49+AA49</f>
        <v/>
      </c>
      <c r="AF49" s="761" t="n"/>
      <c r="AG49" s="326" t="n"/>
      <c r="AH49" s="332">
        <f>-Y49+R49</f>
        <v/>
      </c>
      <c r="AI49" s="717">
        <f>_xlfn.XLOOKUP(A49,'2.10.26 Sub Close Old'!A:A,'2.10.26 Sub Close Old'!AK:AK)</f>
        <v/>
      </c>
      <c r="AJ49" s="717">
        <f>_xlfn.XLOOKUP(A49,'2.10.26 Sub Close New'!A:A,'2.10.26 Sub Close New'!AJ:AJ)</f>
        <v/>
      </c>
      <c r="AK49" s="717">
        <f>+AJ49-AI49</f>
        <v/>
      </c>
      <c r="AL49" s="717">
        <f>+AH49+AK49</f>
        <v/>
      </c>
      <c r="AM49" s="756" t="n"/>
      <c r="AN49" s="308">
        <f>+Y49</f>
        <v/>
      </c>
      <c r="AO49" s="758">
        <f>AN49/G49</f>
        <v/>
      </c>
      <c r="AP49" s="758">
        <f>AB49</f>
        <v/>
      </c>
      <c r="AQ49" s="310">
        <f>+AO49-AP49</f>
        <v/>
      </c>
      <c r="AR49" s="756" t="n"/>
      <c r="AS49" s="326" t="n"/>
      <c r="AT49" s="249">
        <f>-$AS$3*H49</f>
        <v/>
      </c>
      <c r="AU49" s="308">
        <f>AT49</f>
        <v/>
      </c>
      <c r="AV49" s="310">
        <f>AT49/R49</f>
        <v/>
      </c>
      <c r="AW49" s="756" t="n"/>
      <c r="AX49" s="326" t="n"/>
      <c r="AY49" s="332">
        <f>AT49+AH49</f>
        <v/>
      </c>
      <c r="AZ49" s="756" t="n"/>
      <c r="BA49" s="326" t="n"/>
      <c r="BB49" s="332" t="n"/>
      <c r="BC49" s="756" t="n"/>
    </row>
    <row r="50">
      <c r="A50" s="752" t="inlineStr">
        <is>
          <t>Lisa Bell Trust, Elisabeth B. Bell, Trustee</t>
        </is>
      </c>
      <c r="B50" s="351">
        <f>_xlfn.XLOOKUP(A50,'CLIP_Schedule B'!A:A,'CLIP_Schedule B'!E:E,0,FALSE)</f>
        <v/>
      </c>
      <c r="C50" s="351">
        <f>_xlfn.XLOOKUP(A50,'Silsbee_Schedule B'!B:B,'Silsbee_Schedule B'!F:F,0,FALSE)</f>
        <v/>
      </c>
      <c r="D50" s="351">
        <f>_xlfn.XLOOKUP(A50,'Q2''26 Management Fee'!B:B,'Q2''26 Management Fee'!C:C)</f>
        <v/>
      </c>
      <c r="E50" s="761">
        <f>SUMIFS(Commitment!G:G,Commitment!A:A,'Subsequent Close'!A50)</f>
        <v/>
      </c>
      <c r="F50" s="760">
        <f>E50/$E$90</f>
        <v/>
      </c>
      <c r="G50" s="761">
        <f>E50</f>
        <v/>
      </c>
      <c r="H50" s="760">
        <f>E50/$E$86</f>
        <v/>
      </c>
      <c r="I50" s="760">
        <f>G50/$G$86</f>
        <v/>
      </c>
      <c r="J50" s="761">
        <f>-G50</f>
        <v/>
      </c>
      <c r="K50" s="760">
        <f>J50/$J$86</f>
        <v/>
      </c>
      <c r="L50" s="762" t="n"/>
      <c r="M50" s="351">
        <f>$M$3*H50</f>
        <v/>
      </c>
      <c r="N50" s="351" t="n">
        <v>-2801.56</v>
      </c>
      <c r="O50" s="351" t="n"/>
      <c r="P50" s="351">
        <f>$P$3*H50</f>
        <v/>
      </c>
      <c r="Q50" s="351" t="n">
        <v>-17335.06125301615</v>
      </c>
      <c r="R50" s="351">
        <f>SUM(M50:Q50)</f>
        <v/>
      </c>
      <c r="S50" s="761" t="n"/>
      <c r="T50" s="249">
        <f>$T$3*I50</f>
        <v/>
      </c>
      <c r="U50" s="754" t="n">
        <v>0</v>
      </c>
      <c r="V50" s="249">
        <f>N50</f>
        <v/>
      </c>
      <c r="W50" s="249">
        <f>I50*$W$3</f>
        <v/>
      </c>
      <c r="X50" s="249">
        <f>$X$3*I50</f>
        <v/>
      </c>
      <c r="Y50" s="249">
        <f>T50+W50+X50+V50+U50</f>
        <v/>
      </c>
      <c r="Z50" s="761" t="n"/>
      <c r="AA50" s="302">
        <f>T50/G50</f>
        <v/>
      </c>
      <c r="AB50" s="303">
        <f>V50/G50</f>
        <v/>
      </c>
      <c r="AC50" s="303">
        <f>W50/G50</f>
        <v/>
      </c>
      <c r="AD50" s="303">
        <f>X50/G50</f>
        <v/>
      </c>
      <c r="AE50" s="919">
        <f>AD50+AC50+AA50</f>
        <v/>
      </c>
      <c r="AF50" s="761" t="n"/>
      <c r="AG50" s="326" t="n"/>
      <c r="AH50" s="332">
        <f>-Y50+R50</f>
        <v/>
      </c>
      <c r="AI50" s="717">
        <f>_xlfn.XLOOKUP(A50,'2.10.26 Sub Close Old'!A:A,'2.10.26 Sub Close Old'!AK:AK)</f>
        <v/>
      </c>
      <c r="AJ50" s="717">
        <f>_xlfn.XLOOKUP(A50,'2.10.26 Sub Close New'!A:A,'2.10.26 Sub Close New'!AJ:AJ)</f>
        <v/>
      </c>
      <c r="AK50" s="717">
        <f>+AJ50-AI50</f>
        <v/>
      </c>
      <c r="AL50" s="717">
        <f>+AH50+AK50</f>
        <v/>
      </c>
      <c r="AM50" s="756" t="n"/>
      <c r="AN50" s="308">
        <f>+Y50</f>
        <v/>
      </c>
      <c r="AO50" s="758">
        <f>AN50/G50</f>
        <v/>
      </c>
      <c r="AP50" s="758">
        <f>AB50</f>
        <v/>
      </c>
      <c r="AQ50" s="310">
        <f>+AO50-AP50</f>
        <v/>
      </c>
      <c r="AR50" s="756" t="n"/>
      <c r="AS50" s="326" t="n"/>
      <c r="AT50" s="249">
        <f>-$AS$3*H50</f>
        <v/>
      </c>
      <c r="AU50" s="308">
        <f>AT50</f>
        <v/>
      </c>
      <c r="AV50" s="310">
        <f>AT50/R50</f>
        <v/>
      </c>
      <c r="AW50" s="756" t="n"/>
      <c r="AX50" s="326" t="n"/>
      <c r="AY50" s="332">
        <f>AT50+AH50</f>
        <v/>
      </c>
      <c r="AZ50" s="756" t="n"/>
      <c r="BA50" s="326" t="n"/>
      <c r="BB50" s="332" t="n"/>
      <c r="BC50" s="756" t="n"/>
    </row>
    <row r="51">
      <c r="A51" s="752" t="inlineStr">
        <is>
          <t>Madten Investments LLC</t>
        </is>
      </c>
      <c r="B51" s="351">
        <f>_xlfn.XLOOKUP(A51,'CLIP_Schedule B'!A:A,'CLIP_Schedule B'!E:E,0,FALSE)</f>
        <v/>
      </c>
      <c r="C51" s="351">
        <f>_xlfn.XLOOKUP(A51,'Silsbee_Schedule B'!B:B,'Silsbee_Schedule B'!F:F,0,FALSE)</f>
        <v/>
      </c>
      <c r="D51" s="351">
        <f>_xlfn.XLOOKUP(A51,'Q2''26 Management Fee'!B:B,'Q2''26 Management Fee'!C:C)</f>
        <v/>
      </c>
      <c r="E51" s="761">
        <f>SUMIFS(Commitment!G:G,Commitment!A:A,'Subsequent Close'!A51)</f>
        <v/>
      </c>
      <c r="F51" s="760">
        <f>E51/$E$90</f>
        <v/>
      </c>
      <c r="G51" s="761">
        <f>E51</f>
        <v/>
      </c>
      <c r="H51" s="760">
        <f>E51/$E$86</f>
        <v/>
      </c>
      <c r="I51" s="760">
        <f>G51/$G$86</f>
        <v/>
      </c>
      <c r="J51" s="761">
        <f>-G51</f>
        <v/>
      </c>
      <c r="K51" s="760">
        <f>J51/$J$86</f>
        <v/>
      </c>
      <c r="L51" s="762" t="n"/>
      <c r="M51" s="351">
        <f>$M$3*H51</f>
        <v/>
      </c>
      <c r="N51" s="351" t="n">
        <v>-14701.09</v>
      </c>
      <c r="O51" s="351" t="n"/>
      <c r="P51" s="351">
        <f>$P$3*H51</f>
        <v/>
      </c>
      <c r="Q51" s="351" t="n">
        <v>-73797.32288445896</v>
      </c>
      <c r="R51" s="351">
        <f>SUM(M51:Q51)</f>
        <v/>
      </c>
      <c r="S51" s="761" t="n"/>
      <c r="T51" s="249">
        <f>$T$3*I51</f>
        <v/>
      </c>
      <c r="U51" s="754" t="n">
        <v>0</v>
      </c>
      <c r="V51" s="249">
        <f>N51</f>
        <v/>
      </c>
      <c r="W51" s="249">
        <f>I51*$W$3</f>
        <v/>
      </c>
      <c r="X51" s="249">
        <f>$X$3*I51</f>
        <v/>
      </c>
      <c r="Y51" s="249">
        <f>T51+W51+X51+V51+U51</f>
        <v/>
      </c>
      <c r="Z51" s="761" t="n"/>
      <c r="AA51" s="302">
        <f>T51/G51</f>
        <v/>
      </c>
      <c r="AB51" s="303">
        <f>V51/G51</f>
        <v/>
      </c>
      <c r="AC51" s="303">
        <f>W51/G51</f>
        <v/>
      </c>
      <c r="AD51" s="303">
        <f>X51/G51</f>
        <v/>
      </c>
      <c r="AE51" s="919">
        <f>AD51+AC51+AA51</f>
        <v/>
      </c>
      <c r="AF51" s="761" t="n"/>
      <c r="AG51" s="326" t="n"/>
      <c r="AH51" s="332">
        <f>-Y51+R51</f>
        <v/>
      </c>
      <c r="AI51" s="717">
        <f>_xlfn.XLOOKUP(A51,'2.10.26 Sub Close Old'!A:A,'2.10.26 Sub Close Old'!AK:AK)</f>
        <v/>
      </c>
      <c r="AJ51" s="717">
        <f>_xlfn.XLOOKUP(A51,'2.10.26 Sub Close New'!A:A,'2.10.26 Sub Close New'!AJ:AJ)</f>
        <v/>
      </c>
      <c r="AK51" s="717">
        <f>+AJ51-AI51</f>
        <v/>
      </c>
      <c r="AL51" s="717">
        <f>+AH51+AK51</f>
        <v/>
      </c>
      <c r="AM51" s="756" t="n"/>
      <c r="AN51" s="308">
        <f>+Y51</f>
        <v/>
      </c>
      <c r="AO51" s="758">
        <f>AN51/G51</f>
        <v/>
      </c>
      <c r="AP51" s="758">
        <f>AB51</f>
        <v/>
      </c>
      <c r="AQ51" s="310">
        <f>+AO51-AP51</f>
        <v/>
      </c>
      <c r="AR51" s="756" t="n"/>
      <c r="AS51" s="326" t="n"/>
      <c r="AT51" s="249">
        <f>-$AS$3*H51</f>
        <v/>
      </c>
      <c r="AU51" s="308">
        <f>AT51</f>
        <v/>
      </c>
      <c r="AV51" s="310">
        <f>AT51/R51</f>
        <v/>
      </c>
      <c r="AW51" s="756" t="n"/>
      <c r="AX51" s="326" t="n"/>
      <c r="AY51" s="332">
        <f>AT51+AH51</f>
        <v/>
      </c>
      <c r="AZ51" s="756" t="n"/>
      <c r="BA51" s="326" t="n"/>
      <c r="BB51" s="332" t="n"/>
      <c r="BC51" s="756" t="n"/>
    </row>
    <row r="52">
      <c r="A52" s="752" t="inlineStr">
        <is>
          <t>Matt McCoy</t>
        </is>
      </c>
      <c r="B52" s="351">
        <f>_xlfn.XLOOKUP(A52,'CLIP_Schedule B'!A:A,'CLIP_Schedule B'!E:E,0,FALSE)</f>
        <v/>
      </c>
      <c r="C52" s="351">
        <f>_xlfn.XLOOKUP(A52,'Silsbee_Schedule B'!B:B,'Silsbee_Schedule B'!F:F,0,FALSE)</f>
        <v/>
      </c>
      <c r="D52" s="351">
        <f>_xlfn.XLOOKUP(A52,'Q2''26 Management Fee'!B:B,'Q2''26 Management Fee'!C:C)</f>
        <v/>
      </c>
      <c r="E52" s="761">
        <f>SUMIFS(Commitment!G:G,Commitment!A:A,'Subsequent Close'!A52)</f>
        <v/>
      </c>
      <c r="F52" s="760">
        <f>E52/$E$90</f>
        <v/>
      </c>
      <c r="G52" s="761">
        <f>E52</f>
        <v/>
      </c>
      <c r="H52" s="760">
        <f>E52/$E$86</f>
        <v/>
      </c>
      <c r="I52" s="760">
        <f>G52/$G$86</f>
        <v/>
      </c>
      <c r="J52" s="761">
        <f>-G52</f>
        <v/>
      </c>
      <c r="K52" s="760">
        <f>J52/$J$86</f>
        <v/>
      </c>
      <c r="L52" s="762" t="n"/>
      <c r="M52" s="351">
        <f>$M$3*H52</f>
        <v/>
      </c>
      <c r="N52" s="351" t="n">
        <v>-1400.77</v>
      </c>
      <c r="O52" s="351" t="n"/>
      <c r="P52" s="351">
        <f>$P$3*H52</f>
        <v/>
      </c>
      <c r="Q52" s="351" t="n">
        <v>-8667.530257521459</v>
      </c>
      <c r="R52" s="351">
        <f>SUM(M52:Q52)</f>
        <v/>
      </c>
      <c r="S52" s="761" t="n"/>
      <c r="T52" s="249">
        <f>$T$3*I52</f>
        <v/>
      </c>
      <c r="U52" s="754" t="n">
        <v>0</v>
      </c>
      <c r="V52" s="249">
        <f>N52</f>
        <v/>
      </c>
      <c r="W52" s="249">
        <f>I52*$W$3</f>
        <v/>
      </c>
      <c r="X52" s="249">
        <f>$X$3*I52</f>
        <v/>
      </c>
      <c r="Y52" s="249">
        <f>T52+W52+X52+V52+U52</f>
        <v/>
      </c>
      <c r="Z52" s="761" t="n"/>
      <c r="AA52" s="302">
        <f>T52/G52</f>
        <v/>
      </c>
      <c r="AB52" s="303">
        <f>V52/G52</f>
        <v/>
      </c>
      <c r="AC52" s="303">
        <f>W52/G52</f>
        <v/>
      </c>
      <c r="AD52" s="303">
        <f>X52/G52</f>
        <v/>
      </c>
      <c r="AE52" s="919">
        <f>AD52+AC52+AA52</f>
        <v/>
      </c>
      <c r="AF52" s="761" t="n"/>
      <c r="AG52" s="326" t="n"/>
      <c r="AH52" s="332">
        <f>-Y52+R52</f>
        <v/>
      </c>
      <c r="AI52" s="717">
        <f>_xlfn.XLOOKUP(A52,'2.10.26 Sub Close Old'!A:A,'2.10.26 Sub Close Old'!AK:AK)</f>
        <v/>
      </c>
      <c r="AJ52" s="717">
        <f>_xlfn.XLOOKUP(A52,'2.10.26 Sub Close New'!A:A,'2.10.26 Sub Close New'!AJ:AJ)</f>
        <v/>
      </c>
      <c r="AK52" s="717">
        <f>+AJ52-AI52</f>
        <v/>
      </c>
      <c r="AL52" s="717">
        <f>+AH52+AK52</f>
        <v/>
      </c>
      <c r="AM52" s="756" t="n"/>
      <c r="AN52" s="308">
        <f>+Y52</f>
        <v/>
      </c>
      <c r="AO52" s="758">
        <f>AN52/G52</f>
        <v/>
      </c>
      <c r="AP52" s="758">
        <f>AB52</f>
        <v/>
      </c>
      <c r="AQ52" s="310">
        <f>+AO52-AP52</f>
        <v/>
      </c>
      <c r="AR52" s="756" t="n"/>
      <c r="AS52" s="326" t="n"/>
      <c r="AT52" s="249">
        <f>-$AS$3*H52</f>
        <v/>
      </c>
      <c r="AU52" s="308">
        <f>AT52</f>
        <v/>
      </c>
      <c r="AV52" s="310">
        <f>AT52/R52</f>
        <v/>
      </c>
      <c r="AW52" s="756" t="n"/>
      <c r="AX52" s="326" t="n"/>
      <c r="AY52" s="332">
        <f>AT52+AH52</f>
        <v/>
      </c>
      <c r="AZ52" s="756" t="n"/>
      <c r="BA52" s="326" t="n"/>
      <c r="BB52" s="332" t="n"/>
      <c r="BC52" s="756" t="n"/>
    </row>
    <row r="53">
      <c r="A53" s="752" t="inlineStr">
        <is>
          <t>Matterhorn Holdings, LLC</t>
        </is>
      </c>
      <c r="B53" s="351">
        <f>_xlfn.XLOOKUP(A53,'CLIP_Schedule B'!A:A,'CLIP_Schedule B'!E:E,0,FALSE)</f>
        <v/>
      </c>
      <c r="C53" s="351">
        <f>_xlfn.XLOOKUP(A53,'Silsbee_Schedule B'!B:B,'Silsbee_Schedule B'!F:F,0,FALSE)</f>
        <v/>
      </c>
      <c r="D53" s="351">
        <f>_xlfn.XLOOKUP(A53,'Q2''26 Management Fee'!B:B,'Q2''26 Management Fee'!C:C)</f>
        <v/>
      </c>
      <c r="E53" s="761">
        <f>SUMIFS(Commitment!G:G,Commitment!A:A,'Subsequent Close'!A53)</f>
        <v/>
      </c>
      <c r="F53" s="760">
        <f>E53/$E$90</f>
        <v/>
      </c>
      <c r="G53" s="761">
        <f>E53</f>
        <v/>
      </c>
      <c r="H53" s="760">
        <f>E53/$E$86</f>
        <v/>
      </c>
      <c r="I53" s="760">
        <f>G53/$G$86</f>
        <v/>
      </c>
      <c r="J53" s="761">
        <f>-G53</f>
        <v/>
      </c>
      <c r="K53" s="760">
        <f>J53/$J$86</f>
        <v/>
      </c>
      <c r="L53" s="762" t="n"/>
      <c r="M53" s="351">
        <f>$M$3*H53</f>
        <v/>
      </c>
      <c r="N53" s="351" t="n">
        <v>-2205.16</v>
      </c>
      <c r="O53" s="351" t="n"/>
      <c r="P53" s="351">
        <f>$P$3*H53</f>
        <v/>
      </c>
      <c r="Q53" s="351" t="n">
        <v>-7379.732288445896</v>
      </c>
      <c r="R53" s="351">
        <f>SUM(M53:Q53)</f>
        <v/>
      </c>
      <c r="S53" s="761" t="n"/>
      <c r="T53" s="249">
        <f>$T$3*I53</f>
        <v/>
      </c>
      <c r="U53" s="754" t="n">
        <v>0</v>
      </c>
      <c r="V53" s="249">
        <f>N53</f>
        <v/>
      </c>
      <c r="W53" s="249">
        <f>I53*$W$3</f>
        <v/>
      </c>
      <c r="X53" s="249">
        <f>$X$3*I53</f>
        <v/>
      </c>
      <c r="Y53" s="249">
        <f>T53+W53+X53+V53+U53</f>
        <v/>
      </c>
      <c r="Z53" s="761" t="n"/>
      <c r="AA53" s="302">
        <f>T53/G53</f>
        <v/>
      </c>
      <c r="AB53" s="303">
        <f>V53/G53</f>
        <v/>
      </c>
      <c r="AC53" s="303">
        <f>W53/G53</f>
        <v/>
      </c>
      <c r="AD53" s="303">
        <f>X53/G53</f>
        <v/>
      </c>
      <c r="AE53" s="919">
        <f>AD53+AC53+AA53</f>
        <v/>
      </c>
      <c r="AF53" s="761" t="n"/>
      <c r="AG53" s="326" t="n"/>
      <c r="AH53" s="332">
        <f>-Y53+R53</f>
        <v/>
      </c>
      <c r="AI53" s="717">
        <f>_xlfn.XLOOKUP(A53,'2.10.26 Sub Close Old'!A:A,'2.10.26 Sub Close Old'!AK:AK)</f>
        <v/>
      </c>
      <c r="AJ53" s="717">
        <f>_xlfn.XLOOKUP(A53,'2.10.26 Sub Close New'!A:A,'2.10.26 Sub Close New'!AJ:AJ)</f>
        <v/>
      </c>
      <c r="AK53" s="717">
        <f>+AJ53-AI53</f>
        <v/>
      </c>
      <c r="AL53" s="717">
        <f>+AH53+AK53</f>
        <v/>
      </c>
      <c r="AM53" s="756" t="n"/>
      <c r="AN53" s="308">
        <f>+Y53</f>
        <v/>
      </c>
      <c r="AO53" s="758">
        <f>AN53/G53</f>
        <v/>
      </c>
      <c r="AP53" s="758">
        <f>AB53</f>
        <v/>
      </c>
      <c r="AQ53" s="310">
        <f>+AO53-AP53</f>
        <v/>
      </c>
      <c r="AR53" s="756" t="n"/>
      <c r="AS53" s="326" t="n"/>
      <c r="AT53" s="249">
        <f>-$AS$3*H53</f>
        <v/>
      </c>
      <c r="AU53" s="308">
        <f>AT53</f>
        <v/>
      </c>
      <c r="AV53" s="310">
        <f>AT53/R53</f>
        <v/>
      </c>
      <c r="AW53" s="756" t="n"/>
      <c r="AX53" s="326" t="n"/>
      <c r="AY53" s="332">
        <f>AT53+AH53</f>
        <v/>
      </c>
      <c r="AZ53" s="756" t="n"/>
      <c r="BA53" s="326" t="n"/>
      <c r="BB53" s="332" t="n"/>
      <c r="BC53" s="756" t="n"/>
    </row>
    <row r="54">
      <c r="A54" s="752" t="inlineStr">
        <is>
          <t>Max O. Reinbach III</t>
        </is>
      </c>
      <c r="B54" s="351">
        <f>_xlfn.XLOOKUP(A54,'CLIP_Schedule B'!A:A,'CLIP_Schedule B'!E:E,0,FALSE)</f>
        <v/>
      </c>
      <c r="C54" s="351">
        <f>_xlfn.XLOOKUP(A54,'Silsbee_Schedule B'!B:B,'Silsbee_Schedule B'!F:F,0,FALSE)</f>
        <v/>
      </c>
      <c r="D54" s="351">
        <f>_xlfn.XLOOKUP(A54,'Q2''26 Management Fee'!B:B,'Q2''26 Management Fee'!C:C)</f>
        <v/>
      </c>
      <c r="E54" s="761">
        <f>SUMIFS(Commitment!G:G,Commitment!A:A,'Subsequent Close'!A54)</f>
        <v/>
      </c>
      <c r="F54" s="760">
        <f>E54/$E$90</f>
        <v/>
      </c>
      <c r="G54" s="761">
        <f>E54</f>
        <v/>
      </c>
      <c r="H54" s="760">
        <f>E54/$E$86</f>
        <v/>
      </c>
      <c r="I54" s="760">
        <f>G54/$G$86</f>
        <v/>
      </c>
      <c r="J54" s="761">
        <f>-G54</f>
        <v/>
      </c>
      <c r="K54" s="760">
        <f>J54/$J$86</f>
        <v/>
      </c>
      <c r="L54" s="762" t="n"/>
      <c r="M54" s="351">
        <f>$M$3*H54</f>
        <v/>
      </c>
      <c r="N54" s="351" t="n">
        <v>-933.86</v>
      </c>
      <c r="O54" s="351" t="n"/>
      <c r="P54" s="351">
        <f>$P$3*H54</f>
        <v/>
      </c>
      <c r="Q54" s="351" t="n">
        <v>-5778.35399699646</v>
      </c>
      <c r="R54" s="351">
        <f>SUM(M54:Q54)</f>
        <v/>
      </c>
      <c r="S54" s="761" t="n"/>
      <c r="T54" s="249">
        <f>$T$3*I54</f>
        <v/>
      </c>
      <c r="U54" s="754" t="n">
        <v>0</v>
      </c>
      <c r="V54" s="249">
        <f>N54</f>
        <v/>
      </c>
      <c r="W54" s="249">
        <f>I54*$W$3</f>
        <v/>
      </c>
      <c r="X54" s="249">
        <f>$X$3*I54</f>
        <v/>
      </c>
      <c r="Y54" s="249">
        <f>T54+W54+X54+V54+U54</f>
        <v/>
      </c>
      <c r="Z54" s="761" t="n"/>
      <c r="AA54" s="302">
        <f>T54/G54</f>
        <v/>
      </c>
      <c r="AB54" s="303">
        <f>V54/G54</f>
        <v/>
      </c>
      <c r="AC54" s="303">
        <f>W54/G54</f>
        <v/>
      </c>
      <c r="AD54" s="303">
        <f>X54/G54</f>
        <v/>
      </c>
      <c r="AE54" s="919">
        <f>AD54+AC54+AA54</f>
        <v/>
      </c>
      <c r="AF54" s="761" t="n"/>
      <c r="AG54" s="326" t="n"/>
      <c r="AH54" s="332">
        <f>-Y54+R54</f>
        <v/>
      </c>
      <c r="AI54" s="717">
        <f>_xlfn.XLOOKUP(A54,'2.10.26 Sub Close Old'!A:A,'2.10.26 Sub Close Old'!AK:AK)</f>
        <v/>
      </c>
      <c r="AJ54" s="717">
        <f>_xlfn.XLOOKUP(A54,'2.10.26 Sub Close New'!A:A,'2.10.26 Sub Close New'!AJ:AJ)</f>
        <v/>
      </c>
      <c r="AK54" s="717">
        <f>+AJ54-AI54</f>
        <v/>
      </c>
      <c r="AL54" s="717">
        <f>+AH54+AK54</f>
        <v/>
      </c>
      <c r="AM54" s="756" t="n"/>
      <c r="AN54" s="308">
        <f>+Y54</f>
        <v/>
      </c>
      <c r="AO54" s="758">
        <f>AN54/G54</f>
        <v/>
      </c>
      <c r="AP54" s="758">
        <f>AB54</f>
        <v/>
      </c>
      <c r="AQ54" s="310">
        <f>+AO54-AP54</f>
        <v/>
      </c>
      <c r="AR54" s="756" t="n"/>
      <c r="AS54" s="326" t="n"/>
      <c r="AT54" s="249">
        <f>-$AS$3*H54</f>
        <v/>
      </c>
      <c r="AU54" s="308">
        <f>AT54</f>
        <v/>
      </c>
      <c r="AV54" s="310">
        <f>AT54/R54</f>
        <v/>
      </c>
      <c r="AW54" s="756" t="n"/>
      <c r="AX54" s="326" t="n"/>
      <c r="AY54" s="332">
        <f>AT54+AH54</f>
        <v/>
      </c>
      <c r="AZ54" s="756" t="n"/>
      <c r="BA54" s="326" t="n"/>
      <c r="BB54" s="332" t="n"/>
      <c r="BC54" s="756" t="n"/>
    </row>
    <row r="55">
      <c r="A55" s="752" t="inlineStr">
        <is>
          <t>Meghann C. Robinson</t>
        </is>
      </c>
      <c r="B55" s="351">
        <f>_xlfn.XLOOKUP(A55,'CLIP_Schedule B'!A:A,'CLIP_Schedule B'!E:E,0,FALSE)</f>
        <v/>
      </c>
      <c r="C55" s="351">
        <f>_xlfn.XLOOKUP(A55,'Silsbee_Schedule B'!B:B,'Silsbee_Schedule B'!F:F,0,FALSE)</f>
        <v/>
      </c>
      <c r="D55" s="351">
        <f>_xlfn.XLOOKUP(A55,'Q2''26 Management Fee'!B:B,'Q2''26 Management Fee'!C:C)</f>
        <v/>
      </c>
      <c r="E55" s="761">
        <f>SUMIFS(Commitment!G:G,Commitment!A:A,'Subsequent Close'!A55)</f>
        <v/>
      </c>
      <c r="F55" s="760">
        <f>E55/$E$90</f>
        <v/>
      </c>
      <c r="G55" s="761">
        <f>E55</f>
        <v/>
      </c>
      <c r="H55" s="760">
        <f>E55/$E$86</f>
        <v/>
      </c>
      <c r="I55" s="760">
        <f>G55/$G$86</f>
        <v/>
      </c>
      <c r="J55" s="761">
        <f>-G55</f>
        <v/>
      </c>
      <c r="K55" s="760">
        <f>J55/$J$86</f>
        <v/>
      </c>
      <c r="L55" s="762" t="n"/>
      <c r="M55" s="351">
        <f>$M$3*H55</f>
        <v/>
      </c>
      <c r="N55" s="351" t="n">
        <v>-9338.51</v>
      </c>
      <c r="O55" s="351" t="n"/>
      <c r="P55" s="351">
        <f>$P$3*H55</f>
        <v/>
      </c>
      <c r="Q55" s="351" t="n">
        <v>-57783.53701807168</v>
      </c>
      <c r="R55" s="351">
        <f>SUM(M55:Q55)</f>
        <v/>
      </c>
      <c r="S55" s="761" t="n"/>
      <c r="T55" s="249">
        <f>$T$3*I55</f>
        <v/>
      </c>
      <c r="U55" s="754" t="n">
        <v>0</v>
      </c>
      <c r="V55" s="249">
        <f>N55</f>
        <v/>
      </c>
      <c r="W55" s="249">
        <f>I55*$W$3</f>
        <v/>
      </c>
      <c r="X55" s="249">
        <f>$X$3*I55</f>
        <v/>
      </c>
      <c r="Y55" s="249">
        <f>T55+W55+X55+V55+U55</f>
        <v/>
      </c>
      <c r="Z55" s="761" t="n"/>
      <c r="AA55" s="302">
        <f>T55/G55</f>
        <v/>
      </c>
      <c r="AB55" s="303">
        <f>V55/G55</f>
        <v/>
      </c>
      <c r="AC55" s="303">
        <f>W55/G55</f>
        <v/>
      </c>
      <c r="AD55" s="303">
        <f>X55/G55</f>
        <v/>
      </c>
      <c r="AE55" s="919">
        <f>AD55+AC55+AA55</f>
        <v/>
      </c>
      <c r="AF55" s="761" t="n"/>
      <c r="AG55" s="326" t="n"/>
      <c r="AH55" s="332">
        <f>-Y55+R55</f>
        <v/>
      </c>
      <c r="AI55" s="717">
        <f>_xlfn.XLOOKUP(A55,'2.10.26 Sub Close Old'!A:A,'2.10.26 Sub Close Old'!AK:AK)</f>
        <v/>
      </c>
      <c r="AJ55" s="717">
        <f>_xlfn.XLOOKUP(A55,'2.10.26 Sub Close New'!A:A,'2.10.26 Sub Close New'!AJ:AJ)</f>
        <v/>
      </c>
      <c r="AK55" s="717">
        <f>+AJ55-AI55</f>
        <v/>
      </c>
      <c r="AL55" s="717">
        <f>+AH55+AK55</f>
        <v/>
      </c>
      <c r="AM55" s="756" t="n"/>
      <c r="AN55" s="308">
        <f>+Y55</f>
        <v/>
      </c>
      <c r="AO55" s="758">
        <f>AN55/G55</f>
        <v/>
      </c>
      <c r="AP55" s="758">
        <f>AB55</f>
        <v/>
      </c>
      <c r="AQ55" s="310">
        <f>+AO55-AP55</f>
        <v/>
      </c>
      <c r="AR55" s="756" t="n"/>
      <c r="AS55" s="326" t="n"/>
      <c r="AT55" s="249">
        <f>-$AS$3*H55</f>
        <v/>
      </c>
      <c r="AU55" s="308">
        <f>AT55</f>
        <v/>
      </c>
      <c r="AV55" s="310">
        <f>AT55/R55</f>
        <v/>
      </c>
      <c r="AW55" s="756" t="n"/>
      <c r="AX55" s="326" t="n"/>
      <c r="AY55" s="332">
        <f>AT55+AH55</f>
        <v/>
      </c>
      <c r="AZ55" s="756" t="n"/>
      <c r="BA55" s="326" t="n"/>
      <c r="BB55" s="332" t="n"/>
      <c r="BC55" s="756" t="n"/>
    </row>
    <row r="56">
      <c r="A56" s="752" t="inlineStr">
        <is>
          <t>Nahas Investments II LLC</t>
        </is>
      </c>
      <c r="B56" s="351">
        <f>_xlfn.XLOOKUP(A56,'CLIP_Schedule B'!A:A,'CLIP_Schedule B'!E:E,0,FALSE)</f>
        <v/>
      </c>
      <c r="C56" s="351">
        <f>_xlfn.XLOOKUP(A56,'Silsbee_Schedule B'!B:B,'Silsbee_Schedule B'!F:F,0,FALSE)</f>
        <v/>
      </c>
      <c r="D56" s="351">
        <f>_xlfn.XLOOKUP(A56,'Q2''26 Management Fee'!B:B,'Q2''26 Management Fee'!C:C)</f>
        <v/>
      </c>
      <c r="E56" s="761">
        <f>SUMIFS(Commitment!G:G,Commitment!A:A,'Subsequent Close'!A56)</f>
        <v/>
      </c>
      <c r="F56" s="760">
        <f>E56/$E$90</f>
        <v/>
      </c>
      <c r="G56" s="761">
        <f>E56</f>
        <v/>
      </c>
      <c r="H56" s="760">
        <f>E56/$E$86</f>
        <v/>
      </c>
      <c r="I56" s="760">
        <f>G56/$G$86</f>
        <v/>
      </c>
      <c r="J56" s="761">
        <f>-G56</f>
        <v/>
      </c>
      <c r="K56" s="760">
        <f>J56/$J$86</f>
        <v/>
      </c>
      <c r="L56" s="762" t="n"/>
      <c r="M56" s="351">
        <f>$M$3*H56</f>
        <v/>
      </c>
      <c r="N56" s="351" t="n">
        <v>-4669.25</v>
      </c>
      <c r="O56" s="351" t="n"/>
      <c r="P56" s="351">
        <f>$P$3*H56</f>
        <v/>
      </c>
      <c r="Q56" s="351" t="n">
        <v>-28891.76850903584</v>
      </c>
      <c r="R56" s="351">
        <f>SUM(M56:Q56)</f>
        <v/>
      </c>
      <c r="S56" s="761" t="n"/>
      <c r="T56" s="249">
        <f>$T$3*I56</f>
        <v/>
      </c>
      <c r="U56" s="754" t="n">
        <v>0</v>
      </c>
      <c r="V56" s="249">
        <f>N56</f>
        <v/>
      </c>
      <c r="W56" s="249">
        <f>I56*$W$3</f>
        <v/>
      </c>
      <c r="X56" s="249">
        <f>$X$3*I56</f>
        <v/>
      </c>
      <c r="Y56" s="249">
        <f>T56+W56+X56+V56+U56</f>
        <v/>
      </c>
      <c r="Z56" s="761" t="n"/>
      <c r="AA56" s="302">
        <f>T56/G56</f>
        <v/>
      </c>
      <c r="AB56" s="303">
        <f>V56/G56</f>
        <v/>
      </c>
      <c r="AC56" s="303">
        <f>W56/G56</f>
        <v/>
      </c>
      <c r="AD56" s="303">
        <f>X56/G56</f>
        <v/>
      </c>
      <c r="AE56" s="919">
        <f>AD56+AC56+AA56</f>
        <v/>
      </c>
      <c r="AF56" s="761" t="n"/>
      <c r="AG56" s="326" t="n"/>
      <c r="AH56" s="332">
        <f>-Y56+R56</f>
        <v/>
      </c>
      <c r="AI56" s="717">
        <f>_xlfn.XLOOKUP(A56,'2.10.26 Sub Close Old'!A:A,'2.10.26 Sub Close Old'!AK:AK)</f>
        <v/>
      </c>
      <c r="AJ56" s="717">
        <f>_xlfn.XLOOKUP(A56,'2.10.26 Sub Close New'!A:A,'2.10.26 Sub Close New'!AJ:AJ)</f>
        <v/>
      </c>
      <c r="AK56" s="717">
        <f>+AJ56-AI56</f>
        <v/>
      </c>
      <c r="AL56" s="717">
        <f>+AH56+AK56</f>
        <v/>
      </c>
      <c r="AM56" s="756" t="n"/>
      <c r="AN56" s="308">
        <f>+Y56</f>
        <v/>
      </c>
      <c r="AO56" s="758">
        <f>AN56/G56</f>
        <v/>
      </c>
      <c r="AP56" s="758">
        <f>AB56</f>
        <v/>
      </c>
      <c r="AQ56" s="310">
        <f>+AO56-AP56</f>
        <v/>
      </c>
      <c r="AR56" s="756" t="n"/>
      <c r="AS56" s="326" t="n"/>
      <c r="AT56" s="249">
        <f>-$AS$3*H56</f>
        <v/>
      </c>
      <c r="AU56" s="308">
        <f>AT56</f>
        <v/>
      </c>
      <c r="AV56" s="310">
        <f>AT56/R56</f>
        <v/>
      </c>
      <c r="AW56" s="756" t="n"/>
      <c r="AX56" s="326" t="n"/>
      <c r="AY56" s="332">
        <f>AT56+AH56</f>
        <v/>
      </c>
      <c r="AZ56" s="756" t="n"/>
      <c r="BA56" s="326" t="n"/>
      <c r="BB56" s="332" t="n"/>
      <c r="BC56" s="756" t="n"/>
    </row>
    <row r="57" customFormat="1" s="726">
      <c r="A57" s="713" t="inlineStr">
        <is>
          <t>Odyssey Holdings, LLC</t>
        </is>
      </c>
      <c r="B57" s="717">
        <f>_xlfn.XLOOKUP(A57,'CLIP_Schedule B'!A:A,'CLIP_Schedule B'!E:E,0,FALSE)</f>
        <v/>
      </c>
      <c r="C57" s="717">
        <f>_xlfn.XLOOKUP(A57,'Silsbee_Schedule B'!B:B,'Silsbee_Schedule B'!F:F,0,FALSE)</f>
        <v/>
      </c>
      <c r="D57" s="717">
        <f>_xlfn.XLOOKUP(A57,'Q2''26 Management Fee'!B:B,'Q2''26 Management Fee'!C:C)</f>
        <v/>
      </c>
      <c r="E57" s="717">
        <f>SUMIFS(Commitment!G:G,Commitment!A:A,'Subsequent Close'!A57)</f>
        <v/>
      </c>
      <c r="F57" s="716" t="n">
        <v>0</v>
      </c>
      <c r="G57" s="717">
        <f>E57</f>
        <v/>
      </c>
      <c r="H57" s="716">
        <f>E57/$E$86</f>
        <v/>
      </c>
      <c r="I57" s="716">
        <f>G57/$G$86</f>
        <v/>
      </c>
      <c r="J57" s="717" t="n"/>
      <c r="K57" s="716">
        <f>J57/$J$86</f>
        <v/>
      </c>
      <c r="L57" s="718" t="n"/>
      <c r="M57" s="717">
        <f>$M$3*H57</f>
        <v/>
      </c>
      <c r="N57" s="717" t="n">
        <v>0</v>
      </c>
      <c r="O57" s="717" t="n"/>
      <c r="P57" s="717">
        <f>$P$3*H57</f>
        <v/>
      </c>
      <c r="Q57" s="717" t="n">
        <v>-51891.61189304895</v>
      </c>
      <c r="R57" s="717">
        <f>SUM(M57:Q57)</f>
        <v/>
      </c>
      <c r="S57" s="717" t="n"/>
      <c r="T57" s="717">
        <f>$T$3*I57</f>
        <v/>
      </c>
      <c r="U57" s="717" t="n">
        <v>0</v>
      </c>
      <c r="V57" s="717">
        <f>N57</f>
        <v/>
      </c>
      <c r="W57" s="717">
        <f>I57*$W$3</f>
        <v/>
      </c>
      <c r="X57" s="717">
        <f>$X$3*I57</f>
        <v/>
      </c>
      <c r="Y57" s="717">
        <f>T57+W57+X57+V57+U57</f>
        <v/>
      </c>
      <c r="Z57" s="717" t="n"/>
      <c r="AA57" s="719">
        <f>T57/G57</f>
        <v/>
      </c>
      <c r="AB57" s="720">
        <f>V57/G57</f>
        <v/>
      </c>
      <c r="AC57" s="720">
        <f>W57/G57</f>
        <v/>
      </c>
      <c r="AD57" s="720">
        <f>X57/G57</f>
        <v/>
      </c>
      <c r="AE57" s="920">
        <f>AD57+AC57+AA57</f>
        <v/>
      </c>
      <c r="AF57" s="717" t="n"/>
      <c r="AG57" s="722" t="n"/>
      <c r="AH57" s="462">
        <f>-Y57+R57</f>
        <v/>
      </c>
      <c r="AI57" s="717">
        <f>_xlfn.XLOOKUP(A57,'2.10.26 Sub Close Old'!A:A,'2.10.26 Sub Close Old'!AK:AK)</f>
        <v/>
      </c>
      <c r="AJ57" s="717">
        <f>_xlfn.XLOOKUP(A57,'2.10.26 Sub Close New'!A:A,'2.10.26 Sub Close New'!AJ:AJ)</f>
        <v/>
      </c>
      <c r="AK57" s="717">
        <f>+AJ57-AI57</f>
        <v/>
      </c>
      <c r="AL57" s="717">
        <f>+AH57+AK57</f>
        <v/>
      </c>
      <c r="AM57" s="723" t="n"/>
      <c r="AN57" s="463">
        <f>+Y57</f>
        <v/>
      </c>
      <c r="AO57" s="798">
        <f>AN57/G57</f>
        <v/>
      </c>
      <c r="AP57" s="798">
        <f>AB57</f>
        <v/>
      </c>
      <c r="AQ57" s="725">
        <f>+AO57-AP57</f>
        <v/>
      </c>
      <c r="AR57" s="723" t="n"/>
      <c r="AS57" s="722" t="n"/>
      <c r="AT57" s="717">
        <f>-$AS$3*H57</f>
        <v/>
      </c>
      <c r="AU57" s="463">
        <f>AT57</f>
        <v/>
      </c>
      <c r="AV57" s="725">
        <f>AT57/R57</f>
        <v/>
      </c>
      <c r="AW57" s="723" t="n"/>
      <c r="AX57" s="722" t="n"/>
      <c r="AY57" s="462">
        <f>AT57+AH57</f>
        <v/>
      </c>
      <c r="AZ57" s="723" t="n"/>
      <c r="BA57" s="722" t="n"/>
      <c r="BB57" s="462">
        <f>-BA86</f>
        <v/>
      </c>
      <c r="BC57" s="723" t="n"/>
      <c r="BE57" s="723" t="n"/>
    </row>
    <row r="58">
      <c r="A58" s="752" t="inlineStr">
        <is>
          <t>Pease River Holdings LLC</t>
        </is>
      </c>
      <c r="B58" s="351">
        <f>_xlfn.XLOOKUP(A58,'CLIP_Schedule B'!A:A,'CLIP_Schedule B'!E:E,0,FALSE)</f>
        <v/>
      </c>
      <c r="C58" s="351">
        <f>_xlfn.XLOOKUP(A58,'Silsbee_Schedule B'!B:B,'Silsbee_Schedule B'!F:F,0,FALSE)</f>
        <v/>
      </c>
      <c r="D58" s="351">
        <f>_xlfn.XLOOKUP(A58,'Q2''26 Management Fee'!B:B,'Q2''26 Management Fee'!C:C)</f>
        <v/>
      </c>
      <c r="E58" s="761">
        <f>SUMIFS(Commitment!G:G,Commitment!A:A,'Subsequent Close'!A58)</f>
        <v/>
      </c>
      <c r="F58" s="760">
        <f>E58/$E$90</f>
        <v/>
      </c>
      <c r="G58" s="761">
        <f>E58</f>
        <v/>
      </c>
      <c r="H58" s="760">
        <f>E58/$E$86</f>
        <v/>
      </c>
      <c r="I58" s="760">
        <f>G58/$G$86</f>
        <v/>
      </c>
      <c r="J58" s="761">
        <f>-G58</f>
        <v/>
      </c>
      <c r="K58" s="760">
        <f>J58/$J$86</f>
        <v/>
      </c>
      <c r="L58" s="762" t="n"/>
      <c r="M58" s="351">
        <f>$M$3*H58</f>
        <v/>
      </c>
      <c r="N58" s="351" t="n">
        <v>-933.86</v>
      </c>
      <c r="O58" s="351" t="n"/>
      <c r="P58" s="351">
        <f>$P$3*H58</f>
        <v/>
      </c>
      <c r="Q58" s="351" t="n">
        <v>-5778.35399699646</v>
      </c>
      <c r="R58" s="351">
        <f>SUM(M58:Q58)</f>
        <v/>
      </c>
      <c r="S58" s="761" t="n"/>
      <c r="T58" s="249">
        <f>$T$3*I58</f>
        <v/>
      </c>
      <c r="U58" s="754" t="n">
        <v>0</v>
      </c>
      <c r="V58" s="249">
        <f>N58</f>
        <v/>
      </c>
      <c r="W58" s="249">
        <f>I58*$W$3</f>
        <v/>
      </c>
      <c r="X58" s="249">
        <f>$X$3*I58</f>
        <v/>
      </c>
      <c r="Y58" s="249">
        <f>T58+W58+X58+V58+U58</f>
        <v/>
      </c>
      <c r="Z58" s="761" t="n"/>
      <c r="AA58" s="302">
        <f>T58/G58</f>
        <v/>
      </c>
      <c r="AB58" s="303">
        <f>V58/G58</f>
        <v/>
      </c>
      <c r="AC58" s="303">
        <f>W58/G58</f>
        <v/>
      </c>
      <c r="AD58" s="303">
        <f>X58/G58</f>
        <v/>
      </c>
      <c r="AE58" s="919">
        <f>AD58+AC58+AA58</f>
        <v/>
      </c>
      <c r="AF58" s="761" t="n"/>
      <c r="AG58" s="326" t="n"/>
      <c r="AH58" s="332">
        <f>-Y58+R58</f>
        <v/>
      </c>
      <c r="AI58" s="717">
        <f>_xlfn.XLOOKUP(A58,'2.10.26 Sub Close Old'!A:A,'2.10.26 Sub Close Old'!AK:AK)</f>
        <v/>
      </c>
      <c r="AJ58" s="717">
        <f>_xlfn.XLOOKUP(A58,'2.10.26 Sub Close New'!A:A,'2.10.26 Sub Close New'!AJ:AJ)</f>
        <v/>
      </c>
      <c r="AK58" s="717">
        <f>+AJ58-AI58</f>
        <v/>
      </c>
      <c r="AL58" s="717">
        <f>+AH58+AK58</f>
        <v/>
      </c>
      <c r="AM58" s="756" t="n"/>
      <c r="AN58" s="308">
        <f>+Y58</f>
        <v/>
      </c>
      <c r="AO58" s="758">
        <f>AN58/G58</f>
        <v/>
      </c>
      <c r="AP58" s="758">
        <f>AB58</f>
        <v/>
      </c>
      <c r="AQ58" s="310">
        <f>+AO58-AP58</f>
        <v/>
      </c>
      <c r="AR58" s="756" t="n"/>
      <c r="AS58" s="326" t="n"/>
      <c r="AT58" s="249">
        <f>-$AS$3*H58</f>
        <v/>
      </c>
      <c r="AU58" s="308">
        <f>AT58</f>
        <v/>
      </c>
      <c r="AV58" s="310">
        <f>AT58/R58</f>
        <v/>
      </c>
      <c r="AW58" s="756" t="n"/>
      <c r="AX58" s="326" t="n"/>
      <c r="AY58" s="332">
        <f>AT58+AH58</f>
        <v/>
      </c>
      <c r="AZ58" s="756" t="n"/>
      <c r="BA58" s="326" t="n"/>
      <c r="BB58" s="332" t="n"/>
      <c r="BC58" s="756" t="n"/>
    </row>
    <row r="59">
      <c r="A59" s="752" t="inlineStr">
        <is>
          <t>PT Burros, LLC</t>
        </is>
      </c>
      <c r="B59" s="351">
        <f>_xlfn.XLOOKUP(A59,'CLIP_Schedule B'!A:A,'CLIP_Schedule B'!E:E,0,FALSE)</f>
        <v/>
      </c>
      <c r="C59" s="351">
        <f>_xlfn.XLOOKUP(A59,'Silsbee_Schedule B'!B:B,'Silsbee_Schedule B'!F:F,0,FALSE)</f>
        <v/>
      </c>
      <c r="D59" s="351">
        <f>_xlfn.XLOOKUP(A59,'Q2''26 Management Fee'!B:B,'Q2''26 Management Fee'!C:C)</f>
        <v/>
      </c>
      <c r="E59" s="761">
        <f>SUMIFS(Commitment!G:G,Commitment!A:A,'Subsequent Close'!A59)</f>
        <v/>
      </c>
      <c r="F59" s="760">
        <f>E59/$E$90</f>
        <v/>
      </c>
      <c r="G59" s="761">
        <f>E59</f>
        <v/>
      </c>
      <c r="H59" s="760">
        <f>E59/$E$86</f>
        <v/>
      </c>
      <c r="I59" s="760">
        <f>G59/$G$86</f>
        <v/>
      </c>
      <c r="J59" s="761">
        <f>-G59</f>
        <v/>
      </c>
      <c r="K59" s="760">
        <f>J59/$J$86</f>
        <v/>
      </c>
      <c r="L59" s="762" t="n"/>
      <c r="M59" s="351">
        <f>$M$3*H59</f>
        <v/>
      </c>
      <c r="N59" s="351" t="n">
        <v>-3301.752910326087</v>
      </c>
      <c r="O59" s="351" t="n"/>
      <c r="P59" s="351">
        <f>$P$3*H59</f>
        <v/>
      </c>
      <c r="Q59" s="351" t="n">
        <v>-24315.34708201919</v>
      </c>
      <c r="R59" s="351">
        <f>SUM(M59:Q59)</f>
        <v/>
      </c>
      <c r="S59" s="761" t="n"/>
      <c r="T59" s="249">
        <f>$T$3*I59</f>
        <v/>
      </c>
      <c r="U59" s="754" t="n">
        <v>0</v>
      </c>
      <c r="V59" s="249">
        <f>N59</f>
        <v/>
      </c>
      <c r="W59" s="249">
        <f>I59*$W$3</f>
        <v/>
      </c>
      <c r="X59" s="249">
        <f>$X$3*I59</f>
        <v/>
      </c>
      <c r="Y59" s="249">
        <f>T59+W59+X59+V59+U59</f>
        <v/>
      </c>
      <c r="Z59" s="761" t="n"/>
      <c r="AA59" s="302">
        <f>T59/G59</f>
        <v/>
      </c>
      <c r="AB59" s="303">
        <f>V59/G59</f>
        <v/>
      </c>
      <c r="AC59" s="303">
        <f>W59/G59</f>
        <v/>
      </c>
      <c r="AD59" s="303">
        <f>X59/G59</f>
        <v/>
      </c>
      <c r="AE59" s="919">
        <f>AD59+AC59+AA59</f>
        <v/>
      </c>
      <c r="AF59" s="761" t="n"/>
      <c r="AG59" s="326" t="n"/>
      <c r="AH59" s="332">
        <f>-Y59+R59</f>
        <v/>
      </c>
      <c r="AI59" s="717">
        <f>_xlfn.XLOOKUP(A59,'2.10.26 Sub Close Old'!A:A,'2.10.26 Sub Close Old'!AK:AK)</f>
        <v/>
      </c>
      <c r="AJ59" s="717">
        <f>_xlfn.XLOOKUP(A59,'2.10.26 Sub Close New'!A:A,'2.10.26 Sub Close New'!AJ:AJ)</f>
        <v/>
      </c>
      <c r="AK59" s="717">
        <f>+AJ59-AI59</f>
        <v/>
      </c>
      <c r="AL59" s="717">
        <f>+AH59+AK59</f>
        <v/>
      </c>
      <c r="AM59" s="756" t="n"/>
      <c r="AN59" s="308">
        <f>+Y59</f>
        <v/>
      </c>
      <c r="AO59" s="758">
        <f>AN59/G59</f>
        <v/>
      </c>
      <c r="AP59" s="758">
        <f>AB59</f>
        <v/>
      </c>
      <c r="AQ59" s="310">
        <f>+AO59-AP59</f>
        <v/>
      </c>
      <c r="AR59" s="756" t="n"/>
      <c r="AS59" s="326" t="n"/>
      <c r="AT59" s="249">
        <f>-$AS$3*H59</f>
        <v/>
      </c>
      <c r="AU59" s="308">
        <f>AT59</f>
        <v/>
      </c>
      <c r="AV59" s="310">
        <f>AT59/R59</f>
        <v/>
      </c>
      <c r="AW59" s="756" t="n"/>
      <c r="AX59" s="326" t="n"/>
      <c r="AY59" s="332">
        <f>AT59+AH59</f>
        <v/>
      </c>
      <c r="AZ59" s="756" t="n"/>
      <c r="BA59" s="326" t="n"/>
      <c r="BB59" s="332" t="n"/>
      <c r="BC59" s="756" t="n"/>
    </row>
    <row r="60">
      <c r="A60" s="752" t="inlineStr">
        <is>
          <t>Robert D. Falese III</t>
        </is>
      </c>
      <c r="B60" s="351">
        <f>_xlfn.XLOOKUP(A60,'CLIP_Schedule B'!A:A,'CLIP_Schedule B'!E:E,0,FALSE)</f>
        <v/>
      </c>
      <c r="C60" s="351">
        <f>_xlfn.XLOOKUP(A60,'Silsbee_Schedule B'!B:B,'Silsbee_Schedule B'!F:F,0,FALSE)</f>
        <v/>
      </c>
      <c r="D60" s="351">
        <f>_xlfn.XLOOKUP(A60,'Q2''26 Management Fee'!B:B,'Q2''26 Management Fee'!C:C)</f>
        <v/>
      </c>
      <c r="E60" s="761">
        <f>SUMIFS(Commitment!G:G,Commitment!A:A,'Subsequent Close'!A60)</f>
        <v/>
      </c>
      <c r="F60" s="760">
        <f>E60/$E$90</f>
        <v/>
      </c>
      <c r="G60" s="761">
        <f>E60</f>
        <v/>
      </c>
      <c r="H60" s="760">
        <f>E60/$E$86</f>
        <v/>
      </c>
      <c r="I60" s="760">
        <f>G60/$G$86</f>
        <v/>
      </c>
      <c r="J60" s="761">
        <f>-G60</f>
        <v/>
      </c>
      <c r="K60" s="760">
        <f>J60/$J$86</f>
        <v/>
      </c>
      <c r="L60" s="762" t="n"/>
      <c r="M60" s="351">
        <f>$M$3*H60</f>
        <v/>
      </c>
      <c r="N60" s="351" t="n">
        <v>-9838.702910326087</v>
      </c>
      <c r="O60" s="351" t="n"/>
      <c r="P60" s="351">
        <f>$P$3*H60</f>
        <v/>
      </c>
      <c r="Q60" s="351" t="n">
        <v>-64763.82284707472</v>
      </c>
      <c r="R60" s="351">
        <f>SUM(M60:Q60)</f>
        <v/>
      </c>
      <c r="S60" s="761" t="n"/>
      <c r="T60" s="249">
        <f>$T$3*I60</f>
        <v/>
      </c>
      <c r="U60" s="754" t="n">
        <v>0</v>
      </c>
      <c r="V60" s="249">
        <f>N60</f>
        <v/>
      </c>
      <c r="W60" s="249">
        <f>I60*$W$3</f>
        <v/>
      </c>
      <c r="X60" s="249">
        <f>$X$3*I60</f>
        <v/>
      </c>
      <c r="Y60" s="249">
        <f>T60+W60+X60+V60+U60</f>
        <v/>
      </c>
      <c r="Z60" s="761" t="n"/>
      <c r="AA60" s="302">
        <f>T60/G60</f>
        <v/>
      </c>
      <c r="AB60" s="303">
        <f>V60/G60</f>
        <v/>
      </c>
      <c r="AC60" s="303">
        <f>W60/G60</f>
        <v/>
      </c>
      <c r="AD60" s="303">
        <f>X60/G60</f>
        <v/>
      </c>
      <c r="AE60" s="919">
        <f>AD60+AC60+AA60</f>
        <v/>
      </c>
      <c r="AF60" s="761" t="n"/>
      <c r="AG60" s="326" t="n"/>
      <c r="AH60" s="332">
        <f>-Y60+R60</f>
        <v/>
      </c>
      <c r="AI60" s="717">
        <f>_xlfn.XLOOKUP(A60,'2.10.26 Sub Close Old'!A:A,'2.10.26 Sub Close Old'!AK:AK)</f>
        <v/>
      </c>
      <c r="AJ60" s="717">
        <f>_xlfn.XLOOKUP(A60,'2.10.26 Sub Close New'!A:A,'2.10.26 Sub Close New'!AJ:AJ)</f>
        <v/>
      </c>
      <c r="AK60" s="717">
        <f>+AJ60-AI60</f>
        <v/>
      </c>
      <c r="AL60" s="717">
        <f>+AH60+AK60</f>
        <v/>
      </c>
      <c r="AM60" s="756" t="n"/>
      <c r="AN60" s="308">
        <f>+Y60</f>
        <v/>
      </c>
      <c r="AO60" s="758">
        <f>AN60/G60</f>
        <v/>
      </c>
      <c r="AP60" s="758">
        <f>AB60</f>
        <v/>
      </c>
      <c r="AQ60" s="310">
        <f>+AO60-AP60</f>
        <v/>
      </c>
      <c r="AR60" s="756" t="n"/>
      <c r="AS60" s="326" t="n"/>
      <c r="AT60" s="249">
        <f>-$AS$3*H60</f>
        <v/>
      </c>
      <c r="AU60" s="308">
        <f>AT60</f>
        <v/>
      </c>
      <c r="AV60" s="310">
        <f>AT60/R60</f>
        <v/>
      </c>
      <c r="AW60" s="756" t="n"/>
      <c r="AX60" s="326" t="n"/>
      <c r="AY60" s="332">
        <f>AT60+AH60</f>
        <v/>
      </c>
      <c r="AZ60" s="756" t="n"/>
      <c r="BA60" s="326" t="n"/>
      <c r="BB60" s="332" t="n"/>
      <c r="BC60" s="756" t="n"/>
    </row>
    <row r="61">
      <c r="A61" s="752" t="inlineStr">
        <is>
          <t>Robert Parker Yates</t>
        </is>
      </c>
      <c r="B61" s="351">
        <f>_xlfn.XLOOKUP(A61,'CLIP_Schedule B'!A:A,'CLIP_Schedule B'!E:E,0,FALSE)</f>
        <v/>
      </c>
      <c r="C61" s="351">
        <f>_xlfn.XLOOKUP(A61,'Silsbee_Schedule B'!B:B,'Silsbee_Schedule B'!F:F,0,FALSE)</f>
        <v/>
      </c>
      <c r="D61" s="351">
        <f>_xlfn.XLOOKUP(A61,'Q2''26 Management Fee'!B:B,'Q2''26 Management Fee'!C:C)</f>
        <v/>
      </c>
      <c r="E61" s="761">
        <f>SUMIFS(Commitment!G:G,Commitment!A:A,'Subsequent Close'!A61)</f>
        <v/>
      </c>
      <c r="F61" s="760">
        <f>E61/$E$90</f>
        <v/>
      </c>
      <c r="G61" s="761">
        <f>E61</f>
        <v/>
      </c>
      <c r="H61" s="760">
        <f>E61/$E$86</f>
        <v/>
      </c>
      <c r="I61" s="760">
        <f>G61/$G$86</f>
        <v/>
      </c>
      <c r="J61" s="761">
        <f>-G61</f>
        <v/>
      </c>
      <c r="K61" s="760">
        <f>J61/$J$86</f>
        <v/>
      </c>
      <c r="L61" s="762" t="n"/>
      <c r="M61" s="351">
        <f>$M$3*H61</f>
        <v/>
      </c>
      <c r="N61" s="351" t="n">
        <v>-466.92</v>
      </c>
      <c r="O61" s="351" t="n"/>
      <c r="P61" s="351">
        <f>$P$3*H61</f>
        <v/>
      </c>
      <c r="Q61" s="351" t="n">
        <v>-2889.17699849823</v>
      </c>
      <c r="R61" s="351">
        <f>SUM(M61:Q61)</f>
        <v/>
      </c>
      <c r="S61" s="761" t="n"/>
      <c r="T61" s="249">
        <f>$T$3*I61</f>
        <v/>
      </c>
      <c r="U61" s="754" t="n">
        <v>0</v>
      </c>
      <c r="V61" s="249">
        <f>N61</f>
        <v/>
      </c>
      <c r="W61" s="249">
        <f>I61*$W$3</f>
        <v/>
      </c>
      <c r="X61" s="249">
        <f>$X$3*I61</f>
        <v/>
      </c>
      <c r="Y61" s="249">
        <f>T61+W61+X61+V61+U61</f>
        <v/>
      </c>
      <c r="Z61" s="761" t="n"/>
      <c r="AA61" s="302">
        <f>T61/G61</f>
        <v/>
      </c>
      <c r="AB61" s="303">
        <f>V61/G61</f>
        <v/>
      </c>
      <c r="AC61" s="303">
        <f>W61/G61</f>
        <v/>
      </c>
      <c r="AD61" s="303">
        <f>X61/G61</f>
        <v/>
      </c>
      <c r="AE61" s="919">
        <f>AD61+AC61+AA61</f>
        <v/>
      </c>
      <c r="AF61" s="761" t="n"/>
      <c r="AG61" s="326" t="n"/>
      <c r="AH61" s="332">
        <f>-Y61+R61</f>
        <v/>
      </c>
      <c r="AI61" s="717">
        <f>_xlfn.XLOOKUP(A61,'2.10.26 Sub Close Old'!A:A,'2.10.26 Sub Close Old'!AK:AK)</f>
        <v/>
      </c>
      <c r="AJ61" s="717">
        <f>_xlfn.XLOOKUP(A61,'2.10.26 Sub Close New'!A:A,'2.10.26 Sub Close New'!AJ:AJ)</f>
        <v/>
      </c>
      <c r="AK61" s="717">
        <f>+AJ61-AI61</f>
        <v/>
      </c>
      <c r="AL61" s="717">
        <f>+AH61+AK61</f>
        <v/>
      </c>
      <c r="AM61" s="756" t="n"/>
      <c r="AN61" s="308">
        <f>+Y61</f>
        <v/>
      </c>
      <c r="AO61" s="758">
        <f>AN61/G61</f>
        <v/>
      </c>
      <c r="AP61" s="758">
        <f>AB61</f>
        <v/>
      </c>
      <c r="AQ61" s="310">
        <f>+AO61-AP61</f>
        <v/>
      </c>
      <c r="AR61" s="756" t="n"/>
      <c r="AS61" s="326" t="n"/>
      <c r="AT61" s="249">
        <f>-$AS$3*H61</f>
        <v/>
      </c>
      <c r="AU61" s="308">
        <f>AT61</f>
        <v/>
      </c>
      <c r="AV61" s="310">
        <f>AT61/R61</f>
        <v/>
      </c>
      <c r="AW61" s="756" t="n"/>
      <c r="AX61" s="326" t="n"/>
      <c r="AY61" s="332">
        <f>AT61+AH61</f>
        <v/>
      </c>
      <c r="AZ61" s="756" t="n"/>
      <c r="BA61" s="326" t="n"/>
      <c r="BB61" s="332" t="n"/>
      <c r="BC61" s="756" t="n"/>
    </row>
    <row r="62">
      <c r="A62" s="752" t="inlineStr">
        <is>
          <t>Robert S. Shafir &amp; Donna R. Shafir TEN/COM</t>
        </is>
      </c>
      <c r="B62" s="351">
        <f>_xlfn.XLOOKUP(A62,'CLIP_Schedule B'!A:A,'CLIP_Schedule B'!E:E,0,FALSE)</f>
        <v/>
      </c>
      <c r="C62" s="351">
        <f>_xlfn.XLOOKUP(A62,'Silsbee_Schedule B'!B:B,'Silsbee_Schedule B'!F:F,0,FALSE)</f>
        <v/>
      </c>
      <c r="D62" s="351">
        <f>_xlfn.XLOOKUP(A62,'Q2''26 Management Fee'!B:B,'Q2''26 Management Fee'!C:C)</f>
        <v/>
      </c>
      <c r="E62" s="761">
        <f>SUMIFS(Commitment!G:G,Commitment!A:A,'Subsequent Close'!A62)</f>
        <v/>
      </c>
      <c r="F62" s="760">
        <f>E62/$E$90</f>
        <v/>
      </c>
      <c r="G62" s="761">
        <f>E62</f>
        <v/>
      </c>
      <c r="H62" s="760">
        <f>E62/$E$86</f>
        <v/>
      </c>
      <c r="I62" s="760">
        <f>G62/$G$86</f>
        <v/>
      </c>
      <c r="J62" s="761">
        <f>-G62</f>
        <v/>
      </c>
      <c r="K62" s="760">
        <f>J62/$J$86</f>
        <v/>
      </c>
      <c r="L62" s="762" t="n"/>
      <c r="M62" s="351">
        <f>$M$3*H62</f>
        <v/>
      </c>
      <c r="N62" s="351" t="n">
        <v>-22051.63</v>
      </c>
      <c r="O62" s="351" t="n"/>
      <c r="P62" s="351">
        <f>$P$3*H62</f>
        <v/>
      </c>
      <c r="Q62" s="351" t="n">
        <v>-110695.9843266884</v>
      </c>
      <c r="R62" s="351">
        <f>SUM(M62:Q62)</f>
        <v/>
      </c>
      <c r="S62" s="761" t="n"/>
      <c r="T62" s="249">
        <f>$T$3*I62</f>
        <v/>
      </c>
      <c r="U62" s="754" t="n">
        <v>0</v>
      </c>
      <c r="V62" s="249">
        <f>N62</f>
        <v/>
      </c>
      <c r="W62" s="249">
        <f>I62*$W$3</f>
        <v/>
      </c>
      <c r="X62" s="249">
        <f>$X$3*I62</f>
        <v/>
      </c>
      <c r="Y62" s="249">
        <f>T62+W62+X62+V62+U62</f>
        <v/>
      </c>
      <c r="Z62" s="761" t="n"/>
      <c r="AA62" s="302">
        <f>T62/G62</f>
        <v/>
      </c>
      <c r="AB62" s="303">
        <f>V62/G62</f>
        <v/>
      </c>
      <c r="AC62" s="303">
        <f>W62/G62</f>
        <v/>
      </c>
      <c r="AD62" s="303">
        <f>X62/G62</f>
        <v/>
      </c>
      <c r="AE62" s="919">
        <f>AD62+AC62+AA62</f>
        <v/>
      </c>
      <c r="AF62" s="761" t="n"/>
      <c r="AG62" s="326" t="n"/>
      <c r="AH62" s="332">
        <f>-Y62+R62</f>
        <v/>
      </c>
      <c r="AI62" s="717">
        <f>_xlfn.XLOOKUP(A62,'2.10.26 Sub Close Old'!A:A,'2.10.26 Sub Close Old'!AK:AK)</f>
        <v/>
      </c>
      <c r="AJ62" s="717">
        <f>_xlfn.XLOOKUP(A62,'2.10.26 Sub Close New'!A:A,'2.10.26 Sub Close New'!AJ:AJ)</f>
        <v/>
      </c>
      <c r="AK62" s="717">
        <f>+AJ62-AI62</f>
        <v/>
      </c>
      <c r="AL62" s="717">
        <f>+AH62+AK62</f>
        <v/>
      </c>
      <c r="AM62" s="756" t="n"/>
      <c r="AN62" s="308">
        <f>+Y62</f>
        <v/>
      </c>
      <c r="AO62" s="758">
        <f>AN62/G62</f>
        <v/>
      </c>
      <c r="AP62" s="758">
        <f>AB62</f>
        <v/>
      </c>
      <c r="AQ62" s="310">
        <f>+AO62-AP62</f>
        <v/>
      </c>
      <c r="AR62" s="756" t="n"/>
      <c r="AS62" s="326" t="n"/>
      <c r="AT62" s="249">
        <f>-$AS$3*H62</f>
        <v/>
      </c>
      <c r="AU62" s="308">
        <f>AT62</f>
        <v/>
      </c>
      <c r="AV62" s="310">
        <f>AT62/R62</f>
        <v/>
      </c>
      <c r="AW62" s="756" t="n"/>
      <c r="AX62" s="326" t="n"/>
      <c r="AY62" s="332">
        <f>AT62+AH62</f>
        <v/>
      </c>
      <c r="AZ62" s="756" t="n"/>
      <c r="BA62" s="326" t="n"/>
      <c r="BB62" s="332" t="n"/>
      <c r="BC62" s="756" t="n"/>
    </row>
    <row r="63">
      <c r="A63" s="752" t="inlineStr">
        <is>
          <t>Robert S. Shafir 2011 Children's Trust</t>
        </is>
      </c>
      <c r="B63" s="351">
        <f>_xlfn.XLOOKUP(A63,'CLIP_Schedule B'!A:A,'CLIP_Schedule B'!E:E,0,FALSE)</f>
        <v/>
      </c>
      <c r="C63" s="351">
        <f>_xlfn.XLOOKUP(A63,'Silsbee_Schedule B'!B:B,'Silsbee_Schedule B'!F:F,0,FALSE)</f>
        <v/>
      </c>
      <c r="D63" s="351">
        <f>_xlfn.XLOOKUP(A63,'Q2''26 Management Fee'!B:B,'Q2''26 Management Fee'!C:C)</f>
        <v/>
      </c>
      <c r="E63" s="761">
        <f>SUMIFS(Commitment!G:G,Commitment!A:A,'Subsequent Close'!A63)</f>
        <v/>
      </c>
      <c r="F63" s="760">
        <f>E63/$E$90</f>
        <v/>
      </c>
      <c r="G63" s="761">
        <f>E63</f>
        <v/>
      </c>
      <c r="H63" s="760">
        <f>E63/$E$86</f>
        <v/>
      </c>
      <c r="I63" s="760">
        <f>G63/$G$86</f>
        <v/>
      </c>
      <c r="J63" s="761">
        <f>-G63</f>
        <v/>
      </c>
      <c r="K63" s="760">
        <f>J63/$J$86</f>
        <v/>
      </c>
      <c r="L63" s="762" t="n"/>
      <c r="M63" s="351">
        <f>$M$3*H63</f>
        <v/>
      </c>
      <c r="N63" s="351" t="n">
        <v>-14701.09</v>
      </c>
      <c r="O63" s="351" t="n"/>
      <c r="P63" s="351">
        <f>$P$3*H63</f>
        <v/>
      </c>
      <c r="Q63" s="351" t="n">
        <v>-73797.32288445896</v>
      </c>
      <c r="R63" s="351">
        <f>SUM(M63:Q63)</f>
        <v/>
      </c>
      <c r="S63" s="761" t="n"/>
      <c r="T63" s="249">
        <f>$T$3*I63</f>
        <v/>
      </c>
      <c r="U63" s="754" t="n">
        <v>0</v>
      </c>
      <c r="V63" s="249">
        <f>N63</f>
        <v/>
      </c>
      <c r="W63" s="249">
        <f>I63*$W$3</f>
        <v/>
      </c>
      <c r="X63" s="249">
        <f>$X$3*I63</f>
        <v/>
      </c>
      <c r="Y63" s="249">
        <f>T63+W63+X63+V63+U63</f>
        <v/>
      </c>
      <c r="Z63" s="761" t="n"/>
      <c r="AA63" s="302">
        <f>T63/G63</f>
        <v/>
      </c>
      <c r="AB63" s="303">
        <f>V63/G63</f>
        <v/>
      </c>
      <c r="AC63" s="303">
        <f>W63/G63</f>
        <v/>
      </c>
      <c r="AD63" s="303">
        <f>X63/G63</f>
        <v/>
      </c>
      <c r="AE63" s="919">
        <f>AD63+AC63+AA63</f>
        <v/>
      </c>
      <c r="AF63" s="761" t="n"/>
      <c r="AG63" s="326" t="n"/>
      <c r="AH63" s="332">
        <f>-Y63+R63</f>
        <v/>
      </c>
      <c r="AI63" s="717">
        <f>_xlfn.XLOOKUP(A63,'2.10.26 Sub Close Old'!A:A,'2.10.26 Sub Close Old'!AK:AK)</f>
        <v/>
      </c>
      <c r="AJ63" s="717">
        <f>_xlfn.XLOOKUP(A63,'2.10.26 Sub Close New'!A:A,'2.10.26 Sub Close New'!AJ:AJ)</f>
        <v/>
      </c>
      <c r="AK63" s="717">
        <f>+AJ63-AI63</f>
        <v/>
      </c>
      <c r="AL63" s="717">
        <f>+AH63+AK63</f>
        <v/>
      </c>
      <c r="AM63" s="756" t="n"/>
      <c r="AN63" s="308">
        <f>+Y63</f>
        <v/>
      </c>
      <c r="AO63" s="758">
        <f>AN63/G63</f>
        <v/>
      </c>
      <c r="AP63" s="758">
        <f>AB63</f>
        <v/>
      </c>
      <c r="AQ63" s="310">
        <f>+AO63-AP63</f>
        <v/>
      </c>
      <c r="AR63" s="756" t="n"/>
      <c r="AS63" s="326" t="n"/>
      <c r="AT63" s="249">
        <f>-$AS$3*H63</f>
        <v/>
      </c>
      <c r="AU63" s="308">
        <f>AT63</f>
        <v/>
      </c>
      <c r="AV63" s="310">
        <f>AT63/R63</f>
        <v/>
      </c>
      <c r="AW63" s="756" t="n"/>
      <c r="AX63" s="326" t="n"/>
      <c r="AY63" s="332">
        <f>AT63+AH63</f>
        <v/>
      </c>
      <c r="AZ63" s="756" t="n"/>
      <c r="BA63" s="326" t="n"/>
      <c r="BB63" s="332" t="n"/>
      <c r="BC63" s="756" t="n"/>
    </row>
    <row r="64">
      <c r="A64" s="752" t="inlineStr">
        <is>
          <t>Romar Partners, LP</t>
        </is>
      </c>
      <c r="B64" s="351">
        <f>_xlfn.XLOOKUP(A64,'CLIP_Schedule B'!A:A,'CLIP_Schedule B'!E:E,0,FALSE)</f>
        <v/>
      </c>
      <c r="C64" s="351">
        <f>_xlfn.XLOOKUP(A64,'Silsbee_Schedule B'!B:B,'Silsbee_Schedule B'!F:F,0,FALSE)</f>
        <v/>
      </c>
      <c r="D64" s="351">
        <f>_xlfn.XLOOKUP(A64,'Q2''26 Management Fee'!B:B,'Q2''26 Management Fee'!C:C)</f>
        <v/>
      </c>
      <c r="E64" s="761">
        <f>SUMIFS(Commitment!G:G,Commitment!A:A,'Subsequent Close'!A64)</f>
        <v/>
      </c>
      <c r="F64" s="760">
        <f>E64/$E$90</f>
        <v/>
      </c>
      <c r="G64" s="761">
        <f>E64</f>
        <v/>
      </c>
      <c r="H64" s="760">
        <f>E64/$E$86</f>
        <v/>
      </c>
      <c r="I64" s="760">
        <f>G64/$G$86</f>
        <v/>
      </c>
      <c r="J64" s="761">
        <f>-G64</f>
        <v/>
      </c>
      <c r="K64" s="760">
        <f>J64/$J$86</f>
        <v/>
      </c>
      <c r="L64" s="762" t="n"/>
      <c r="M64" s="351">
        <f>$M$3*H64</f>
        <v/>
      </c>
      <c r="N64" s="351" t="n">
        <v>-14701.09</v>
      </c>
      <c r="O64" s="351" t="n"/>
      <c r="P64" s="351">
        <f>$P$3*H64</f>
        <v/>
      </c>
      <c r="Q64" s="351" t="n">
        <v>-73797.32288445896</v>
      </c>
      <c r="R64" s="351">
        <f>SUM(M64:Q64)</f>
        <v/>
      </c>
      <c r="S64" s="761" t="n"/>
      <c r="T64" s="249">
        <f>$T$3*I64</f>
        <v/>
      </c>
      <c r="U64" s="754" t="n">
        <v>0</v>
      </c>
      <c r="V64" s="249">
        <f>N64</f>
        <v/>
      </c>
      <c r="W64" s="249">
        <f>I64*$W$3</f>
        <v/>
      </c>
      <c r="X64" s="249">
        <f>$X$3*I64</f>
        <v/>
      </c>
      <c r="Y64" s="249">
        <f>T64+W64+X64+V64+U64</f>
        <v/>
      </c>
      <c r="Z64" s="761" t="n"/>
      <c r="AA64" s="302">
        <f>T64/G64</f>
        <v/>
      </c>
      <c r="AB64" s="303">
        <f>V64/G64</f>
        <v/>
      </c>
      <c r="AC64" s="303">
        <f>W64/G64</f>
        <v/>
      </c>
      <c r="AD64" s="303">
        <f>X64/G64</f>
        <v/>
      </c>
      <c r="AE64" s="919">
        <f>AD64+AC64+AA64</f>
        <v/>
      </c>
      <c r="AF64" s="761" t="n"/>
      <c r="AG64" s="326" t="n"/>
      <c r="AH64" s="332">
        <f>-Y64+R64</f>
        <v/>
      </c>
      <c r="AI64" s="717">
        <f>_xlfn.XLOOKUP(A64,'2.10.26 Sub Close Old'!A:A,'2.10.26 Sub Close Old'!AK:AK)</f>
        <v/>
      </c>
      <c r="AJ64" s="717">
        <f>_xlfn.XLOOKUP(A64,'2.10.26 Sub Close New'!A:A,'2.10.26 Sub Close New'!AJ:AJ)</f>
        <v/>
      </c>
      <c r="AK64" s="717">
        <f>+AJ64-AI64</f>
        <v/>
      </c>
      <c r="AL64" s="717">
        <f>+AH64+AK64</f>
        <v/>
      </c>
      <c r="AM64" s="756" t="n"/>
      <c r="AN64" s="308">
        <f>+Y64</f>
        <v/>
      </c>
      <c r="AO64" s="758">
        <f>AN64/G64</f>
        <v/>
      </c>
      <c r="AP64" s="758">
        <f>AB64</f>
        <v/>
      </c>
      <c r="AQ64" s="310">
        <f>+AO64-AP64</f>
        <v/>
      </c>
      <c r="AR64" s="756" t="n"/>
      <c r="AS64" s="326" t="n"/>
      <c r="AT64" s="249">
        <f>-$AS$3*H64</f>
        <v/>
      </c>
      <c r="AU64" s="308">
        <f>AT64</f>
        <v/>
      </c>
      <c r="AV64" s="310">
        <f>AT64/R64</f>
        <v/>
      </c>
      <c r="AW64" s="756" t="n"/>
      <c r="AX64" s="326" t="n"/>
      <c r="AY64" s="332">
        <f>AT64+AH64</f>
        <v/>
      </c>
      <c r="AZ64" s="756" t="n"/>
      <c r="BA64" s="326" t="n"/>
      <c r="BB64" s="332" t="n"/>
      <c r="BC64" s="756" t="n"/>
    </row>
    <row r="65">
      <c r="A65" s="752" t="inlineStr">
        <is>
          <t>Steven and Chani Laufer 2012 Dynasty Trust</t>
        </is>
      </c>
      <c r="B65" s="351">
        <f>_xlfn.XLOOKUP(A65,'CLIP_Schedule B'!A:A,'CLIP_Schedule B'!E:E,0,FALSE)</f>
        <v/>
      </c>
      <c r="C65" s="351">
        <f>_xlfn.XLOOKUP(A65,'Silsbee_Schedule B'!B:B,'Silsbee_Schedule B'!F:F,0,FALSE)</f>
        <v/>
      </c>
      <c r="D65" s="351">
        <f>_xlfn.XLOOKUP(A65,'Q2''26 Management Fee'!B:B,'Q2''26 Management Fee'!C:C)</f>
        <v/>
      </c>
      <c r="E65" s="761">
        <f>SUMIFS(Commitment!G:G,Commitment!A:A,'Subsequent Close'!A65)</f>
        <v/>
      </c>
      <c r="F65" s="760">
        <f>E65/$E$90</f>
        <v/>
      </c>
      <c r="G65" s="761">
        <f>E65</f>
        <v/>
      </c>
      <c r="H65" s="760">
        <f>E65/$E$86</f>
        <v/>
      </c>
      <c r="I65" s="760">
        <f>G65/$G$86</f>
        <v/>
      </c>
      <c r="J65" s="761">
        <f>-G65</f>
        <v/>
      </c>
      <c r="K65" s="760">
        <f>J65/$J$86</f>
        <v/>
      </c>
      <c r="L65" s="762" t="n"/>
      <c r="M65" s="351">
        <f>$M$3*H65</f>
        <v/>
      </c>
      <c r="N65" s="351" t="n">
        <v>-29402.17</v>
      </c>
      <c r="O65" s="351" t="n"/>
      <c r="P65" s="351">
        <f>$P$3*H65</f>
        <v/>
      </c>
      <c r="Q65" s="351" t="n">
        <v>-147594.6457689179</v>
      </c>
      <c r="R65" s="351">
        <f>SUM(M65:Q65)</f>
        <v/>
      </c>
      <c r="S65" s="761" t="n"/>
      <c r="T65" s="249">
        <f>$T$3*I65</f>
        <v/>
      </c>
      <c r="U65" s="754" t="n">
        <v>0</v>
      </c>
      <c r="V65" s="249">
        <f>N65</f>
        <v/>
      </c>
      <c r="W65" s="249">
        <f>I65*$W$3</f>
        <v/>
      </c>
      <c r="X65" s="249">
        <f>$X$3*I65</f>
        <v/>
      </c>
      <c r="Y65" s="249">
        <f>T65+W65+X65+V65+U65</f>
        <v/>
      </c>
      <c r="Z65" s="761" t="n"/>
      <c r="AA65" s="302">
        <f>T65/G65</f>
        <v/>
      </c>
      <c r="AB65" s="303">
        <f>V65/G65</f>
        <v/>
      </c>
      <c r="AC65" s="303">
        <f>W65/G65</f>
        <v/>
      </c>
      <c r="AD65" s="303">
        <f>X65/G65</f>
        <v/>
      </c>
      <c r="AE65" s="919">
        <f>AD65+AC65+AA65</f>
        <v/>
      </c>
      <c r="AF65" s="761" t="n"/>
      <c r="AG65" s="326" t="n"/>
      <c r="AH65" s="332">
        <f>-Y65+R65</f>
        <v/>
      </c>
      <c r="AI65" s="717">
        <f>_xlfn.XLOOKUP(A65,'2.10.26 Sub Close Old'!A:A,'2.10.26 Sub Close Old'!AK:AK)</f>
        <v/>
      </c>
      <c r="AJ65" s="717">
        <f>_xlfn.XLOOKUP(A65,'2.10.26 Sub Close New'!A:A,'2.10.26 Sub Close New'!AJ:AJ)</f>
        <v/>
      </c>
      <c r="AK65" s="717">
        <f>+AJ65-AI65</f>
        <v/>
      </c>
      <c r="AL65" s="717">
        <f>+AH65+AK65</f>
        <v/>
      </c>
      <c r="AM65" s="756" t="n"/>
      <c r="AN65" s="308">
        <f>+Y65</f>
        <v/>
      </c>
      <c r="AO65" s="758">
        <f>AN65/G65</f>
        <v/>
      </c>
      <c r="AP65" s="758">
        <f>AB65</f>
        <v/>
      </c>
      <c r="AQ65" s="310">
        <f>+AO65-AP65</f>
        <v/>
      </c>
      <c r="AR65" s="756" t="n"/>
      <c r="AS65" s="326" t="n"/>
      <c r="AT65" s="249">
        <f>-$AS$3*H65</f>
        <v/>
      </c>
      <c r="AU65" s="308">
        <f>AT65</f>
        <v/>
      </c>
      <c r="AV65" s="310">
        <f>AT65/R65</f>
        <v/>
      </c>
      <c r="AW65" s="756" t="n"/>
      <c r="AX65" s="326" t="n"/>
      <c r="AY65" s="332">
        <f>AT65+AH65</f>
        <v/>
      </c>
      <c r="AZ65" s="756" t="n"/>
      <c r="BA65" s="326" t="n"/>
      <c r="BB65" s="332" t="n"/>
      <c r="BC65" s="756" t="n"/>
    </row>
    <row r="66">
      <c r="A66" s="752" t="inlineStr">
        <is>
          <t>Steven M. Laufer 2012 Trust</t>
        </is>
      </c>
      <c r="B66" s="351">
        <f>_xlfn.XLOOKUP(A66,'CLIP_Schedule B'!A:A,'CLIP_Schedule B'!E:E,0,FALSE)</f>
        <v/>
      </c>
      <c r="C66" s="351">
        <f>_xlfn.XLOOKUP(A66,'Silsbee_Schedule B'!B:B,'Silsbee_Schedule B'!F:F,0,FALSE)</f>
        <v/>
      </c>
      <c r="D66" s="351">
        <f>_xlfn.XLOOKUP(A66,'Q2''26 Management Fee'!B:B,'Q2''26 Management Fee'!C:C)</f>
        <v/>
      </c>
      <c r="E66" s="761">
        <f>SUMIFS(Commitment!G:G,Commitment!A:A,'Subsequent Close'!A66)</f>
        <v/>
      </c>
      <c r="F66" s="760">
        <f>E66/$E$90</f>
        <v/>
      </c>
      <c r="G66" s="761">
        <f>E66</f>
        <v/>
      </c>
      <c r="H66" s="760">
        <f>E66/$E$86</f>
        <v/>
      </c>
      <c r="I66" s="760">
        <f>G66/$G$86</f>
        <v/>
      </c>
      <c r="J66" s="761">
        <f>-G66</f>
        <v/>
      </c>
      <c r="K66" s="760">
        <f>J66/$J$86</f>
        <v/>
      </c>
      <c r="L66" s="762" t="n"/>
      <c r="M66" s="351">
        <f>$M$3*H66</f>
        <v/>
      </c>
      <c r="N66" s="351" t="n">
        <v>-14701.09</v>
      </c>
      <c r="O66" s="351" t="n"/>
      <c r="P66" s="351">
        <f>$P$3*H66</f>
        <v/>
      </c>
      <c r="Q66" s="351" t="n">
        <v>-73797.32288445896</v>
      </c>
      <c r="R66" s="351">
        <f>SUM(M66:Q66)</f>
        <v/>
      </c>
      <c r="S66" s="761" t="n"/>
      <c r="T66" s="249">
        <f>$T$3*I66</f>
        <v/>
      </c>
      <c r="U66" s="754" t="n">
        <v>0</v>
      </c>
      <c r="V66" s="249">
        <f>N66</f>
        <v/>
      </c>
      <c r="W66" s="249">
        <f>I66*$W$3</f>
        <v/>
      </c>
      <c r="X66" s="249">
        <f>$X$3*I66</f>
        <v/>
      </c>
      <c r="Y66" s="249">
        <f>T66+W66+X66+V66+U66</f>
        <v/>
      </c>
      <c r="Z66" s="761" t="n"/>
      <c r="AA66" s="302">
        <f>T66/G66</f>
        <v/>
      </c>
      <c r="AB66" s="303">
        <f>V66/G66</f>
        <v/>
      </c>
      <c r="AC66" s="303">
        <f>W66/G66</f>
        <v/>
      </c>
      <c r="AD66" s="303">
        <f>X66/G66</f>
        <v/>
      </c>
      <c r="AE66" s="919">
        <f>AD66+AC66+AA66</f>
        <v/>
      </c>
      <c r="AF66" s="761" t="n"/>
      <c r="AG66" s="326" t="n"/>
      <c r="AH66" s="332">
        <f>-Y66+R66</f>
        <v/>
      </c>
      <c r="AI66" s="717">
        <f>_xlfn.XLOOKUP(A66,'2.10.26 Sub Close Old'!A:A,'2.10.26 Sub Close Old'!AK:AK)</f>
        <v/>
      </c>
      <c r="AJ66" s="717">
        <f>_xlfn.XLOOKUP(A66,'2.10.26 Sub Close New'!A:A,'2.10.26 Sub Close New'!AJ:AJ)</f>
        <v/>
      </c>
      <c r="AK66" s="717">
        <f>+AJ66-AI66</f>
        <v/>
      </c>
      <c r="AL66" s="717">
        <f>+AH66+AK66</f>
        <v/>
      </c>
      <c r="AM66" s="756" t="n"/>
      <c r="AN66" s="308">
        <f>+Y66</f>
        <v/>
      </c>
      <c r="AO66" s="758">
        <f>AN66/G66</f>
        <v/>
      </c>
      <c r="AP66" s="758">
        <f>AB66</f>
        <v/>
      </c>
      <c r="AQ66" s="310">
        <f>+AO66-AP66</f>
        <v/>
      </c>
      <c r="AR66" s="756" t="n"/>
      <c r="AS66" s="326" t="n"/>
      <c r="AT66" s="249">
        <f>-$AS$3*H66</f>
        <v/>
      </c>
      <c r="AU66" s="308">
        <f>AT66</f>
        <v/>
      </c>
      <c r="AV66" s="310">
        <f>AT66/R66</f>
        <v/>
      </c>
      <c r="AW66" s="756" t="n"/>
      <c r="AX66" s="326" t="n"/>
      <c r="AY66" s="332">
        <f>AT66+AH66</f>
        <v/>
      </c>
      <c r="AZ66" s="756" t="n"/>
      <c r="BA66" s="326" t="n"/>
      <c r="BB66" s="332" t="n"/>
      <c r="BC66" s="756" t="n"/>
    </row>
    <row r="67">
      <c r="A67" s="752" t="inlineStr">
        <is>
          <t>Stewart Tate</t>
        </is>
      </c>
      <c r="B67" s="351">
        <f>_xlfn.XLOOKUP(A67,'CLIP_Schedule B'!A:A,'CLIP_Schedule B'!E:E,0,FALSE)</f>
        <v/>
      </c>
      <c r="C67" s="351">
        <f>_xlfn.XLOOKUP(A67,'Silsbee_Schedule B'!B:B,'Silsbee_Schedule B'!F:F,0,FALSE)</f>
        <v/>
      </c>
      <c r="D67" s="351">
        <f>_xlfn.XLOOKUP(A67,'Q2''26 Management Fee'!B:B,'Q2''26 Management Fee'!C:C)</f>
        <v/>
      </c>
      <c r="E67" s="761">
        <f>SUMIFS(Commitment!G:G,Commitment!A:A,'Subsequent Close'!A67)</f>
        <v/>
      </c>
      <c r="F67" s="760">
        <f>E67/$E$90</f>
        <v/>
      </c>
      <c r="G67" s="761">
        <f>E67</f>
        <v/>
      </c>
      <c r="H67" s="760">
        <f>E67/$E$86</f>
        <v/>
      </c>
      <c r="I67" s="760">
        <f>G67/$G$86</f>
        <v/>
      </c>
      <c r="J67" s="761">
        <f>-G67</f>
        <v/>
      </c>
      <c r="K67" s="760">
        <f>J67/$J$86</f>
        <v/>
      </c>
      <c r="L67" s="762" t="n"/>
      <c r="M67" s="351">
        <f>$M$3*H67</f>
        <v/>
      </c>
      <c r="N67" s="351" t="n">
        <v>-5989.953164130435</v>
      </c>
      <c r="O67" s="351" t="n"/>
      <c r="P67" s="351">
        <f>$P$3*H67</f>
        <v/>
      </c>
      <c r="Q67" s="351" t="n">
        <v>-38617.90734184351</v>
      </c>
      <c r="R67" s="351">
        <f>SUM(M67:Q67)</f>
        <v/>
      </c>
      <c r="S67" s="761" t="n"/>
      <c r="T67" s="249">
        <f>$T$3*I67</f>
        <v/>
      </c>
      <c r="U67" s="754" t="n">
        <v>0</v>
      </c>
      <c r="V67" s="249">
        <f>N67</f>
        <v/>
      </c>
      <c r="W67" s="249">
        <f>I67*$W$3</f>
        <v/>
      </c>
      <c r="X67" s="249">
        <f>$X$3*I67</f>
        <v/>
      </c>
      <c r="Y67" s="249">
        <f>T67+W67+X67+V67+U67</f>
        <v/>
      </c>
      <c r="Z67" s="761" t="n"/>
      <c r="AA67" s="302">
        <f>T67/G67</f>
        <v/>
      </c>
      <c r="AB67" s="303">
        <f>V67/G67</f>
        <v/>
      </c>
      <c r="AC67" s="303">
        <f>W67/G67</f>
        <v/>
      </c>
      <c r="AD67" s="303">
        <f>X67/G67</f>
        <v/>
      </c>
      <c r="AE67" s="919">
        <f>AD67+AC67+AA67</f>
        <v/>
      </c>
      <c r="AF67" s="761" t="n"/>
      <c r="AG67" s="326" t="n"/>
      <c r="AH67" s="332">
        <f>-Y67+R67</f>
        <v/>
      </c>
      <c r="AI67" s="717">
        <f>_xlfn.XLOOKUP(A67,'2.10.26 Sub Close Old'!A:A,'2.10.26 Sub Close Old'!AK:AK)</f>
        <v/>
      </c>
      <c r="AJ67" s="717">
        <f>_xlfn.XLOOKUP(A67,'2.10.26 Sub Close New'!A:A,'2.10.26 Sub Close New'!AJ:AJ)</f>
        <v/>
      </c>
      <c r="AK67" s="717">
        <f>+AJ67-AI67</f>
        <v/>
      </c>
      <c r="AL67" s="717">
        <f>+AH67+AK67</f>
        <v/>
      </c>
      <c r="AM67" s="756" t="n"/>
      <c r="AN67" s="308">
        <f>+Y67</f>
        <v/>
      </c>
      <c r="AO67" s="758">
        <f>AN67/G67</f>
        <v/>
      </c>
      <c r="AP67" s="758">
        <f>AB67</f>
        <v/>
      </c>
      <c r="AQ67" s="310">
        <f>+AO67-AP67</f>
        <v/>
      </c>
      <c r="AR67" s="756" t="n"/>
      <c r="AS67" s="326" t="n"/>
      <c r="AT67" s="249">
        <f>-$AS$3*H67</f>
        <v/>
      </c>
      <c r="AU67" s="308">
        <f>AT67</f>
        <v/>
      </c>
      <c r="AV67" s="310">
        <f>AT67/R67</f>
        <v/>
      </c>
      <c r="AW67" s="756" t="n"/>
      <c r="AX67" s="326" t="n"/>
      <c r="AY67" s="332">
        <f>AT67+AH67</f>
        <v/>
      </c>
      <c r="AZ67" s="756" t="n"/>
      <c r="BA67" s="326" t="n"/>
      <c r="BB67" s="332" t="n"/>
      <c r="BC67" s="756" t="n"/>
    </row>
    <row r="68">
      <c r="A68" s="752" t="inlineStr">
        <is>
          <t>TC Wilson Family Trust</t>
        </is>
      </c>
      <c r="B68" s="351">
        <f>_xlfn.XLOOKUP(A68,'CLIP_Schedule B'!A:A,'CLIP_Schedule B'!E:E,0,FALSE)</f>
        <v/>
      </c>
      <c r="C68" s="351">
        <f>_xlfn.XLOOKUP(A68,'Silsbee_Schedule B'!B:B,'Silsbee_Schedule B'!F:F,0,FALSE)</f>
        <v/>
      </c>
      <c r="D68" s="351">
        <f>_xlfn.XLOOKUP(A68,'Q2''26 Management Fee'!B:B,'Q2''26 Management Fee'!C:C)</f>
        <v/>
      </c>
      <c r="E68" s="761">
        <f>SUMIFS(Commitment!G:G,Commitment!A:A,'Subsequent Close'!A68)</f>
        <v/>
      </c>
      <c r="F68" s="760">
        <f>E68/$E$90</f>
        <v/>
      </c>
      <c r="G68" s="761">
        <f>E68</f>
        <v/>
      </c>
      <c r="H68" s="760">
        <f>E68/$E$86</f>
        <v/>
      </c>
      <c r="I68" s="760">
        <f>G68/$G$86</f>
        <v/>
      </c>
      <c r="J68" s="761">
        <f>-G68</f>
        <v/>
      </c>
      <c r="K68" s="760">
        <f>J68/$J$86</f>
        <v/>
      </c>
      <c r="L68" s="762" t="n"/>
      <c r="M68" s="351">
        <f>$M$3*H68</f>
        <v/>
      </c>
      <c r="N68" s="351" t="n">
        <v>-1867.7</v>
      </c>
      <c r="O68" s="351" t="n"/>
      <c r="P68" s="351">
        <f>$P$3*H68</f>
        <v/>
      </c>
      <c r="Q68" s="351" t="n">
        <v>-11556.70725601969</v>
      </c>
      <c r="R68" s="351">
        <f>SUM(M68:Q68)</f>
        <v/>
      </c>
      <c r="S68" s="761" t="n"/>
      <c r="T68" s="249">
        <f>$T$3*I68</f>
        <v/>
      </c>
      <c r="U68" s="754" t="n">
        <v>0</v>
      </c>
      <c r="V68" s="249">
        <f>N68</f>
        <v/>
      </c>
      <c r="W68" s="249">
        <f>I68*$W$3</f>
        <v/>
      </c>
      <c r="X68" s="249">
        <f>$X$3*I68</f>
        <v/>
      </c>
      <c r="Y68" s="249">
        <f>T68+W68+X68+V68+U68</f>
        <v/>
      </c>
      <c r="Z68" s="761" t="n"/>
      <c r="AA68" s="302">
        <f>T68/G68</f>
        <v/>
      </c>
      <c r="AB68" s="303">
        <f>V68/G68</f>
        <v/>
      </c>
      <c r="AC68" s="303">
        <f>W68/G68</f>
        <v/>
      </c>
      <c r="AD68" s="303">
        <f>X68/G68</f>
        <v/>
      </c>
      <c r="AE68" s="919">
        <f>AD68+AC68+AA68</f>
        <v/>
      </c>
      <c r="AF68" s="761" t="n"/>
      <c r="AG68" s="326" t="n"/>
      <c r="AH68" s="332">
        <f>-Y68+R68</f>
        <v/>
      </c>
      <c r="AI68" s="717">
        <f>_xlfn.XLOOKUP(A68,'2.10.26 Sub Close Old'!A:A,'2.10.26 Sub Close Old'!AK:AK)</f>
        <v/>
      </c>
      <c r="AJ68" s="717">
        <f>_xlfn.XLOOKUP(A68,'2.10.26 Sub Close New'!A:A,'2.10.26 Sub Close New'!AJ:AJ)</f>
        <v/>
      </c>
      <c r="AK68" s="717">
        <f>+AJ68-AI68</f>
        <v/>
      </c>
      <c r="AL68" s="717">
        <f>+AH68+AK68</f>
        <v/>
      </c>
      <c r="AM68" s="756" t="n"/>
      <c r="AN68" s="308">
        <f>+Y68</f>
        <v/>
      </c>
      <c r="AO68" s="758">
        <f>AN68/G68</f>
        <v/>
      </c>
      <c r="AP68" s="758">
        <f>AB68</f>
        <v/>
      </c>
      <c r="AQ68" s="310">
        <f>+AO68-AP68</f>
        <v/>
      </c>
      <c r="AR68" s="756" t="n"/>
      <c r="AS68" s="326" t="n"/>
      <c r="AT68" s="249">
        <f>-$AS$3*H68</f>
        <v/>
      </c>
      <c r="AU68" s="308">
        <f>AT68</f>
        <v/>
      </c>
      <c r="AV68" s="310">
        <f>AT68/R68</f>
        <v/>
      </c>
      <c r="AW68" s="756" t="n"/>
      <c r="AX68" s="326" t="n"/>
      <c r="AY68" s="332">
        <f>AT68+AH68</f>
        <v/>
      </c>
      <c r="AZ68" s="756" t="n"/>
      <c r="BA68" s="326" t="n"/>
      <c r="BB68" s="332" t="n"/>
      <c r="BC68" s="756" t="n"/>
    </row>
    <row r="69">
      <c r="A69" s="752" t="inlineStr">
        <is>
          <t>Terminal Refrigerating &amp; Warehousing Corp.</t>
        </is>
      </c>
      <c r="B69" s="351">
        <f>_xlfn.XLOOKUP(A69,'CLIP_Schedule B'!A:A,'CLIP_Schedule B'!E:E,0,FALSE)</f>
        <v/>
      </c>
      <c r="C69" s="351">
        <f>_xlfn.XLOOKUP(A69,'Silsbee_Schedule B'!B:B,'Silsbee_Schedule B'!F:F,0,FALSE)</f>
        <v/>
      </c>
      <c r="D69" s="351">
        <f>_xlfn.XLOOKUP(A69,'Q2''26 Management Fee'!B:B,'Q2''26 Management Fee'!C:C)</f>
        <v/>
      </c>
      <c r="E69" s="761">
        <f>SUMIFS(Commitment!G:G,Commitment!A:A,'Subsequent Close'!A69)</f>
        <v/>
      </c>
      <c r="F69" s="760">
        <f>E69/$E$90</f>
        <v/>
      </c>
      <c r="G69" s="761">
        <f>E69</f>
        <v/>
      </c>
      <c r="H69" s="760">
        <f>E69/$E$86</f>
        <v/>
      </c>
      <c r="I69" s="760">
        <f>G69/$G$86</f>
        <v/>
      </c>
      <c r="J69" s="761">
        <f>-G69</f>
        <v/>
      </c>
      <c r="K69" s="760">
        <f>J69/$J$86</f>
        <v/>
      </c>
      <c r="L69" s="762" t="n"/>
      <c r="M69" s="351">
        <f>$M$3*H69</f>
        <v/>
      </c>
      <c r="N69" s="351" t="n">
        <v>0</v>
      </c>
      <c r="O69" s="351" t="n"/>
      <c r="P69" s="351">
        <f>$P$3*H69</f>
        <v/>
      </c>
      <c r="Q69" s="351" t="n">
        <v>0</v>
      </c>
      <c r="R69" s="351">
        <f>SUM(M69:Q69)</f>
        <v/>
      </c>
      <c r="S69" s="761" t="n"/>
      <c r="T69" s="249">
        <f>$T$3*I69</f>
        <v/>
      </c>
      <c r="U69" s="754" t="n">
        <v>0</v>
      </c>
      <c r="V69" s="249">
        <f>N69</f>
        <v/>
      </c>
      <c r="W69" s="249">
        <f>I69*$W$3</f>
        <v/>
      </c>
      <c r="X69" s="249">
        <f>$X$3*I69</f>
        <v/>
      </c>
      <c r="Y69" s="249">
        <f>T69+W69+X69+V69+U69</f>
        <v/>
      </c>
      <c r="Z69" s="761" t="n"/>
      <c r="AA69" s="302" t="n">
        <v>0</v>
      </c>
      <c r="AB69" s="303" t="n">
        <v>0</v>
      </c>
      <c r="AC69" s="303" t="n">
        <v>0</v>
      </c>
      <c r="AD69" s="303" t="n">
        <v>0</v>
      </c>
      <c r="AE69" s="919">
        <f>AD69+AC69+AA69</f>
        <v/>
      </c>
      <c r="AF69" s="761" t="n"/>
      <c r="AG69" s="326" t="n"/>
      <c r="AH69" s="332">
        <f>-Y69+R69</f>
        <v/>
      </c>
      <c r="AI69" s="717" t="n"/>
      <c r="AJ69" s="717" t="n"/>
      <c r="AK69" s="717">
        <f>+AJ69-AI69</f>
        <v/>
      </c>
      <c r="AL69" s="717">
        <f>+AH69+AK69</f>
        <v/>
      </c>
      <c r="AM69" s="756" t="n"/>
      <c r="AN69" s="308">
        <f>+Y69</f>
        <v/>
      </c>
      <c r="AO69" s="758" t="n"/>
      <c r="AP69" s="758">
        <f>AB69</f>
        <v/>
      </c>
      <c r="AQ69" s="310">
        <f>+AO69-AP69</f>
        <v/>
      </c>
      <c r="AR69" s="756" t="n"/>
      <c r="AS69" s="326" t="n"/>
      <c r="AT69" s="249">
        <f>-$AS$3*H69</f>
        <v/>
      </c>
      <c r="AU69" s="308">
        <f>AT69</f>
        <v/>
      </c>
      <c r="AV69" s="310" t="n">
        <v>0</v>
      </c>
      <c r="AW69" s="756" t="n"/>
      <c r="AX69" s="326" t="n"/>
      <c r="AY69" s="332">
        <f>AT69+AH69</f>
        <v/>
      </c>
      <c r="AZ69" s="756" t="n"/>
      <c r="BA69" s="326" t="n"/>
      <c r="BB69" s="332" t="n"/>
      <c r="BC69" s="756" t="n"/>
    </row>
    <row r="70">
      <c r="A70" s="752" t="inlineStr">
        <is>
          <t>The 2015 Pipe Reality Delaware Trust</t>
        </is>
      </c>
      <c r="B70" s="351">
        <f>_xlfn.XLOOKUP(A70,'CLIP_Schedule B'!A:A,'CLIP_Schedule B'!E:E,0,FALSE)</f>
        <v/>
      </c>
      <c r="C70" s="351">
        <f>_xlfn.XLOOKUP(A70,'Silsbee_Schedule B'!B:B,'Silsbee_Schedule B'!F:F,0,FALSE)</f>
        <v/>
      </c>
      <c r="D70" s="351">
        <f>_xlfn.XLOOKUP(A70,'Q2''26 Management Fee'!B:B,'Q2''26 Management Fee'!C:C)</f>
        <v/>
      </c>
      <c r="E70" s="761">
        <f>SUMIFS(Commitment!G:G,Commitment!A:A,'Subsequent Close'!A70)</f>
        <v/>
      </c>
      <c r="F70" s="760">
        <f>E70/$E$90</f>
        <v/>
      </c>
      <c r="G70" s="761">
        <f>E70</f>
        <v/>
      </c>
      <c r="H70" s="760">
        <f>E70/$E$86</f>
        <v/>
      </c>
      <c r="I70" s="760">
        <f>G70/$G$86</f>
        <v/>
      </c>
      <c r="J70" s="761">
        <f>-G70</f>
        <v/>
      </c>
      <c r="K70" s="760">
        <f>J70/$J$86</f>
        <v/>
      </c>
      <c r="L70" s="762" t="n"/>
      <c r="M70" s="351">
        <f>$M$3*H70</f>
        <v/>
      </c>
      <c r="N70" s="351" t="n">
        <v>-14701.09</v>
      </c>
      <c r="O70" s="351" t="n"/>
      <c r="P70" s="351">
        <f>$P$3*H70</f>
        <v/>
      </c>
      <c r="Q70" s="351" t="n">
        <v>-73797.32288445896</v>
      </c>
      <c r="R70" s="351">
        <f>SUM(M70:Q70)</f>
        <v/>
      </c>
      <c r="S70" s="761" t="n"/>
      <c r="T70" s="249">
        <f>$T$3*I70</f>
        <v/>
      </c>
      <c r="U70" s="754" t="n">
        <v>0</v>
      </c>
      <c r="V70" s="249">
        <f>N70</f>
        <v/>
      </c>
      <c r="W70" s="249">
        <f>I70*$W$3</f>
        <v/>
      </c>
      <c r="X70" s="249">
        <f>$X$3*I70</f>
        <v/>
      </c>
      <c r="Y70" s="249">
        <f>T70+W70+X70+V70+U70</f>
        <v/>
      </c>
      <c r="Z70" s="761" t="n"/>
      <c r="AA70" s="302">
        <f>T70/G70</f>
        <v/>
      </c>
      <c r="AB70" s="303">
        <f>V70/G70</f>
        <v/>
      </c>
      <c r="AC70" s="303">
        <f>W70/G70</f>
        <v/>
      </c>
      <c r="AD70" s="303">
        <f>X70/G70</f>
        <v/>
      </c>
      <c r="AE70" s="919">
        <f>AD70+AC70+AA70</f>
        <v/>
      </c>
      <c r="AF70" s="761" t="n"/>
      <c r="AG70" s="326" t="n"/>
      <c r="AH70" s="332">
        <f>-Y70+R70</f>
        <v/>
      </c>
      <c r="AI70" s="717">
        <f>_xlfn.XLOOKUP(A70,'2.10.26 Sub Close Old'!A:A,'2.10.26 Sub Close Old'!AK:AK)</f>
        <v/>
      </c>
      <c r="AJ70" s="717">
        <f>_xlfn.XLOOKUP(A70,'2.10.26 Sub Close New'!A:A,'2.10.26 Sub Close New'!AJ:AJ)</f>
        <v/>
      </c>
      <c r="AK70" s="717">
        <f>+AJ70-AI70</f>
        <v/>
      </c>
      <c r="AL70" s="717">
        <f>+AH70+AK70</f>
        <v/>
      </c>
      <c r="AM70" s="756" t="n"/>
      <c r="AN70" s="308">
        <f>+Y70</f>
        <v/>
      </c>
      <c r="AO70" s="758">
        <f>AN70/G70</f>
        <v/>
      </c>
      <c r="AP70" s="758">
        <f>AB70</f>
        <v/>
      </c>
      <c r="AQ70" s="310">
        <f>+AO70-AP70</f>
        <v/>
      </c>
      <c r="AR70" s="756" t="n"/>
      <c r="AS70" s="326" t="n"/>
      <c r="AT70" s="249">
        <f>-$AS$3*H70</f>
        <v/>
      </c>
      <c r="AU70" s="308">
        <f>AT70</f>
        <v/>
      </c>
      <c r="AV70" s="310">
        <f>AT70/R70</f>
        <v/>
      </c>
      <c r="AW70" s="756" t="n"/>
      <c r="AX70" s="326" t="n"/>
      <c r="AY70" s="332">
        <f>AT70+AH70</f>
        <v/>
      </c>
      <c r="AZ70" s="756" t="n"/>
      <c r="BA70" s="326" t="n"/>
      <c r="BB70" s="332" t="n"/>
      <c r="BC70" s="756" t="n"/>
    </row>
    <row r="71">
      <c r="A71" s="752" t="inlineStr">
        <is>
          <t>The David L. Schnadig 2017 Trust</t>
        </is>
      </c>
      <c r="B71" s="351">
        <f>_xlfn.XLOOKUP(A71,'CLIP_Schedule B'!A:A,'CLIP_Schedule B'!E:E,0,FALSE)</f>
        <v/>
      </c>
      <c r="C71" s="351">
        <f>_xlfn.XLOOKUP(A71,'Silsbee_Schedule B'!B:B,'Silsbee_Schedule B'!F:F,0,FALSE)</f>
        <v/>
      </c>
      <c r="D71" s="351">
        <f>_xlfn.XLOOKUP(A71,'Q2''26 Management Fee'!B:B,'Q2''26 Management Fee'!C:C)</f>
        <v/>
      </c>
      <c r="E71" s="761">
        <f>SUMIFS(Commitment!G:G,Commitment!A:A,'Subsequent Close'!A71)</f>
        <v/>
      </c>
      <c r="F71" s="760">
        <f>E71/$E$90</f>
        <v/>
      </c>
      <c r="G71" s="761">
        <f>E71</f>
        <v/>
      </c>
      <c r="H71" s="760">
        <f>E71/$E$86</f>
        <v/>
      </c>
      <c r="I71" s="760">
        <f>G71/$G$86</f>
        <v/>
      </c>
      <c r="J71" s="761">
        <f>-G71</f>
        <v/>
      </c>
      <c r="K71" s="760">
        <f>J71/$J$86</f>
        <v/>
      </c>
      <c r="L71" s="762" t="n"/>
      <c r="M71" s="351">
        <f>$M$3*H71</f>
        <v/>
      </c>
      <c r="N71" s="351" t="n">
        <v>-14701.09</v>
      </c>
      <c r="O71" s="351" t="n"/>
      <c r="P71" s="351">
        <f>$P$3*H71</f>
        <v/>
      </c>
      <c r="Q71" s="351" t="n">
        <v>-73797.32288445896</v>
      </c>
      <c r="R71" s="351">
        <f>SUM(M71:Q71)</f>
        <v/>
      </c>
      <c r="S71" s="761" t="n"/>
      <c r="T71" s="249">
        <f>$T$3*I71</f>
        <v/>
      </c>
      <c r="U71" s="754" t="n">
        <v>0</v>
      </c>
      <c r="V71" s="249">
        <f>N71</f>
        <v/>
      </c>
      <c r="W71" s="249">
        <f>I71*$W$3</f>
        <v/>
      </c>
      <c r="X71" s="249">
        <f>$X$3*I71</f>
        <v/>
      </c>
      <c r="Y71" s="249">
        <f>T71+W71+X71+V71+U71</f>
        <v/>
      </c>
      <c r="Z71" s="761" t="n"/>
      <c r="AA71" s="302">
        <f>T71/G71</f>
        <v/>
      </c>
      <c r="AB71" s="303">
        <f>V71/G71</f>
        <v/>
      </c>
      <c r="AC71" s="303">
        <f>W71/G71</f>
        <v/>
      </c>
      <c r="AD71" s="303">
        <f>X71/G71</f>
        <v/>
      </c>
      <c r="AE71" s="919">
        <f>AD71+AC71+AA71</f>
        <v/>
      </c>
      <c r="AF71" s="761" t="n"/>
      <c r="AG71" s="326" t="n"/>
      <c r="AH71" s="332">
        <f>-Y71+R71</f>
        <v/>
      </c>
      <c r="AI71" s="717">
        <f>_xlfn.XLOOKUP(A71,'2.10.26 Sub Close Old'!A:A,'2.10.26 Sub Close Old'!AK:AK)</f>
        <v/>
      </c>
      <c r="AJ71" s="717">
        <f>_xlfn.XLOOKUP(A71,'2.10.26 Sub Close New'!A:A,'2.10.26 Sub Close New'!AJ:AJ)</f>
        <v/>
      </c>
      <c r="AK71" s="717">
        <f>+AJ71-AI71</f>
        <v/>
      </c>
      <c r="AL71" s="717">
        <f>+AH71+AK71</f>
        <v/>
      </c>
      <c r="AM71" s="756" t="n"/>
      <c r="AN71" s="308">
        <f>+Y71</f>
        <v/>
      </c>
      <c r="AO71" s="758">
        <f>AN71/G71</f>
        <v/>
      </c>
      <c r="AP71" s="758">
        <f>AB71</f>
        <v/>
      </c>
      <c r="AQ71" s="310">
        <f>+AO71-AP71</f>
        <v/>
      </c>
      <c r="AR71" s="756" t="n"/>
      <c r="AS71" s="326" t="n"/>
      <c r="AT71" s="249">
        <f>-$AS$3*H71</f>
        <v/>
      </c>
      <c r="AU71" s="308">
        <f>AT71</f>
        <v/>
      </c>
      <c r="AV71" s="310">
        <f>AT71/R71</f>
        <v/>
      </c>
      <c r="AW71" s="756" t="n"/>
      <c r="AX71" s="326" t="n"/>
      <c r="AY71" s="332">
        <f>AT71+AH71</f>
        <v/>
      </c>
      <c r="AZ71" s="756" t="n"/>
      <c r="BA71" s="326" t="n"/>
      <c r="BB71" s="332" t="n"/>
      <c r="BC71" s="756" t="n"/>
    </row>
    <row r="72">
      <c r="A72" s="752" t="inlineStr">
        <is>
          <t>The Diane Rosen 2021 Irrevocable Family Trust</t>
        </is>
      </c>
      <c r="B72" s="351">
        <f>_xlfn.XLOOKUP(A72,'CLIP_Schedule B'!A:A,'CLIP_Schedule B'!E:E,0,FALSE)</f>
        <v/>
      </c>
      <c r="C72" s="351">
        <f>_xlfn.XLOOKUP(A72,'Silsbee_Schedule B'!B:B,'Silsbee_Schedule B'!F:F,0,FALSE)</f>
        <v/>
      </c>
      <c r="D72" s="351">
        <f>_xlfn.XLOOKUP(A72,'Q2''26 Management Fee'!B:B,'Q2''26 Management Fee'!C:C)</f>
        <v/>
      </c>
      <c r="E72" s="761">
        <f>SUMIFS(Commitment!G:G,Commitment!A:A,'Subsequent Close'!A72)</f>
        <v/>
      </c>
      <c r="F72" s="760">
        <f>E72/$E$90</f>
        <v/>
      </c>
      <c r="G72" s="761">
        <f>E72</f>
        <v/>
      </c>
      <c r="H72" s="760">
        <f>E72/$E$86</f>
        <v/>
      </c>
      <c r="I72" s="760">
        <f>G72/$G$86</f>
        <v/>
      </c>
      <c r="J72" s="761">
        <f>-G72</f>
        <v/>
      </c>
      <c r="K72" s="760">
        <f>J72/$J$86</f>
        <v/>
      </c>
      <c r="L72" s="762" t="n"/>
      <c r="M72" s="351">
        <f>$M$3*H72</f>
        <v/>
      </c>
      <c r="N72" s="351" t="n">
        <v>-8820.65</v>
      </c>
      <c r="O72" s="351" t="n"/>
      <c r="P72" s="351">
        <f>$P$3*H72</f>
        <v/>
      </c>
      <c r="Q72" s="351" t="n">
        <v>-44278.39373067537</v>
      </c>
      <c r="R72" s="351">
        <f>SUM(M72:Q72)</f>
        <v/>
      </c>
      <c r="S72" s="761" t="n"/>
      <c r="T72" s="249">
        <f>$T$3*I72</f>
        <v/>
      </c>
      <c r="U72" s="754" t="n">
        <v>0</v>
      </c>
      <c r="V72" s="249">
        <f>N72</f>
        <v/>
      </c>
      <c r="W72" s="249">
        <f>I72*$W$3</f>
        <v/>
      </c>
      <c r="X72" s="249">
        <f>$X$3*I72</f>
        <v/>
      </c>
      <c r="Y72" s="249">
        <f>T72+W72+X72+V72+U72</f>
        <v/>
      </c>
      <c r="Z72" s="761" t="n"/>
      <c r="AA72" s="302">
        <f>T72/G72</f>
        <v/>
      </c>
      <c r="AB72" s="303">
        <f>V72/G72</f>
        <v/>
      </c>
      <c r="AC72" s="303">
        <f>W72/G72</f>
        <v/>
      </c>
      <c r="AD72" s="303">
        <f>X72/G72</f>
        <v/>
      </c>
      <c r="AE72" s="919">
        <f>AD72+AC72+AA72</f>
        <v/>
      </c>
      <c r="AF72" s="761" t="n"/>
      <c r="AG72" s="326" t="n"/>
      <c r="AH72" s="332">
        <f>-Y72+R72</f>
        <v/>
      </c>
      <c r="AI72" s="717">
        <f>_xlfn.XLOOKUP(A72,'2.10.26 Sub Close Old'!A:A,'2.10.26 Sub Close Old'!AK:AK)</f>
        <v/>
      </c>
      <c r="AJ72" s="717">
        <f>_xlfn.XLOOKUP(A72,'2.10.26 Sub Close New'!A:A,'2.10.26 Sub Close New'!AJ:AJ)</f>
        <v/>
      </c>
      <c r="AK72" s="717">
        <f>+AJ72-AI72</f>
        <v/>
      </c>
      <c r="AL72" s="717">
        <f>+AH72+AK72</f>
        <v/>
      </c>
      <c r="AM72" s="756" t="n"/>
      <c r="AN72" s="308">
        <f>+Y72</f>
        <v/>
      </c>
      <c r="AO72" s="758">
        <f>AN72/G72</f>
        <v/>
      </c>
      <c r="AP72" s="758">
        <f>AB72</f>
        <v/>
      </c>
      <c r="AQ72" s="310">
        <f>+AO72-AP72</f>
        <v/>
      </c>
      <c r="AR72" s="756" t="n"/>
      <c r="AS72" s="326" t="n"/>
      <c r="AT72" s="249">
        <f>-$AS$3*H72</f>
        <v/>
      </c>
      <c r="AU72" s="308">
        <f>AT72</f>
        <v/>
      </c>
      <c r="AV72" s="310">
        <f>AT72/R72</f>
        <v/>
      </c>
      <c r="AW72" s="756" t="n"/>
      <c r="AX72" s="326" t="n"/>
      <c r="AY72" s="332">
        <f>AT72+AH72</f>
        <v/>
      </c>
      <c r="AZ72" s="756" t="n"/>
      <c r="BA72" s="326" t="n"/>
      <c r="BB72" s="332" t="n"/>
      <c r="BC72" s="756" t="n"/>
    </row>
    <row r="73">
      <c r="A73" s="752" t="inlineStr">
        <is>
          <t>The Mark T. Kirchdorfer 2015 Family Delaware Dynasty Trust</t>
        </is>
      </c>
      <c r="B73" s="351">
        <f>_xlfn.XLOOKUP(A73,'CLIP_Schedule B'!A:A,'CLIP_Schedule B'!E:E,0,FALSE)</f>
        <v/>
      </c>
      <c r="C73" s="351">
        <f>_xlfn.XLOOKUP(A73,'Silsbee_Schedule B'!B:B,'Silsbee_Schedule B'!F:F,0,FALSE)</f>
        <v/>
      </c>
      <c r="D73" s="351">
        <f>_xlfn.XLOOKUP(A73,'Q2''26 Management Fee'!B:B,'Q2''26 Management Fee'!C:C)</f>
        <v/>
      </c>
      <c r="E73" s="761">
        <f>SUMIFS(Commitment!G:G,Commitment!A:A,'Subsequent Close'!A73)</f>
        <v/>
      </c>
      <c r="F73" s="760">
        <f>E73/$E$90</f>
        <v/>
      </c>
      <c r="G73" s="761">
        <f>E73</f>
        <v/>
      </c>
      <c r="H73" s="760">
        <f>E73/$E$86</f>
        <v/>
      </c>
      <c r="I73" s="760">
        <f>G73/$G$86</f>
        <v/>
      </c>
      <c r="J73" s="761">
        <f>-G73</f>
        <v/>
      </c>
      <c r="K73" s="760">
        <f>J73/$J$86</f>
        <v/>
      </c>
      <c r="L73" s="762" t="n"/>
      <c r="M73" s="351">
        <f>$M$3*H73</f>
        <v/>
      </c>
      <c r="N73" s="351" t="n">
        <v>-14701.09</v>
      </c>
      <c r="O73" s="351" t="n"/>
      <c r="P73" s="351">
        <f>$P$3*H73</f>
        <v/>
      </c>
      <c r="Q73" s="351" t="n">
        <v>-73797.32288445896</v>
      </c>
      <c r="R73" s="351">
        <f>SUM(M73:Q73)</f>
        <v/>
      </c>
      <c r="S73" s="761" t="n"/>
      <c r="T73" s="249">
        <f>$T$3*I73</f>
        <v/>
      </c>
      <c r="U73" s="754" t="n">
        <v>0</v>
      </c>
      <c r="V73" s="249">
        <f>N73</f>
        <v/>
      </c>
      <c r="W73" s="249">
        <f>I73*$W$3</f>
        <v/>
      </c>
      <c r="X73" s="249">
        <f>$X$3*I73</f>
        <v/>
      </c>
      <c r="Y73" s="249">
        <f>T73+W73+X73+V73+U73</f>
        <v/>
      </c>
      <c r="Z73" s="761" t="n"/>
      <c r="AA73" s="302">
        <f>T73/G73</f>
        <v/>
      </c>
      <c r="AB73" s="303">
        <f>V73/G73</f>
        <v/>
      </c>
      <c r="AC73" s="303">
        <f>W73/G73</f>
        <v/>
      </c>
      <c r="AD73" s="303">
        <f>X73/G73</f>
        <v/>
      </c>
      <c r="AE73" s="919">
        <f>AD73+AC73+AA73</f>
        <v/>
      </c>
      <c r="AF73" s="761" t="n"/>
      <c r="AG73" s="326" t="n"/>
      <c r="AH73" s="332">
        <f>-Y73+R73</f>
        <v/>
      </c>
      <c r="AI73" s="717">
        <f>_xlfn.XLOOKUP(A73,'2.10.26 Sub Close Old'!A:A,'2.10.26 Sub Close Old'!AK:AK)</f>
        <v/>
      </c>
      <c r="AJ73" s="717">
        <f>_xlfn.XLOOKUP(A73,'2.10.26 Sub Close New'!A:A,'2.10.26 Sub Close New'!AJ:AJ)</f>
        <v/>
      </c>
      <c r="AK73" s="717">
        <f>+AJ73-AI73</f>
        <v/>
      </c>
      <c r="AL73" s="717">
        <f>+AH73+AK73</f>
        <v/>
      </c>
      <c r="AM73" s="756" t="n"/>
      <c r="AN73" s="308">
        <f>+Y73</f>
        <v/>
      </c>
      <c r="AO73" s="758">
        <f>AN73/G73</f>
        <v/>
      </c>
      <c r="AP73" s="758">
        <f>AB73</f>
        <v/>
      </c>
      <c r="AQ73" s="310">
        <f>+AO73-AP73</f>
        <v/>
      </c>
      <c r="AR73" s="756" t="n"/>
      <c r="AS73" s="326" t="n"/>
      <c r="AT73" s="249">
        <f>-$AS$3*H73</f>
        <v/>
      </c>
      <c r="AU73" s="308">
        <f>AT73</f>
        <v/>
      </c>
      <c r="AV73" s="310">
        <f>AT73/R73</f>
        <v/>
      </c>
      <c r="AW73" s="756" t="n"/>
      <c r="AX73" s="326" t="n"/>
      <c r="AY73" s="332">
        <f>AT73+AH73</f>
        <v/>
      </c>
      <c r="AZ73" s="756" t="n"/>
      <c r="BA73" s="326" t="n"/>
      <c r="BB73" s="332" t="n"/>
      <c r="BC73" s="756" t="n"/>
    </row>
    <row r="74">
      <c r="A74" s="752" t="inlineStr">
        <is>
          <t>University of Southern California</t>
        </is>
      </c>
      <c r="B74" s="351">
        <f>_xlfn.XLOOKUP(A74,'CLIP_Schedule B'!A:A,'CLIP_Schedule B'!E:E,0,FALSE)</f>
        <v/>
      </c>
      <c r="C74" s="351">
        <f>_xlfn.XLOOKUP(A74,'Silsbee_Schedule B'!B:B,'Silsbee_Schedule B'!F:F,0,FALSE)</f>
        <v/>
      </c>
      <c r="D74" s="351">
        <f>_xlfn.XLOOKUP(A74,'Q2''26 Management Fee'!B:B,'Q2''26 Management Fee'!C:C)</f>
        <v/>
      </c>
      <c r="E74" s="761">
        <f>SUMIFS(Commitment!G:G,Commitment!A:A,'Subsequent Close'!A74)</f>
        <v/>
      </c>
      <c r="F74" s="760">
        <f>E74/$E$90</f>
        <v/>
      </c>
      <c r="G74" s="761">
        <f>E74</f>
        <v/>
      </c>
      <c r="H74" s="760">
        <f>E74/$E$86</f>
        <v/>
      </c>
      <c r="I74" s="760">
        <f>G74/$G$86</f>
        <v/>
      </c>
      <c r="J74" s="761">
        <f>-G74</f>
        <v/>
      </c>
      <c r="K74" s="760">
        <f>J74/$J$86</f>
        <v/>
      </c>
      <c r="L74" s="762" t="n"/>
      <c r="M74" s="351">
        <f>$M$3*H74</f>
        <v/>
      </c>
      <c r="N74" s="351" t="n">
        <v>-369021.74</v>
      </c>
      <c r="O74" s="351" t="n"/>
      <c r="P74" s="351">
        <f>$P$3*H74</f>
        <v/>
      </c>
      <c r="Q74" s="351" t="n">
        <v>-1475946.457689179</v>
      </c>
      <c r="R74" s="351">
        <f>SUM(M74:Q74)</f>
        <v/>
      </c>
      <c r="S74" s="761" t="n"/>
      <c r="T74" s="249">
        <f>$T$3*I74</f>
        <v/>
      </c>
      <c r="U74" s="754" t="n">
        <v>0</v>
      </c>
      <c r="V74" s="249">
        <f>N74</f>
        <v/>
      </c>
      <c r="W74" s="249">
        <f>I74*$W$3</f>
        <v/>
      </c>
      <c r="X74" s="249">
        <f>$X$3*I74</f>
        <v/>
      </c>
      <c r="Y74" s="249">
        <f>T74+W74+X74+V74+U74</f>
        <v/>
      </c>
      <c r="Z74" s="761" t="n"/>
      <c r="AA74" s="302">
        <f>T74/G74</f>
        <v/>
      </c>
      <c r="AB74" s="303">
        <f>V74/G74</f>
        <v/>
      </c>
      <c r="AC74" s="303">
        <f>W74/G74</f>
        <v/>
      </c>
      <c r="AD74" s="303">
        <f>X74/G74</f>
        <v/>
      </c>
      <c r="AE74" s="919">
        <f>AD74+AC74+AA74</f>
        <v/>
      </c>
      <c r="AF74" s="761" t="n"/>
      <c r="AG74" s="326" t="n"/>
      <c r="AH74" s="332">
        <f>-Y74+R74</f>
        <v/>
      </c>
      <c r="AI74" s="717">
        <f>_xlfn.XLOOKUP(A74,'2.10.26 Sub Close Old'!A:A,'2.10.26 Sub Close Old'!AK:AK)</f>
        <v/>
      </c>
      <c r="AJ74" s="717">
        <f>_xlfn.XLOOKUP(A74,'2.10.26 Sub Close New'!A:A,'2.10.26 Sub Close New'!AJ:AJ)</f>
        <v/>
      </c>
      <c r="AK74" s="717">
        <f>+AJ74-AI74</f>
        <v/>
      </c>
      <c r="AL74" s="717">
        <f>+AH74+AK74</f>
        <v/>
      </c>
      <c r="AM74" s="756" t="n"/>
      <c r="AN74" s="308">
        <f>+Y74</f>
        <v/>
      </c>
      <c r="AO74" s="758">
        <f>AN74/G74</f>
        <v/>
      </c>
      <c r="AP74" s="758">
        <f>AB74</f>
        <v/>
      </c>
      <c r="AQ74" s="310">
        <f>+AO74-AP74</f>
        <v/>
      </c>
      <c r="AR74" s="756" t="n"/>
      <c r="AS74" s="326" t="n"/>
      <c r="AT74" s="249">
        <f>-$AS$3*H74</f>
        <v/>
      </c>
      <c r="AU74" s="308">
        <f>AT74</f>
        <v/>
      </c>
      <c r="AV74" s="310">
        <f>AT74/R74</f>
        <v/>
      </c>
      <c r="AW74" s="756" t="n"/>
      <c r="AX74" s="326" t="n"/>
      <c r="AY74" s="332">
        <f>AT74+AH74</f>
        <v/>
      </c>
      <c r="AZ74" s="756" t="n"/>
      <c r="BA74" s="326" t="n"/>
      <c r="BB74" s="332" t="n"/>
      <c r="BC74" s="756" t="n"/>
    </row>
    <row r="75">
      <c r="A75" s="752" t="inlineStr">
        <is>
          <t>Walker D. Zimmerman</t>
        </is>
      </c>
      <c r="B75" s="351">
        <f>_xlfn.XLOOKUP(A75,'CLIP_Schedule B'!A:A,'CLIP_Schedule B'!E:E,0,FALSE)</f>
        <v/>
      </c>
      <c r="C75" s="351">
        <f>_xlfn.XLOOKUP(A75,'Silsbee_Schedule B'!B:B,'Silsbee_Schedule B'!F:F,0,FALSE)</f>
        <v/>
      </c>
      <c r="D75" s="351">
        <f>_xlfn.XLOOKUP(A75,'Q2''26 Management Fee'!B:B,'Q2''26 Management Fee'!C:C)</f>
        <v/>
      </c>
      <c r="E75" s="761">
        <f>SUMIFS(Commitment!G:G,Commitment!A:A,'Subsequent Close'!A75)</f>
        <v/>
      </c>
      <c r="F75" s="760">
        <f>E75/$E$90</f>
        <v/>
      </c>
      <c r="G75" s="761">
        <f>E75</f>
        <v/>
      </c>
      <c r="H75" s="760">
        <f>E75/$E$86</f>
        <v/>
      </c>
      <c r="I75" s="760">
        <f>G75/$G$86</f>
        <v/>
      </c>
      <c r="J75" s="761">
        <f>-G75</f>
        <v/>
      </c>
      <c r="K75" s="760">
        <f>J75/$J$86</f>
        <v/>
      </c>
      <c r="L75" s="762" t="n"/>
      <c r="M75" s="351">
        <f>$M$3*H75</f>
        <v/>
      </c>
      <c r="N75" s="351" t="n">
        <v>-5512.91</v>
      </c>
      <c r="O75" s="351" t="n"/>
      <c r="P75" s="351">
        <f>$P$3*H75</f>
        <v/>
      </c>
      <c r="Q75" s="351" t="n">
        <v>-18449.33072111474</v>
      </c>
      <c r="R75" s="351">
        <f>SUM(M75:Q75)</f>
        <v/>
      </c>
      <c r="S75" s="761" t="n"/>
      <c r="T75" s="249">
        <f>$T$3*I75</f>
        <v/>
      </c>
      <c r="U75" s="754" t="n">
        <v>0</v>
      </c>
      <c r="V75" s="249">
        <f>N75</f>
        <v/>
      </c>
      <c r="W75" s="249">
        <f>I75*$W$3</f>
        <v/>
      </c>
      <c r="X75" s="249">
        <f>$X$3*I75</f>
        <v/>
      </c>
      <c r="Y75" s="249">
        <f>T75+W75+X75+V75+U75</f>
        <v/>
      </c>
      <c r="Z75" s="761" t="n"/>
      <c r="AA75" s="302">
        <f>T75/G75</f>
        <v/>
      </c>
      <c r="AB75" s="303">
        <f>V75/G75</f>
        <v/>
      </c>
      <c r="AC75" s="303">
        <f>W75/G75</f>
        <v/>
      </c>
      <c r="AD75" s="303">
        <f>X75/G75</f>
        <v/>
      </c>
      <c r="AE75" s="919">
        <f>AD75+AC75+AA75</f>
        <v/>
      </c>
      <c r="AF75" s="761" t="n"/>
      <c r="AG75" s="326" t="n"/>
      <c r="AH75" s="332">
        <f>-Y75+R75</f>
        <v/>
      </c>
      <c r="AI75" s="717">
        <f>_xlfn.XLOOKUP(A75,'2.10.26 Sub Close Old'!A:A,'2.10.26 Sub Close Old'!AK:AK)</f>
        <v/>
      </c>
      <c r="AJ75" s="717">
        <f>_xlfn.XLOOKUP(A75,'2.10.26 Sub Close New'!A:A,'2.10.26 Sub Close New'!AJ:AJ)</f>
        <v/>
      </c>
      <c r="AK75" s="717">
        <f>+AJ75-AI75</f>
        <v/>
      </c>
      <c r="AL75" s="717">
        <f>+AH75+AK75</f>
        <v/>
      </c>
      <c r="AM75" s="756" t="n"/>
      <c r="AN75" s="308">
        <f>+Y75</f>
        <v/>
      </c>
      <c r="AO75" s="758">
        <f>AN75/G75</f>
        <v/>
      </c>
      <c r="AP75" s="758">
        <f>AB75</f>
        <v/>
      </c>
      <c r="AQ75" s="310">
        <f>+AO75-AP75</f>
        <v/>
      </c>
      <c r="AR75" s="756" t="n"/>
      <c r="AS75" s="326" t="n"/>
      <c r="AT75" s="249">
        <f>-$AS$3*H75</f>
        <v/>
      </c>
      <c r="AU75" s="308">
        <f>AT75</f>
        <v/>
      </c>
      <c r="AV75" s="310">
        <f>AT75/R75</f>
        <v/>
      </c>
      <c r="AW75" s="756" t="n"/>
      <c r="AX75" s="326" t="n"/>
      <c r="AY75" s="332">
        <f>AT75+AH75</f>
        <v/>
      </c>
      <c r="AZ75" s="756" t="n"/>
      <c r="BA75" s="326" t="n"/>
      <c r="BB75" s="332" t="n"/>
      <c r="BC75" s="756" t="n"/>
    </row>
    <row r="76">
      <c r="A76" s="752" t="inlineStr">
        <is>
          <t>Wilson Family Trust DTD 3-6-1987</t>
        </is>
      </c>
      <c r="B76" s="351">
        <f>_xlfn.XLOOKUP(A76,'CLIP_Schedule B'!A:A,'CLIP_Schedule B'!E:E,0,FALSE)</f>
        <v/>
      </c>
      <c r="C76" s="351">
        <f>_xlfn.XLOOKUP(A76,'Silsbee_Schedule B'!B:B,'Silsbee_Schedule B'!F:F,0,FALSE)</f>
        <v/>
      </c>
      <c r="D76" s="351">
        <f>_xlfn.XLOOKUP(A76,'Q2''26 Management Fee'!B:B,'Q2''26 Management Fee'!C:C)</f>
        <v/>
      </c>
      <c r="E76" s="761">
        <f>SUMIFS(Commitment!G:G,Commitment!A:A,'Subsequent Close'!A76)</f>
        <v/>
      </c>
      <c r="F76" s="760">
        <f>E76/$E$90</f>
        <v/>
      </c>
      <c r="G76" s="761">
        <f>E76</f>
        <v/>
      </c>
      <c r="H76" s="760">
        <f>E76/$E$86</f>
        <v/>
      </c>
      <c r="I76" s="760">
        <f>G76/$G$86</f>
        <v/>
      </c>
      <c r="J76" s="761">
        <f>-G76</f>
        <v/>
      </c>
      <c r="K76" s="760">
        <f>J76/$J$86</f>
        <v/>
      </c>
      <c r="L76" s="762" t="n"/>
      <c r="M76" s="351">
        <f>$M$3*H76</f>
        <v/>
      </c>
      <c r="N76" s="351" t="n">
        <v>-3735.39</v>
      </c>
      <c r="O76" s="351" t="n"/>
      <c r="P76" s="351">
        <f>$P$3*H76</f>
        <v/>
      </c>
      <c r="Q76" s="351" t="n">
        <v>-23113.41451203938</v>
      </c>
      <c r="R76" s="351">
        <f>SUM(M76:Q76)</f>
        <v/>
      </c>
      <c r="S76" s="761" t="n"/>
      <c r="T76" s="249">
        <f>$T$3*I76</f>
        <v/>
      </c>
      <c r="U76" s="754" t="n">
        <v>0</v>
      </c>
      <c r="V76" s="249">
        <f>N76</f>
        <v/>
      </c>
      <c r="W76" s="249">
        <f>I76*$W$3</f>
        <v/>
      </c>
      <c r="X76" s="249">
        <f>$X$3*I76</f>
        <v/>
      </c>
      <c r="Y76" s="249">
        <f>T76+W76+X76+V76+U76</f>
        <v/>
      </c>
      <c r="Z76" s="761" t="n"/>
      <c r="AA76" s="302">
        <f>T76/G76</f>
        <v/>
      </c>
      <c r="AB76" s="303">
        <f>V76/G76</f>
        <v/>
      </c>
      <c r="AC76" s="303">
        <f>W76/G76</f>
        <v/>
      </c>
      <c r="AD76" s="303">
        <f>X76/G76</f>
        <v/>
      </c>
      <c r="AE76" s="919">
        <f>AD76+AC76+AA76</f>
        <v/>
      </c>
      <c r="AF76" s="761" t="n"/>
      <c r="AG76" s="326" t="n"/>
      <c r="AH76" s="332">
        <f>-Y76+R76</f>
        <v/>
      </c>
      <c r="AI76" s="717">
        <f>_xlfn.XLOOKUP(A76,'2.10.26 Sub Close Old'!A:A,'2.10.26 Sub Close Old'!AK:AK)</f>
        <v/>
      </c>
      <c r="AJ76" s="717">
        <f>_xlfn.XLOOKUP(A76,'2.10.26 Sub Close New'!A:A,'2.10.26 Sub Close New'!AJ:AJ)</f>
        <v/>
      </c>
      <c r="AK76" s="717">
        <f>+AJ76-AI76</f>
        <v/>
      </c>
      <c r="AL76" s="717">
        <f>+AH76+AK76</f>
        <v/>
      </c>
      <c r="AM76" s="756" t="n"/>
      <c r="AN76" s="308">
        <f>+Y76</f>
        <v/>
      </c>
      <c r="AO76" s="758">
        <f>AN76/G76</f>
        <v/>
      </c>
      <c r="AP76" s="758">
        <f>AB76</f>
        <v/>
      </c>
      <c r="AQ76" s="310">
        <f>+AO76-AP76</f>
        <v/>
      </c>
      <c r="AR76" s="756" t="n"/>
      <c r="AS76" s="326" t="n"/>
      <c r="AT76" s="249">
        <f>-$AS$3*H76</f>
        <v/>
      </c>
      <c r="AU76" s="308">
        <f>AT76</f>
        <v/>
      </c>
      <c r="AV76" s="310">
        <f>AT76/R76</f>
        <v/>
      </c>
      <c r="AW76" s="756" t="n"/>
      <c r="AX76" s="326" t="n"/>
      <c r="AY76" s="332">
        <f>AT76+AH76</f>
        <v/>
      </c>
      <c r="AZ76" s="756" t="n"/>
      <c r="BA76" s="326" t="n"/>
      <c r="BB76" s="332" t="n"/>
      <c r="BC76" s="756" t="n"/>
    </row>
    <row r="77">
      <c r="A77" s="752" t="inlineStr">
        <is>
          <t>Wilson GST Exempt Trust</t>
        </is>
      </c>
      <c r="B77" s="351">
        <f>_xlfn.XLOOKUP(A77,'CLIP_Schedule B'!A:A,'CLIP_Schedule B'!E:E,0,FALSE)</f>
        <v/>
      </c>
      <c r="C77" s="351">
        <f>_xlfn.XLOOKUP(A77,'Silsbee_Schedule B'!B:B,'Silsbee_Schedule B'!F:F,0,FALSE)</f>
        <v/>
      </c>
      <c r="D77" s="351">
        <f>_xlfn.XLOOKUP(A77,'Q2''26 Management Fee'!B:B,'Q2''26 Management Fee'!C:C)</f>
        <v/>
      </c>
      <c r="E77" s="761">
        <f>SUMIFS(Commitment!G:G,Commitment!A:A,'Subsequent Close'!A77)</f>
        <v/>
      </c>
      <c r="F77" s="760">
        <f>E77/$E$90</f>
        <v/>
      </c>
      <c r="G77" s="761">
        <f>E77</f>
        <v/>
      </c>
      <c r="H77" s="760">
        <f>E77/$E$86</f>
        <v/>
      </c>
      <c r="I77" s="760">
        <f>G77/$G$86</f>
        <v/>
      </c>
      <c r="J77" s="761">
        <f>-G77</f>
        <v/>
      </c>
      <c r="K77" s="760">
        <f>J77/$J$86</f>
        <v/>
      </c>
      <c r="L77" s="762" t="n"/>
      <c r="M77" s="351">
        <f>$M$3*H77</f>
        <v/>
      </c>
      <c r="N77" s="351" t="n">
        <v>-3735.39</v>
      </c>
      <c r="O77" s="351" t="n"/>
      <c r="P77" s="351">
        <f>$P$3*H77</f>
        <v/>
      </c>
      <c r="Q77" s="351" t="n">
        <v>-23113.41451203938</v>
      </c>
      <c r="R77" s="351">
        <f>SUM(M77:Q77)</f>
        <v/>
      </c>
      <c r="S77" s="761" t="n"/>
      <c r="T77" s="249">
        <f>$T$3*I77</f>
        <v/>
      </c>
      <c r="U77" s="754" t="n">
        <v>0</v>
      </c>
      <c r="V77" s="249">
        <f>N77</f>
        <v/>
      </c>
      <c r="W77" s="249">
        <f>I77*$W$3</f>
        <v/>
      </c>
      <c r="X77" s="249">
        <f>$X$3*I77</f>
        <v/>
      </c>
      <c r="Y77" s="249">
        <f>T77+W77+X77+V77+U77</f>
        <v/>
      </c>
      <c r="Z77" s="761" t="n"/>
      <c r="AA77" s="302">
        <f>T77/G77</f>
        <v/>
      </c>
      <c r="AB77" s="303">
        <f>V77/G77</f>
        <v/>
      </c>
      <c r="AC77" s="303">
        <f>W77/G77</f>
        <v/>
      </c>
      <c r="AD77" s="303">
        <f>X77/G77</f>
        <v/>
      </c>
      <c r="AE77" s="919">
        <f>AD77+AC77+AA77</f>
        <v/>
      </c>
      <c r="AF77" s="761" t="n"/>
      <c r="AG77" s="326" t="n"/>
      <c r="AH77" s="332">
        <f>-Y77+R77</f>
        <v/>
      </c>
      <c r="AI77" s="717">
        <f>_xlfn.XLOOKUP(A77,'2.10.26 Sub Close Old'!A:A,'2.10.26 Sub Close Old'!AK:AK)</f>
        <v/>
      </c>
      <c r="AJ77" s="717">
        <f>_xlfn.XLOOKUP(A77,'2.10.26 Sub Close New'!A:A,'2.10.26 Sub Close New'!AJ:AJ)</f>
        <v/>
      </c>
      <c r="AK77" s="717">
        <f>+AJ77-AI77</f>
        <v/>
      </c>
      <c r="AL77" s="717">
        <f>+AH77+AK77</f>
        <v/>
      </c>
      <c r="AM77" s="756" t="n"/>
      <c r="AN77" s="308">
        <f>+Y77</f>
        <v/>
      </c>
      <c r="AO77" s="758">
        <f>AN77/G77</f>
        <v/>
      </c>
      <c r="AP77" s="758">
        <f>AB77</f>
        <v/>
      </c>
      <c r="AQ77" s="310">
        <f>+AO77-AP77</f>
        <v/>
      </c>
      <c r="AR77" s="756" t="n"/>
      <c r="AS77" s="326" t="n"/>
      <c r="AT77" s="249">
        <f>-$AS$3*H77</f>
        <v/>
      </c>
      <c r="AU77" s="308">
        <f>AT77</f>
        <v/>
      </c>
      <c r="AV77" s="310">
        <f>AT77/R77</f>
        <v/>
      </c>
      <c r="AW77" s="756" t="n"/>
      <c r="AX77" s="326" t="n"/>
      <c r="AY77" s="332">
        <f>AT77+AH77</f>
        <v/>
      </c>
      <c r="AZ77" s="756" t="n"/>
      <c r="BA77" s="326" t="n"/>
      <c r="BB77" s="332" t="n"/>
      <c r="BC77" s="756" t="n"/>
    </row>
    <row r="78">
      <c r="A78" s="752" t="inlineStr">
        <is>
          <t>Texas Emerging Managers Private Markets Program, L.P. (2025-1 RE Investment Series)</t>
        </is>
      </c>
      <c r="B78" s="351">
        <f>_xlfn.XLOOKUP(A78,'CLIP_Schedule B'!A:A,'CLIP_Schedule B'!E:E,0,FALSE)</f>
        <v/>
      </c>
      <c r="C78" s="351">
        <f>_xlfn.XLOOKUP(A78,'Silsbee_Schedule B'!B:B,'Silsbee_Schedule B'!F:F,0,FALSE)</f>
        <v/>
      </c>
      <c r="D78" s="351">
        <f>_xlfn.XLOOKUP(A78,'Q2''26 Management Fee'!B:B,'Q2''26 Management Fee'!C:C)</f>
        <v/>
      </c>
      <c r="E78" s="761">
        <f>SUMIFS(Commitment!G:G,Commitment!A:A,'Subsequent Close'!A78)</f>
        <v/>
      </c>
      <c r="F78" s="760">
        <f>E78/$E$90</f>
        <v/>
      </c>
      <c r="G78" s="761" t="n">
        <v>5000000</v>
      </c>
      <c r="H78" s="760">
        <f>E78/$E$86</f>
        <v/>
      </c>
      <c r="I78" s="760">
        <f>G78/$G$86</f>
        <v/>
      </c>
      <c r="J78" s="761">
        <f>-G78</f>
        <v/>
      </c>
      <c r="K78" s="760">
        <f>J78/$J$86</f>
        <v/>
      </c>
      <c r="L78" s="762" t="n"/>
      <c r="M78" s="351">
        <f>$M$3*H78</f>
        <v/>
      </c>
      <c r="N78" s="351" t="n">
        <v>-73505.43478260869</v>
      </c>
      <c r="O78" s="351" t="n"/>
      <c r="P78" s="351">
        <f>$P$3*H78</f>
        <v/>
      </c>
      <c r="Q78" s="351" t="n">
        <v>-368986.6144222948</v>
      </c>
      <c r="R78" s="351">
        <f>SUM(M78:Q78)</f>
        <v/>
      </c>
      <c r="S78" s="761" t="n"/>
      <c r="T78" s="249">
        <f>$T$3*I78</f>
        <v/>
      </c>
      <c r="U78" s="754" t="n">
        <v>0</v>
      </c>
      <c r="V78" s="249">
        <f>N78</f>
        <v/>
      </c>
      <c r="W78" s="249">
        <f>I78*$W$3</f>
        <v/>
      </c>
      <c r="X78" s="249">
        <f>$X$3*I78</f>
        <v/>
      </c>
      <c r="Y78" s="249">
        <f>T78+W78+X78+V78+U78</f>
        <v/>
      </c>
      <c r="Z78" s="761" t="n"/>
      <c r="AA78" s="302">
        <f>T78/G78</f>
        <v/>
      </c>
      <c r="AB78" s="303">
        <f>V78/G78</f>
        <v/>
      </c>
      <c r="AC78" s="303">
        <f>W78/G78</f>
        <v/>
      </c>
      <c r="AD78" s="303">
        <f>X78/G78</f>
        <v/>
      </c>
      <c r="AE78" s="919">
        <f>AD78+AC78+AA78</f>
        <v/>
      </c>
      <c r="AF78" s="761" t="n"/>
      <c r="AG78" s="326" t="n"/>
      <c r="AH78" s="332">
        <f>-Y78+R78</f>
        <v/>
      </c>
      <c r="AI78" s="717">
        <f>_xlfn.XLOOKUP(A78,'2.10.26 Sub Close Old'!A:A,'2.10.26 Sub Close Old'!AK:AK)</f>
        <v/>
      </c>
      <c r="AJ78" s="717">
        <f>_xlfn.XLOOKUP(A78,'2.10.26 Sub Close New'!A:A,'2.10.26 Sub Close New'!AJ:AJ)</f>
        <v/>
      </c>
      <c r="AK78" s="717">
        <f>+AJ78-AI78</f>
        <v/>
      </c>
      <c r="AL78" s="717">
        <f>+AH78+AK78</f>
        <v/>
      </c>
      <c r="AM78" s="756" t="n"/>
      <c r="AN78" s="308">
        <f>+Y78</f>
        <v/>
      </c>
      <c r="AO78" s="758">
        <f>AN78/G78</f>
        <v/>
      </c>
      <c r="AP78" s="758">
        <f>AB78</f>
        <v/>
      </c>
      <c r="AQ78" s="310">
        <f>+AO78-AP78</f>
        <v/>
      </c>
      <c r="AR78" s="756" t="n"/>
      <c r="AS78" s="326" t="n"/>
      <c r="AT78" s="249">
        <f>-$AS$3*H78</f>
        <v/>
      </c>
      <c r="AU78" s="308">
        <f>AT78</f>
        <v/>
      </c>
      <c r="AV78" s="310">
        <f>AT78/R78</f>
        <v/>
      </c>
      <c r="AW78" s="756" t="n"/>
      <c r="AX78" s="326" t="n"/>
      <c r="AY78" s="332">
        <f>AT78+AH78</f>
        <v/>
      </c>
      <c r="AZ78" s="756" t="n"/>
      <c r="BA78" s="326" t="n"/>
      <c r="BB78" s="332" t="n"/>
      <c r="BC78" s="756" t="n"/>
    </row>
    <row r="79">
      <c r="A79" s="752" t="inlineStr">
        <is>
          <t>GCM Grosvenor NJ RE Emerging Managers Program, LP (2023-1 Investment Series)</t>
        </is>
      </c>
      <c r="B79" s="351">
        <f>_xlfn.XLOOKUP(A79,'CLIP_Schedule B'!A:A,'CLIP_Schedule B'!E:E,0,FALSE)</f>
        <v/>
      </c>
      <c r="C79" s="351">
        <f>_xlfn.XLOOKUP(A79,'Silsbee_Schedule B'!B:B,'Silsbee_Schedule B'!F:F,0,FALSE)</f>
        <v/>
      </c>
      <c r="D79" s="351">
        <f>_xlfn.XLOOKUP(A79,'Q2''26 Management Fee'!B:B,'Q2''26 Management Fee'!C:C)</f>
        <v/>
      </c>
      <c r="E79" s="761">
        <f>SUMIFS(Commitment!G:G,Commitment!A:A,'Subsequent Close'!A79)</f>
        <v/>
      </c>
      <c r="F79" s="760">
        <f>E79/$E$90</f>
        <v/>
      </c>
      <c r="G79" s="761" t="n">
        <v>7500000</v>
      </c>
      <c r="H79" s="760">
        <f>E79/$E$86</f>
        <v/>
      </c>
      <c r="I79" s="760">
        <f>G79/$G$86</f>
        <v/>
      </c>
      <c r="J79" s="761">
        <f>-G79</f>
        <v/>
      </c>
      <c r="K79" s="760">
        <f>J79/$J$86</f>
        <v/>
      </c>
      <c r="L79" s="762" t="n"/>
      <c r="M79" s="351">
        <f>$M$3*H79</f>
        <v/>
      </c>
      <c r="N79" s="351" t="n">
        <v>-110258.1521739131</v>
      </c>
      <c r="O79" s="351" t="n"/>
      <c r="P79" s="351">
        <f>$P$3*H79</f>
        <v/>
      </c>
      <c r="Q79" s="351" t="n">
        <v>-553479.9216334422</v>
      </c>
      <c r="R79" s="351">
        <f>SUM(M79:Q79)</f>
        <v/>
      </c>
      <c r="S79" s="761" t="n"/>
      <c r="T79" s="249">
        <f>$T$3*I79</f>
        <v/>
      </c>
      <c r="U79" s="754" t="n">
        <v>0</v>
      </c>
      <c r="V79" s="249">
        <f>N79</f>
        <v/>
      </c>
      <c r="W79" s="249">
        <f>I79*$W$3</f>
        <v/>
      </c>
      <c r="X79" s="249">
        <f>$X$3*I79</f>
        <v/>
      </c>
      <c r="Y79" s="249">
        <f>T79+W79+X79+V79+U79</f>
        <v/>
      </c>
      <c r="Z79" s="761" t="n"/>
      <c r="AA79" s="302">
        <f>T79/G79</f>
        <v/>
      </c>
      <c r="AB79" s="303">
        <f>V79/G79</f>
        <v/>
      </c>
      <c r="AC79" s="303">
        <f>W79/G79</f>
        <v/>
      </c>
      <c r="AD79" s="303">
        <f>X79/G79</f>
        <v/>
      </c>
      <c r="AE79" s="919">
        <f>AD79+AC79+AA79</f>
        <v/>
      </c>
      <c r="AF79" s="761" t="n"/>
      <c r="AG79" s="326" t="n"/>
      <c r="AH79" s="332">
        <f>-Y79+R79</f>
        <v/>
      </c>
      <c r="AI79" s="717">
        <f>_xlfn.XLOOKUP(A79,'2.10.26 Sub Close Old'!A:A,'2.10.26 Sub Close Old'!AK:AK)</f>
        <v/>
      </c>
      <c r="AJ79" s="717">
        <f>_xlfn.XLOOKUP(A79,'2.10.26 Sub Close New'!A:A,'2.10.26 Sub Close New'!AJ:AJ)</f>
        <v/>
      </c>
      <c r="AK79" s="717">
        <f>+AJ79-AI79</f>
        <v/>
      </c>
      <c r="AL79" s="717">
        <f>+AH79+AK79</f>
        <v/>
      </c>
      <c r="AM79" s="756" t="n"/>
      <c r="AN79" s="308">
        <f>+Y79</f>
        <v/>
      </c>
      <c r="AO79" s="758">
        <f>AN79/G79</f>
        <v/>
      </c>
      <c r="AP79" s="758">
        <f>AB79</f>
        <v/>
      </c>
      <c r="AQ79" s="310">
        <f>+AO79-AP79</f>
        <v/>
      </c>
      <c r="AR79" s="756" t="n"/>
      <c r="AS79" s="326" t="n"/>
      <c r="AT79" s="249">
        <f>-$AS$3*H79</f>
        <v/>
      </c>
      <c r="AU79" s="308">
        <f>AT79</f>
        <v/>
      </c>
      <c r="AV79" s="310">
        <f>AT79/R79</f>
        <v/>
      </c>
      <c r="AW79" s="756" t="n"/>
      <c r="AX79" s="326" t="n"/>
      <c r="AY79" s="332">
        <f>AT79+AH79</f>
        <v/>
      </c>
      <c r="AZ79" s="756" t="n"/>
      <c r="BA79" s="326" t="n"/>
      <c r="BB79" s="332" t="n"/>
      <c r="BC79" s="756" t="n"/>
    </row>
    <row r="80">
      <c r="A80" s="752" t="inlineStr">
        <is>
          <t>GCM Grosvenor - NYSTRS Real Estate Investment Partners, L.P. (2024-1 Series)</t>
        </is>
      </c>
      <c r="B80" s="351">
        <f>_xlfn.XLOOKUP(A80,'CLIP_Schedule B'!A:A,'CLIP_Schedule B'!E:E,0,FALSE)</f>
        <v/>
      </c>
      <c r="C80" s="351">
        <f>_xlfn.XLOOKUP(A80,'Silsbee_Schedule B'!B:B,'Silsbee_Schedule B'!F:F,0,FALSE)</f>
        <v/>
      </c>
      <c r="D80" s="351">
        <f>_xlfn.XLOOKUP(A80,'Q2''26 Management Fee'!B:B,'Q2''26 Management Fee'!C:C)</f>
        <v/>
      </c>
      <c r="E80" s="761">
        <f>SUMIFS(Commitment!G:G,Commitment!A:A,'Subsequent Close'!A80)</f>
        <v/>
      </c>
      <c r="F80" s="760">
        <f>E80/$E$90</f>
        <v/>
      </c>
      <c r="G80" s="761" t="n">
        <v>5000000</v>
      </c>
      <c r="H80" s="760">
        <f>E80/$E$86</f>
        <v/>
      </c>
      <c r="I80" s="760">
        <f>G80/$G$86</f>
        <v/>
      </c>
      <c r="J80" s="761">
        <f>-G80</f>
        <v/>
      </c>
      <c r="K80" s="760">
        <f>J80/$J$86</f>
        <v/>
      </c>
      <c r="L80" s="762" t="n"/>
      <c r="M80" s="351">
        <f>$M$3*H80</f>
        <v/>
      </c>
      <c r="N80" s="351" t="n">
        <v>-73505.43478260869</v>
      </c>
      <c r="O80" s="351" t="n"/>
      <c r="P80" s="351">
        <f>$P$3*H80</f>
        <v/>
      </c>
      <c r="Q80" s="351" t="n">
        <v>-368986.6144222948</v>
      </c>
      <c r="R80" s="351">
        <f>SUM(M80:Q80)</f>
        <v/>
      </c>
      <c r="S80" s="761" t="n"/>
      <c r="T80" s="249">
        <f>$T$3*I80</f>
        <v/>
      </c>
      <c r="U80" s="754" t="n">
        <v>0</v>
      </c>
      <c r="V80" s="249">
        <f>N80</f>
        <v/>
      </c>
      <c r="W80" s="249">
        <f>I80*$W$3</f>
        <v/>
      </c>
      <c r="X80" s="249">
        <f>$X$3*I80</f>
        <v/>
      </c>
      <c r="Y80" s="249">
        <f>T80+W80+X80+V80+U80</f>
        <v/>
      </c>
      <c r="Z80" s="761" t="n"/>
      <c r="AA80" s="302">
        <f>T80/G80</f>
        <v/>
      </c>
      <c r="AB80" s="303">
        <f>V80/G80</f>
        <v/>
      </c>
      <c r="AC80" s="303">
        <f>W80/G80</f>
        <v/>
      </c>
      <c r="AD80" s="303">
        <f>X80/G80</f>
        <v/>
      </c>
      <c r="AE80" s="919">
        <f>AD80+AC80+AA80</f>
        <v/>
      </c>
      <c r="AF80" s="761" t="n"/>
      <c r="AG80" s="326" t="n"/>
      <c r="AH80" s="332">
        <f>-Y80+R80</f>
        <v/>
      </c>
      <c r="AI80" s="717">
        <f>_xlfn.XLOOKUP(A80,'2.10.26 Sub Close Old'!A:A,'2.10.26 Sub Close Old'!AK:AK)</f>
        <v/>
      </c>
      <c r="AJ80" s="717">
        <f>_xlfn.XLOOKUP(A80,'2.10.26 Sub Close New'!A:A,'2.10.26 Sub Close New'!AJ:AJ)</f>
        <v/>
      </c>
      <c r="AK80" s="717">
        <f>+AJ80-AI80</f>
        <v/>
      </c>
      <c r="AL80" s="717">
        <f>+AH80+AK80</f>
        <v/>
      </c>
      <c r="AM80" s="756" t="n"/>
      <c r="AN80" s="308">
        <f>+Y80</f>
        <v/>
      </c>
      <c r="AO80" s="758">
        <f>AN80/G80</f>
        <v/>
      </c>
      <c r="AP80" s="758">
        <f>AB80</f>
        <v/>
      </c>
      <c r="AQ80" s="310">
        <f>+AO80-AP80</f>
        <v/>
      </c>
      <c r="AR80" s="756" t="n"/>
      <c r="AS80" s="326" t="n"/>
      <c r="AT80" s="249">
        <f>-$AS$3*H80</f>
        <v/>
      </c>
      <c r="AU80" s="308">
        <f>AT80</f>
        <v/>
      </c>
      <c r="AV80" s="310">
        <f>AT80/R80</f>
        <v/>
      </c>
      <c r="AW80" s="756" t="n"/>
      <c r="AX80" s="326" t="n"/>
      <c r="AY80" s="332">
        <f>AT80+AH80</f>
        <v/>
      </c>
      <c r="AZ80" s="756" t="n"/>
      <c r="BA80" s="326" t="n"/>
      <c r="BB80" s="332" t="n"/>
      <c r="BC80" s="756" t="n"/>
    </row>
    <row r="81">
      <c r="A81" s="752" t="inlineStr">
        <is>
          <t>CRPTF-GCM Middle-Market RE Partnership, L.P. (2025-01 Investment Series)</t>
        </is>
      </c>
      <c r="B81" s="351">
        <f>_xlfn.XLOOKUP(A81,'CLIP_Schedule B'!A:A,'CLIP_Schedule B'!E:E,0,FALSE)</f>
        <v/>
      </c>
      <c r="C81" s="351">
        <f>_xlfn.XLOOKUP(A81,'Silsbee_Schedule B'!B:B,'Silsbee_Schedule B'!F:F,0,FALSE)</f>
        <v/>
      </c>
      <c r="D81" s="351">
        <f>_xlfn.XLOOKUP(A81,'Q2''26 Management Fee'!B:B,'Q2''26 Management Fee'!C:C)</f>
        <v/>
      </c>
      <c r="E81" s="761">
        <f>SUMIFS(Commitment!G:G,Commitment!A:A,'Subsequent Close'!A81)</f>
        <v/>
      </c>
      <c r="F81" s="760">
        <f>E81/$E$90</f>
        <v/>
      </c>
      <c r="G81" s="761" t="n">
        <v>30000000</v>
      </c>
      <c r="H81" s="760">
        <f>E81/$E$86</f>
        <v/>
      </c>
      <c r="I81" s="760">
        <f>G81/$G$86</f>
        <v/>
      </c>
      <c r="J81" s="761">
        <f>-G81</f>
        <v/>
      </c>
      <c r="K81" s="760">
        <f>J81/$J$86</f>
        <v/>
      </c>
      <c r="L81" s="762" t="n"/>
      <c r="M81" s="351">
        <f>$M$3*H81</f>
        <v/>
      </c>
      <c r="N81" s="351" t="n">
        <v>-441032.6086956522</v>
      </c>
      <c r="O81" s="351" t="n"/>
      <c r="P81" s="351">
        <f>$P$3*H81</f>
        <v/>
      </c>
      <c r="Q81" s="351" t="n">
        <v>-2213919.686533769</v>
      </c>
      <c r="R81" s="351">
        <f>SUM(M81:Q81)</f>
        <v/>
      </c>
      <c r="S81" s="761" t="n"/>
      <c r="T81" s="249">
        <f>$T$3*I81</f>
        <v/>
      </c>
      <c r="U81" s="754" t="n">
        <v>0</v>
      </c>
      <c r="V81" s="249">
        <f>N81</f>
        <v/>
      </c>
      <c r="W81" s="249">
        <f>I81*$W$3</f>
        <v/>
      </c>
      <c r="X81" s="249">
        <f>$X$3*I81</f>
        <v/>
      </c>
      <c r="Y81" s="249">
        <f>T81+W81+X81+V81+U81</f>
        <v/>
      </c>
      <c r="Z81" s="761" t="n"/>
      <c r="AA81" s="302">
        <f>T81/G81</f>
        <v/>
      </c>
      <c r="AB81" s="303">
        <f>V81/G81</f>
        <v/>
      </c>
      <c r="AC81" s="303">
        <f>W81/G81</f>
        <v/>
      </c>
      <c r="AD81" s="303">
        <f>X81/G81</f>
        <v/>
      </c>
      <c r="AE81" s="919">
        <f>AD81+AC81+AA81</f>
        <v/>
      </c>
      <c r="AF81" s="761" t="n"/>
      <c r="AG81" s="326" t="n"/>
      <c r="AH81" s="332">
        <f>-Y81+R81</f>
        <v/>
      </c>
      <c r="AI81" s="717">
        <f>_xlfn.XLOOKUP(A81,'2.10.26 Sub Close Old'!A:A,'2.10.26 Sub Close Old'!AK:AK)</f>
        <v/>
      </c>
      <c r="AJ81" s="717">
        <f>_xlfn.XLOOKUP(A81,'2.10.26 Sub Close New'!A:A,'2.10.26 Sub Close New'!AJ:AJ)</f>
        <v/>
      </c>
      <c r="AK81" s="717">
        <f>+AJ81-AI81</f>
        <v/>
      </c>
      <c r="AL81" s="717">
        <f>+AH81+AK81</f>
        <v/>
      </c>
      <c r="AM81" s="756" t="n"/>
      <c r="AN81" s="308">
        <f>+Y81</f>
        <v/>
      </c>
      <c r="AO81" s="758">
        <f>AN81/G81</f>
        <v/>
      </c>
      <c r="AP81" s="758">
        <f>AB81</f>
        <v/>
      </c>
      <c r="AQ81" s="310">
        <f>+AO81-AP81</f>
        <v/>
      </c>
      <c r="AR81" s="756" t="n"/>
      <c r="AS81" s="326" t="n"/>
      <c r="AT81" s="249">
        <f>-$AS$3*H81</f>
        <v/>
      </c>
      <c r="AU81" s="308">
        <f>AT81</f>
        <v/>
      </c>
      <c r="AV81" s="310">
        <f>AT81/R81</f>
        <v/>
      </c>
      <c r="AW81" s="756" t="n"/>
      <c r="AX81" s="326" t="n"/>
      <c r="AY81" s="332">
        <f>AT81+AH81</f>
        <v/>
      </c>
      <c r="AZ81" s="756" t="n"/>
      <c r="BA81" s="326" t="n"/>
      <c r="BB81" s="332" t="n"/>
      <c r="BC81" s="756" t="n"/>
    </row>
    <row r="82" customFormat="1" s="741">
      <c r="A82" s="363" t="inlineStr">
        <is>
          <t>Legacy Knight Strategic Opportunities Fund LLC - CL Rail Series</t>
        </is>
      </c>
      <c r="B82" s="730">
        <f>_xlfn.XLOOKUP(A82,'CLIP_Schedule B'!A:A,'CLIP_Schedule B'!E:E,0,FALSE)</f>
        <v/>
      </c>
      <c r="C82" s="730">
        <f>_xlfn.XLOOKUP(A82,'Silsbee_Schedule B'!B:B,'Silsbee_Schedule B'!F:F,0,FALSE)</f>
        <v/>
      </c>
      <c r="D82" s="730">
        <f>_xlfn.XLOOKUP(A82,'Q2''26 Management Fee'!B:B,'Q2''26 Management Fee'!C:C)</f>
        <v/>
      </c>
      <c r="E82" s="730">
        <f>SUMIFS(Commitment!G:G,Commitment!A:A,'Subsequent Close'!A82)</f>
        <v/>
      </c>
      <c r="F82" s="728">
        <f>E82/$E$90</f>
        <v/>
      </c>
      <c r="G82" s="730" t="n">
        <v>16700000</v>
      </c>
      <c r="H82" s="728">
        <f>E82/$E$86</f>
        <v/>
      </c>
      <c r="I82" s="728">
        <f>G82/$G$86</f>
        <v/>
      </c>
      <c r="J82" s="730">
        <f>-G82</f>
        <v/>
      </c>
      <c r="K82" s="728">
        <f>J82/$J$86</f>
        <v/>
      </c>
      <c r="L82" s="731" t="n"/>
      <c r="M82" s="730">
        <f>$M$3*H82</f>
        <v/>
      </c>
      <c r="N82" s="730" t="n">
        <v>-220516.3</v>
      </c>
      <c r="O82" s="730" t="n"/>
      <c r="P82" s="730">
        <f>$P$3*H82</f>
        <v/>
      </c>
      <c r="Q82" s="730" t="n">
        <v>-737973.2288445896</v>
      </c>
      <c r="R82" s="730">
        <f>SUM(M82:Q82)</f>
        <v/>
      </c>
      <c r="S82" s="730" t="n"/>
      <c r="T82" s="730">
        <f>$T$3*I82</f>
        <v/>
      </c>
      <c r="U82" s="730">
        <f>-'Management Fees - New Investor'!M13</f>
        <v/>
      </c>
      <c r="V82" s="730">
        <f>N82</f>
        <v/>
      </c>
      <c r="W82" s="730">
        <f>I82*$W$3</f>
        <v/>
      </c>
      <c r="X82" s="730">
        <f>$X$3*I82</f>
        <v/>
      </c>
      <c r="Y82" s="730">
        <f>T82+W82+X82+V82+U82</f>
        <v/>
      </c>
      <c r="Z82" s="730" t="n"/>
      <c r="AA82" s="732">
        <f>T82/G82</f>
        <v/>
      </c>
      <c r="AB82" s="733">
        <f>(V82+U82)/G82</f>
        <v/>
      </c>
      <c r="AC82" s="733">
        <f>W82/G82</f>
        <v/>
      </c>
      <c r="AD82" s="733">
        <f>X82/G82</f>
        <v/>
      </c>
      <c r="AE82" s="921">
        <f>AD82+AC82+AA82</f>
        <v/>
      </c>
      <c r="AF82" s="730" t="n"/>
      <c r="AG82" s="735">
        <f>-T82-W82-X82+M82+P82+Q82</f>
        <v/>
      </c>
      <c r="AH82" s="739" t="n">
        <v>0</v>
      </c>
      <c r="AI82" s="730">
        <f>_xlfn.XLOOKUP(A82,'2.10.26 Sub Close Old'!A:A,'2.10.26 Sub Close Old'!AK:AK)</f>
        <v/>
      </c>
      <c r="AJ82" s="730">
        <f>_xlfn.XLOOKUP(A82,'2.10.26 Sub Close New'!A:A,'2.10.26 Sub Close New'!AJ:AJ)</f>
        <v/>
      </c>
      <c r="AK82" s="730">
        <f>+AJ82-AI82</f>
        <v/>
      </c>
      <c r="AL82" s="730">
        <f>+AH82+AK82</f>
        <v/>
      </c>
      <c r="AM82" s="736" t="n"/>
      <c r="AN82" s="751">
        <f>+Y82</f>
        <v/>
      </c>
      <c r="AO82" s="799">
        <f>AN82/G82</f>
        <v/>
      </c>
      <c r="AP82" s="799">
        <f>AB82</f>
        <v/>
      </c>
      <c r="AQ82" s="738">
        <f>+AO82-AP82</f>
        <v/>
      </c>
      <c r="AR82" s="736" t="n"/>
      <c r="AS82" s="735">
        <f>'Closing Interest'!O25</f>
        <v/>
      </c>
      <c r="AT82" s="730">
        <f>-$AS$3*H82</f>
        <v/>
      </c>
      <c r="AU82" s="802">
        <f>AT82</f>
        <v/>
      </c>
      <c r="AV82" s="738">
        <f>AT82/R82</f>
        <v/>
      </c>
      <c r="AW82" s="736" t="n"/>
      <c r="AX82" s="735">
        <f>AG82+AS82</f>
        <v/>
      </c>
      <c r="AY82" s="739">
        <f>AT82+AH82</f>
        <v/>
      </c>
      <c r="AZ82" s="736" t="n"/>
      <c r="BA82" s="735">
        <f>'Management Fees - New Investor'!M20</f>
        <v/>
      </c>
      <c r="BB82" s="739" t="n"/>
      <c r="BC82" s="736" t="n"/>
    </row>
    <row r="83">
      <c r="A83" s="752" t="inlineStr">
        <is>
          <t>Argos Holdings, LLC</t>
        </is>
      </c>
      <c r="B83" s="351" t="n"/>
      <c r="C83" s="351" t="n"/>
      <c r="D83" s="351">
        <f>_xlfn.XLOOKUP(A83,'Q2''26 Management Fee'!B:B,'Q2''26 Management Fee'!C:C)</f>
        <v/>
      </c>
      <c r="E83" s="761">
        <f>SUMIFS(Commitment!G:G,Commitment!A:A,'Subsequent Close'!A83)</f>
        <v/>
      </c>
      <c r="F83" s="760">
        <f>E83/$E$90</f>
        <v/>
      </c>
      <c r="G83" s="761">
        <f>E83</f>
        <v/>
      </c>
      <c r="H83" s="760">
        <f>E83/$E$86</f>
        <v/>
      </c>
      <c r="I83" s="760">
        <f>G83/$G$86</f>
        <v/>
      </c>
      <c r="J83" s="761">
        <f>-G83</f>
        <v/>
      </c>
      <c r="K83" s="760">
        <f>J83/$J$86</f>
        <v/>
      </c>
      <c r="L83" s="762" t="n"/>
      <c r="M83" s="351">
        <f>$M$3*H83</f>
        <v/>
      </c>
      <c r="N83" s="351" t="n">
        <v>-4669.25</v>
      </c>
      <c r="O83" s="351" t="n"/>
      <c r="P83" s="351">
        <f>$P$3*H83</f>
        <v/>
      </c>
      <c r="Q83" s="351" t="n">
        <v>-28891.76850903584</v>
      </c>
      <c r="R83" s="351">
        <f>SUM(M83:Q83)</f>
        <v/>
      </c>
      <c r="S83" s="761" t="n"/>
      <c r="T83" s="249">
        <f>$T$3*I83</f>
        <v/>
      </c>
      <c r="U83" s="754" t="n">
        <v>0</v>
      </c>
      <c r="V83" s="249">
        <f>N83</f>
        <v/>
      </c>
      <c r="W83" s="249">
        <f>I83*$W$3</f>
        <v/>
      </c>
      <c r="X83" s="249">
        <f>$X$3*I83</f>
        <v/>
      </c>
      <c r="Y83" s="249">
        <f>T83+W83+X83+V83+U83</f>
        <v/>
      </c>
      <c r="Z83" s="761" t="n"/>
      <c r="AA83" s="302">
        <f>T83/G83</f>
        <v/>
      </c>
      <c r="AB83" s="303">
        <f>V83/G83</f>
        <v/>
      </c>
      <c r="AC83" s="303">
        <f>W83/G83</f>
        <v/>
      </c>
      <c r="AD83" s="303">
        <f>X83/G83</f>
        <v/>
      </c>
      <c r="AE83" s="919">
        <f>AD83+AC83+AA83</f>
        <v/>
      </c>
      <c r="AF83" s="761" t="n"/>
      <c r="AG83" s="326" t="n"/>
      <c r="AH83" s="332">
        <f>-Y83+R83</f>
        <v/>
      </c>
      <c r="AI83" s="717">
        <f>_xlfn.XLOOKUP(A83,'2.10.26 Sub Close Old'!A:A,'2.10.26 Sub Close Old'!AK:AK)</f>
        <v/>
      </c>
      <c r="AJ83" s="717">
        <f>_xlfn.XLOOKUP(A83,'2.10.26 Sub Close New'!A:A,'2.10.26 Sub Close New'!AJ:AJ)</f>
        <v/>
      </c>
      <c r="AK83" s="717">
        <f>+AJ83-AI83</f>
        <v/>
      </c>
      <c r="AL83" s="717">
        <f>+AH83+AK83</f>
        <v/>
      </c>
      <c r="AM83" s="756" t="n"/>
      <c r="AN83" s="308">
        <f>+Y83</f>
        <v/>
      </c>
      <c r="AO83" s="758">
        <f>AN83/G83</f>
        <v/>
      </c>
      <c r="AP83" s="758">
        <f>AB83</f>
        <v/>
      </c>
      <c r="AQ83" s="310">
        <f>+AO83-AP83</f>
        <v/>
      </c>
      <c r="AR83" s="756" t="n"/>
      <c r="AS83" s="326" t="n"/>
      <c r="AT83" s="249">
        <f>-$AS$3*H83</f>
        <v/>
      </c>
      <c r="AU83" s="308">
        <f>AT83</f>
        <v/>
      </c>
      <c r="AV83" s="310">
        <f>AT83/R83</f>
        <v/>
      </c>
      <c r="AW83" s="756" t="n"/>
      <c r="AX83" s="326" t="n"/>
      <c r="AY83" s="332">
        <f>AT83+AH83</f>
        <v/>
      </c>
      <c r="AZ83" s="756" t="n"/>
      <c r="BA83" s="326" t="n"/>
      <c r="BB83" s="332" t="n"/>
      <c r="BC83" s="756" t="n"/>
    </row>
    <row r="84" s="759">
      <c r="A84" s="752" t="inlineStr">
        <is>
          <t>Palmatum HR Illiquid, LLC</t>
        </is>
      </c>
      <c r="B84" s="351" t="n"/>
      <c r="C84" s="351" t="n"/>
      <c r="D84" s="351" t="inlineStr">
        <is>
          <t>Standard</t>
        </is>
      </c>
      <c r="E84" s="761">
        <f>SUMIFS(Commitment!G:G,Commitment!A:A,'Subsequent Close'!A84)</f>
        <v/>
      </c>
      <c r="F84" s="760">
        <f>E84/$E$90</f>
        <v/>
      </c>
      <c r="G84" s="761">
        <f>E84</f>
        <v/>
      </c>
      <c r="H84" s="760">
        <f>E84/$E$86</f>
        <v/>
      </c>
      <c r="I84" s="760">
        <f>G84/$G$86</f>
        <v/>
      </c>
      <c r="J84" s="761">
        <f>-G84</f>
        <v/>
      </c>
      <c r="K84" s="760">
        <f>J84/$J$86</f>
        <v/>
      </c>
      <c r="L84" s="762" t="n"/>
      <c r="M84" s="351">
        <f>$M$3*H84</f>
        <v/>
      </c>
      <c r="N84" s="351" t="n">
        <v>-29402.17</v>
      </c>
      <c r="O84" s="351" t="n"/>
      <c r="P84" s="351">
        <f>$P$3*H84</f>
        <v/>
      </c>
      <c r="Q84" s="351" t="n">
        <v>-147594.6457689179</v>
      </c>
      <c r="R84" s="351">
        <f>SUM(M84:Q84)</f>
        <v/>
      </c>
      <c r="S84" s="761" t="n"/>
      <c r="T84" s="249">
        <f>$T$3*I84</f>
        <v/>
      </c>
      <c r="U84" s="754" t="n">
        <v>0</v>
      </c>
      <c r="V84" s="249">
        <f>N84</f>
        <v/>
      </c>
      <c r="W84" s="249">
        <f>I84*$W$3</f>
        <v/>
      </c>
      <c r="X84" s="249">
        <f>$X$3*I84</f>
        <v/>
      </c>
      <c r="Y84" s="249">
        <f>T84+W84+X84+V84+U84</f>
        <v/>
      </c>
      <c r="Z84" s="761" t="n"/>
      <c r="AA84" s="303">
        <f>T84/G84</f>
        <v/>
      </c>
      <c r="AB84" s="303">
        <f>V84/G84</f>
        <v/>
      </c>
      <c r="AC84" s="303">
        <f>W84/G84</f>
        <v/>
      </c>
      <c r="AD84" s="303">
        <f>X84/G84</f>
        <v/>
      </c>
      <c r="AE84" s="922">
        <f>AD84+AC84+AA84</f>
        <v/>
      </c>
      <c r="AF84" s="761" t="n"/>
      <c r="AG84" s="326" t="n"/>
      <c r="AH84" s="332">
        <f>-Y84+R84</f>
        <v/>
      </c>
      <c r="AI84" s="717">
        <f>_xlfn.XLOOKUP(A69,'2.10.26 Sub Close Old'!A:A,'2.10.26 Sub Close Old'!AK:AK)</f>
        <v/>
      </c>
      <c r="AJ84" s="717">
        <f>_xlfn.XLOOKUP(A69,'2.10.26 Sub Close New'!A:A,'2.10.26 Sub Close New'!AJ:AJ)</f>
        <v/>
      </c>
      <c r="AK84" s="717">
        <f>+AJ84-AI84</f>
        <v/>
      </c>
      <c r="AL84" s="717">
        <f>+AH84+AK84</f>
        <v/>
      </c>
      <c r="AM84" s="756" t="n"/>
      <c r="AN84" s="308">
        <f>+Y84</f>
        <v/>
      </c>
      <c r="AO84" s="758">
        <f>AN84/G84</f>
        <v/>
      </c>
      <c r="AP84" s="758">
        <f>AB84</f>
        <v/>
      </c>
      <c r="AQ84" s="310">
        <f>+AO84-AP84</f>
        <v/>
      </c>
      <c r="AR84" s="756" t="n"/>
      <c r="AS84" s="249" t="n"/>
      <c r="AT84" s="249">
        <f>-$AS$3*H84</f>
        <v/>
      </c>
      <c r="AU84" s="308">
        <f>AT84</f>
        <v/>
      </c>
      <c r="AV84" s="310">
        <f>AT84/R84</f>
        <v/>
      </c>
      <c r="AW84" s="756" t="n"/>
      <c r="AX84" s="326" t="n"/>
      <c r="AY84" s="332">
        <f>AT84+AH84</f>
        <v/>
      </c>
      <c r="AZ84" s="756" t="n"/>
      <c r="BA84" s="249" t="n"/>
      <c r="BB84" s="249" t="n"/>
      <c r="BC84" s="756" t="n"/>
    </row>
    <row r="85" customFormat="1" s="788">
      <c r="A85" s="364" t="inlineStr">
        <is>
          <t>James Bloomingdale</t>
        </is>
      </c>
      <c r="B85" s="777" t="n"/>
      <c r="C85" s="777" t="n"/>
      <c r="D85" s="777" t="inlineStr">
        <is>
          <t>Standard</t>
        </is>
      </c>
      <c r="E85" s="777" t="n">
        <v>0</v>
      </c>
      <c r="F85" s="776" t="n">
        <v>0</v>
      </c>
      <c r="G85" s="777" t="n">
        <v>25000</v>
      </c>
      <c r="H85" s="776" t="n">
        <v>0</v>
      </c>
      <c r="I85" s="776">
        <f>G85/$G$86</f>
        <v/>
      </c>
      <c r="J85" s="777">
        <f>-G85</f>
        <v/>
      </c>
      <c r="K85" s="776">
        <f>J85/$J$86</f>
        <v/>
      </c>
      <c r="L85" s="778" t="n"/>
      <c r="M85" s="777">
        <f>$M$3*H85</f>
        <v/>
      </c>
      <c r="N85" s="777" t="n">
        <v>0</v>
      </c>
      <c r="O85" s="777" t="n"/>
      <c r="P85" s="777">
        <f>$P$3*H85</f>
        <v/>
      </c>
      <c r="Q85" s="777" t="n">
        <v>0</v>
      </c>
      <c r="R85" s="777">
        <f>SUM(M85:Q85)</f>
        <v/>
      </c>
      <c r="S85" s="777" t="n"/>
      <c r="T85" s="777">
        <f>$T$3*I85</f>
        <v/>
      </c>
      <c r="U85" s="777">
        <f>-'Management Fees - New Investor'!M26</f>
        <v/>
      </c>
      <c r="V85" s="777">
        <f>N85</f>
        <v/>
      </c>
      <c r="W85" s="777">
        <f>I85*$W$3</f>
        <v/>
      </c>
      <c r="X85" s="777">
        <f>$X$3*I85</f>
        <v/>
      </c>
      <c r="Y85" s="777">
        <f>T85+W85+X85+V85+U85</f>
        <v/>
      </c>
      <c r="Z85" s="777" t="n"/>
      <c r="AA85" s="779">
        <f>T85/G85</f>
        <v/>
      </c>
      <c r="AB85" s="780">
        <f>V85+U85/G85</f>
        <v/>
      </c>
      <c r="AC85" s="780">
        <f>W85/G85</f>
        <v/>
      </c>
      <c r="AD85" s="780">
        <f>X85/G85</f>
        <v/>
      </c>
      <c r="AE85" s="923">
        <f>AD85+AC85+AA85</f>
        <v/>
      </c>
      <c r="AF85" s="777" t="n"/>
      <c r="AG85" s="782">
        <f>-T85-W85-X85+M85+P85+Q85</f>
        <v/>
      </c>
      <c r="AH85" s="787" t="n">
        <v>0</v>
      </c>
      <c r="AI85" s="777" t="n"/>
      <c r="AJ85" s="777" t="n"/>
      <c r="AK85" s="777" t="n"/>
      <c r="AL85" s="777" t="n"/>
      <c r="AM85" s="783" t="n"/>
      <c r="AN85" s="784">
        <f>+Y85</f>
        <v/>
      </c>
      <c r="AO85" s="785">
        <f>AN85/G85</f>
        <v/>
      </c>
      <c r="AP85" s="785">
        <f>AB85</f>
        <v/>
      </c>
      <c r="AQ85" s="786">
        <f>+AO85-AP85</f>
        <v/>
      </c>
      <c r="AR85" s="783" t="n"/>
      <c r="AS85" s="782">
        <f>'Closing Interest'!O26</f>
        <v/>
      </c>
      <c r="AT85" s="333">
        <f>-$AS$3*H85</f>
        <v/>
      </c>
      <c r="AU85" s="803" t="n"/>
      <c r="AV85" s="786" t="n"/>
      <c r="AW85" s="783" t="n"/>
      <c r="AX85" s="782">
        <f>AG85+AS85</f>
        <v/>
      </c>
      <c r="AY85" s="787">
        <f>AT85+AH85</f>
        <v/>
      </c>
      <c r="AZ85" s="783" t="n"/>
      <c r="BA85" s="782">
        <f>'Management Fees - New Investor'!M34</f>
        <v/>
      </c>
      <c r="BB85" s="787" t="n"/>
      <c r="BC85" s="783" t="n"/>
    </row>
    <row r="86">
      <c r="B86" s="766">
        <f>SUM(B4:B82)</f>
        <v/>
      </c>
      <c r="C86" s="766">
        <f>SUM(C4:C82)</f>
        <v/>
      </c>
      <c r="D86" s="766" t="n"/>
      <c r="E86" s="763">
        <f>SUM(E4:E84)</f>
        <v/>
      </c>
      <c r="F86" s="764">
        <f>SUM(F4:F84)</f>
        <v/>
      </c>
      <c r="G86" s="763">
        <f>SUM(G4:G85)</f>
        <v/>
      </c>
      <c r="H86" s="764">
        <f>SUM(H4:H84)</f>
        <v/>
      </c>
      <c r="I86" s="764">
        <f>SUM(I4:I85)</f>
        <v/>
      </c>
      <c r="J86" s="763">
        <f>SUM(J4:J85)</f>
        <v/>
      </c>
      <c r="K86" s="765">
        <f>SUM(K4:K84)</f>
        <v/>
      </c>
      <c r="L86" s="763" t="n"/>
      <c r="M86" s="766">
        <f>SUM(M4:M85)</f>
        <v/>
      </c>
      <c r="N86" s="766">
        <f>SUM(N4:N85)</f>
        <v/>
      </c>
      <c r="O86" s="766">
        <f>SUM(O4:O85)</f>
        <v/>
      </c>
      <c r="P86" s="766">
        <f>SUM(P4:P85)</f>
        <v/>
      </c>
      <c r="Q86" s="766">
        <f>SUM(Q4:Q85)</f>
        <v/>
      </c>
      <c r="R86" s="766">
        <f>SUM(R4:R85)</f>
        <v/>
      </c>
      <c r="S86" s="763">
        <f>SUM(S4:S84)</f>
        <v/>
      </c>
      <c r="T86" s="767">
        <f>SUM(T4:T85)</f>
        <v/>
      </c>
      <c r="U86" s="248">
        <f>SUM(U4:U85)</f>
        <v/>
      </c>
      <c r="V86" s="767">
        <f>SUM(V4:V85)</f>
        <v/>
      </c>
      <c r="W86" s="767">
        <f>SUM(W4:W85)</f>
        <v/>
      </c>
      <c r="X86" s="767">
        <f>SUM(X4:X85)</f>
        <v/>
      </c>
      <c r="Y86" s="767">
        <f>SUM(Y4:Y85)</f>
        <v/>
      </c>
      <c r="Z86" s="763" t="n"/>
      <c r="AA86" s="763" t="n"/>
      <c r="AB86" s="924" t="n"/>
      <c r="AC86" s="763" t="n"/>
      <c r="AD86" s="763" t="n"/>
      <c r="AF86" s="763" t="n"/>
      <c r="AG86" s="767">
        <f>SUM(AG4:AG85)</f>
        <v/>
      </c>
      <c r="AH86" s="767">
        <f>SUM(AH4:AH85)</f>
        <v/>
      </c>
      <c r="AI86" s="769">
        <f>SUM(AI4:AI84)</f>
        <v/>
      </c>
      <c r="AJ86" s="769">
        <f>SUM(AJ4:AJ84)</f>
        <v/>
      </c>
      <c r="AK86" s="769">
        <f>SUM(AK4:AK84)</f>
        <v/>
      </c>
      <c r="AL86" s="769">
        <f>SUM(AL4:AL84)</f>
        <v/>
      </c>
      <c r="AM86" s="31" t="n"/>
      <c r="AN86" s="763">
        <f>SUM(AN4:AN85)</f>
        <v/>
      </c>
      <c r="AR86" s="31" t="n"/>
      <c r="AS86" s="767">
        <f>SUM(AS4:AS85)</f>
        <v/>
      </c>
      <c r="AT86" s="767">
        <f>SUM(AT4:AT85)</f>
        <v/>
      </c>
      <c r="AU86" s="763">
        <f>SUM(AU4:AU85)</f>
        <v/>
      </c>
      <c r="AV86" s="763" t="n"/>
      <c r="AW86" s="31" t="n"/>
      <c r="AX86" s="767">
        <f>SUM(AX4:AX85)</f>
        <v/>
      </c>
      <c r="AY86" s="767">
        <f>SUM(AY4:AY84)</f>
        <v/>
      </c>
      <c r="AZ86" s="31" t="n"/>
      <c r="BA86" s="767">
        <f>SUM(BA4:BA85)</f>
        <v/>
      </c>
      <c r="BB86" s="767">
        <f>SUM(BB4:BB85)</f>
        <v/>
      </c>
      <c r="BC86" s="31" t="n"/>
    </row>
    <row r="87">
      <c r="G87" s="536">
        <f>G86-E86</f>
        <v/>
      </c>
      <c r="M87" s="536">
        <f>M3-M86</f>
        <v/>
      </c>
      <c r="P87" s="536">
        <f>P3-P86</f>
        <v/>
      </c>
      <c r="R87" s="536" t="n"/>
      <c r="T87" s="536">
        <f>T3-T86</f>
        <v/>
      </c>
      <c r="Y87" s="761" t="n"/>
      <c r="AG87" s="756" t="n"/>
      <c r="AN87" s="756" t="n"/>
      <c r="AT87" s="756" t="n"/>
      <c r="AY87" s="756">
        <f>+AX86+AY86</f>
        <v/>
      </c>
    </row>
    <row r="88" ht="21.6" customHeight="1" s="759">
      <c r="G88" s="538" t="n"/>
      <c r="M88" s="538" t="n"/>
      <c r="N88" s="538" t="n"/>
      <c r="O88" s="516" t="n"/>
      <c r="P88" s="538" t="n"/>
      <c r="Q88" s="538" t="n"/>
      <c r="R88" s="538" t="n"/>
      <c r="T88" s="538" t="n"/>
      <c r="U88" s="538" t="n"/>
      <c r="V88" s="538" t="n"/>
      <c r="W88" s="538" t="n"/>
      <c r="X88" s="538" t="n"/>
      <c r="Y88" s="538" t="n"/>
      <c r="AE88" s="756" t="n"/>
      <c r="AN88" s="756" t="n"/>
    </row>
    <row r="89">
      <c r="A89" s="534" t="inlineStr">
        <is>
          <t>GP Commitment</t>
        </is>
      </c>
      <c r="B89" s="756" t="n"/>
      <c r="C89" s="756" t="n"/>
      <c r="E89" s="533">
        <f>E30+E29+E57</f>
        <v/>
      </c>
      <c r="G89" s="516" t="n"/>
      <c r="I89" s="825" t="n"/>
      <c r="J89" s="825" t="n"/>
      <c r="K89" s="825" t="n"/>
      <c r="M89" s="538" t="n"/>
      <c r="N89" s="538" t="n"/>
      <c r="O89" s="516" t="n"/>
      <c r="P89" s="538" t="n"/>
      <c r="Q89" s="550" t="n"/>
      <c r="R89" s="756" t="n"/>
      <c r="S89" s="210" t="n"/>
      <c r="T89" s="538" t="n"/>
      <c r="V89" s="538" t="n"/>
      <c r="X89" s="110" t="inlineStr">
        <is>
          <t>Increase in contributions</t>
        </is>
      </c>
      <c r="Y89" s="361">
        <f>Y86-R86</f>
        <v/>
      </c>
      <c r="AF89" s="570" t="inlineStr">
        <is>
          <t>Catch-up management fees</t>
        </is>
      </c>
      <c r="AH89" s="31" t="n"/>
      <c r="AI89" s="31" t="n"/>
      <c r="AJ89" s="31" t="n"/>
      <c r="AK89" s="31" t="n"/>
      <c r="AL89" s="31" t="n"/>
      <c r="AM89" s="110" t="n"/>
      <c r="AN89" s="756" t="n"/>
      <c r="AT89" s="761" t="n"/>
    </row>
    <row r="90">
      <c r="A90" s="110" t="inlineStr">
        <is>
          <t>LP Commitment (After Terminal transfer)</t>
        </is>
      </c>
      <c r="E90" s="756">
        <f>E86-E89</f>
        <v/>
      </c>
      <c r="S90" s="157" t="n"/>
      <c r="AG90" s="756" t="n"/>
      <c r="AN90" s="756" t="n"/>
      <c r="AX90" s="337" t="inlineStr">
        <is>
          <t>Recon to total called</t>
        </is>
      </c>
      <c r="AY90" s="337" t="n"/>
    </row>
    <row r="91" ht="15.75" customHeight="1" s="759" thickBot="1">
      <c r="E91" s="535">
        <f>SUM(E89:E90)</f>
        <v/>
      </c>
      <c r="V91" s="756" t="n"/>
      <c r="X91" s="157" t="n"/>
      <c r="Y91" s="756" t="n"/>
      <c r="AN91" s="756" t="n"/>
      <c r="AX91" s="756">
        <f>AX86</f>
        <v/>
      </c>
      <c r="AY91" s="23" t="inlineStr">
        <is>
          <t>Total disributed to LPs</t>
        </is>
      </c>
    </row>
    <row r="92" ht="15.75" customHeight="1" s="759" thickTop="1">
      <c r="I92" s="825" t="n"/>
      <c r="J92" s="825" t="n"/>
      <c r="K92" s="825" t="n"/>
      <c r="V92" s="761" t="n"/>
      <c r="AG92" s="756" t="n"/>
      <c r="AN92" s="756" t="n"/>
      <c r="AX92" s="756">
        <f>-U86</f>
        <v/>
      </c>
      <c r="AY92" s="23" t="inlineStr">
        <is>
          <t>Total management fees called</t>
        </is>
      </c>
    </row>
    <row r="93">
      <c r="V93" s="761" t="n"/>
      <c r="W93" s="271" t="n"/>
      <c r="X93" s="295" t="inlineStr">
        <is>
          <t>Total non-management fee contributions</t>
        </is>
      </c>
      <c r="Y93" s="754">
        <f>-Q99</f>
        <v/>
      </c>
      <c r="AG93" s="756" t="n"/>
      <c r="AX93" s="208">
        <f>BA86</f>
        <v/>
      </c>
      <c r="AY93" s="23" t="inlineStr">
        <is>
          <t>Total management fee interest</t>
        </is>
      </c>
    </row>
    <row r="94">
      <c r="E94" s="454" t="n"/>
      <c r="W94" s="271" t="n"/>
      <c r="X94" s="295" t="inlineStr">
        <is>
          <t>ITD management fees</t>
        </is>
      </c>
      <c r="Y94" s="754">
        <f>-V86</f>
        <v/>
      </c>
    </row>
    <row r="95">
      <c r="W95" s="271" t="n"/>
      <c r="X95" s="295" t="inlineStr">
        <is>
          <t>Legacy Knight manamgenet fees</t>
        </is>
      </c>
      <c r="Y95" s="247">
        <f>+'Management Fees - New Investor'!M12+'Management Fees - New Investor'!M26</f>
        <v/>
      </c>
      <c r="AX95" s="756">
        <f>SUM(AX91:AX93)</f>
        <v/>
      </c>
      <c r="AY95" s="23" t="inlineStr">
        <is>
          <t>Total called</t>
        </is>
      </c>
    </row>
    <row r="96">
      <c r="W96" s="271" t="n"/>
      <c r="X96" s="295" t="inlineStr">
        <is>
          <t>Total invested capital post close</t>
        </is>
      </c>
      <c r="Y96" s="248">
        <f>SUM(Y93:Y95)</f>
        <v/>
      </c>
      <c r="AX96" s="208">
        <f>Summary!F6</f>
        <v/>
      </c>
      <c r="AY96" s="23" t="inlineStr">
        <is>
          <t>Total call from Legacy Knight + James Bloomingdale</t>
        </is>
      </c>
    </row>
    <row r="97">
      <c r="Y97" s="415" t="inlineStr">
        <is>
          <t>SC: Tied to cell Y 85</t>
        </is>
      </c>
    </row>
    <row r="98">
      <c r="F98" s="31" t="n"/>
      <c r="H98" s="252" t="inlineStr">
        <is>
          <t>Recap - Contributions - Investments</t>
        </is>
      </c>
      <c r="I98" s="253" t="n"/>
      <c r="J98" s="253" t="n"/>
      <c r="K98" s="253" t="n"/>
      <c r="L98" s="253" t="n"/>
      <c r="M98" s="253" t="n"/>
      <c r="N98" s="253" t="n"/>
      <c r="O98" s="253" t="n"/>
      <c r="P98" s="254" t="n"/>
      <c r="Q98" s="253" t="n"/>
      <c r="R98" s="255" t="n"/>
      <c r="Y98" s="756">
        <f>Y96+Y86</f>
        <v/>
      </c>
      <c r="AX98" s="756">
        <f>SUM(AX95:AX96)</f>
        <v/>
      </c>
      <c r="AY98" s="23" t="inlineStr">
        <is>
          <t>Difference</t>
        </is>
      </c>
    </row>
    <row r="99">
      <c r="H99" s="152" t="n"/>
      <c r="N99" s="251" t="inlineStr">
        <is>
          <t>Total Contribution - Investments</t>
        </is>
      </c>
      <c r="O99" s="251" t="n"/>
      <c r="P99" s="761" t="n"/>
      <c r="Q99" s="756">
        <f>T86+X86+W3</f>
        <v/>
      </c>
      <c r="R99" s="153" t="n"/>
    </row>
    <row r="100">
      <c r="H100" s="152" t="n"/>
      <c r="N100" s="251" t="inlineStr">
        <is>
          <t>Total per Closing Interest Tab</t>
        </is>
      </c>
      <c r="O100" s="251" t="n"/>
      <c r="P100" s="761" t="n"/>
      <c r="Q100" s="208">
        <f>'Closing Interest'!O3</f>
        <v/>
      </c>
      <c r="R100" s="153" t="n"/>
    </row>
    <row r="101">
      <c r="H101" s="152" t="n"/>
      <c r="N101" s="520" t="inlineStr">
        <is>
          <t>Difference</t>
        </is>
      </c>
      <c r="O101" s="520" t="n"/>
      <c r="P101" s="763" t="n"/>
      <c r="Q101" s="756">
        <f>SUM(Q99:Q100)</f>
        <v/>
      </c>
      <c r="R101" s="153" t="n"/>
      <c r="X101" s="31" t="n"/>
      <c r="AF101" s="569" t="n"/>
    </row>
    <row r="102">
      <c r="H102" s="152" t="n"/>
      <c r="R102" s="153" t="n"/>
      <c r="AF102" s="335" t="n"/>
    </row>
    <row r="103">
      <c r="F103" s="470" t="n"/>
      <c r="H103" s="262" t="inlineStr">
        <is>
          <t>Total Contributions (non-management fees) by Partner</t>
        </is>
      </c>
      <c r="I103" s="263" t="n"/>
      <c r="J103" s="263" t="n"/>
      <c r="K103" s="263" t="n"/>
      <c r="L103" s="263" t="n"/>
      <c r="M103" s="263" t="n"/>
      <c r="N103" s="263" t="n"/>
      <c r="O103" s="263" t="n"/>
      <c r="P103" s="264" t="n"/>
      <c r="Q103" s="263" t="n"/>
      <c r="R103" s="256" t="n"/>
      <c r="V103" s="761" t="n"/>
      <c r="AF103" s="761" t="n"/>
    </row>
    <row r="104">
      <c r="H104" s="152" t="n"/>
      <c r="N104" s="157" t="inlineStr">
        <is>
          <t>Legacy Knight Strategic Opportunities Fund LLC - CL Rail Series</t>
        </is>
      </c>
      <c r="O104" s="157" t="n"/>
      <c r="Q104" s="756">
        <f>T82+X82+W82-M82-P82-Q82</f>
        <v/>
      </c>
      <c r="R104" s="153" t="n"/>
      <c r="AF104" s="761" t="n"/>
    </row>
    <row r="105">
      <c r="H105" s="152" t="n"/>
      <c r="N105" s="157" t="inlineStr">
        <is>
          <t>James Bloomingdale</t>
        </is>
      </c>
      <c r="O105" s="157" t="n"/>
      <c r="Q105" s="756">
        <f>-'Closing Interest'!O15</f>
        <v/>
      </c>
      <c r="R105" s="153" t="n"/>
      <c r="AF105" s="761" t="n"/>
    </row>
    <row r="106">
      <c r="H106" s="152" t="n"/>
      <c r="Q106" s="763">
        <f>SUM(Q104:Q105)</f>
        <v/>
      </c>
      <c r="R106" s="153" t="n"/>
      <c r="AF106" s="763" t="n"/>
    </row>
    <row r="107">
      <c r="H107" s="152" t="n"/>
      <c r="Q107" s="763">
        <f>'Closing Interest'!O18</f>
        <v/>
      </c>
      <c r="R107" s="153" t="n"/>
    </row>
    <row r="108">
      <c r="H108" s="154" t="n"/>
      <c r="I108" s="122" t="n"/>
      <c r="J108" s="122" t="n"/>
      <c r="K108" s="122" t="n"/>
      <c r="L108" s="122" t="n"/>
      <c r="M108" s="122" t="n"/>
      <c r="N108" s="122" t="n"/>
      <c r="O108" s="122" t="n"/>
      <c r="P108" s="122" t="n"/>
      <c r="Q108" s="208">
        <f>SUM(Q106:Q107)</f>
        <v/>
      </c>
      <c r="R108" s="155" t="n"/>
      <c r="AF108" s="318" t="n"/>
    </row>
  </sheetData>
  <pageMargins left="0.7" right="0.7" top="0.75" bottom="0.75" header="0.3" footer="0.3"/>
  <pageSetup orientation="portrait" horizontalDpi="1200" verticalDpi="1200"/>
</worksheet>
</file>

<file path=xl/worksheets/sheet4.xml><?xml version="1.0" encoding="utf-8"?>
<worksheet xmlns="http://schemas.openxmlformats.org/spreadsheetml/2006/main">
  <sheetPr>
    <tabColor theme="9" tint="0.3999755851924192"/>
    <outlinePr summaryBelow="1" summaryRight="1"/>
    <pageSetUpPr/>
  </sheetPr>
  <dimension ref="A1:BE107"/>
  <sheetViews>
    <sheetView zoomScale="67" zoomScaleNormal="96" zoomScaleSheetLayoutView="102" workbookViewId="0">
      <pane xSplit="4" ySplit="3" topLeftCell="E69" activePane="bottomRight" state="frozen"/>
      <selection pane="topRight" activeCell="E1" sqref="E1"/>
      <selection pane="bottomLeft" activeCell="A4" sqref="A4"/>
      <selection pane="bottomRight" activeCell="G86" sqref="G86"/>
    </sheetView>
  </sheetViews>
  <sheetFormatPr baseColWidth="8" defaultRowHeight="15"/>
  <cols>
    <col width="78.85546875" bestFit="1" customWidth="1" style="759" min="1" max="1"/>
    <col outlineLevel="1" width="18.28515625" customWidth="1" style="759" min="2" max="4"/>
    <col width="18.28515625" customWidth="1" style="759" min="5" max="5"/>
    <col width="16.28515625" customWidth="1" style="759" min="6" max="6"/>
    <col width="18.28515625" customWidth="1" style="759" min="7" max="7"/>
    <col width="16.28515625" customWidth="1" style="759" min="8" max="8"/>
    <col width="14.140625" bestFit="1" customWidth="1" style="759" min="9" max="9"/>
    <col width="14.7109375" bestFit="1" customWidth="1" style="759" min="10" max="10"/>
    <col width="12.140625" bestFit="1" customWidth="1" style="759" min="11" max="11"/>
    <col width="5.7109375" customWidth="1" style="759" min="12" max="12"/>
    <col width="18.7109375" customWidth="1" style="759" min="13" max="13"/>
    <col width="17.7109375" customWidth="1" style="759" min="14" max="14"/>
    <col hidden="1" outlineLevel="1" width="17.7109375" customWidth="1" style="759" min="15" max="15"/>
    <col collapsed="1" width="17.7109375" customWidth="1" style="759" min="16" max="16"/>
    <col width="17.7109375" customWidth="1" style="759" min="17" max="18"/>
    <col width="5.28515625" customWidth="1" style="759" min="19" max="19"/>
    <col width="17.7109375" customWidth="1" style="759" min="20" max="20"/>
    <col outlineLevel="1" width="17" customWidth="1" style="759" min="21" max="21"/>
    <col width="17.7109375" customWidth="1" style="759" min="22" max="24"/>
    <col width="17" bestFit="1" customWidth="1" style="759" min="25" max="25"/>
    <col outlineLevel="1" width="3.28515625" customWidth="1" style="759" min="26" max="26"/>
    <col outlineLevel="1" width="19" customWidth="1" style="759" min="27" max="27"/>
    <col outlineLevel="1" width="17.7109375" customWidth="1" style="759" min="28" max="30"/>
    <col outlineLevel="1" width="12.140625" customWidth="1" style="759" min="31" max="31"/>
    <col width="3.28515625" customWidth="1" style="759" min="32" max="32"/>
    <col width="17.140625" customWidth="1" style="759" min="33" max="33"/>
    <col width="17.140625" bestFit="1" customWidth="1" style="759" min="34" max="34"/>
    <col hidden="1" width="18.5703125" customWidth="1" style="759" min="35" max="35"/>
    <col hidden="1" width="17.140625" customWidth="1" style="759" min="36" max="38"/>
    <col outlineLevel="1" width="1.7109375" customWidth="1" style="759" min="39" max="39"/>
    <col outlineLevel="1" width="17.140625" customWidth="1" style="759" min="40" max="40"/>
    <col outlineLevel="1" width="15.5703125" customWidth="1" style="759" min="41" max="43"/>
    <col width="1.7109375" customWidth="1" style="759" min="44" max="44"/>
    <col width="17.140625" customWidth="1" style="759" min="45" max="45"/>
    <col width="17.140625" bestFit="1" customWidth="1" style="759" min="46" max="46"/>
    <col outlineLevel="1" width="17.140625" customWidth="1" style="759" min="47" max="47"/>
    <col outlineLevel="1" width="15.5703125" customWidth="1" style="759" min="48" max="48"/>
    <col width="1.7109375" customWidth="1" style="759" min="49" max="49"/>
    <col width="17.140625" bestFit="1" customWidth="1" style="759" min="50" max="50"/>
    <col width="17.140625" customWidth="1" style="759" min="51" max="51"/>
    <col width="1.7109375" customWidth="1" style="759" min="52" max="52"/>
    <col width="17.140625" customWidth="1" style="759" min="53" max="53"/>
    <col width="17.140625" bestFit="1" customWidth="1" style="759" min="54" max="54"/>
    <col collapsed="1" width="1.7109375" customWidth="1" style="759" min="55" max="55"/>
    <col width="10.28515625" bestFit="1" customWidth="1" style="759" min="57" max="57"/>
  </cols>
  <sheetData>
    <row r="1">
      <c r="A1" s="222" t="inlineStr">
        <is>
          <t>County Line Rail Subsequent Close Workbook - Legacy Knight</t>
        </is>
      </c>
      <c r="B1" s="107" t="n"/>
      <c r="C1" s="107" t="n"/>
      <c r="D1" s="107" t="n"/>
      <c r="E1" s="107" t="n"/>
      <c r="F1" s="107" t="n"/>
      <c r="G1" s="107" t="n"/>
      <c r="H1" s="107" t="n"/>
      <c r="I1" s="107" t="n"/>
      <c r="J1" s="107" t="n"/>
      <c r="K1" s="107" t="n"/>
      <c r="M1" s="108" t="inlineStr">
        <is>
          <t>Amount before Rebalance</t>
        </is>
      </c>
      <c r="N1" s="109" t="n"/>
      <c r="O1" s="109" t="n"/>
      <c r="P1" s="109" t="n"/>
      <c r="Q1" s="109" t="n"/>
      <c r="R1" s="109" t="n"/>
      <c r="S1" s="196" t="n"/>
      <c r="T1" s="103" t="inlineStr">
        <is>
          <t>Rebalance</t>
        </is>
      </c>
      <c r="U1" s="103" t="n"/>
      <c r="V1" s="103" t="n"/>
      <c r="W1" s="103" t="n"/>
      <c r="X1" s="103" t="n"/>
      <c r="Y1" s="103" t="n"/>
      <c r="Z1" s="103" t="n"/>
      <c r="AA1" s="103" t="n"/>
      <c r="AB1" s="103" t="n"/>
      <c r="AC1" s="103" t="n"/>
      <c r="AD1" s="103" t="n"/>
      <c r="AE1" s="103" t="n"/>
      <c r="AF1" s="103" t="n"/>
      <c r="AG1" s="319" t="inlineStr">
        <is>
          <t>RETURN OF CAPITAL</t>
        </is>
      </c>
      <c r="AH1" s="320" t="n"/>
      <c r="AI1" s="320" t="n"/>
      <c r="AJ1" s="320" t="n"/>
      <c r="AK1" s="320" t="n"/>
      <c r="AL1" s="320" t="n"/>
      <c r="AM1" s="320" t="n"/>
      <c r="AN1" s="320" t="n"/>
      <c r="AO1" s="321" t="n"/>
      <c r="AP1" s="321" t="n"/>
      <c r="AQ1" s="322" t="n"/>
      <c r="AR1" s="342" t="n"/>
      <c r="AS1" s="319" t="inlineStr">
        <is>
          <t>INTEREST DISTRIBUTION</t>
        </is>
      </c>
      <c r="AT1" s="320" t="n"/>
      <c r="AU1" s="320" t="n"/>
      <c r="AV1" s="322" t="n"/>
      <c r="AW1" s="342" t="n"/>
      <c r="AX1" s="339" t="inlineStr">
        <is>
          <t>TOTAL LP DISTRIBUTION</t>
        </is>
      </c>
      <c r="AY1" s="320" t="n"/>
      <c r="AZ1" s="342" t="n"/>
      <c r="BA1" s="319" t="inlineStr">
        <is>
          <t>MANAGEMENT FEE INTEREST</t>
        </is>
      </c>
      <c r="BB1" s="339" t="n"/>
      <c r="BC1" s="343" t="n"/>
    </row>
    <row r="2" ht="75" customHeight="1" s="759">
      <c r="A2" s="225" t="inlineStr">
        <is>
          <t xml:space="preserve"> </t>
        </is>
      </c>
      <c r="B2" s="225" t="n"/>
      <c r="C2" s="225" t="n"/>
      <c r="D2" s="225" t="n"/>
      <c r="E2" s="225" t="n"/>
      <c r="F2" s="225" t="n"/>
      <c r="G2" s="225" t="n"/>
      <c r="H2" s="225" t="n"/>
      <c r="I2" s="225" t="n"/>
      <c r="J2" s="225" t="n"/>
      <c r="K2" s="567" t="n"/>
      <c r="M2" s="221" t="inlineStr">
        <is>
          <t>Contribution - Investment</t>
        </is>
      </c>
      <c r="N2" s="221" t="inlineStr">
        <is>
          <t>Contribution - Mgmt Fees</t>
        </is>
      </c>
      <c r="O2" s="221" t="inlineStr">
        <is>
          <t>Q1'26 Management Fee Contributions (existing investors)</t>
        </is>
      </c>
      <c r="P2" s="221" t="inlineStr">
        <is>
          <t>Contribution - Org Exp</t>
        </is>
      </c>
      <c r="Q2" s="221" t="inlineStr">
        <is>
          <t>Contribution - General</t>
        </is>
      </c>
      <c r="R2" s="221" t="inlineStr">
        <is>
          <t>Total Before Subsequent Close</t>
        </is>
      </c>
      <c r="S2" s="250" t="n"/>
      <c r="T2" s="221" t="inlineStr">
        <is>
          <t>Contribution - Investment (Rebalanced)</t>
        </is>
      </c>
      <c r="U2" s="221" t="inlineStr">
        <is>
          <t>Management Fee Contributions (new investors)</t>
        </is>
      </c>
      <c r="V2" s="221" t="inlineStr">
        <is>
          <t>Contribution - Managmeent Fees (Rebalanced)</t>
        </is>
      </c>
      <c r="W2" s="221" t="inlineStr">
        <is>
          <t>Contribution - Org Exp (Rebalanced)</t>
        </is>
      </c>
      <c r="X2" s="221" t="inlineStr">
        <is>
          <t>Contribution - General (Rebalanced)</t>
        </is>
      </c>
      <c r="Y2" s="221" t="inlineStr">
        <is>
          <t>Total After Subsequent Close</t>
        </is>
      </c>
      <c r="Z2" s="250" t="n"/>
      <c r="AA2" s="221" t="inlineStr">
        <is>
          <t>Contribution - Investment</t>
        </is>
      </c>
      <c r="AB2" s="221" t="inlineStr">
        <is>
          <t>Contribution - Mgmt Fees</t>
        </is>
      </c>
      <c r="AC2" s="221" t="inlineStr">
        <is>
          <t>Contribution - Org Exp</t>
        </is>
      </c>
      <c r="AD2" s="221" t="inlineStr">
        <is>
          <t>Contribution - General</t>
        </is>
      </c>
      <c r="AE2" s="221" t="inlineStr">
        <is>
          <t>Total</t>
        </is>
      </c>
      <c r="AF2" s="250" t="n"/>
      <c r="AG2" s="323" t="inlineStr">
        <is>
          <t>New Investor Contribution</t>
        </is>
      </c>
      <c r="AH2" s="221" t="inlineStr">
        <is>
          <t xml:space="preserve">Distribution to LPs </t>
        </is>
      </c>
      <c r="AI2" s="710" t="inlineStr">
        <is>
          <t>GCM Sub Close Return of Capital Paid on 3/23/26
[a]</t>
        </is>
      </c>
      <c r="AJ2" s="710" t="inlineStr">
        <is>
          <t>GCM Sub Close Return of Capital Revised
[b]</t>
        </is>
      </c>
      <c r="AK2" s="710" t="inlineStr">
        <is>
          <t>Difference in GCM Sub Close Return of Capital
[c] = [b] - [a]</t>
        </is>
      </c>
      <c r="AL2" s="710" t="inlineStr">
        <is>
          <t>Total Return of Capital to LPs</t>
        </is>
      </c>
      <c r="AM2" s="250" t="n"/>
      <c r="AN2" s="289" t="inlineStr">
        <is>
          <t>Unreturned Capital Contributions</t>
        </is>
      </c>
      <c r="AO2" s="290" t="inlineStr">
        <is>
          <t>Equalization Percentage (unadjusted)</t>
        </is>
      </c>
      <c r="AP2" s="290" t="inlineStr">
        <is>
          <t>Adjustments: Management Fee</t>
        </is>
      </c>
      <c r="AQ2" s="291" t="inlineStr">
        <is>
          <t xml:space="preserve">Equalization Percentage </t>
        </is>
      </c>
      <c r="AR2" s="250" t="n"/>
      <c r="AS2" s="563" t="inlineStr">
        <is>
          <t>New Investor Contribution</t>
        </is>
      </c>
      <c r="AT2" s="801" t="inlineStr">
        <is>
          <t xml:space="preserve">Distribution to LPs </t>
        </is>
      </c>
      <c r="AU2" s="289" t="inlineStr">
        <is>
          <t>Distribution</t>
        </is>
      </c>
      <c r="AV2" s="291" t="inlineStr">
        <is>
          <t>Pref Distribution %</t>
        </is>
      </c>
      <c r="AW2" s="250" t="n"/>
      <c r="AX2" s="323" t="inlineStr">
        <is>
          <t>New Investor Contribution</t>
        </is>
      </c>
      <c r="AY2" s="221" t="inlineStr">
        <is>
          <t xml:space="preserve">Distribution to LPs </t>
        </is>
      </c>
      <c r="AZ2" s="250" t="n"/>
      <c r="BA2" s="323" t="inlineStr">
        <is>
          <t>New Investor Contribution</t>
        </is>
      </c>
      <c r="BB2" s="341" t="inlineStr">
        <is>
          <t>Distribution to GP</t>
        </is>
      </c>
      <c r="BC2" s="344" t="n"/>
    </row>
    <row r="3" ht="45" customHeight="1" s="759">
      <c r="A3" s="206" t="inlineStr">
        <is>
          <t>Investor Name</t>
        </is>
      </c>
      <c r="B3" s="144" t="inlineStr">
        <is>
          <t>CLIP Rollover Contribution</t>
        </is>
      </c>
      <c r="C3" s="144" t="inlineStr">
        <is>
          <t>Silsbee Rollover Contribution</t>
        </is>
      </c>
      <c r="D3" s="144" t="inlineStr">
        <is>
          <t>Management Fee Rate</t>
        </is>
      </c>
      <c r="E3" s="106" t="inlineStr">
        <is>
          <t>Total Commitment Before Call</t>
        </is>
      </c>
      <c r="F3" s="106" t="inlineStr">
        <is>
          <t>LP
Commitment %
Before call</t>
        </is>
      </c>
      <c r="G3" s="106" t="inlineStr">
        <is>
          <t>Total Commitment After Call</t>
        </is>
      </c>
      <c r="H3" s="106" t="inlineStr">
        <is>
          <t>LP &amp; GP Commitment % Before call</t>
        </is>
      </c>
      <c r="I3" s="106" t="inlineStr">
        <is>
          <t>LP &amp; GP Commitment % after call</t>
        </is>
      </c>
      <c r="J3" s="106" t="inlineStr">
        <is>
          <t>LP Commitment</t>
        </is>
      </c>
      <c r="K3" s="106" t="inlineStr">
        <is>
          <t xml:space="preserve">Commitment </t>
        </is>
      </c>
      <c r="M3" s="220" t="n">
        <v>-125602254.41</v>
      </c>
      <c r="N3" s="220">
        <f>SUM(N4:N84)</f>
        <v/>
      </c>
      <c r="O3" s="220">
        <f>SUM(O4:O84)</f>
        <v/>
      </c>
      <c r="P3" s="220" t="n">
        <v>-55914.34</v>
      </c>
      <c r="Q3" s="220">
        <f>SUM(Q4:Q84)</f>
        <v/>
      </c>
      <c r="R3" s="220" t="inlineStr">
        <is>
          <t>Total</t>
        </is>
      </c>
      <c r="S3" s="223" t="n"/>
      <c r="T3" s="241">
        <f>M3</f>
        <v/>
      </c>
      <c r="U3" s="245">
        <f>SUM(U4:U82)</f>
        <v/>
      </c>
      <c r="V3" s="241">
        <f>SUM(V4:V84)</f>
        <v/>
      </c>
      <c r="W3" s="241" t="n">
        <v>-55914.34</v>
      </c>
      <c r="X3" s="241">
        <f>Q3</f>
        <v/>
      </c>
      <c r="Y3" s="241" t="inlineStr">
        <is>
          <t>Total</t>
        </is>
      </c>
      <c r="Z3" s="223" t="n"/>
      <c r="AA3" s="280" t="inlineStr">
        <is>
          <t>A</t>
        </is>
      </c>
      <c r="AB3" s="280" t="n"/>
      <c r="AC3" s="280" t="inlineStr">
        <is>
          <t>B</t>
        </is>
      </c>
      <c r="AD3" s="280" t="inlineStr">
        <is>
          <t>C</t>
        </is>
      </c>
      <c r="AE3" s="280" t="inlineStr">
        <is>
          <t>A + B +C</t>
        </is>
      </c>
      <c r="AF3" s="223" t="n"/>
      <c r="AG3" s="324">
        <f>SUM(AG4:AG82)</f>
        <v/>
      </c>
      <c r="AH3" s="241">
        <f>SUM(AH4:AH84)</f>
        <v/>
      </c>
      <c r="AI3" s="711">
        <f>SUM(AI4:AI84)</f>
        <v/>
      </c>
      <c r="AJ3" s="711">
        <f>SUM(AJ4:AJ84)</f>
        <v/>
      </c>
      <c r="AK3" s="711">
        <f>SUM(AK4:AK84)</f>
        <v/>
      </c>
      <c r="AL3" s="711">
        <f>SUM(AL4:AL84)</f>
        <v/>
      </c>
      <c r="AM3" s="314" t="n"/>
      <c r="AN3" s="558" t="inlineStr">
        <is>
          <t>CHECKING</t>
        </is>
      </c>
      <c r="AO3" s="315" t="n"/>
      <c r="AP3" s="315" t="n"/>
      <c r="AQ3" s="325" t="n"/>
      <c r="AR3" s="314" t="n"/>
      <c r="AS3" s="565">
        <f>SUM(AS4:AS82)</f>
        <v/>
      </c>
      <c r="AT3" s="566">
        <f>SUM(AT4:AT84)</f>
        <v/>
      </c>
      <c r="AU3" s="315" t="inlineStr">
        <is>
          <t>CHECKING</t>
        </is>
      </c>
      <c r="AV3" s="329" t="n"/>
      <c r="AW3" s="314" t="n"/>
      <c r="AX3" s="565">
        <f>SUM(AX4:AX82)</f>
        <v/>
      </c>
      <c r="AY3" s="566">
        <f>SUM(AY4:AY84)</f>
        <v/>
      </c>
      <c r="AZ3" s="314" t="n"/>
      <c r="BA3" s="324">
        <f>SUM(BA4:BA82)</f>
        <v/>
      </c>
      <c r="BB3" s="338">
        <f>SUM(BB4:BB82)</f>
        <v/>
      </c>
      <c r="BC3" s="314" t="n"/>
    </row>
    <row r="4">
      <c r="A4" s="752" t="inlineStr">
        <is>
          <t>1999 Britta Biesecker Declaration of Trust DTD 5/12/99</t>
        </is>
      </c>
      <c r="B4" s="351">
        <f>_xlfn.XLOOKUP(A4,'CLIP_Schedule B'!A:A,'CLIP_Schedule B'!E:E,0,FALSE)</f>
        <v/>
      </c>
      <c r="C4" s="351">
        <f>_xlfn.XLOOKUP(A4,'Silsbee_Schedule B'!B:B,'Silsbee_Schedule B'!F:F,0,FALSE)</f>
        <v/>
      </c>
      <c r="D4" s="351">
        <f>_xlfn.XLOOKUP(A4,'Q2''26 Management Fee'!B:B,'Q2''26 Management Fee'!C:C)</f>
        <v/>
      </c>
      <c r="E4" s="761">
        <f>SUMIFS(Commitment!G:G,Commitment!A:A,'Subsequent Close - OLD B4 25k'!A4)</f>
        <v/>
      </c>
      <c r="F4" s="760">
        <f>E4/$E$90</f>
        <v/>
      </c>
      <c r="G4" s="761">
        <f>E4</f>
        <v/>
      </c>
      <c r="H4" s="760">
        <f>E4/$E$86</f>
        <v/>
      </c>
      <c r="I4" s="760">
        <f>G4/$G$86</f>
        <v/>
      </c>
      <c r="J4" s="761">
        <f>-G4</f>
        <v/>
      </c>
      <c r="K4" s="760">
        <f>J4/$J$86</f>
        <v/>
      </c>
      <c r="L4" s="762" t="n"/>
      <c r="M4" s="351">
        <f>$M$3*H4</f>
        <v/>
      </c>
      <c r="N4" s="351" t="n">
        <v>-7350.54</v>
      </c>
      <c r="O4" s="351" t="n"/>
      <c r="P4" s="351">
        <f>$P$3*H4</f>
        <v/>
      </c>
      <c r="Q4" s="351" t="n">
        <v>-36898.66144222948</v>
      </c>
      <c r="R4" s="351">
        <f>SUM(M4:Q4)</f>
        <v/>
      </c>
      <c r="S4" s="761" t="n"/>
      <c r="T4" s="249">
        <f>$T$3*I4</f>
        <v/>
      </c>
      <c r="U4" s="754" t="n">
        <v>0</v>
      </c>
      <c r="V4" s="249">
        <f>N4</f>
        <v/>
      </c>
      <c r="W4" s="249">
        <f>I4*$W$3</f>
        <v/>
      </c>
      <c r="X4" s="249">
        <f>$X$3*I4</f>
        <v/>
      </c>
      <c r="Y4" s="249">
        <f>T4+W4+X4+V4+U4</f>
        <v/>
      </c>
      <c r="Z4" s="761" t="n"/>
      <c r="AA4" s="299">
        <f>T4/G4</f>
        <v/>
      </c>
      <c r="AB4" s="300">
        <f>V4/G4</f>
        <v/>
      </c>
      <c r="AC4" s="300">
        <f>W4/G4</f>
        <v/>
      </c>
      <c r="AD4" s="300">
        <f>X4/G4</f>
        <v/>
      </c>
      <c r="AE4" s="918">
        <f>AD4+AC4+AA4</f>
        <v/>
      </c>
      <c r="AF4" s="761" t="n"/>
      <c r="AG4" s="326" t="n"/>
      <c r="AH4" s="249">
        <f>-Y4+R4</f>
        <v/>
      </c>
      <c r="AI4" s="717">
        <f>_xlfn.XLOOKUP(A4,'2.10.26 Sub Close Old'!A:A,'2.10.26 Sub Close Old'!AK:AK)</f>
        <v/>
      </c>
      <c r="AJ4" s="717">
        <f>_xlfn.XLOOKUP(A4,'2.10.26 Sub Close New'!A:A,'2.10.26 Sub Close New'!AJ:AJ)</f>
        <v/>
      </c>
      <c r="AK4" s="717">
        <f>+AJ4-AI4</f>
        <v/>
      </c>
      <c r="AL4" s="717">
        <f>+AH4+AK4</f>
        <v/>
      </c>
      <c r="AM4" s="756" t="n"/>
      <c r="AN4" s="308">
        <f>+Y4</f>
        <v/>
      </c>
      <c r="AO4" s="758">
        <f>AN4/G4</f>
        <v/>
      </c>
      <c r="AP4" s="758">
        <f>AB4</f>
        <v/>
      </c>
      <c r="AQ4" s="310">
        <f>+AO4-AP4</f>
        <v/>
      </c>
      <c r="AR4" s="756" t="n"/>
      <c r="AS4" s="326" t="n"/>
      <c r="AT4" s="332">
        <f>-$AS$3*H4</f>
        <v/>
      </c>
      <c r="AU4" s="556">
        <f>AT4</f>
        <v/>
      </c>
      <c r="AV4" s="467">
        <f>AU4/R4</f>
        <v/>
      </c>
      <c r="AW4" s="756" t="n"/>
      <c r="AX4" s="326" t="n"/>
      <c r="AY4" s="332">
        <f>AT4+AH4</f>
        <v/>
      </c>
      <c r="AZ4" s="756" t="n"/>
      <c r="BA4" s="330" t="n"/>
      <c r="BB4" s="331" t="n"/>
      <c r="BC4" s="756" t="n"/>
    </row>
    <row r="5">
      <c r="A5" s="752" t="inlineStr">
        <is>
          <t>1999 Frederick N Biesecker II Declaration of Trust DTD 5/12/99</t>
        </is>
      </c>
      <c r="B5" s="351">
        <f>_xlfn.XLOOKUP(A5,'CLIP_Schedule B'!A:A,'CLIP_Schedule B'!E:E,0,FALSE)</f>
        <v/>
      </c>
      <c r="C5" s="351">
        <f>_xlfn.XLOOKUP(A5,'Silsbee_Schedule B'!B:B,'Silsbee_Schedule B'!F:F,0,FALSE)</f>
        <v/>
      </c>
      <c r="D5" s="351">
        <f>_xlfn.XLOOKUP(A5,'Q2''26 Management Fee'!B:B,'Q2''26 Management Fee'!C:C)</f>
        <v/>
      </c>
      <c r="E5" s="761">
        <f>SUMIFS(Commitment!G:G,Commitment!A:A,'Subsequent Close - OLD B4 25k'!A5)</f>
        <v/>
      </c>
      <c r="F5" s="760">
        <f>E5/$E$90</f>
        <v/>
      </c>
      <c r="G5" s="761">
        <f>E5</f>
        <v/>
      </c>
      <c r="H5" s="760">
        <f>E5/$E$86</f>
        <v/>
      </c>
      <c r="I5" s="760">
        <f>G5/$G$86</f>
        <v/>
      </c>
      <c r="J5" s="761">
        <f>-G5</f>
        <v/>
      </c>
      <c r="K5" s="760">
        <f>J5/$J$86</f>
        <v/>
      </c>
      <c r="L5" s="762" t="n"/>
      <c r="M5" s="351">
        <f>$M$3*H5</f>
        <v/>
      </c>
      <c r="N5" s="351" t="n">
        <v>-10290.76</v>
      </c>
      <c r="O5" s="351" t="n"/>
      <c r="P5" s="351">
        <f>$P$3*H5</f>
        <v/>
      </c>
      <c r="Q5" s="351" t="n">
        <v>-51658.12601912127</v>
      </c>
      <c r="R5" s="351">
        <f>SUM(M5:Q5)</f>
        <v/>
      </c>
      <c r="S5" s="761" t="n"/>
      <c r="T5" s="249">
        <f>$T$3*I5</f>
        <v/>
      </c>
      <c r="U5" s="754" t="n">
        <v>0</v>
      </c>
      <c r="V5" s="249">
        <f>N5</f>
        <v/>
      </c>
      <c r="W5" s="249">
        <f>I5*$W$3</f>
        <v/>
      </c>
      <c r="X5" s="249">
        <f>$X$3*I5</f>
        <v/>
      </c>
      <c r="Y5" s="249">
        <f>T5+W5+X5+V5+U5</f>
        <v/>
      </c>
      <c r="Z5" s="761" t="n"/>
      <c r="AA5" s="302">
        <f>T5/G5</f>
        <v/>
      </c>
      <c r="AB5" s="303">
        <f>V5/G5</f>
        <v/>
      </c>
      <c r="AC5" s="303">
        <f>W5/G5</f>
        <v/>
      </c>
      <c r="AD5" s="303">
        <f>X5/G5</f>
        <v/>
      </c>
      <c r="AE5" s="919">
        <f>AD5+AC5+AA5</f>
        <v/>
      </c>
      <c r="AF5" s="761" t="n"/>
      <c r="AG5" s="326" t="n"/>
      <c r="AH5" s="249">
        <f>-Y5+R5</f>
        <v/>
      </c>
      <c r="AI5" s="717">
        <f>_xlfn.XLOOKUP(A5,'2.10.26 Sub Close Old'!A:A,'2.10.26 Sub Close Old'!AK:AK)</f>
        <v/>
      </c>
      <c r="AJ5" s="717">
        <f>_xlfn.XLOOKUP(A5,'2.10.26 Sub Close New'!A:A,'2.10.26 Sub Close New'!AJ:AJ)</f>
        <v/>
      </c>
      <c r="AK5" s="717">
        <f>+AJ5-AI5</f>
        <v/>
      </c>
      <c r="AL5" s="717">
        <f>+AH5+AK5</f>
        <v/>
      </c>
      <c r="AM5" s="756" t="n"/>
      <c r="AN5" s="308">
        <f>+Y5</f>
        <v/>
      </c>
      <c r="AO5" s="758">
        <f>AN5/G5</f>
        <v/>
      </c>
      <c r="AP5" s="758">
        <f>AB5</f>
        <v/>
      </c>
      <c r="AQ5" s="310">
        <f>+AO5-AP5</f>
        <v/>
      </c>
      <c r="AR5" s="756" t="n"/>
      <c r="AS5" s="326" t="n"/>
      <c r="AT5" s="332">
        <f>-$AS$3*H5</f>
        <v/>
      </c>
      <c r="AU5" s="757">
        <f>AT5</f>
        <v/>
      </c>
      <c r="AV5" s="310">
        <f>AT5/R5</f>
        <v/>
      </c>
      <c r="AW5" s="756" t="n"/>
      <c r="AX5" s="326" t="n"/>
      <c r="AY5" s="332">
        <f>AT5+AH5</f>
        <v/>
      </c>
      <c r="AZ5" s="756" t="n"/>
      <c r="BA5" s="326" t="n"/>
      <c r="BB5" s="332" t="n"/>
      <c r="BC5" s="756" t="n"/>
    </row>
    <row r="6">
      <c r="A6" s="752" t="inlineStr">
        <is>
          <t>1999 Lissa Biesecker Longacre Declaration of Trust DTD 5/12/99</t>
        </is>
      </c>
      <c r="B6" s="351">
        <f>_xlfn.XLOOKUP(A6,'CLIP_Schedule B'!A:A,'CLIP_Schedule B'!E:E,0,FALSE)</f>
        <v/>
      </c>
      <c r="C6" s="351">
        <f>_xlfn.XLOOKUP(A6,'Silsbee_Schedule B'!B:B,'Silsbee_Schedule B'!F:F,0,FALSE)</f>
        <v/>
      </c>
      <c r="D6" s="351">
        <f>_xlfn.XLOOKUP(A6,'Q2''26 Management Fee'!B:B,'Q2''26 Management Fee'!C:C)</f>
        <v/>
      </c>
      <c r="E6" s="761">
        <f>SUMIFS(Commitment!G:G,Commitment!A:A,'Subsequent Close - OLD B4 25k'!A6)</f>
        <v/>
      </c>
      <c r="F6" s="760">
        <f>E6/$E$90</f>
        <v/>
      </c>
      <c r="G6" s="761">
        <f>E6</f>
        <v/>
      </c>
      <c r="H6" s="760">
        <f>E6/$E$86</f>
        <v/>
      </c>
      <c r="I6" s="760">
        <f>G6/$G$86</f>
        <v/>
      </c>
      <c r="J6" s="761">
        <f>-G6</f>
        <v/>
      </c>
      <c r="K6" s="760">
        <f>J6/$J$86</f>
        <v/>
      </c>
      <c r="L6" s="762" t="n"/>
      <c r="M6" s="351">
        <f>$M$3*H6</f>
        <v/>
      </c>
      <c r="N6" s="351" t="n">
        <v>-8820.65</v>
      </c>
      <c r="O6" s="351" t="n"/>
      <c r="P6" s="351">
        <f>$P$3*H6</f>
        <v/>
      </c>
      <c r="Q6" s="351" t="n">
        <v>-44278.39373067537</v>
      </c>
      <c r="R6" s="351">
        <f>SUM(M6:Q6)</f>
        <v/>
      </c>
      <c r="S6" s="761" t="n"/>
      <c r="T6" s="249">
        <f>$T$3*I6</f>
        <v/>
      </c>
      <c r="U6" s="754" t="n">
        <v>0</v>
      </c>
      <c r="V6" s="249">
        <f>N6</f>
        <v/>
      </c>
      <c r="W6" s="249">
        <f>I6*$W$3</f>
        <v/>
      </c>
      <c r="X6" s="249">
        <f>$X$3*I6</f>
        <v/>
      </c>
      <c r="Y6" s="249">
        <f>T6+W6+X6+V6+U6</f>
        <v/>
      </c>
      <c r="Z6" s="761" t="n"/>
      <c r="AA6" s="302">
        <f>T6/G6</f>
        <v/>
      </c>
      <c r="AB6" s="303">
        <f>V6/G6</f>
        <v/>
      </c>
      <c r="AC6" s="303">
        <f>W6/G6</f>
        <v/>
      </c>
      <c r="AD6" s="303">
        <f>X6/G6</f>
        <v/>
      </c>
      <c r="AE6" s="919">
        <f>AD6+AC6+AA6</f>
        <v/>
      </c>
      <c r="AF6" s="761" t="n"/>
      <c r="AG6" s="326" t="n"/>
      <c r="AH6" s="249">
        <f>-Y6+R6</f>
        <v/>
      </c>
      <c r="AI6" s="717">
        <f>_xlfn.XLOOKUP(A6,'2.10.26 Sub Close Old'!A:A,'2.10.26 Sub Close Old'!AK:AK)</f>
        <v/>
      </c>
      <c r="AJ6" s="717">
        <f>_xlfn.XLOOKUP(A6,'2.10.26 Sub Close New'!A:A,'2.10.26 Sub Close New'!AJ:AJ)</f>
        <v/>
      </c>
      <c r="AK6" s="717">
        <f>+AJ6-AI6</f>
        <v/>
      </c>
      <c r="AL6" s="717">
        <f>+AH6+AK6</f>
        <v/>
      </c>
      <c r="AM6" s="756" t="n"/>
      <c r="AN6" s="308">
        <f>+Y6</f>
        <v/>
      </c>
      <c r="AO6" s="758">
        <f>AN6/G6</f>
        <v/>
      </c>
      <c r="AP6" s="758">
        <f>AB6</f>
        <v/>
      </c>
      <c r="AQ6" s="310">
        <f>+AO6-AP6</f>
        <v/>
      </c>
      <c r="AR6" s="756" t="n"/>
      <c r="AS6" s="326" t="n"/>
      <c r="AT6" s="332">
        <f>-$AS$3*H6</f>
        <v/>
      </c>
      <c r="AU6" s="757">
        <f>AT6</f>
        <v/>
      </c>
      <c r="AV6" s="310">
        <f>AT6/R6</f>
        <v/>
      </c>
      <c r="AW6" s="756" t="n"/>
      <c r="AX6" s="326" t="n"/>
      <c r="AY6" s="332">
        <f>AT6+AH6</f>
        <v/>
      </c>
      <c r="AZ6" s="756" t="n"/>
      <c r="BA6" s="326" t="n"/>
      <c r="BB6" s="332" t="n"/>
      <c r="BC6" s="756" t="n"/>
    </row>
    <row r="7">
      <c r="A7" s="752" t="inlineStr">
        <is>
          <t>Abigail Levy</t>
        </is>
      </c>
      <c r="B7" s="351">
        <f>_xlfn.XLOOKUP(A7,'CLIP_Schedule B'!A:A,'CLIP_Schedule B'!E:E,0,FALSE)</f>
        <v/>
      </c>
      <c r="C7" s="351">
        <f>_xlfn.XLOOKUP(A7,'Silsbee_Schedule B'!B:B,'Silsbee_Schedule B'!F:F,0,FALSE)</f>
        <v/>
      </c>
      <c r="D7" s="351">
        <f>_xlfn.XLOOKUP(A7,'Q2''26 Management Fee'!B:B,'Q2''26 Management Fee'!C:C)</f>
        <v/>
      </c>
      <c r="E7" s="761">
        <f>SUMIFS(Commitment!G:G,Commitment!A:A,'Subsequent Close - OLD B4 25k'!A7)</f>
        <v/>
      </c>
      <c r="F7" s="760">
        <f>E7/$E$90</f>
        <v/>
      </c>
      <c r="G7" s="761">
        <f>E7</f>
        <v/>
      </c>
      <c r="H7" s="760">
        <f>E7/$E$86</f>
        <v/>
      </c>
      <c r="I7" s="760">
        <f>G7/$G$86</f>
        <v/>
      </c>
      <c r="J7" s="761">
        <f>-G7</f>
        <v/>
      </c>
      <c r="K7" s="760">
        <f>J7/$J$86</f>
        <v/>
      </c>
      <c r="L7" s="762" t="n"/>
      <c r="M7" s="351">
        <f>$M$3*H7</f>
        <v/>
      </c>
      <c r="N7" s="351" t="n">
        <v>-11025.82</v>
      </c>
      <c r="O7" s="351" t="n"/>
      <c r="P7" s="351">
        <f>$P$3*H7</f>
        <v/>
      </c>
      <c r="Q7" s="351" t="n">
        <v>-55347.99216334422</v>
      </c>
      <c r="R7" s="351">
        <f>SUM(M7:Q7)</f>
        <v/>
      </c>
      <c r="S7" s="761" t="n"/>
      <c r="T7" s="249">
        <f>$T$3*I7</f>
        <v/>
      </c>
      <c r="U7" s="754" t="n">
        <v>0</v>
      </c>
      <c r="V7" s="249">
        <f>N7</f>
        <v/>
      </c>
      <c r="W7" s="249">
        <f>I7*$W$3</f>
        <v/>
      </c>
      <c r="X7" s="249">
        <f>$X$3*I7</f>
        <v/>
      </c>
      <c r="Y7" s="249">
        <f>T7+W7+X7+V7+U7</f>
        <v/>
      </c>
      <c r="Z7" s="761" t="n"/>
      <c r="AA7" s="302">
        <f>T7/G7</f>
        <v/>
      </c>
      <c r="AB7" s="303">
        <f>V7/G7</f>
        <v/>
      </c>
      <c r="AC7" s="303">
        <f>W7/G7</f>
        <v/>
      </c>
      <c r="AD7" s="303">
        <f>X7/G7</f>
        <v/>
      </c>
      <c r="AE7" s="919">
        <f>AD7+AC7+AA7</f>
        <v/>
      </c>
      <c r="AF7" s="761" t="n"/>
      <c r="AG7" s="326" t="n"/>
      <c r="AH7" s="249">
        <f>-Y7+R7</f>
        <v/>
      </c>
      <c r="AI7" s="717">
        <f>_xlfn.XLOOKUP(A7,'2.10.26 Sub Close Old'!A:A,'2.10.26 Sub Close Old'!AK:AK)</f>
        <v/>
      </c>
      <c r="AJ7" s="717">
        <f>_xlfn.XLOOKUP(A7,'2.10.26 Sub Close New'!A:A,'2.10.26 Sub Close New'!AJ:AJ)</f>
        <v/>
      </c>
      <c r="AK7" s="717">
        <f>+AJ7-AI7</f>
        <v/>
      </c>
      <c r="AL7" s="717">
        <f>+AH7+AK7</f>
        <v/>
      </c>
      <c r="AM7" s="756" t="n"/>
      <c r="AN7" s="308">
        <f>+Y7</f>
        <v/>
      </c>
      <c r="AO7" s="758">
        <f>AN7/G7</f>
        <v/>
      </c>
      <c r="AP7" s="758">
        <f>AB7</f>
        <v/>
      </c>
      <c r="AQ7" s="310">
        <f>+AO7-AP7</f>
        <v/>
      </c>
      <c r="AR7" s="756" t="n"/>
      <c r="AS7" s="326" t="n"/>
      <c r="AT7" s="332">
        <f>-$AS$3*H7</f>
        <v/>
      </c>
      <c r="AU7" s="757">
        <f>AT7</f>
        <v/>
      </c>
      <c r="AV7" s="310">
        <f>AT7/R7</f>
        <v/>
      </c>
      <c r="AW7" s="756" t="n"/>
      <c r="AX7" s="326" t="n"/>
      <c r="AY7" s="332">
        <f>AT7+AH7</f>
        <v/>
      </c>
      <c r="AZ7" s="756" t="n"/>
      <c r="BA7" s="326" t="n"/>
      <c r="BB7" s="332" t="n"/>
      <c r="BC7" s="756" t="n"/>
    </row>
    <row r="8">
      <c r="A8" s="752" t="inlineStr">
        <is>
          <t>AKWT LLC</t>
        </is>
      </c>
      <c r="B8" s="351">
        <f>_xlfn.XLOOKUP(A8,'CLIP_Schedule B'!A:A,'CLIP_Schedule B'!E:E,0,FALSE)</f>
        <v/>
      </c>
      <c r="C8" s="351">
        <f>_xlfn.XLOOKUP(A8,'Silsbee_Schedule B'!B:B,'Silsbee_Schedule B'!F:F,0,FALSE)</f>
        <v/>
      </c>
      <c r="D8" s="351">
        <f>_xlfn.XLOOKUP(A8,'Q2''26 Management Fee'!B:B,'Q2''26 Management Fee'!C:C)</f>
        <v/>
      </c>
      <c r="E8" s="761">
        <f>SUMIFS(Commitment!G:G,Commitment!A:A,'Subsequent Close - OLD B4 25k'!A8)</f>
        <v/>
      </c>
      <c r="F8" s="760">
        <f>E8/$E$90</f>
        <v/>
      </c>
      <c r="G8" s="761">
        <f>E8</f>
        <v/>
      </c>
      <c r="H8" s="760">
        <f>E8/$E$86</f>
        <v/>
      </c>
      <c r="I8" s="760">
        <f>G8/$G$86</f>
        <v/>
      </c>
      <c r="J8" s="761">
        <f>-G8</f>
        <v/>
      </c>
      <c r="K8" s="760">
        <f>J8/$J$86</f>
        <v/>
      </c>
      <c r="L8" s="762" t="n"/>
      <c r="M8" s="351">
        <f>$M$3*H8</f>
        <v/>
      </c>
      <c r="N8" s="351" t="n">
        <v>-933.86</v>
      </c>
      <c r="O8" s="351" t="n"/>
      <c r="P8" s="351">
        <f>$P$3*H8</f>
        <v/>
      </c>
      <c r="Q8" s="351" t="n">
        <v>-5778.35399699646</v>
      </c>
      <c r="R8" s="351">
        <f>SUM(M8:Q8)</f>
        <v/>
      </c>
      <c r="S8" s="761" t="n"/>
      <c r="T8" s="249">
        <f>$T$3*I8</f>
        <v/>
      </c>
      <c r="U8" s="754" t="n">
        <v>0</v>
      </c>
      <c r="V8" s="249">
        <f>N8</f>
        <v/>
      </c>
      <c r="W8" s="249">
        <f>I8*$W$3</f>
        <v/>
      </c>
      <c r="X8" s="249">
        <f>$X$3*I8</f>
        <v/>
      </c>
      <c r="Y8" s="249">
        <f>T8+W8+X8+V8+U8</f>
        <v/>
      </c>
      <c r="Z8" s="761" t="n"/>
      <c r="AA8" s="302">
        <f>T8/G8</f>
        <v/>
      </c>
      <c r="AB8" s="303">
        <f>V8/G8</f>
        <v/>
      </c>
      <c r="AC8" s="303">
        <f>W8/G8</f>
        <v/>
      </c>
      <c r="AD8" s="303">
        <f>X8/G8</f>
        <v/>
      </c>
      <c r="AE8" s="919">
        <f>AD8+AC8+AA8</f>
        <v/>
      </c>
      <c r="AF8" s="761" t="n"/>
      <c r="AG8" s="326" t="n"/>
      <c r="AH8" s="249">
        <f>-Y8+R8</f>
        <v/>
      </c>
      <c r="AI8" s="717">
        <f>_xlfn.XLOOKUP(A8,'2.10.26 Sub Close Old'!A:A,'2.10.26 Sub Close Old'!AK:AK)</f>
        <v/>
      </c>
      <c r="AJ8" s="717">
        <f>_xlfn.XLOOKUP(A8,'2.10.26 Sub Close New'!A:A,'2.10.26 Sub Close New'!AJ:AJ)</f>
        <v/>
      </c>
      <c r="AK8" s="717">
        <f>+AJ8-AI8</f>
        <v/>
      </c>
      <c r="AL8" s="717">
        <f>+AH8+AK8</f>
        <v/>
      </c>
      <c r="AM8" s="756" t="n"/>
      <c r="AN8" s="308">
        <f>+Y8</f>
        <v/>
      </c>
      <c r="AO8" s="758">
        <f>AN8/G8</f>
        <v/>
      </c>
      <c r="AP8" s="758">
        <f>AB8</f>
        <v/>
      </c>
      <c r="AQ8" s="310">
        <f>+AO8-AP8</f>
        <v/>
      </c>
      <c r="AR8" s="756" t="n"/>
      <c r="AS8" s="326" t="n"/>
      <c r="AT8" s="332">
        <f>-$AS$3*H8</f>
        <v/>
      </c>
      <c r="AU8" s="757">
        <f>AT8</f>
        <v/>
      </c>
      <c r="AV8" s="310">
        <f>AT8/R8</f>
        <v/>
      </c>
      <c r="AW8" s="756" t="n"/>
      <c r="AX8" s="326" t="n"/>
      <c r="AY8" s="332">
        <f>AT8+AH8</f>
        <v/>
      </c>
      <c r="AZ8" s="756" t="n"/>
      <c r="BA8" s="326" t="n"/>
      <c r="BB8" s="332" t="n"/>
      <c r="BC8" s="756" t="n"/>
    </row>
    <row r="9">
      <c r="A9" s="752" t="inlineStr">
        <is>
          <t>Alexander S. Bloomingdale</t>
        </is>
      </c>
      <c r="B9" s="351">
        <f>_xlfn.XLOOKUP(A9,'CLIP_Schedule B'!A:A,'CLIP_Schedule B'!E:E,0,FALSE)</f>
        <v/>
      </c>
      <c r="C9" s="351">
        <f>_xlfn.XLOOKUP(A9,'Silsbee_Schedule B'!B:B,'Silsbee_Schedule B'!F:F,0,FALSE)</f>
        <v/>
      </c>
      <c r="D9" s="351">
        <f>_xlfn.XLOOKUP(A9,'Q2''26 Management Fee'!B:B,'Q2''26 Management Fee'!C:C)</f>
        <v/>
      </c>
      <c r="E9" s="761">
        <f>SUMIFS(Commitment!G:G,Commitment!A:A,'Subsequent Close - OLD B4 25k'!A9)</f>
        <v/>
      </c>
      <c r="F9" s="760">
        <f>E9/$E$90</f>
        <v/>
      </c>
      <c r="G9" s="761">
        <f>E9</f>
        <v/>
      </c>
      <c r="H9" s="760">
        <f>E9/$E$86</f>
        <v/>
      </c>
      <c r="I9" s="760">
        <f>G9/$G$86</f>
        <v/>
      </c>
      <c r="J9" s="761">
        <f>-G9</f>
        <v/>
      </c>
      <c r="K9" s="760">
        <f>J9/$J$86</f>
        <v/>
      </c>
      <c r="L9" s="762" t="n"/>
      <c r="M9" s="351">
        <f>$M$3*H9</f>
        <v/>
      </c>
      <c r="N9" s="351" t="n">
        <v>-1594.206582065217</v>
      </c>
      <c r="O9" s="351" t="n"/>
      <c r="P9" s="351">
        <f>$P$3*H9</f>
        <v/>
      </c>
      <c r="Q9" s="351" t="n">
        <v>-10641.4234134003</v>
      </c>
      <c r="R9" s="351">
        <f>SUM(M9:Q9)</f>
        <v/>
      </c>
      <c r="S9" s="761" t="n"/>
      <c r="T9" s="249">
        <f>$T$3*I9</f>
        <v/>
      </c>
      <c r="U9" s="754" t="n">
        <v>0</v>
      </c>
      <c r="V9" s="249">
        <f>N9</f>
        <v/>
      </c>
      <c r="W9" s="249">
        <f>I9*$W$3</f>
        <v/>
      </c>
      <c r="X9" s="249">
        <f>$X$3*I9</f>
        <v/>
      </c>
      <c r="Y9" s="249">
        <f>T9+W9+X9+V9+U9</f>
        <v/>
      </c>
      <c r="Z9" s="761" t="n"/>
      <c r="AA9" s="302">
        <f>T9/G9</f>
        <v/>
      </c>
      <c r="AB9" s="303">
        <f>V9/G9</f>
        <v/>
      </c>
      <c r="AC9" s="303">
        <f>W9/G9</f>
        <v/>
      </c>
      <c r="AD9" s="303">
        <f>X9/G9</f>
        <v/>
      </c>
      <c r="AE9" s="919">
        <f>AD9+AC9+AA9</f>
        <v/>
      </c>
      <c r="AF9" s="761" t="n"/>
      <c r="AG9" s="326" t="n"/>
      <c r="AH9" s="249">
        <f>-Y9+R9</f>
        <v/>
      </c>
      <c r="AI9" s="717">
        <f>_xlfn.XLOOKUP(A9,'2.10.26 Sub Close Old'!A:A,'2.10.26 Sub Close Old'!AK:AK)</f>
        <v/>
      </c>
      <c r="AJ9" s="717">
        <f>_xlfn.XLOOKUP(A9,'2.10.26 Sub Close New'!A:A,'2.10.26 Sub Close New'!AJ:AJ)</f>
        <v/>
      </c>
      <c r="AK9" s="717">
        <f>+AJ9-AI9</f>
        <v/>
      </c>
      <c r="AL9" s="717">
        <f>+AH9+AK9</f>
        <v/>
      </c>
      <c r="AM9" s="756" t="n"/>
      <c r="AN9" s="308">
        <f>+Y9</f>
        <v/>
      </c>
      <c r="AO9" s="758">
        <f>AN9/G9</f>
        <v/>
      </c>
      <c r="AP9" s="758">
        <f>AB9</f>
        <v/>
      </c>
      <c r="AQ9" s="310">
        <f>+AO9-AP9</f>
        <v/>
      </c>
      <c r="AR9" s="756" t="n"/>
      <c r="AS9" s="326" t="n"/>
      <c r="AT9" s="332">
        <f>-$AS$3*H9</f>
        <v/>
      </c>
      <c r="AU9" s="757">
        <f>AT9</f>
        <v/>
      </c>
      <c r="AV9" s="310">
        <f>AT9/R9</f>
        <v/>
      </c>
      <c r="AW9" s="756" t="n"/>
      <c r="AX9" s="326" t="n"/>
      <c r="AY9" s="332">
        <f>AT9+AH9</f>
        <v/>
      </c>
      <c r="AZ9" s="756" t="n"/>
      <c r="BA9" s="326" t="n"/>
      <c r="BB9" s="332" t="n"/>
      <c r="BC9" s="756" t="n"/>
    </row>
    <row r="10">
      <c r="A10" s="752" t="inlineStr">
        <is>
          <t>Alexander Sharpe Moore</t>
        </is>
      </c>
      <c r="B10" s="351">
        <f>_xlfn.XLOOKUP(A10,'CLIP_Schedule B'!A:A,'CLIP_Schedule B'!E:E,0,FALSE)</f>
        <v/>
      </c>
      <c r="C10" s="351">
        <f>_xlfn.XLOOKUP(A10,'Silsbee_Schedule B'!B:B,'Silsbee_Schedule B'!F:F,0,FALSE)</f>
        <v/>
      </c>
      <c r="D10" s="351">
        <f>_xlfn.XLOOKUP(A10,'Q2''26 Management Fee'!B:B,'Q2''26 Management Fee'!C:C)</f>
        <v/>
      </c>
      <c r="E10" s="761">
        <f>SUMIFS(Commitment!G:G,Commitment!A:A,'Subsequent Close - OLD B4 25k'!A10)</f>
        <v/>
      </c>
      <c r="F10" s="760">
        <f>E10/$E$90</f>
        <v/>
      </c>
      <c r="G10" s="761">
        <f>E10</f>
        <v/>
      </c>
      <c r="H10" s="760">
        <f>E10/$E$86</f>
        <v/>
      </c>
      <c r="I10" s="760">
        <f>G10/$G$86</f>
        <v/>
      </c>
      <c r="J10" s="761">
        <f>-G10</f>
        <v/>
      </c>
      <c r="K10" s="760">
        <f>J10/$J$86</f>
        <v/>
      </c>
      <c r="L10" s="762" t="n"/>
      <c r="M10" s="351">
        <f>$M$3*H10</f>
        <v/>
      </c>
      <c r="N10" s="351" t="n">
        <v>-1867.7</v>
      </c>
      <c r="O10" s="351" t="n"/>
      <c r="P10" s="351">
        <f>$P$3*H10</f>
        <v/>
      </c>
      <c r="Q10" s="351" t="n">
        <v>-11556.70725601969</v>
      </c>
      <c r="R10" s="351">
        <f>SUM(M10:Q10)</f>
        <v/>
      </c>
      <c r="S10" s="761" t="n"/>
      <c r="T10" s="249">
        <f>$T$3*I10</f>
        <v/>
      </c>
      <c r="U10" s="754" t="n">
        <v>0</v>
      </c>
      <c r="V10" s="249">
        <f>N10</f>
        <v/>
      </c>
      <c r="W10" s="249">
        <f>I10*$W$3</f>
        <v/>
      </c>
      <c r="X10" s="249">
        <f>$X$3*I10</f>
        <v/>
      </c>
      <c r="Y10" s="249">
        <f>T10+W10+X10+V10+U10</f>
        <v/>
      </c>
      <c r="Z10" s="761" t="n"/>
      <c r="AA10" s="302">
        <f>T10/G10</f>
        <v/>
      </c>
      <c r="AB10" s="303">
        <f>V10/G10</f>
        <v/>
      </c>
      <c r="AC10" s="303">
        <f>W10/G10</f>
        <v/>
      </c>
      <c r="AD10" s="303">
        <f>X10/G10</f>
        <v/>
      </c>
      <c r="AE10" s="919">
        <f>AD10+AC10+AA10</f>
        <v/>
      </c>
      <c r="AF10" s="761" t="n"/>
      <c r="AG10" s="326" t="n"/>
      <c r="AH10" s="249">
        <f>-Y10+R10</f>
        <v/>
      </c>
      <c r="AI10" s="717">
        <f>_xlfn.XLOOKUP(A10,'2.10.26 Sub Close Old'!A:A,'2.10.26 Sub Close Old'!AK:AK)</f>
        <v/>
      </c>
      <c r="AJ10" s="717">
        <f>_xlfn.XLOOKUP(A10,'2.10.26 Sub Close New'!A:A,'2.10.26 Sub Close New'!AJ:AJ)</f>
        <v/>
      </c>
      <c r="AK10" s="717">
        <f>+AJ10-AI10</f>
        <v/>
      </c>
      <c r="AL10" s="717">
        <f>+AH10+AK10</f>
        <v/>
      </c>
      <c r="AM10" s="756" t="n"/>
      <c r="AN10" s="308">
        <f>+Y10</f>
        <v/>
      </c>
      <c r="AO10" s="758">
        <f>AN10/G10</f>
        <v/>
      </c>
      <c r="AP10" s="758">
        <f>AB10</f>
        <v/>
      </c>
      <c r="AQ10" s="310">
        <f>+AO10-AP10</f>
        <v/>
      </c>
      <c r="AR10" s="756" t="n"/>
      <c r="AS10" s="326" t="n"/>
      <c r="AT10" s="332">
        <f>-$AS$3*H10</f>
        <v/>
      </c>
      <c r="AU10" s="757">
        <f>AT10</f>
        <v/>
      </c>
      <c r="AV10" s="310">
        <f>AT10/R10</f>
        <v/>
      </c>
      <c r="AW10" s="756" t="n"/>
      <c r="AX10" s="326" t="n"/>
      <c r="AY10" s="332">
        <f>AT10+AH10</f>
        <v/>
      </c>
      <c r="AZ10" s="756" t="n"/>
      <c r="BA10" s="326" t="n"/>
      <c r="BB10" s="332" t="n"/>
      <c r="BC10" s="756" t="n"/>
    </row>
    <row r="11">
      <c r="A11" s="752" t="inlineStr">
        <is>
          <t>All Dogs Go To Heaven, LLC</t>
        </is>
      </c>
      <c r="B11" s="351">
        <f>_xlfn.XLOOKUP(A11,'CLIP_Schedule B'!A:A,'CLIP_Schedule B'!E:E,0,FALSE)</f>
        <v/>
      </c>
      <c r="C11" s="351">
        <f>_xlfn.XLOOKUP(A11,'Silsbee_Schedule B'!B:B,'Silsbee_Schedule B'!F:F,0,FALSE)</f>
        <v/>
      </c>
      <c r="D11" s="351">
        <f>_xlfn.XLOOKUP(A11,'Q2''26 Management Fee'!B:B,'Q2''26 Management Fee'!C:C)</f>
        <v/>
      </c>
      <c r="E11" s="761">
        <f>SUMIFS(Commitment!G:G,Commitment!A:A,'Subsequent Close - OLD B4 25k'!A11)</f>
        <v/>
      </c>
      <c r="F11" s="760">
        <f>E11/$E$90</f>
        <v/>
      </c>
      <c r="G11" s="761">
        <f>E11</f>
        <v/>
      </c>
      <c r="H11" s="760">
        <f>E11/$E$86</f>
        <v/>
      </c>
      <c r="I11" s="760">
        <f>G11/$G$86</f>
        <v/>
      </c>
      <c r="J11" s="761">
        <f>-G11</f>
        <v/>
      </c>
      <c r="K11" s="760">
        <f>J11/$J$86</f>
        <v/>
      </c>
      <c r="L11" s="762" t="n"/>
      <c r="M11" s="351">
        <f>$M$3*H11</f>
        <v/>
      </c>
      <c r="N11" s="351" t="n">
        <v>-5989.953164130435</v>
      </c>
      <c r="O11" s="351" t="n"/>
      <c r="P11" s="351">
        <f>$P$3*H11</f>
        <v/>
      </c>
      <c r="Q11" s="351" t="n">
        <v>-38617.90734184351</v>
      </c>
      <c r="R11" s="351">
        <f>SUM(M11:Q11)</f>
        <v/>
      </c>
      <c r="S11" s="761" t="n"/>
      <c r="T11" s="249">
        <f>$T$3*I11</f>
        <v/>
      </c>
      <c r="U11" s="754" t="n">
        <v>0</v>
      </c>
      <c r="V11" s="249">
        <f>N11</f>
        <v/>
      </c>
      <c r="W11" s="249">
        <f>I11*$W$3</f>
        <v/>
      </c>
      <c r="X11" s="249">
        <f>$X$3*I11</f>
        <v/>
      </c>
      <c r="Y11" s="249">
        <f>T11+W11+X11+V11+U11</f>
        <v/>
      </c>
      <c r="Z11" s="761" t="n"/>
      <c r="AA11" s="302">
        <f>T11/G11</f>
        <v/>
      </c>
      <c r="AB11" s="303">
        <f>V11/G11</f>
        <v/>
      </c>
      <c r="AC11" s="303">
        <f>W11/G11</f>
        <v/>
      </c>
      <c r="AD11" s="303">
        <f>X11/G11</f>
        <v/>
      </c>
      <c r="AE11" s="919">
        <f>AD11+AC11+AA11</f>
        <v/>
      </c>
      <c r="AF11" s="761" t="n"/>
      <c r="AG11" s="326" t="n"/>
      <c r="AH11" s="249">
        <f>-Y11+R11</f>
        <v/>
      </c>
      <c r="AI11" s="717">
        <f>_xlfn.XLOOKUP(A11,'2.10.26 Sub Close Old'!A:A,'2.10.26 Sub Close Old'!AK:AK)</f>
        <v/>
      </c>
      <c r="AJ11" s="717">
        <f>_xlfn.XLOOKUP(A11,'2.10.26 Sub Close New'!A:A,'2.10.26 Sub Close New'!AJ:AJ)</f>
        <v/>
      </c>
      <c r="AK11" s="717">
        <f>+AJ11-AI11</f>
        <v/>
      </c>
      <c r="AL11" s="717">
        <f>+AH11+AK11</f>
        <v/>
      </c>
      <c r="AM11" s="756" t="n"/>
      <c r="AN11" s="308">
        <f>+Y11</f>
        <v/>
      </c>
      <c r="AO11" s="758">
        <f>AN11/G11</f>
        <v/>
      </c>
      <c r="AP11" s="758">
        <f>AB11</f>
        <v/>
      </c>
      <c r="AQ11" s="310">
        <f>+AO11-AP11</f>
        <v/>
      </c>
      <c r="AR11" s="756" t="n"/>
      <c r="AS11" s="326" t="n"/>
      <c r="AT11" s="332">
        <f>-$AS$3*H11</f>
        <v/>
      </c>
      <c r="AU11" s="757">
        <f>AT11</f>
        <v/>
      </c>
      <c r="AV11" s="310">
        <f>AT11/R11</f>
        <v/>
      </c>
      <c r="AW11" s="756" t="n"/>
      <c r="AX11" s="326" t="n"/>
      <c r="AY11" s="332">
        <f>AT11+AH11</f>
        <v/>
      </c>
      <c r="AZ11" s="756" t="n"/>
      <c r="BA11" s="326" t="n"/>
      <c r="BB11" s="332" t="n"/>
      <c r="BC11" s="756" t="n"/>
    </row>
    <row r="12">
      <c r="A12" s="752" t="inlineStr">
        <is>
          <t>Alten Investments LLC</t>
        </is>
      </c>
      <c r="B12" s="351">
        <f>_xlfn.XLOOKUP(A12,'CLIP_Schedule B'!A:A,'CLIP_Schedule B'!E:E,0,FALSE)</f>
        <v/>
      </c>
      <c r="C12" s="351">
        <f>_xlfn.XLOOKUP(A12,'Silsbee_Schedule B'!B:B,'Silsbee_Schedule B'!F:F,0,FALSE)</f>
        <v/>
      </c>
      <c r="D12" s="351">
        <f>_xlfn.XLOOKUP(A12,'Q2''26 Management Fee'!B:B,'Q2''26 Management Fee'!C:C)</f>
        <v/>
      </c>
      <c r="E12" s="761">
        <f>SUMIFS(Commitment!G:G,Commitment!A:A,'Subsequent Close - OLD B4 25k'!A12)</f>
        <v/>
      </c>
      <c r="F12" s="760">
        <f>E12/$E$90</f>
        <v/>
      </c>
      <c r="G12" s="761">
        <f>E12</f>
        <v/>
      </c>
      <c r="H12" s="760">
        <f>E12/$E$86</f>
        <v/>
      </c>
      <c r="I12" s="760">
        <f>G12/$G$86</f>
        <v/>
      </c>
      <c r="J12" s="761">
        <f>-G12</f>
        <v/>
      </c>
      <c r="K12" s="760">
        <f>J12/$J$86</f>
        <v/>
      </c>
      <c r="L12" s="762" t="n"/>
      <c r="M12" s="351">
        <f>$M$3*H12</f>
        <v/>
      </c>
      <c r="N12" s="351" t="n">
        <v>-14701.09</v>
      </c>
      <c r="O12" s="351" t="n"/>
      <c r="P12" s="351">
        <f>$P$3*H12</f>
        <v/>
      </c>
      <c r="Q12" s="351" t="n">
        <v>-73797.32288445896</v>
      </c>
      <c r="R12" s="351">
        <f>SUM(M12:Q12)</f>
        <v/>
      </c>
      <c r="S12" s="761" t="n"/>
      <c r="T12" s="249">
        <f>$T$3*I12</f>
        <v/>
      </c>
      <c r="U12" s="754" t="n">
        <v>0</v>
      </c>
      <c r="V12" s="249">
        <f>N12</f>
        <v/>
      </c>
      <c r="W12" s="249">
        <f>I12*$W$3</f>
        <v/>
      </c>
      <c r="X12" s="249">
        <f>$X$3*I12</f>
        <v/>
      </c>
      <c r="Y12" s="249">
        <f>T12+W12+X12+V12+U12</f>
        <v/>
      </c>
      <c r="Z12" s="761" t="n"/>
      <c r="AA12" s="302">
        <f>T12/G12</f>
        <v/>
      </c>
      <c r="AB12" s="303">
        <f>V12/G12</f>
        <v/>
      </c>
      <c r="AC12" s="303">
        <f>W12/G12</f>
        <v/>
      </c>
      <c r="AD12" s="303">
        <f>X12/G12</f>
        <v/>
      </c>
      <c r="AE12" s="919">
        <f>AD12+AC12+AA12</f>
        <v/>
      </c>
      <c r="AF12" s="761" t="n"/>
      <c r="AG12" s="326" t="n"/>
      <c r="AH12" s="249">
        <f>-Y12+R12</f>
        <v/>
      </c>
      <c r="AI12" s="717">
        <f>_xlfn.XLOOKUP(A12,'2.10.26 Sub Close Old'!A:A,'2.10.26 Sub Close Old'!AK:AK)</f>
        <v/>
      </c>
      <c r="AJ12" s="717">
        <f>_xlfn.XLOOKUP(A12,'2.10.26 Sub Close New'!A:A,'2.10.26 Sub Close New'!AJ:AJ)</f>
        <v/>
      </c>
      <c r="AK12" s="717">
        <f>+AJ12-AI12</f>
        <v/>
      </c>
      <c r="AL12" s="717">
        <f>+AH12+AK12</f>
        <v/>
      </c>
      <c r="AM12" s="756" t="n"/>
      <c r="AN12" s="308">
        <f>+Y12</f>
        <v/>
      </c>
      <c r="AO12" s="758">
        <f>AN12/G12</f>
        <v/>
      </c>
      <c r="AP12" s="758">
        <f>AB12</f>
        <v/>
      </c>
      <c r="AQ12" s="310">
        <f>+AO12-AP12</f>
        <v/>
      </c>
      <c r="AR12" s="756" t="n"/>
      <c r="AS12" s="326" t="n"/>
      <c r="AT12" s="332">
        <f>-$AS$3*H12</f>
        <v/>
      </c>
      <c r="AU12" s="757">
        <f>AT12</f>
        <v/>
      </c>
      <c r="AV12" s="310">
        <f>AT12/R12</f>
        <v/>
      </c>
      <c r="AW12" s="756" t="n"/>
      <c r="AX12" s="326" t="n"/>
      <c r="AY12" s="332">
        <f>AT12+AH12</f>
        <v/>
      </c>
      <c r="AZ12" s="756" t="n"/>
      <c r="BA12" s="326" t="n"/>
      <c r="BB12" s="332" t="n"/>
      <c r="BC12" s="756" t="n"/>
    </row>
    <row r="13">
      <c r="A13" s="752" t="inlineStr">
        <is>
          <t>Avery Ryan Klann</t>
        </is>
      </c>
      <c r="B13" s="351">
        <f>_xlfn.XLOOKUP(A13,'CLIP_Schedule B'!A:A,'CLIP_Schedule B'!E:E,0,FALSE)</f>
        <v/>
      </c>
      <c r="C13" s="351">
        <f>_xlfn.XLOOKUP(A13,'Silsbee_Schedule B'!B:B,'Silsbee_Schedule B'!F:F,0,FALSE)</f>
        <v/>
      </c>
      <c r="D13" s="351">
        <f>_xlfn.XLOOKUP(A13,'Q2''26 Management Fee'!B:B,'Q2''26 Management Fee'!C:C)</f>
        <v/>
      </c>
      <c r="E13" s="761">
        <f>SUMIFS(Commitment!G:G,Commitment!A:A,'Subsequent Close - OLD B4 25k'!A13)</f>
        <v/>
      </c>
      <c r="F13" s="760">
        <f>E13/$E$90</f>
        <v/>
      </c>
      <c r="G13" s="761">
        <f>E13</f>
        <v/>
      </c>
      <c r="H13" s="760">
        <f>E13/$E$86</f>
        <v/>
      </c>
      <c r="I13" s="760">
        <f>G13/$G$86</f>
        <v/>
      </c>
      <c r="J13" s="761">
        <f>-G13</f>
        <v/>
      </c>
      <c r="K13" s="760">
        <f>J13/$J$86</f>
        <v/>
      </c>
      <c r="L13" s="762" t="n"/>
      <c r="M13" s="351">
        <f>$M$3*H13</f>
        <v/>
      </c>
      <c r="N13" s="351" t="n">
        <v>-4669.25</v>
      </c>
      <c r="O13" s="351" t="n"/>
      <c r="P13" s="351">
        <f>$P$3*H13</f>
        <v/>
      </c>
      <c r="Q13" s="351" t="n">
        <v>-28891.76850903584</v>
      </c>
      <c r="R13" s="351">
        <f>SUM(M13:Q13)</f>
        <v/>
      </c>
      <c r="S13" s="761" t="n"/>
      <c r="T13" s="249">
        <f>$T$3*I13</f>
        <v/>
      </c>
      <c r="U13" s="754" t="n">
        <v>0</v>
      </c>
      <c r="V13" s="249">
        <f>N13</f>
        <v/>
      </c>
      <c r="W13" s="249">
        <f>I13*$W$3</f>
        <v/>
      </c>
      <c r="X13" s="249">
        <f>$X$3*I13</f>
        <v/>
      </c>
      <c r="Y13" s="249">
        <f>T13+W13+X13+V13+U13</f>
        <v/>
      </c>
      <c r="Z13" s="761" t="n"/>
      <c r="AA13" s="302">
        <f>T13/G13</f>
        <v/>
      </c>
      <c r="AB13" s="303">
        <f>V13/G13</f>
        <v/>
      </c>
      <c r="AC13" s="303">
        <f>W13/G13</f>
        <v/>
      </c>
      <c r="AD13" s="303">
        <f>X13/G13</f>
        <v/>
      </c>
      <c r="AE13" s="919">
        <f>AD13+AC13+AA13</f>
        <v/>
      </c>
      <c r="AF13" s="761" t="n"/>
      <c r="AG13" s="326" t="n"/>
      <c r="AH13" s="249">
        <f>-Y13+R13</f>
        <v/>
      </c>
      <c r="AI13" s="717">
        <f>_xlfn.XLOOKUP(A13,'2.10.26 Sub Close Old'!A:A,'2.10.26 Sub Close Old'!AK:AK)</f>
        <v/>
      </c>
      <c r="AJ13" s="717">
        <f>_xlfn.XLOOKUP(A13,'2.10.26 Sub Close New'!A:A,'2.10.26 Sub Close New'!AJ:AJ)</f>
        <v/>
      </c>
      <c r="AK13" s="717">
        <f>+AJ13-AI13</f>
        <v/>
      </c>
      <c r="AL13" s="717">
        <f>+AH13+AK13</f>
        <v/>
      </c>
      <c r="AM13" s="756" t="n"/>
      <c r="AN13" s="308">
        <f>+Y13</f>
        <v/>
      </c>
      <c r="AO13" s="758">
        <f>AN13/G13</f>
        <v/>
      </c>
      <c r="AP13" s="758">
        <f>AB13</f>
        <v/>
      </c>
      <c r="AQ13" s="310">
        <f>+AO13-AP13</f>
        <v/>
      </c>
      <c r="AR13" s="756" t="n"/>
      <c r="AS13" s="326" t="n"/>
      <c r="AT13" s="332">
        <f>-$AS$3*H13</f>
        <v/>
      </c>
      <c r="AU13" s="757">
        <f>AT13</f>
        <v/>
      </c>
      <c r="AV13" s="310">
        <f>AT13/R13</f>
        <v/>
      </c>
      <c r="AW13" s="756" t="n"/>
      <c r="AX13" s="326" t="n"/>
      <c r="AY13" s="332">
        <f>AT13+AH13</f>
        <v/>
      </c>
      <c r="AZ13" s="756" t="n"/>
      <c r="BA13" s="326" t="n"/>
      <c r="BB13" s="332" t="n"/>
      <c r="BC13" s="756" t="n"/>
    </row>
    <row r="14">
      <c r="A14" s="752" t="inlineStr">
        <is>
          <t>BBR Real Assets Fund 2024 LLC</t>
        </is>
      </c>
      <c r="B14" s="351">
        <f>_xlfn.XLOOKUP(A14,'CLIP_Schedule B'!A:A,'CLIP_Schedule B'!E:E,0,FALSE)</f>
        <v/>
      </c>
      <c r="C14" s="351">
        <f>_xlfn.XLOOKUP(A14,'Silsbee_Schedule B'!B:B,'Silsbee_Schedule B'!F:F,0,FALSE)</f>
        <v/>
      </c>
      <c r="D14" s="351">
        <f>_xlfn.XLOOKUP(A14,'Q2''26 Management Fee'!B:B,'Q2''26 Management Fee'!C:C)</f>
        <v/>
      </c>
      <c r="E14" s="761">
        <f>SUMIFS(Commitment!G:G,Commitment!A:A,'Subsequent Close - OLD B4 25k'!A14)</f>
        <v/>
      </c>
      <c r="F14" s="760">
        <f>E14/$E$90</f>
        <v/>
      </c>
      <c r="G14" s="761">
        <f>E14</f>
        <v/>
      </c>
      <c r="H14" s="760">
        <f>E14/$E$86</f>
        <v/>
      </c>
      <c r="I14" s="760">
        <f>G14/$G$86</f>
        <v/>
      </c>
      <c r="J14" s="761">
        <f>-G14</f>
        <v/>
      </c>
      <c r="K14" s="760">
        <f>J14/$J$86</f>
        <v/>
      </c>
      <c r="L14" s="762" t="n"/>
      <c r="M14" s="351">
        <f>$M$3*H14</f>
        <v/>
      </c>
      <c r="N14" s="351" t="n">
        <v>-147010.85</v>
      </c>
      <c r="O14" s="351" t="n"/>
      <c r="P14" s="351">
        <f>$P$3*H14</f>
        <v/>
      </c>
      <c r="Q14" s="351" t="n">
        <v>-737973.2288445896</v>
      </c>
      <c r="R14" s="351">
        <f>SUM(M14:Q14)</f>
        <v/>
      </c>
      <c r="S14" s="761" t="n"/>
      <c r="T14" s="249">
        <f>$T$3*I14</f>
        <v/>
      </c>
      <c r="U14" s="754" t="n">
        <v>0</v>
      </c>
      <c r="V14" s="249">
        <f>N14</f>
        <v/>
      </c>
      <c r="W14" s="249">
        <f>I14*$W$3</f>
        <v/>
      </c>
      <c r="X14" s="249">
        <f>$X$3*I14</f>
        <v/>
      </c>
      <c r="Y14" s="249">
        <f>T14+W14+X14+V14+U14</f>
        <v/>
      </c>
      <c r="Z14" s="761" t="n"/>
      <c r="AA14" s="302">
        <f>T14/G14</f>
        <v/>
      </c>
      <c r="AB14" s="303">
        <f>V14/G14</f>
        <v/>
      </c>
      <c r="AC14" s="303">
        <f>W14/G14</f>
        <v/>
      </c>
      <c r="AD14" s="303">
        <f>X14/G14</f>
        <v/>
      </c>
      <c r="AE14" s="919">
        <f>AD14+AC14+AA14</f>
        <v/>
      </c>
      <c r="AF14" s="761" t="n"/>
      <c r="AG14" s="326" t="n"/>
      <c r="AH14" s="249">
        <f>-Y14+R14</f>
        <v/>
      </c>
      <c r="AI14" s="717">
        <f>_xlfn.XLOOKUP(A14,'2.10.26 Sub Close Old'!A:A,'2.10.26 Sub Close Old'!AK:AK)</f>
        <v/>
      </c>
      <c r="AJ14" s="717">
        <f>_xlfn.XLOOKUP(A14,'2.10.26 Sub Close New'!A:A,'2.10.26 Sub Close New'!AJ:AJ)</f>
        <v/>
      </c>
      <c r="AK14" s="717">
        <f>+AJ14-AI14</f>
        <v/>
      </c>
      <c r="AL14" s="717">
        <f>+AH14+AK14</f>
        <v/>
      </c>
      <c r="AM14" s="756" t="n"/>
      <c r="AN14" s="308">
        <f>+Y14</f>
        <v/>
      </c>
      <c r="AO14" s="758">
        <f>AN14/G14</f>
        <v/>
      </c>
      <c r="AP14" s="758">
        <f>AB14</f>
        <v/>
      </c>
      <c r="AQ14" s="310">
        <f>+AO14-AP14</f>
        <v/>
      </c>
      <c r="AR14" s="756" t="n"/>
      <c r="AS14" s="326" t="n"/>
      <c r="AT14" s="332">
        <f>-$AS$3*H14</f>
        <v/>
      </c>
      <c r="AU14" s="757">
        <f>AT14</f>
        <v/>
      </c>
      <c r="AV14" s="310">
        <f>AT14/R14</f>
        <v/>
      </c>
      <c r="AW14" s="756" t="n"/>
      <c r="AX14" s="326" t="n"/>
      <c r="AY14" s="332">
        <f>AT14+AH14</f>
        <v/>
      </c>
      <c r="AZ14" s="756" t="n"/>
      <c r="BA14" s="326" t="n"/>
      <c r="BB14" s="332" t="n"/>
      <c r="BC14" s="756" t="n"/>
    </row>
    <row r="15">
      <c r="A15" s="752" t="inlineStr">
        <is>
          <t>Belclaire Asset Management, LLC</t>
        </is>
      </c>
      <c r="B15" s="351">
        <f>_xlfn.XLOOKUP(A15,'CLIP_Schedule B'!A:A,'CLIP_Schedule B'!E:E,0,FALSE)</f>
        <v/>
      </c>
      <c r="C15" s="351">
        <f>_xlfn.XLOOKUP(A15,'Silsbee_Schedule B'!B:B,'Silsbee_Schedule B'!F:F,0,FALSE)</f>
        <v/>
      </c>
      <c r="D15" s="351">
        <f>_xlfn.XLOOKUP(A15,'Q2''26 Management Fee'!B:B,'Q2''26 Management Fee'!C:C)</f>
        <v/>
      </c>
      <c r="E15" s="761">
        <f>SUMIFS(Commitment!G:G,Commitment!A:A,'Subsequent Close - OLD B4 25k'!A15)</f>
        <v/>
      </c>
      <c r="F15" s="760">
        <f>E15/$E$90</f>
        <v/>
      </c>
      <c r="G15" s="761">
        <f>E15</f>
        <v/>
      </c>
      <c r="H15" s="760">
        <f>E15/$E$86</f>
        <v/>
      </c>
      <c r="I15" s="760">
        <f>G15/$G$86</f>
        <v/>
      </c>
      <c r="J15" s="761">
        <f>-G15</f>
        <v/>
      </c>
      <c r="K15" s="760">
        <f>J15/$J$86</f>
        <v/>
      </c>
      <c r="L15" s="762" t="n"/>
      <c r="M15" s="351">
        <f>$M$3*H15</f>
        <v/>
      </c>
      <c r="N15" s="351" t="n">
        <v>-10659.21316413043</v>
      </c>
      <c r="O15" s="351" t="n"/>
      <c r="P15" s="351">
        <f>$P$3*H15</f>
        <v/>
      </c>
      <c r="Q15" s="351" t="n">
        <v>-67509.67585087934</v>
      </c>
      <c r="R15" s="351">
        <f>SUM(M15:Q15)</f>
        <v/>
      </c>
      <c r="S15" s="761" t="n"/>
      <c r="T15" s="249">
        <f>$T$3*I15</f>
        <v/>
      </c>
      <c r="U15" s="754" t="n">
        <v>0</v>
      </c>
      <c r="V15" s="249">
        <f>N15</f>
        <v/>
      </c>
      <c r="W15" s="249">
        <f>I15*$W$3</f>
        <v/>
      </c>
      <c r="X15" s="249">
        <f>$X$3*I15</f>
        <v/>
      </c>
      <c r="Y15" s="249">
        <f>T15+W15+X15+V15+U15</f>
        <v/>
      </c>
      <c r="Z15" s="761" t="n"/>
      <c r="AA15" s="302">
        <f>T15/G15</f>
        <v/>
      </c>
      <c r="AB15" s="303">
        <f>V15/G15</f>
        <v/>
      </c>
      <c r="AC15" s="303">
        <f>W15/G15</f>
        <v/>
      </c>
      <c r="AD15" s="303">
        <f>X15/G15</f>
        <v/>
      </c>
      <c r="AE15" s="919">
        <f>AD15+AC15+AA15</f>
        <v/>
      </c>
      <c r="AF15" s="761" t="n"/>
      <c r="AG15" s="326" t="n"/>
      <c r="AH15" s="249">
        <f>-Y15+R15</f>
        <v/>
      </c>
      <c r="AI15" s="717">
        <f>_xlfn.XLOOKUP(A15,'2.10.26 Sub Close Old'!A:A,'2.10.26 Sub Close Old'!AK:AK)</f>
        <v/>
      </c>
      <c r="AJ15" s="717">
        <f>_xlfn.XLOOKUP(A15,'2.10.26 Sub Close New'!A:A,'2.10.26 Sub Close New'!AJ:AJ)</f>
        <v/>
      </c>
      <c r="AK15" s="717">
        <f>+AJ15-AI15</f>
        <v/>
      </c>
      <c r="AL15" s="717">
        <f>+AH15+AK15</f>
        <v/>
      </c>
      <c r="AM15" s="756" t="n"/>
      <c r="AN15" s="308">
        <f>+Y15</f>
        <v/>
      </c>
      <c r="AO15" s="758">
        <f>AN15/G15</f>
        <v/>
      </c>
      <c r="AP15" s="758">
        <f>AB15</f>
        <v/>
      </c>
      <c r="AQ15" s="310">
        <f>+AO15-AP15</f>
        <v/>
      </c>
      <c r="AR15" s="756" t="n"/>
      <c r="AS15" s="326" t="n"/>
      <c r="AT15" s="332">
        <f>-$AS$3*H15</f>
        <v/>
      </c>
      <c r="AU15" s="757">
        <f>AT15</f>
        <v/>
      </c>
      <c r="AV15" s="310">
        <f>AT15/R15</f>
        <v/>
      </c>
      <c r="AW15" s="756" t="n"/>
      <c r="AX15" s="326" t="n"/>
      <c r="AY15" s="332">
        <f>AT15+AH15</f>
        <v/>
      </c>
      <c r="AZ15" s="756" t="n"/>
      <c r="BA15" s="326" t="n"/>
      <c r="BB15" s="332" t="n"/>
      <c r="BC15" s="756" t="n"/>
    </row>
    <row r="16">
      <c r="A16" s="752" t="inlineStr">
        <is>
          <t>Benaiah Inc.</t>
        </is>
      </c>
      <c r="B16" s="351">
        <f>_xlfn.XLOOKUP(A16,'CLIP_Schedule B'!A:A,'CLIP_Schedule B'!E:E,0,FALSE)</f>
        <v/>
      </c>
      <c r="C16" s="351">
        <f>_xlfn.XLOOKUP(A16,'Silsbee_Schedule B'!B:B,'Silsbee_Schedule B'!F:F,0,FALSE)</f>
        <v/>
      </c>
      <c r="D16" s="351">
        <f>_xlfn.XLOOKUP(A16,'Q2''26 Management Fee'!B:B,'Q2''26 Management Fee'!C:C)</f>
        <v/>
      </c>
      <c r="E16" s="761">
        <f>SUMIFS(Commitment!G:G,Commitment!A:A,'Subsequent Close - OLD B4 25k'!A16)</f>
        <v/>
      </c>
      <c r="F16" s="760">
        <f>E16/$E$90</f>
        <v/>
      </c>
      <c r="G16" s="761">
        <f>E16</f>
        <v/>
      </c>
      <c r="H16" s="760">
        <f>E16/$E$86</f>
        <v/>
      </c>
      <c r="I16" s="760">
        <f>G16/$G$86</f>
        <v/>
      </c>
      <c r="J16" s="761">
        <f>-G16</f>
        <v/>
      </c>
      <c r="K16" s="760">
        <f>J16/$J$86</f>
        <v/>
      </c>
      <c r="L16" s="762" t="n"/>
      <c r="M16" s="351">
        <f>$M$3*H16</f>
        <v/>
      </c>
      <c r="N16" s="351" t="n">
        <v>-10659.21316413043</v>
      </c>
      <c r="O16" s="351" t="n"/>
      <c r="P16" s="351">
        <f>$P$3*H16</f>
        <v/>
      </c>
      <c r="Q16" s="351" t="n">
        <v>-67509.67585087934</v>
      </c>
      <c r="R16" s="351">
        <f>SUM(M16:Q16)</f>
        <v/>
      </c>
      <c r="S16" s="761" t="n"/>
      <c r="T16" s="249">
        <f>$T$3*I16</f>
        <v/>
      </c>
      <c r="U16" s="754" t="n">
        <v>0</v>
      </c>
      <c r="V16" s="249">
        <f>N16</f>
        <v/>
      </c>
      <c r="W16" s="249">
        <f>I16*$W$3</f>
        <v/>
      </c>
      <c r="X16" s="249">
        <f>$X$3*I16</f>
        <v/>
      </c>
      <c r="Y16" s="249">
        <f>T16+W16+X16+V16+U16</f>
        <v/>
      </c>
      <c r="Z16" s="761" t="n"/>
      <c r="AA16" s="302">
        <f>T16/G16</f>
        <v/>
      </c>
      <c r="AB16" s="303">
        <f>V16/G16</f>
        <v/>
      </c>
      <c r="AC16" s="303">
        <f>W16/G16</f>
        <v/>
      </c>
      <c r="AD16" s="303">
        <f>X16/G16</f>
        <v/>
      </c>
      <c r="AE16" s="919">
        <f>AD16+AC16+AA16</f>
        <v/>
      </c>
      <c r="AF16" s="761" t="n"/>
      <c r="AG16" s="326" t="n"/>
      <c r="AH16" s="249">
        <f>-Y16+R16</f>
        <v/>
      </c>
      <c r="AI16" s="717">
        <f>_xlfn.XLOOKUP(A16,'2.10.26 Sub Close Old'!A:A,'2.10.26 Sub Close Old'!AK:AK)</f>
        <v/>
      </c>
      <c r="AJ16" s="717">
        <f>_xlfn.XLOOKUP(A16,'2.10.26 Sub Close New'!A:A,'2.10.26 Sub Close New'!AJ:AJ)</f>
        <v/>
      </c>
      <c r="AK16" s="717">
        <f>+AJ16-AI16</f>
        <v/>
      </c>
      <c r="AL16" s="717">
        <f>+AH16+AK16</f>
        <v/>
      </c>
      <c r="AM16" s="756" t="n"/>
      <c r="AN16" s="308">
        <f>+Y16</f>
        <v/>
      </c>
      <c r="AO16" s="758">
        <f>AN16/G16</f>
        <v/>
      </c>
      <c r="AP16" s="758">
        <f>AB16</f>
        <v/>
      </c>
      <c r="AQ16" s="310">
        <f>+AO16-AP16</f>
        <v/>
      </c>
      <c r="AR16" s="756" t="n"/>
      <c r="AS16" s="326" t="n"/>
      <c r="AT16" s="332">
        <f>-$AS$3*H16</f>
        <v/>
      </c>
      <c r="AU16" s="757">
        <f>AT16</f>
        <v/>
      </c>
      <c r="AV16" s="310">
        <f>AT16/R16</f>
        <v/>
      </c>
      <c r="AW16" s="756" t="n"/>
      <c r="AX16" s="326" t="n"/>
      <c r="AY16" s="332">
        <f>AT16+AH16</f>
        <v/>
      </c>
      <c r="AZ16" s="756" t="n"/>
      <c r="BA16" s="326" t="n"/>
      <c r="BB16" s="332" t="n"/>
      <c r="BC16" s="756" t="n"/>
    </row>
    <row r="17">
      <c r="A17" s="752" t="inlineStr">
        <is>
          <t>Benjamin Johnson</t>
        </is>
      </c>
      <c r="B17" s="351">
        <f>_xlfn.XLOOKUP(A17,'CLIP_Schedule B'!A:A,'CLIP_Schedule B'!E:E,0,FALSE)</f>
        <v/>
      </c>
      <c r="C17" s="351">
        <f>_xlfn.XLOOKUP(A17,'Silsbee_Schedule B'!B:B,'Silsbee_Schedule B'!F:F,0,FALSE)</f>
        <v/>
      </c>
      <c r="D17" s="351">
        <f>_xlfn.XLOOKUP(A17,'Q2''26 Management Fee'!B:B,'Q2''26 Management Fee'!C:C)</f>
        <v/>
      </c>
      <c r="E17" s="761">
        <f>SUMIFS(Commitment!G:G,Commitment!A:A,'Subsequent Close - OLD B4 25k'!A17)</f>
        <v/>
      </c>
      <c r="F17" s="760">
        <f>E17/$E$90</f>
        <v/>
      </c>
      <c r="G17" s="761">
        <f>E17</f>
        <v/>
      </c>
      <c r="H17" s="760">
        <f>E17/$E$86</f>
        <v/>
      </c>
      <c r="I17" s="760">
        <f>G17/$G$86</f>
        <v/>
      </c>
      <c r="J17" s="761">
        <f>-G17</f>
        <v/>
      </c>
      <c r="K17" s="760">
        <f>J17/$J$86</f>
        <v/>
      </c>
      <c r="L17" s="762" t="n"/>
      <c r="M17" s="351">
        <f>$M$3*H17</f>
        <v/>
      </c>
      <c r="N17" s="351" t="n">
        <v>-933.86</v>
      </c>
      <c r="O17" s="351" t="n"/>
      <c r="P17" s="351">
        <f>$P$3*H17</f>
        <v/>
      </c>
      <c r="Q17" s="351" t="n">
        <v>-5778.35399699646</v>
      </c>
      <c r="R17" s="351">
        <f>SUM(M17:Q17)</f>
        <v/>
      </c>
      <c r="S17" s="761" t="n"/>
      <c r="T17" s="249">
        <f>$T$3*I17</f>
        <v/>
      </c>
      <c r="U17" s="754" t="n">
        <v>0</v>
      </c>
      <c r="V17" s="249">
        <f>N17</f>
        <v/>
      </c>
      <c r="W17" s="249">
        <f>I17*$W$3</f>
        <v/>
      </c>
      <c r="X17" s="249">
        <f>$X$3*I17</f>
        <v/>
      </c>
      <c r="Y17" s="249">
        <f>T17+W17+X17+V17+U17</f>
        <v/>
      </c>
      <c r="Z17" s="761" t="n"/>
      <c r="AA17" s="302">
        <f>T17/G17</f>
        <v/>
      </c>
      <c r="AB17" s="303">
        <f>V17/G17</f>
        <v/>
      </c>
      <c r="AC17" s="303">
        <f>W17/G17</f>
        <v/>
      </c>
      <c r="AD17" s="303">
        <f>X17/G17</f>
        <v/>
      </c>
      <c r="AE17" s="919">
        <f>AD17+AC17+AA17</f>
        <v/>
      </c>
      <c r="AF17" s="761" t="n"/>
      <c r="AG17" s="326" t="n"/>
      <c r="AH17" s="249">
        <f>-Y17+R17</f>
        <v/>
      </c>
      <c r="AI17" s="717">
        <f>_xlfn.XLOOKUP(A17,'2.10.26 Sub Close Old'!A:A,'2.10.26 Sub Close Old'!AK:AK)</f>
        <v/>
      </c>
      <c r="AJ17" s="717">
        <f>_xlfn.XLOOKUP(A17,'2.10.26 Sub Close New'!A:A,'2.10.26 Sub Close New'!AJ:AJ)</f>
        <v/>
      </c>
      <c r="AK17" s="717">
        <f>+AJ17-AI17</f>
        <v/>
      </c>
      <c r="AL17" s="717">
        <f>+AH17+AK17</f>
        <v/>
      </c>
      <c r="AM17" s="756" t="n"/>
      <c r="AN17" s="308">
        <f>+Y17</f>
        <v/>
      </c>
      <c r="AO17" s="758">
        <f>AN17/G17</f>
        <v/>
      </c>
      <c r="AP17" s="758">
        <f>AB17</f>
        <v/>
      </c>
      <c r="AQ17" s="310">
        <f>+AO17-AP17</f>
        <v/>
      </c>
      <c r="AR17" s="756" t="n"/>
      <c r="AS17" s="326" t="n"/>
      <c r="AT17" s="332">
        <f>-$AS$3*H17</f>
        <v/>
      </c>
      <c r="AU17" s="757">
        <f>AT17</f>
        <v/>
      </c>
      <c r="AV17" s="310">
        <f>AT17/R17</f>
        <v/>
      </c>
      <c r="AW17" s="756" t="n"/>
      <c r="AX17" s="326" t="n"/>
      <c r="AY17" s="332">
        <f>AT17+AH17</f>
        <v/>
      </c>
      <c r="AZ17" s="756" t="n"/>
      <c r="BA17" s="326" t="n"/>
      <c r="BB17" s="332" t="n"/>
      <c r="BC17" s="756" t="n"/>
    </row>
    <row r="18">
      <c r="A18" s="752" t="inlineStr">
        <is>
          <t>Bloomingdale Family Trust Share #3</t>
        </is>
      </c>
      <c r="B18" s="351">
        <f>_xlfn.XLOOKUP(A18,'CLIP_Schedule B'!A:A,'CLIP_Schedule B'!E:E,0,FALSE)</f>
        <v/>
      </c>
      <c r="C18" s="351">
        <f>_xlfn.XLOOKUP(A18,'Silsbee_Schedule B'!B:B,'Silsbee_Schedule B'!F:F,0,FALSE)</f>
        <v/>
      </c>
      <c r="D18" s="351">
        <f>_xlfn.XLOOKUP(A18,'Q2''26 Management Fee'!B:B,'Q2''26 Management Fee'!C:C)</f>
        <v/>
      </c>
      <c r="E18" s="761">
        <f>SUMIFS(Commitment!G:G,Commitment!A:A,'Subsequent Close - OLD B4 25k'!A18)</f>
        <v/>
      </c>
      <c r="F18" s="760">
        <f>E18/$E$90</f>
        <v/>
      </c>
      <c r="G18" s="761">
        <f>E18</f>
        <v/>
      </c>
      <c r="H18" s="760">
        <f>E18/$E$86</f>
        <v/>
      </c>
      <c r="I18" s="760">
        <f>G18/$G$86</f>
        <v/>
      </c>
      <c r="J18" s="761">
        <f>-G18</f>
        <v/>
      </c>
      <c r="K18" s="760">
        <f>J18/$J$86</f>
        <v/>
      </c>
      <c r="L18" s="762" t="n"/>
      <c r="M18" s="351">
        <f>$M$3*H18</f>
        <v/>
      </c>
      <c r="N18" s="351" t="n">
        <v>-2801.56</v>
      </c>
      <c r="O18" s="351" t="n"/>
      <c r="P18" s="351">
        <f>$P$3*H18</f>
        <v/>
      </c>
      <c r="Q18" s="351" t="n">
        <v>-17335.06125301615</v>
      </c>
      <c r="R18" s="351">
        <f>SUM(M18:Q18)</f>
        <v/>
      </c>
      <c r="S18" s="761" t="n"/>
      <c r="T18" s="249">
        <f>$T$3*I18</f>
        <v/>
      </c>
      <c r="U18" s="754" t="n">
        <v>0</v>
      </c>
      <c r="V18" s="249">
        <f>N18</f>
        <v/>
      </c>
      <c r="W18" s="249">
        <f>I18*$W$3</f>
        <v/>
      </c>
      <c r="X18" s="249">
        <f>$X$3*I18</f>
        <v/>
      </c>
      <c r="Y18" s="249">
        <f>T18+W18+X18+V18+U18</f>
        <v/>
      </c>
      <c r="Z18" s="761" t="n"/>
      <c r="AA18" s="302">
        <f>T18/G18</f>
        <v/>
      </c>
      <c r="AB18" s="303">
        <f>V18/G18</f>
        <v/>
      </c>
      <c r="AC18" s="303">
        <f>W18/G18</f>
        <v/>
      </c>
      <c r="AD18" s="303">
        <f>X18/G18</f>
        <v/>
      </c>
      <c r="AE18" s="919">
        <f>AD18+AC18+AA18</f>
        <v/>
      </c>
      <c r="AF18" s="761" t="n"/>
      <c r="AG18" s="326" t="n"/>
      <c r="AH18" s="249">
        <f>-Y18+R18</f>
        <v/>
      </c>
      <c r="AI18" s="717">
        <f>_xlfn.XLOOKUP(A18,'2.10.26 Sub Close Old'!A:A,'2.10.26 Sub Close Old'!AK:AK)</f>
        <v/>
      </c>
      <c r="AJ18" s="717">
        <f>_xlfn.XLOOKUP(A18,'2.10.26 Sub Close New'!A:A,'2.10.26 Sub Close New'!AJ:AJ)</f>
        <v/>
      </c>
      <c r="AK18" s="717">
        <f>+AJ18-AI18</f>
        <v/>
      </c>
      <c r="AL18" s="717">
        <f>+AH18+AK18</f>
        <v/>
      </c>
      <c r="AM18" s="756" t="n"/>
      <c r="AN18" s="308">
        <f>+Y18</f>
        <v/>
      </c>
      <c r="AO18" s="758">
        <f>AN18/G18</f>
        <v/>
      </c>
      <c r="AP18" s="758">
        <f>AB18</f>
        <v/>
      </c>
      <c r="AQ18" s="310">
        <f>+AO18-AP18</f>
        <v/>
      </c>
      <c r="AR18" s="756" t="n"/>
      <c r="AS18" s="326" t="n"/>
      <c r="AT18" s="332">
        <f>-$AS$3*H18</f>
        <v/>
      </c>
      <c r="AU18" s="757">
        <f>AT18</f>
        <v/>
      </c>
      <c r="AV18" s="310">
        <f>AT18/R18</f>
        <v/>
      </c>
      <c r="AW18" s="756" t="n"/>
      <c r="AX18" s="326" t="n"/>
      <c r="AY18" s="332">
        <f>AT18+AH18</f>
        <v/>
      </c>
      <c r="AZ18" s="756" t="n"/>
      <c r="BA18" s="326" t="n"/>
      <c r="BB18" s="332" t="n"/>
      <c r="BC18" s="756" t="n"/>
    </row>
    <row r="19">
      <c r="A19" s="752" t="inlineStr">
        <is>
          <t>Brian Carroll 2011 Long-Term Trust</t>
        </is>
      </c>
      <c r="B19" s="351">
        <f>_xlfn.XLOOKUP(A19,'CLIP_Schedule B'!A:A,'CLIP_Schedule B'!E:E,0,FALSE)</f>
        <v/>
      </c>
      <c r="C19" s="351">
        <f>_xlfn.XLOOKUP(A19,'Silsbee_Schedule B'!B:B,'Silsbee_Schedule B'!F:F,0,FALSE)</f>
        <v/>
      </c>
      <c r="D19" s="351">
        <f>_xlfn.XLOOKUP(A19,'Q2''26 Management Fee'!B:B,'Q2''26 Management Fee'!C:C)</f>
        <v/>
      </c>
      <c r="E19" s="761">
        <f>SUMIFS(Commitment!G:G,Commitment!A:A,'Subsequent Close - OLD B4 25k'!A19)</f>
        <v/>
      </c>
      <c r="F19" s="760">
        <f>E19/$E$90</f>
        <v/>
      </c>
      <c r="G19" s="761">
        <f>E19</f>
        <v/>
      </c>
      <c r="H19" s="760">
        <f>E19/$E$86</f>
        <v/>
      </c>
      <c r="I19" s="760">
        <f>G19/$G$86</f>
        <v/>
      </c>
      <c r="J19" s="761">
        <f>-G19</f>
        <v/>
      </c>
      <c r="K19" s="760">
        <f>J19/$J$86</f>
        <v/>
      </c>
      <c r="L19" s="762" t="n"/>
      <c r="M19" s="351">
        <f>$M$3*H19</f>
        <v/>
      </c>
      <c r="N19" s="351" t="n">
        <v>-7350.54</v>
      </c>
      <c r="O19" s="351" t="n"/>
      <c r="P19" s="351">
        <f>$P$3*H19</f>
        <v/>
      </c>
      <c r="Q19" s="351" t="n">
        <v>-36898.66144222948</v>
      </c>
      <c r="R19" s="351">
        <f>SUM(M19:Q19)</f>
        <v/>
      </c>
      <c r="S19" s="761" t="n"/>
      <c r="T19" s="249">
        <f>$T$3*I19</f>
        <v/>
      </c>
      <c r="U19" s="754" t="n">
        <v>0</v>
      </c>
      <c r="V19" s="249">
        <f>N19</f>
        <v/>
      </c>
      <c r="W19" s="249">
        <f>I19*$W$3</f>
        <v/>
      </c>
      <c r="X19" s="249">
        <f>$X$3*I19</f>
        <v/>
      </c>
      <c r="Y19" s="249">
        <f>T19+W19+X19+V19+U19</f>
        <v/>
      </c>
      <c r="Z19" s="761" t="n"/>
      <c r="AA19" s="302">
        <f>T19/G19</f>
        <v/>
      </c>
      <c r="AB19" s="303">
        <f>V19/G19</f>
        <v/>
      </c>
      <c r="AC19" s="303">
        <f>W19/G19</f>
        <v/>
      </c>
      <c r="AD19" s="303">
        <f>X19/G19</f>
        <v/>
      </c>
      <c r="AE19" s="919">
        <f>AD19+AC19+AA19</f>
        <v/>
      </c>
      <c r="AF19" s="761" t="n"/>
      <c r="AG19" s="326" t="n"/>
      <c r="AH19" s="249">
        <f>-Y19+R19</f>
        <v/>
      </c>
      <c r="AI19" s="717">
        <f>_xlfn.XLOOKUP(A19,'2.10.26 Sub Close Old'!A:A,'2.10.26 Sub Close Old'!AK:AK)</f>
        <v/>
      </c>
      <c r="AJ19" s="717">
        <f>_xlfn.XLOOKUP(A19,'2.10.26 Sub Close New'!A:A,'2.10.26 Sub Close New'!AJ:AJ)</f>
        <v/>
      </c>
      <c r="AK19" s="717">
        <f>+AJ19-AI19</f>
        <v/>
      </c>
      <c r="AL19" s="717">
        <f>+AH19+AK19</f>
        <v/>
      </c>
      <c r="AM19" s="756" t="n"/>
      <c r="AN19" s="308">
        <f>+Y19</f>
        <v/>
      </c>
      <c r="AO19" s="758">
        <f>AN19/G19</f>
        <v/>
      </c>
      <c r="AP19" s="758">
        <f>AB19</f>
        <v/>
      </c>
      <c r="AQ19" s="310">
        <f>+AO19-AP19</f>
        <v/>
      </c>
      <c r="AR19" s="756" t="n"/>
      <c r="AS19" s="326" t="n"/>
      <c r="AT19" s="332">
        <f>-$AS$3*H19</f>
        <v/>
      </c>
      <c r="AU19" s="757">
        <f>AT19</f>
        <v/>
      </c>
      <c r="AV19" s="310">
        <f>AT19/R19</f>
        <v/>
      </c>
      <c r="AW19" s="756" t="n"/>
      <c r="AX19" s="326" t="n"/>
      <c r="AY19" s="332">
        <f>AT19+AH19</f>
        <v/>
      </c>
      <c r="AZ19" s="756" t="n"/>
      <c r="BA19" s="326" t="n"/>
      <c r="BB19" s="332" t="n"/>
      <c r="BC19" s="756" t="n"/>
    </row>
    <row r="20">
      <c r="A20" s="752" t="inlineStr">
        <is>
          <t>Bryan C. White LLC</t>
        </is>
      </c>
      <c r="B20" s="351">
        <f>_xlfn.XLOOKUP(A20,'CLIP_Schedule B'!A:A,'CLIP_Schedule B'!E:E,0,FALSE)</f>
        <v/>
      </c>
      <c r="C20" s="351">
        <f>_xlfn.XLOOKUP(A20,'Silsbee_Schedule B'!B:B,'Silsbee_Schedule B'!F:F,0,FALSE)</f>
        <v/>
      </c>
      <c r="D20" s="351">
        <f>_xlfn.XLOOKUP(A20,'Q2''26 Management Fee'!B:B,'Q2''26 Management Fee'!C:C)</f>
        <v/>
      </c>
      <c r="E20" s="761">
        <f>SUMIFS(Commitment!G:G,Commitment!A:A,'Subsequent Close - OLD B4 25k'!A20)</f>
        <v/>
      </c>
      <c r="F20" s="760">
        <f>E20/$E$90</f>
        <v/>
      </c>
      <c r="G20" s="761">
        <f>E20</f>
        <v/>
      </c>
      <c r="H20" s="760">
        <f>E20/$E$86</f>
        <v/>
      </c>
      <c r="I20" s="760">
        <f>G20/$G$86</f>
        <v/>
      </c>
      <c r="J20" s="761">
        <f>-G20</f>
        <v/>
      </c>
      <c r="K20" s="760">
        <f>J20/$J$86</f>
        <v/>
      </c>
      <c r="L20" s="762" t="n"/>
      <c r="M20" s="351">
        <f>$M$3*H20</f>
        <v/>
      </c>
      <c r="N20" s="351" t="n">
        <v>-2334.64</v>
      </c>
      <c r="O20" s="351" t="n"/>
      <c r="P20" s="351">
        <f>$P$3*H20</f>
        <v/>
      </c>
      <c r="Q20" s="351" t="n">
        <v>-14445.88425451792</v>
      </c>
      <c r="R20" s="351">
        <f>SUM(M20:Q20)</f>
        <v/>
      </c>
      <c r="S20" s="761" t="n"/>
      <c r="T20" s="249">
        <f>$T$3*I20</f>
        <v/>
      </c>
      <c r="U20" s="754" t="n">
        <v>0</v>
      </c>
      <c r="V20" s="249">
        <f>N20</f>
        <v/>
      </c>
      <c r="W20" s="249">
        <f>I20*$W$3</f>
        <v/>
      </c>
      <c r="X20" s="249">
        <f>$X$3*I20</f>
        <v/>
      </c>
      <c r="Y20" s="249">
        <f>T20+W20+X20+V20+U20</f>
        <v/>
      </c>
      <c r="Z20" s="761" t="n"/>
      <c r="AA20" s="302">
        <f>T20/G20</f>
        <v/>
      </c>
      <c r="AB20" s="303">
        <f>V20/G20</f>
        <v/>
      </c>
      <c r="AC20" s="303">
        <f>W20/G20</f>
        <v/>
      </c>
      <c r="AD20" s="303">
        <f>X20/G20</f>
        <v/>
      </c>
      <c r="AE20" s="919">
        <f>AD20+AC20+AA20</f>
        <v/>
      </c>
      <c r="AF20" s="761" t="n"/>
      <c r="AG20" s="326" t="n"/>
      <c r="AH20" s="249">
        <f>-Y20+R20</f>
        <v/>
      </c>
      <c r="AI20" s="717">
        <f>_xlfn.XLOOKUP(A20,'2.10.26 Sub Close Old'!A:A,'2.10.26 Sub Close Old'!AK:AK)</f>
        <v/>
      </c>
      <c r="AJ20" s="717">
        <f>_xlfn.XLOOKUP(A20,'2.10.26 Sub Close New'!A:A,'2.10.26 Sub Close New'!AJ:AJ)</f>
        <v/>
      </c>
      <c r="AK20" s="717">
        <f>+AJ20-AI20</f>
        <v/>
      </c>
      <c r="AL20" s="717">
        <f>+AH20+AK20</f>
        <v/>
      </c>
      <c r="AM20" s="756" t="n"/>
      <c r="AN20" s="308">
        <f>+Y20</f>
        <v/>
      </c>
      <c r="AO20" s="758">
        <f>AN20/G20</f>
        <v/>
      </c>
      <c r="AP20" s="758">
        <f>AB20</f>
        <v/>
      </c>
      <c r="AQ20" s="310">
        <f>+AO20-AP20</f>
        <v/>
      </c>
      <c r="AR20" s="756" t="n"/>
      <c r="AS20" s="326" t="n"/>
      <c r="AT20" s="332">
        <f>-$AS$3*H20</f>
        <v/>
      </c>
      <c r="AU20" s="757">
        <f>AT20</f>
        <v/>
      </c>
      <c r="AV20" s="310">
        <f>AT20/R20</f>
        <v/>
      </c>
      <c r="AW20" s="756" t="n"/>
      <c r="AX20" s="326" t="n"/>
      <c r="AY20" s="332">
        <f>AT20+AH20</f>
        <v/>
      </c>
      <c r="AZ20" s="756" t="n"/>
      <c r="BA20" s="326" t="n"/>
      <c r="BB20" s="332" t="n"/>
      <c r="BC20" s="756" t="n"/>
    </row>
    <row r="21">
      <c r="A21" s="752" t="inlineStr">
        <is>
          <t>Cameron J. Tringale</t>
        </is>
      </c>
      <c r="B21" s="351">
        <f>_xlfn.XLOOKUP(A21,'CLIP_Schedule B'!A:A,'CLIP_Schedule B'!E:E,0,FALSE)</f>
        <v/>
      </c>
      <c r="C21" s="351">
        <f>_xlfn.XLOOKUP(A21,'Silsbee_Schedule B'!B:B,'Silsbee_Schedule B'!F:F,0,FALSE)</f>
        <v/>
      </c>
      <c r="D21" s="351">
        <f>_xlfn.XLOOKUP(A21,'Q2''26 Management Fee'!B:B,'Q2''26 Management Fee'!C:C)</f>
        <v/>
      </c>
      <c r="E21" s="761">
        <f>SUMIFS(Commitment!G:G,Commitment!A:A,'Subsequent Close - OLD B4 25k'!A21)</f>
        <v/>
      </c>
      <c r="F21" s="760">
        <f>E21/$E$90</f>
        <v/>
      </c>
      <c r="G21" s="761">
        <f>E21</f>
        <v/>
      </c>
      <c r="H21" s="760">
        <f>E21/$E$86</f>
        <v/>
      </c>
      <c r="I21" s="760">
        <f>G21/$G$86</f>
        <v/>
      </c>
      <c r="J21" s="761">
        <f>-G21</f>
        <v/>
      </c>
      <c r="K21" s="760">
        <f>J21/$J$86</f>
        <v/>
      </c>
      <c r="L21" s="762" t="n"/>
      <c r="M21" s="351">
        <f>$M$3*H21</f>
        <v/>
      </c>
      <c r="N21" s="351" t="n">
        <v>-11025.82</v>
      </c>
      <c r="O21" s="351" t="n"/>
      <c r="P21" s="351">
        <f>$P$3*H21</f>
        <v/>
      </c>
      <c r="Q21" s="351" t="n">
        <v>-36898.66144222948</v>
      </c>
      <c r="R21" s="351">
        <f>SUM(M21:Q21)</f>
        <v/>
      </c>
      <c r="S21" s="761" t="n"/>
      <c r="T21" s="249">
        <f>$T$3*I21</f>
        <v/>
      </c>
      <c r="U21" s="754" t="n">
        <v>0</v>
      </c>
      <c r="V21" s="249">
        <f>N21</f>
        <v/>
      </c>
      <c r="W21" s="249">
        <f>I21*$W$3</f>
        <v/>
      </c>
      <c r="X21" s="249">
        <f>$X$3*I21</f>
        <v/>
      </c>
      <c r="Y21" s="249">
        <f>T21+W21+X21+V21+U21</f>
        <v/>
      </c>
      <c r="Z21" s="761" t="n"/>
      <c r="AA21" s="302">
        <f>T21/G21</f>
        <v/>
      </c>
      <c r="AB21" s="303">
        <f>V21/G21</f>
        <v/>
      </c>
      <c r="AC21" s="303">
        <f>W21/G21</f>
        <v/>
      </c>
      <c r="AD21" s="303">
        <f>X21/G21</f>
        <v/>
      </c>
      <c r="AE21" s="919">
        <f>AD21+AC21+AA21</f>
        <v/>
      </c>
      <c r="AF21" s="761" t="n"/>
      <c r="AG21" s="326" t="n"/>
      <c r="AH21" s="249">
        <f>-Y21+R21</f>
        <v/>
      </c>
      <c r="AI21" s="717">
        <f>_xlfn.XLOOKUP(A21,'2.10.26 Sub Close Old'!A:A,'2.10.26 Sub Close Old'!AK:AK)</f>
        <v/>
      </c>
      <c r="AJ21" s="717">
        <f>_xlfn.XLOOKUP(A21,'2.10.26 Sub Close New'!A:A,'2.10.26 Sub Close New'!AJ:AJ)</f>
        <v/>
      </c>
      <c r="AK21" s="717">
        <f>+AJ21-AI21</f>
        <v/>
      </c>
      <c r="AL21" s="717">
        <f>+AH21+AK21</f>
        <v/>
      </c>
      <c r="AM21" s="756" t="n"/>
      <c r="AN21" s="308">
        <f>+Y21</f>
        <v/>
      </c>
      <c r="AO21" s="758">
        <f>AN21/G21</f>
        <v/>
      </c>
      <c r="AP21" s="758">
        <f>AB21</f>
        <v/>
      </c>
      <c r="AQ21" s="310">
        <f>+AO21-AP21</f>
        <v/>
      </c>
      <c r="AR21" s="756" t="n"/>
      <c r="AS21" s="326" t="n"/>
      <c r="AT21" s="332">
        <f>-$AS$3*H21</f>
        <v/>
      </c>
      <c r="AU21" s="757">
        <f>AT21</f>
        <v/>
      </c>
      <c r="AV21" s="310">
        <f>AT21/R21</f>
        <v/>
      </c>
      <c r="AW21" s="756" t="n"/>
      <c r="AX21" s="326" t="n"/>
      <c r="AY21" s="332">
        <f>AT21+AH21</f>
        <v/>
      </c>
      <c r="AZ21" s="756" t="n"/>
      <c r="BA21" s="326" t="n"/>
      <c r="BB21" s="332" t="n"/>
      <c r="BC21" s="756" t="n"/>
    </row>
    <row r="22">
      <c r="A22" s="752" t="inlineStr">
        <is>
          <t>Charing Hatcherville LLC</t>
        </is>
      </c>
      <c r="B22" s="351">
        <f>_xlfn.XLOOKUP(A22,'CLIP_Schedule B'!A:A,'CLIP_Schedule B'!E:E,0,FALSE)</f>
        <v/>
      </c>
      <c r="C22" s="351">
        <f>_xlfn.XLOOKUP(A22,'Silsbee_Schedule B'!B:B,'Silsbee_Schedule B'!F:F,0,FALSE)</f>
        <v/>
      </c>
      <c r="D22" s="351">
        <f>_xlfn.XLOOKUP(A22,'Q2''26 Management Fee'!B:B,'Q2''26 Management Fee'!C:C)</f>
        <v/>
      </c>
      <c r="E22" s="761">
        <f>SUMIFS(Commitment!G:G,Commitment!A:A,'Subsequent Close - OLD B4 25k'!A22)</f>
        <v/>
      </c>
      <c r="F22" s="760">
        <f>E22/$E$90</f>
        <v/>
      </c>
      <c r="G22" s="761">
        <f>E22</f>
        <v/>
      </c>
      <c r="H22" s="760">
        <f>E22/$E$86</f>
        <v/>
      </c>
      <c r="I22" s="760">
        <f>G22/$G$86</f>
        <v/>
      </c>
      <c r="J22" s="761">
        <f>-G22</f>
        <v/>
      </c>
      <c r="K22" s="760">
        <f>J22/$J$86</f>
        <v/>
      </c>
      <c r="L22" s="762" t="n"/>
      <c r="M22" s="351">
        <f>$M$3*H22</f>
        <v/>
      </c>
      <c r="N22" s="351" t="n">
        <v>-607825.1799999999</v>
      </c>
      <c r="O22" s="351" t="n"/>
      <c r="P22" s="351">
        <f>$P$3*H22</f>
        <v/>
      </c>
      <c r="Q22" s="351" t="n">
        <v>-3761017.494352286</v>
      </c>
      <c r="R22" s="351">
        <f>SUM(M22:Q22)</f>
        <v/>
      </c>
      <c r="S22" s="761" t="n"/>
      <c r="T22" s="249">
        <f>$T$3*I22</f>
        <v/>
      </c>
      <c r="U22" s="754" t="n">
        <v>0</v>
      </c>
      <c r="V22" s="249">
        <f>N22</f>
        <v/>
      </c>
      <c r="W22" s="249">
        <f>I22*$W$3</f>
        <v/>
      </c>
      <c r="X22" s="249">
        <f>$X$3*I22</f>
        <v/>
      </c>
      <c r="Y22" s="249">
        <f>T22+W22+X22+V22+U22</f>
        <v/>
      </c>
      <c r="Z22" s="761" t="n"/>
      <c r="AA22" s="302">
        <f>T22/G22</f>
        <v/>
      </c>
      <c r="AB22" s="303">
        <f>V22/G22</f>
        <v/>
      </c>
      <c r="AC22" s="303">
        <f>W22/G22</f>
        <v/>
      </c>
      <c r="AD22" s="303">
        <f>X22/G22</f>
        <v/>
      </c>
      <c r="AE22" s="919">
        <f>AD22+AC22+AA22</f>
        <v/>
      </c>
      <c r="AF22" s="761" t="n"/>
      <c r="AG22" s="326" t="n"/>
      <c r="AH22" s="249">
        <f>-Y22+R22</f>
        <v/>
      </c>
      <c r="AI22" s="717">
        <f>_xlfn.XLOOKUP(A22,'2.10.26 Sub Close Old'!A:A,'2.10.26 Sub Close Old'!AK:AK)</f>
        <v/>
      </c>
      <c r="AJ22" s="717">
        <f>_xlfn.XLOOKUP(A22,'2.10.26 Sub Close New'!A:A,'2.10.26 Sub Close New'!AJ:AJ)</f>
        <v/>
      </c>
      <c r="AK22" s="717">
        <f>+AJ22-AI22</f>
        <v/>
      </c>
      <c r="AL22" s="717">
        <f>+AH22+AK22</f>
        <v/>
      </c>
      <c r="AM22" s="756" t="n"/>
      <c r="AN22" s="308">
        <f>+Y22</f>
        <v/>
      </c>
      <c r="AO22" s="758">
        <f>AN22/G22</f>
        <v/>
      </c>
      <c r="AP22" s="758">
        <f>AB22</f>
        <v/>
      </c>
      <c r="AQ22" s="310">
        <f>+AO22-AP22</f>
        <v/>
      </c>
      <c r="AR22" s="756" t="n"/>
      <c r="AS22" s="326" t="n"/>
      <c r="AT22" s="332">
        <f>-$AS$3*H22</f>
        <v/>
      </c>
      <c r="AU22" s="757">
        <f>AT22</f>
        <v/>
      </c>
      <c r="AV22" s="310">
        <f>AT22/R22</f>
        <v/>
      </c>
      <c r="AW22" s="756" t="n"/>
      <c r="AX22" s="326" t="n"/>
      <c r="AY22" s="332">
        <f>AT22+AH22</f>
        <v/>
      </c>
      <c r="AZ22" s="756" t="n"/>
      <c r="BA22" s="326" t="n"/>
      <c r="BB22" s="332" t="n"/>
      <c r="BC22" s="756" t="n"/>
    </row>
    <row r="23">
      <c r="A23" s="752" t="inlineStr">
        <is>
          <t>Charing Silsbee, LLC</t>
        </is>
      </c>
      <c r="B23" s="351">
        <f>_xlfn.XLOOKUP(A23,'CLIP_Schedule B'!A:A,'CLIP_Schedule B'!E:E,0,FALSE)</f>
        <v/>
      </c>
      <c r="C23" s="351">
        <f>_xlfn.XLOOKUP(A23,'Silsbee_Schedule B'!B:B,'Silsbee_Schedule B'!F:F,0,FALSE)</f>
        <v/>
      </c>
      <c r="D23" s="351">
        <f>_xlfn.XLOOKUP(A23,'Q2''26 Management Fee'!B:B,'Q2''26 Management Fee'!C:C)</f>
        <v/>
      </c>
      <c r="E23" s="761">
        <f>SUMIFS(Commitment!G:G,Commitment!A:A,'Subsequent Close - OLD B4 25k'!A23)</f>
        <v/>
      </c>
      <c r="F23" s="760">
        <f>E23/$E$90</f>
        <v/>
      </c>
      <c r="G23" s="761">
        <f>E23</f>
        <v/>
      </c>
      <c r="H23" s="760">
        <f>E23/$E$86</f>
        <v/>
      </c>
      <c r="I23" s="760">
        <f>G23/$G$86</f>
        <v/>
      </c>
      <c r="J23" s="761">
        <f>-G23</f>
        <v/>
      </c>
      <c r="K23" s="760">
        <f>J23/$J$86</f>
        <v/>
      </c>
      <c r="L23" s="762" t="n"/>
      <c r="M23" s="351">
        <f>$M$3*H23</f>
        <v/>
      </c>
      <c r="N23" s="351" t="n">
        <v>-63393.74100516304</v>
      </c>
      <c r="O23" s="351" t="n"/>
      <c r="P23" s="351">
        <f>$P$3*H23</f>
        <v/>
      </c>
      <c r="Q23" s="351" t="n">
        <v>-466854.6595469291</v>
      </c>
      <c r="R23" s="351">
        <f>SUM(M23:Q23)</f>
        <v/>
      </c>
      <c r="S23" s="761" t="n"/>
      <c r="T23" s="249">
        <f>$T$3*I23</f>
        <v/>
      </c>
      <c r="U23" s="754" t="n">
        <v>0</v>
      </c>
      <c r="V23" s="249">
        <f>N23</f>
        <v/>
      </c>
      <c r="W23" s="249">
        <f>I23*$W$3</f>
        <v/>
      </c>
      <c r="X23" s="249">
        <f>$X$3*I23</f>
        <v/>
      </c>
      <c r="Y23" s="249">
        <f>T23+W23+X23+V23+U23</f>
        <v/>
      </c>
      <c r="Z23" s="761" t="n"/>
      <c r="AA23" s="302">
        <f>T23/G23</f>
        <v/>
      </c>
      <c r="AB23" s="303">
        <f>V23/G23</f>
        <v/>
      </c>
      <c r="AC23" s="303">
        <f>W23/G23</f>
        <v/>
      </c>
      <c r="AD23" s="303">
        <f>X23/G23</f>
        <v/>
      </c>
      <c r="AE23" s="919">
        <f>AD23+AC23+AA23</f>
        <v/>
      </c>
      <c r="AF23" s="761" t="n"/>
      <c r="AG23" s="326" t="n"/>
      <c r="AH23" s="249">
        <f>-Y23+R23</f>
        <v/>
      </c>
      <c r="AI23" s="717">
        <f>_xlfn.XLOOKUP(A23,'2.10.26 Sub Close Old'!A:A,'2.10.26 Sub Close Old'!AK:AK)</f>
        <v/>
      </c>
      <c r="AJ23" s="717">
        <f>_xlfn.XLOOKUP(A23,'2.10.26 Sub Close New'!A:A,'2.10.26 Sub Close New'!AJ:AJ)</f>
        <v/>
      </c>
      <c r="AK23" s="717">
        <f>+AJ23-AI23</f>
        <v/>
      </c>
      <c r="AL23" s="717">
        <f>+AH23+AK23</f>
        <v/>
      </c>
      <c r="AM23" s="756" t="n"/>
      <c r="AN23" s="308">
        <f>+Y23</f>
        <v/>
      </c>
      <c r="AO23" s="758">
        <f>AN23/G23</f>
        <v/>
      </c>
      <c r="AP23" s="758">
        <f>AB23</f>
        <v/>
      </c>
      <c r="AQ23" s="310">
        <f>+AO23-AP23</f>
        <v/>
      </c>
      <c r="AR23" s="756" t="n"/>
      <c r="AS23" s="326" t="n"/>
      <c r="AT23" s="332">
        <f>-$AS$3*H23</f>
        <v/>
      </c>
      <c r="AU23" s="757">
        <f>AT23</f>
        <v/>
      </c>
      <c r="AV23" s="310">
        <f>AT23/R23</f>
        <v/>
      </c>
      <c r="AW23" s="756" t="n"/>
      <c r="AX23" s="326" t="n"/>
      <c r="AY23" s="332">
        <f>AT23+AH23</f>
        <v/>
      </c>
      <c r="AZ23" s="756" t="n"/>
      <c r="BA23" s="326" t="n"/>
      <c r="BB23" s="332" t="n"/>
      <c r="BC23" s="756" t="n"/>
    </row>
    <row r="24">
      <c r="A24" s="752" t="inlineStr">
        <is>
          <t>Chase F. Monroe</t>
        </is>
      </c>
      <c r="B24" s="351">
        <f>_xlfn.XLOOKUP(A24,'CLIP_Schedule B'!A:A,'CLIP_Schedule B'!E:E,0,FALSE)</f>
        <v/>
      </c>
      <c r="C24" s="351">
        <f>_xlfn.XLOOKUP(A24,'Silsbee_Schedule B'!B:B,'Silsbee_Schedule B'!F:F,0,FALSE)</f>
        <v/>
      </c>
      <c r="D24" s="351">
        <f>_xlfn.XLOOKUP(A24,'Q2''26 Management Fee'!B:B,'Q2''26 Management Fee'!C:C)</f>
        <v/>
      </c>
      <c r="E24" s="761">
        <f>SUMIFS(Commitment!G:G,Commitment!A:A,'Subsequent Close - OLD B4 25k'!A24)</f>
        <v/>
      </c>
      <c r="F24" s="760">
        <f>E24/$E$90</f>
        <v/>
      </c>
      <c r="G24" s="761">
        <f>E24</f>
        <v/>
      </c>
      <c r="H24" s="760">
        <f>E24/$E$86</f>
        <v/>
      </c>
      <c r="I24" s="760">
        <f>G24/$G$86</f>
        <v/>
      </c>
      <c r="J24" s="761">
        <f>-G24</f>
        <v/>
      </c>
      <c r="K24" s="760">
        <f>J24/$J$86</f>
        <v/>
      </c>
      <c r="L24" s="762" t="n"/>
      <c r="M24" s="351">
        <f>$M$3*H24</f>
        <v/>
      </c>
      <c r="N24" s="351" t="n">
        <v>-2334.64</v>
      </c>
      <c r="O24" s="351" t="n"/>
      <c r="P24" s="351">
        <f>$P$3*H24</f>
        <v/>
      </c>
      <c r="Q24" s="351" t="n">
        <v>-14445.88425451792</v>
      </c>
      <c r="R24" s="351">
        <f>SUM(M24:Q24)</f>
        <v/>
      </c>
      <c r="S24" s="761" t="n"/>
      <c r="T24" s="249">
        <f>$T$3*I24</f>
        <v/>
      </c>
      <c r="U24" s="754" t="n">
        <v>0</v>
      </c>
      <c r="V24" s="249">
        <f>N24</f>
        <v/>
      </c>
      <c r="W24" s="249">
        <f>I24*$W$3</f>
        <v/>
      </c>
      <c r="X24" s="249">
        <f>$X$3*I24</f>
        <v/>
      </c>
      <c r="Y24" s="249">
        <f>T24+W24+X24+V24+U24</f>
        <v/>
      </c>
      <c r="Z24" s="761" t="n"/>
      <c r="AA24" s="302">
        <f>T24/G24</f>
        <v/>
      </c>
      <c r="AB24" s="303">
        <f>V24/G24</f>
        <v/>
      </c>
      <c r="AC24" s="303">
        <f>W24/G24</f>
        <v/>
      </c>
      <c r="AD24" s="303">
        <f>X24/G24</f>
        <v/>
      </c>
      <c r="AE24" s="919">
        <f>AD24+AC24+AA24</f>
        <v/>
      </c>
      <c r="AF24" s="761" t="n"/>
      <c r="AG24" s="326" t="n"/>
      <c r="AH24" s="249">
        <f>-Y24+R24</f>
        <v/>
      </c>
      <c r="AI24" s="717">
        <f>_xlfn.XLOOKUP(A24,'2.10.26 Sub Close Old'!A:A,'2.10.26 Sub Close Old'!AK:AK)</f>
        <v/>
      </c>
      <c r="AJ24" s="717">
        <f>_xlfn.XLOOKUP(A24,'2.10.26 Sub Close New'!A:A,'2.10.26 Sub Close New'!AJ:AJ)</f>
        <v/>
      </c>
      <c r="AK24" s="717">
        <f>+AJ24-AI24</f>
        <v/>
      </c>
      <c r="AL24" s="717">
        <f>+AH24+AK24</f>
        <v/>
      </c>
      <c r="AM24" s="756" t="n"/>
      <c r="AN24" s="308">
        <f>+Y24</f>
        <v/>
      </c>
      <c r="AO24" s="758">
        <f>AN24/G24</f>
        <v/>
      </c>
      <c r="AP24" s="758">
        <f>AB24</f>
        <v/>
      </c>
      <c r="AQ24" s="310">
        <f>+AO24-AP24</f>
        <v/>
      </c>
      <c r="AR24" s="756" t="n"/>
      <c r="AS24" s="326" t="n"/>
      <c r="AT24" s="332">
        <f>-$AS$3*H24</f>
        <v/>
      </c>
      <c r="AU24" s="757">
        <f>AT24</f>
        <v/>
      </c>
      <c r="AV24" s="310">
        <f>AT24/R24</f>
        <v/>
      </c>
      <c r="AW24" s="756" t="n"/>
      <c r="AX24" s="326" t="n"/>
      <c r="AY24" s="332">
        <f>AT24+AH24</f>
        <v/>
      </c>
      <c r="AZ24" s="756" t="n"/>
      <c r="BA24" s="326" t="n"/>
      <c r="BB24" s="332" t="n"/>
      <c r="BC24" s="756" t="n"/>
    </row>
    <row r="25">
      <c r="A25" s="752" t="inlineStr">
        <is>
          <t>Chase The Lion, Inc.</t>
        </is>
      </c>
      <c r="B25" s="351">
        <f>_xlfn.XLOOKUP(A25,'CLIP_Schedule B'!A:A,'CLIP_Schedule B'!E:E,0,FALSE)</f>
        <v/>
      </c>
      <c r="C25" s="351">
        <f>_xlfn.XLOOKUP(A25,'Silsbee_Schedule B'!B:B,'Silsbee_Schedule B'!F:F,0,FALSE)</f>
        <v/>
      </c>
      <c r="D25" s="351">
        <f>_xlfn.XLOOKUP(A25,'Q2''26 Management Fee'!B:B,'Q2''26 Management Fee'!C:C)</f>
        <v/>
      </c>
      <c r="E25" s="761">
        <f>SUMIFS(Commitment!G:G,Commitment!A:A,'Subsequent Close - OLD B4 25k'!A25)</f>
        <v/>
      </c>
      <c r="F25" s="760">
        <f>E25/$E$90</f>
        <v/>
      </c>
      <c r="G25" s="761">
        <f>E25</f>
        <v/>
      </c>
      <c r="H25" s="760">
        <f>E25/$E$86</f>
        <v/>
      </c>
      <c r="I25" s="760">
        <f>G25/$G$86</f>
        <v/>
      </c>
      <c r="J25" s="761">
        <f>-G25</f>
        <v/>
      </c>
      <c r="K25" s="760">
        <f>J25/$J$86</f>
        <v/>
      </c>
      <c r="L25" s="762" t="n"/>
      <c r="M25" s="351">
        <f>$M$3*H25</f>
        <v/>
      </c>
      <c r="N25" s="351" t="n">
        <v>-14845.42291032609</v>
      </c>
      <c r="O25" s="351" t="n"/>
      <c r="P25" s="351">
        <f>$P$3*H25</f>
        <v/>
      </c>
      <c r="Q25" s="351" t="n">
        <v>-89478.61638853677</v>
      </c>
      <c r="R25" s="351">
        <f>SUM(M25:Q25)</f>
        <v/>
      </c>
      <c r="S25" s="761" t="n"/>
      <c r="T25" s="249">
        <f>$T$3*I25</f>
        <v/>
      </c>
      <c r="U25" s="754" t="n">
        <v>0</v>
      </c>
      <c r="V25" s="249">
        <f>N25</f>
        <v/>
      </c>
      <c r="W25" s="249">
        <f>I25*$W$3</f>
        <v/>
      </c>
      <c r="X25" s="249">
        <f>$X$3*I25</f>
        <v/>
      </c>
      <c r="Y25" s="249">
        <f>T25+W25+X25+V25+U25</f>
        <v/>
      </c>
      <c r="Z25" s="761" t="n"/>
      <c r="AA25" s="302">
        <f>T25/G25</f>
        <v/>
      </c>
      <c r="AB25" s="303">
        <f>V25/G25</f>
        <v/>
      </c>
      <c r="AC25" s="303">
        <f>W25/G25</f>
        <v/>
      </c>
      <c r="AD25" s="303">
        <f>X25/G25</f>
        <v/>
      </c>
      <c r="AE25" s="919">
        <f>AD25+AC25+AA25</f>
        <v/>
      </c>
      <c r="AF25" s="761" t="n"/>
      <c r="AG25" s="326" t="n"/>
      <c r="AH25" s="249">
        <f>-Y25+R25</f>
        <v/>
      </c>
      <c r="AI25" s="717">
        <f>_xlfn.XLOOKUP(A25,'2.10.26 Sub Close Old'!A:A,'2.10.26 Sub Close Old'!AK:AK)</f>
        <v/>
      </c>
      <c r="AJ25" s="717">
        <f>_xlfn.XLOOKUP(A25,'2.10.26 Sub Close New'!A:A,'2.10.26 Sub Close New'!AJ:AJ)</f>
        <v/>
      </c>
      <c r="AK25" s="717">
        <f>+AJ25-AI25</f>
        <v/>
      </c>
      <c r="AL25" s="717">
        <f>+AH25+AK25</f>
        <v/>
      </c>
      <c r="AM25" s="756" t="n"/>
      <c r="AN25" s="308">
        <f>+Y25</f>
        <v/>
      </c>
      <c r="AO25" s="758">
        <f>AN25/G25</f>
        <v/>
      </c>
      <c r="AP25" s="758">
        <f>AB25</f>
        <v/>
      </c>
      <c r="AQ25" s="310">
        <f>+AO25-AP25</f>
        <v/>
      </c>
      <c r="AR25" s="756" t="n"/>
      <c r="AS25" s="326" t="n"/>
      <c r="AT25" s="332">
        <f>-$AS$3*H25</f>
        <v/>
      </c>
      <c r="AU25" s="757">
        <f>AT25</f>
        <v/>
      </c>
      <c r="AV25" s="310">
        <f>AT25/R25</f>
        <v/>
      </c>
      <c r="AW25" s="756" t="n"/>
      <c r="AX25" s="326" t="n"/>
      <c r="AY25" s="332">
        <f>AT25+AH25</f>
        <v/>
      </c>
      <c r="AZ25" s="756" t="n"/>
      <c r="BA25" s="326" t="n"/>
      <c r="BB25" s="332" t="n"/>
      <c r="BC25" s="756" t="n"/>
    </row>
    <row r="26">
      <c r="A26" s="752" t="inlineStr">
        <is>
          <t>Chris Schaaf</t>
        </is>
      </c>
      <c r="B26" s="351">
        <f>_xlfn.XLOOKUP(A26,'CLIP_Schedule B'!A:A,'CLIP_Schedule B'!E:E,0,FALSE)</f>
        <v/>
      </c>
      <c r="C26" s="351">
        <f>_xlfn.XLOOKUP(A26,'Silsbee_Schedule B'!B:B,'Silsbee_Schedule B'!F:F,0,FALSE)</f>
        <v/>
      </c>
      <c r="D26" s="351">
        <f>_xlfn.XLOOKUP(A26,'Q2''26 Management Fee'!B:B,'Q2''26 Management Fee'!C:C)</f>
        <v/>
      </c>
      <c r="E26" s="761">
        <f>SUMIFS(Commitment!G:G,Commitment!A:A,'Subsequent Close - OLD B4 25k'!A26)</f>
        <v/>
      </c>
      <c r="F26" s="760">
        <f>E26/$E$90</f>
        <v/>
      </c>
      <c r="G26" s="761">
        <f>E26</f>
        <v/>
      </c>
      <c r="H26" s="760">
        <f>E26/$E$86</f>
        <v/>
      </c>
      <c r="I26" s="760">
        <f>G26/$G$86</f>
        <v/>
      </c>
      <c r="J26" s="761">
        <f>-G26</f>
        <v/>
      </c>
      <c r="K26" s="760">
        <f>J26/$J$86</f>
        <v/>
      </c>
      <c r="L26" s="762" t="n"/>
      <c r="M26" s="351">
        <f>$M$3*H26</f>
        <v/>
      </c>
      <c r="N26" s="351" t="n">
        <v>-2334.64</v>
      </c>
      <c r="O26" s="351" t="n"/>
      <c r="P26" s="351">
        <f>$P$3*H26</f>
        <v/>
      </c>
      <c r="Q26" s="351" t="n">
        <v>-14445.88425451792</v>
      </c>
      <c r="R26" s="351">
        <f>SUM(M26:Q26)</f>
        <v/>
      </c>
      <c r="S26" s="761" t="n"/>
      <c r="T26" s="249">
        <f>$T$3*I26</f>
        <v/>
      </c>
      <c r="U26" s="754" t="n">
        <v>0</v>
      </c>
      <c r="V26" s="249">
        <f>N26</f>
        <v/>
      </c>
      <c r="W26" s="249">
        <f>I26*$W$3</f>
        <v/>
      </c>
      <c r="X26" s="249">
        <f>$X$3*I26</f>
        <v/>
      </c>
      <c r="Y26" s="249">
        <f>T26+W26+X26+V26+U26</f>
        <v/>
      </c>
      <c r="Z26" s="761" t="n"/>
      <c r="AA26" s="302">
        <f>T26/G26</f>
        <v/>
      </c>
      <c r="AB26" s="303">
        <f>V26/G26</f>
        <v/>
      </c>
      <c r="AC26" s="303">
        <f>W26/G26</f>
        <v/>
      </c>
      <c r="AD26" s="303">
        <f>X26/G26</f>
        <v/>
      </c>
      <c r="AE26" s="919">
        <f>AD26+AC26+AA26</f>
        <v/>
      </c>
      <c r="AF26" s="761" t="n"/>
      <c r="AG26" s="326" t="n"/>
      <c r="AH26" s="249">
        <f>-Y26+R26</f>
        <v/>
      </c>
      <c r="AI26" s="717">
        <f>_xlfn.XLOOKUP(A26,'2.10.26 Sub Close Old'!A:A,'2.10.26 Sub Close Old'!AK:AK)</f>
        <v/>
      </c>
      <c r="AJ26" s="717">
        <f>_xlfn.XLOOKUP(A26,'2.10.26 Sub Close New'!A:A,'2.10.26 Sub Close New'!AJ:AJ)</f>
        <v/>
      </c>
      <c r="AK26" s="717">
        <f>+AJ26-AI26</f>
        <v/>
      </c>
      <c r="AL26" s="717">
        <f>+AH26+AK26</f>
        <v/>
      </c>
      <c r="AM26" s="756" t="n"/>
      <c r="AN26" s="308">
        <f>+Y26</f>
        <v/>
      </c>
      <c r="AO26" s="758">
        <f>AN26/G26</f>
        <v/>
      </c>
      <c r="AP26" s="758">
        <f>AB26</f>
        <v/>
      </c>
      <c r="AQ26" s="310">
        <f>+AO26-AP26</f>
        <v/>
      </c>
      <c r="AR26" s="756" t="n"/>
      <c r="AS26" s="326" t="n"/>
      <c r="AT26" s="332">
        <f>-$AS$3*H26</f>
        <v/>
      </c>
      <c r="AU26" s="757">
        <f>AT26</f>
        <v/>
      </c>
      <c r="AV26" s="310">
        <f>AT26/R26</f>
        <v/>
      </c>
      <c r="AW26" s="756" t="n"/>
      <c r="AX26" s="326" t="n"/>
      <c r="AY26" s="332">
        <f>AT26+AH26</f>
        <v/>
      </c>
      <c r="AZ26" s="756" t="n"/>
      <c r="BA26" s="326" t="n"/>
      <c r="BB26" s="332" t="n"/>
      <c r="BC26" s="756" t="n"/>
    </row>
    <row r="27">
      <c r="A27" s="752" t="inlineStr">
        <is>
          <t>Christopher J. Campbell</t>
        </is>
      </c>
      <c r="B27" s="351">
        <f>_xlfn.XLOOKUP(A27,'CLIP_Schedule B'!A:A,'CLIP_Schedule B'!E:E,0,FALSE)</f>
        <v/>
      </c>
      <c r="C27" s="351">
        <f>_xlfn.XLOOKUP(A27,'Silsbee_Schedule B'!B:B,'Silsbee_Schedule B'!F:F,0,FALSE)</f>
        <v/>
      </c>
      <c r="D27" s="351">
        <f>_xlfn.XLOOKUP(A27,'Q2''26 Management Fee'!B:B,'Q2''26 Management Fee'!C:C)</f>
        <v/>
      </c>
      <c r="E27" s="761">
        <f>SUMIFS(Commitment!G:G,Commitment!A:A,'Subsequent Close - OLD B4 25k'!A27)</f>
        <v/>
      </c>
      <c r="F27" s="760">
        <f>E27/$E$90</f>
        <v/>
      </c>
      <c r="G27" s="761">
        <f>E27</f>
        <v/>
      </c>
      <c r="H27" s="760">
        <f>E27/$E$86</f>
        <v/>
      </c>
      <c r="I27" s="760">
        <f>G27/$G$86</f>
        <v/>
      </c>
      <c r="J27" s="761">
        <f>-G27</f>
        <v/>
      </c>
      <c r="K27" s="760">
        <f>J27/$J$86</f>
        <v/>
      </c>
      <c r="L27" s="762" t="n"/>
      <c r="M27" s="351">
        <f>$M$3*H27</f>
        <v/>
      </c>
      <c r="N27" s="351" t="n">
        <v>-7350.54</v>
      </c>
      <c r="O27" s="351" t="n"/>
      <c r="P27" s="351">
        <f>$P$3*H27</f>
        <v/>
      </c>
      <c r="Q27" s="351" t="n">
        <v>-36898.66144222948</v>
      </c>
      <c r="R27" s="351">
        <f>SUM(M27:Q27)</f>
        <v/>
      </c>
      <c r="S27" s="761" t="n"/>
      <c r="T27" s="249">
        <f>$T$3*I27</f>
        <v/>
      </c>
      <c r="U27" s="754" t="n">
        <v>0</v>
      </c>
      <c r="V27" s="249">
        <f>N27</f>
        <v/>
      </c>
      <c r="W27" s="249">
        <f>I27*$W$3</f>
        <v/>
      </c>
      <c r="X27" s="249">
        <f>$X$3*I27</f>
        <v/>
      </c>
      <c r="Y27" s="249">
        <f>T27+W27+X27+V27+U27</f>
        <v/>
      </c>
      <c r="Z27" s="761" t="n"/>
      <c r="AA27" s="302">
        <f>T27/G27</f>
        <v/>
      </c>
      <c r="AB27" s="303">
        <f>V27/G27</f>
        <v/>
      </c>
      <c r="AC27" s="303">
        <f>W27/G27</f>
        <v/>
      </c>
      <c r="AD27" s="303">
        <f>X27/G27</f>
        <v/>
      </c>
      <c r="AE27" s="919">
        <f>AD27+AC27+AA27</f>
        <v/>
      </c>
      <c r="AF27" s="761" t="n"/>
      <c r="AG27" s="326" t="n"/>
      <c r="AH27" s="249">
        <f>-Y27+R27</f>
        <v/>
      </c>
      <c r="AI27" s="717">
        <f>_xlfn.XLOOKUP(A27,'2.10.26 Sub Close Old'!A:A,'2.10.26 Sub Close Old'!AK:AK)</f>
        <v/>
      </c>
      <c r="AJ27" s="717">
        <f>_xlfn.XLOOKUP(A27,'2.10.26 Sub Close New'!A:A,'2.10.26 Sub Close New'!AJ:AJ)</f>
        <v/>
      </c>
      <c r="AK27" s="717">
        <f>+AJ27-AI27</f>
        <v/>
      </c>
      <c r="AL27" s="717">
        <f>+AH27+AK27</f>
        <v/>
      </c>
      <c r="AM27" s="756" t="n"/>
      <c r="AN27" s="308">
        <f>+Y27</f>
        <v/>
      </c>
      <c r="AO27" s="758">
        <f>AN27/G27</f>
        <v/>
      </c>
      <c r="AP27" s="758">
        <f>AB27</f>
        <v/>
      </c>
      <c r="AQ27" s="310">
        <f>+AO27-AP27</f>
        <v/>
      </c>
      <c r="AR27" s="756" t="n"/>
      <c r="AS27" s="326" t="n"/>
      <c r="AT27" s="332">
        <f>-$AS$3*H27</f>
        <v/>
      </c>
      <c r="AU27" s="757">
        <f>AT27</f>
        <v/>
      </c>
      <c r="AV27" s="310">
        <f>AT27/R27</f>
        <v/>
      </c>
      <c r="AW27" s="756" t="n"/>
      <c r="AX27" s="326" t="n"/>
      <c r="AY27" s="332">
        <f>AT27+AH27</f>
        <v/>
      </c>
      <c r="AZ27" s="756" t="n"/>
      <c r="BA27" s="326" t="n"/>
      <c r="BB27" s="332" t="n"/>
      <c r="BC27" s="756" t="n"/>
    </row>
    <row r="28">
      <c r="A28" s="752" t="inlineStr">
        <is>
          <t>Christopher Johnson</t>
        </is>
      </c>
      <c r="B28" s="351">
        <f>_xlfn.XLOOKUP(A28,'CLIP_Schedule B'!A:A,'CLIP_Schedule B'!E:E,0,FALSE)</f>
        <v/>
      </c>
      <c r="C28" s="351">
        <f>_xlfn.XLOOKUP(A28,'Silsbee_Schedule B'!B:B,'Silsbee_Schedule B'!F:F,0,FALSE)</f>
        <v/>
      </c>
      <c r="D28" s="351">
        <f>_xlfn.XLOOKUP(A28,'Q2''26 Management Fee'!B:B,'Q2''26 Management Fee'!C:C)</f>
        <v/>
      </c>
      <c r="E28" s="761">
        <f>SUMIFS(Commitment!G:G,Commitment!A:A,'Subsequent Close - OLD B4 25k'!A28)</f>
        <v/>
      </c>
      <c r="F28" s="760">
        <f>E28/$E$90</f>
        <v/>
      </c>
      <c r="G28" s="761">
        <f>E28</f>
        <v/>
      </c>
      <c r="H28" s="760">
        <f>E28/$E$86</f>
        <v/>
      </c>
      <c r="I28" s="760">
        <f>G28/$G$86</f>
        <v/>
      </c>
      <c r="J28" s="761">
        <f>-G28</f>
        <v/>
      </c>
      <c r="K28" s="760">
        <f>J28/$J$86</f>
        <v/>
      </c>
      <c r="L28" s="762" t="n"/>
      <c r="M28" s="351">
        <f>$M$3*H28</f>
        <v/>
      </c>
      <c r="N28" s="351" t="n">
        <v>-2865.516582065217</v>
      </c>
      <c r="O28" s="351" t="n"/>
      <c r="P28" s="351">
        <f>$P$3*H28</f>
        <v/>
      </c>
      <c r="Q28" s="351" t="n">
        <v>-12242.80170484973</v>
      </c>
      <c r="R28" s="351">
        <f>SUM(M28:Q28)</f>
        <v/>
      </c>
      <c r="S28" s="761" t="n"/>
      <c r="T28" s="249">
        <f>$T$3*I28</f>
        <v/>
      </c>
      <c r="U28" s="754" t="n">
        <v>0</v>
      </c>
      <c r="V28" s="249">
        <f>N28</f>
        <v/>
      </c>
      <c r="W28" s="249">
        <f>I28*$W$3</f>
        <v/>
      </c>
      <c r="X28" s="249">
        <f>$X$3*I28</f>
        <v/>
      </c>
      <c r="Y28" s="249">
        <f>T28+W28+X28+V28+U28</f>
        <v/>
      </c>
      <c r="Z28" s="761" t="n"/>
      <c r="AA28" s="302">
        <f>T28/G28</f>
        <v/>
      </c>
      <c r="AB28" s="303">
        <f>V28/G28</f>
        <v/>
      </c>
      <c r="AC28" s="303">
        <f>W28/G28</f>
        <v/>
      </c>
      <c r="AD28" s="303">
        <f>X28/G28</f>
        <v/>
      </c>
      <c r="AE28" s="919">
        <f>AD28+AC28+AA28</f>
        <v/>
      </c>
      <c r="AF28" s="761" t="n"/>
      <c r="AG28" s="326" t="n"/>
      <c r="AH28" s="249">
        <f>-Y28+R28</f>
        <v/>
      </c>
      <c r="AI28" s="717">
        <f>_xlfn.XLOOKUP(A28,'2.10.26 Sub Close Old'!A:A,'2.10.26 Sub Close Old'!AK:AK)</f>
        <v/>
      </c>
      <c r="AJ28" s="717">
        <f>_xlfn.XLOOKUP(A28,'2.10.26 Sub Close New'!A:A,'2.10.26 Sub Close New'!AJ:AJ)</f>
        <v/>
      </c>
      <c r="AK28" s="717">
        <f>+AJ28-AI28</f>
        <v/>
      </c>
      <c r="AL28" s="717">
        <f>+AH28+AK28</f>
        <v/>
      </c>
      <c r="AM28" s="756" t="n"/>
      <c r="AN28" s="308">
        <f>+Y28</f>
        <v/>
      </c>
      <c r="AO28" s="758">
        <f>AN28/G28</f>
        <v/>
      </c>
      <c r="AP28" s="758">
        <f>AB28</f>
        <v/>
      </c>
      <c r="AQ28" s="310">
        <f>+AO28-AP28</f>
        <v/>
      </c>
      <c r="AR28" s="756" t="n"/>
      <c r="AS28" s="326" t="n"/>
      <c r="AT28" s="332">
        <f>-$AS$3*H28</f>
        <v/>
      </c>
      <c r="AU28" s="757">
        <f>AT28</f>
        <v/>
      </c>
      <c r="AV28" s="310">
        <f>AT28/R28</f>
        <v/>
      </c>
      <c r="AW28" s="756" t="n"/>
      <c r="AX28" s="326" t="n"/>
      <c r="AY28" s="332">
        <f>AT28+AH28</f>
        <v/>
      </c>
      <c r="AZ28" s="756" t="n"/>
      <c r="BA28" s="326" t="n"/>
      <c r="BB28" s="332" t="n"/>
      <c r="BC28" s="756" t="n"/>
    </row>
    <row r="29">
      <c r="A29" s="517" t="inlineStr">
        <is>
          <t>CLIP Sponsor LLC</t>
        </is>
      </c>
      <c r="B29" s="351">
        <f>_xlfn.XLOOKUP(A29,'CLIP_Schedule B'!A:A,'CLIP_Schedule B'!E:E,0,FALSE)+'CLIP_Schedule B'!B49</f>
        <v/>
      </c>
      <c r="C29" s="351">
        <f>_xlfn.XLOOKUP(A29,'Silsbee_Schedule B'!B:B,'Silsbee_Schedule B'!F:F,0,FALSE)</f>
        <v/>
      </c>
      <c r="D29" s="351">
        <f>_xlfn.XLOOKUP(A29,'Q2''26 Management Fee'!B:B,'Q2''26 Management Fee'!C:C)</f>
        <v/>
      </c>
      <c r="E29" s="761">
        <f>SUMIFS(Commitment!G:G,Commitment!A:A,'Subsequent Close - OLD B4 25k'!A29)</f>
        <v/>
      </c>
      <c r="F29" s="532" t="n">
        <v>0</v>
      </c>
      <c r="G29" s="761">
        <f>E29</f>
        <v/>
      </c>
      <c r="H29" s="760">
        <f>E29/$E$86</f>
        <v/>
      </c>
      <c r="I29" s="760">
        <f>G29/$G$86</f>
        <v/>
      </c>
      <c r="J29" s="761" t="n"/>
      <c r="K29" s="760">
        <f>J29/$J$86</f>
        <v/>
      </c>
      <c r="L29" s="762" t="n"/>
      <c r="M29" s="351">
        <f>$M$3*H29</f>
        <v/>
      </c>
      <c r="N29" s="351" t="n">
        <v>0</v>
      </c>
      <c r="O29" s="351" t="n"/>
      <c r="P29" s="351">
        <f>$P$3*H29</f>
        <v/>
      </c>
      <c r="Q29" s="351" t="n">
        <v>-354415.6651067114</v>
      </c>
      <c r="R29" s="351">
        <f>SUM(M29:Q29)</f>
        <v/>
      </c>
      <c r="S29" s="761" t="n"/>
      <c r="T29" s="249">
        <f>$T$3*I29</f>
        <v/>
      </c>
      <c r="U29" s="754" t="n">
        <v>0</v>
      </c>
      <c r="V29" s="249">
        <f>N29</f>
        <v/>
      </c>
      <c r="W29" s="249">
        <f>I29*$W$3</f>
        <v/>
      </c>
      <c r="X29" s="249">
        <f>$X$3*I29</f>
        <v/>
      </c>
      <c r="Y29" s="249">
        <f>T29+W29+X29+V29+U29</f>
        <v/>
      </c>
      <c r="Z29" s="761" t="n"/>
      <c r="AA29" s="302">
        <f>T29/G29</f>
        <v/>
      </c>
      <c r="AB29" s="303">
        <f>V29/G29</f>
        <v/>
      </c>
      <c r="AC29" s="303">
        <f>W29/G29</f>
        <v/>
      </c>
      <c r="AD29" s="303">
        <f>X29/G29</f>
        <v/>
      </c>
      <c r="AE29" s="919">
        <f>AD29+AC29+AA29</f>
        <v/>
      </c>
      <c r="AF29" s="761" t="n"/>
      <c r="AG29" s="326" t="n"/>
      <c r="AH29" s="249">
        <f>-Y29+R29</f>
        <v/>
      </c>
      <c r="AI29" s="717">
        <f>_xlfn.XLOOKUP(A29,'2.10.26 Sub Close Old'!A:A,'2.10.26 Sub Close Old'!AK:AK)</f>
        <v/>
      </c>
      <c r="AJ29" s="717">
        <f>_xlfn.XLOOKUP(A29,'2.10.26 Sub Close New'!A:A,'2.10.26 Sub Close New'!AJ:AJ)</f>
        <v/>
      </c>
      <c r="AK29" s="717">
        <f>+AJ29-AI29</f>
        <v/>
      </c>
      <c r="AL29" s="717">
        <f>+AH29+AK29</f>
        <v/>
      </c>
      <c r="AM29" s="756" t="n"/>
      <c r="AN29" s="308">
        <f>+Y29</f>
        <v/>
      </c>
      <c r="AO29" s="758">
        <f>AN29/G29</f>
        <v/>
      </c>
      <c r="AP29" s="758">
        <f>AB29</f>
        <v/>
      </c>
      <c r="AQ29" s="310">
        <f>+AO29-AP29</f>
        <v/>
      </c>
      <c r="AR29" s="756" t="n"/>
      <c r="AS29" s="326" t="n"/>
      <c r="AT29" s="332">
        <f>-$AS$3*H29</f>
        <v/>
      </c>
      <c r="AU29" s="757">
        <f>AT29</f>
        <v/>
      </c>
      <c r="AV29" s="310">
        <f>AT29/R29</f>
        <v/>
      </c>
      <c r="AW29" s="756" t="n"/>
      <c r="AX29" s="326" t="n"/>
      <c r="AY29" s="332">
        <f>AT29+AH29</f>
        <v/>
      </c>
      <c r="AZ29" s="756" t="n"/>
      <c r="BA29" s="326" t="n"/>
      <c r="BB29" s="332" t="n"/>
      <c r="BC29" s="756" t="n"/>
    </row>
    <row r="30">
      <c r="A30" s="517" t="inlineStr">
        <is>
          <t>CLR Silsbee Sponsor LLC</t>
        </is>
      </c>
      <c r="B30" s="351" t="n">
        <v>0</v>
      </c>
      <c r="C30" s="351">
        <f>'Silsbee_Schedule B'!C26</f>
        <v/>
      </c>
      <c r="D30" s="351">
        <f>_xlfn.XLOOKUP(A30,'Q2''26 Management Fee'!B:B,'Q2''26 Management Fee'!C:C)</f>
        <v/>
      </c>
      <c r="E30" s="761">
        <f>SUMIFS(Commitment!G:G,Commitment!A:A,'Subsequent Close - OLD B4 25k'!A30)</f>
        <v/>
      </c>
      <c r="F30" s="532" t="n">
        <v>0</v>
      </c>
      <c r="G30" s="761">
        <f>E30</f>
        <v/>
      </c>
      <c r="H30" s="760">
        <f>E30/$E$86</f>
        <v/>
      </c>
      <c r="I30" s="760">
        <f>G30/$G$86</f>
        <v/>
      </c>
      <c r="J30" s="761" t="n"/>
      <c r="K30" s="760">
        <f>J30/$J$86</f>
        <v/>
      </c>
      <c r="L30" s="762" t="n"/>
      <c r="M30" s="351">
        <f>$M$3*H30</f>
        <v/>
      </c>
      <c r="N30" s="351" t="n">
        <v>0</v>
      </c>
      <c r="O30" s="351" t="n"/>
      <c r="P30" s="351">
        <f>$P$3*H30</f>
        <v/>
      </c>
      <c r="Q30" s="351" t="n">
        <v>-27273.76737060668</v>
      </c>
      <c r="R30" s="351">
        <f>SUM(M30:Q30)</f>
        <v/>
      </c>
      <c r="S30" s="761" t="n"/>
      <c r="T30" s="249">
        <f>$T$3*I30</f>
        <v/>
      </c>
      <c r="U30" s="754" t="n">
        <v>0</v>
      </c>
      <c r="V30" s="249">
        <f>N30</f>
        <v/>
      </c>
      <c r="W30" s="249">
        <f>I30*$W$3</f>
        <v/>
      </c>
      <c r="X30" s="249">
        <f>$X$3*I30</f>
        <v/>
      </c>
      <c r="Y30" s="249">
        <f>T30+W30+X30+V30+U30</f>
        <v/>
      </c>
      <c r="Z30" s="761" t="n"/>
      <c r="AA30" s="302">
        <f>T30/G30</f>
        <v/>
      </c>
      <c r="AB30" s="303">
        <f>V30/G30</f>
        <v/>
      </c>
      <c r="AC30" s="303">
        <f>W30/G30</f>
        <v/>
      </c>
      <c r="AD30" s="303">
        <f>X30/G30</f>
        <v/>
      </c>
      <c r="AE30" s="919">
        <f>AD30+AC30+AA30</f>
        <v/>
      </c>
      <c r="AF30" s="761" t="n"/>
      <c r="AG30" s="326" t="n"/>
      <c r="AH30" s="249">
        <f>-Y30+R30</f>
        <v/>
      </c>
      <c r="AI30" s="717">
        <f>_xlfn.XLOOKUP(A30,'2.10.26 Sub Close Old'!A:A,'2.10.26 Sub Close Old'!AK:AK)</f>
        <v/>
      </c>
      <c r="AJ30" s="717">
        <f>_xlfn.XLOOKUP(A30,'2.10.26 Sub Close New'!A:A,'2.10.26 Sub Close New'!AJ:AJ)</f>
        <v/>
      </c>
      <c r="AK30" s="717">
        <f>+AJ30-AI30</f>
        <v/>
      </c>
      <c r="AL30" s="717">
        <f>+AH30+AK30</f>
        <v/>
      </c>
      <c r="AM30" s="756" t="n"/>
      <c r="AN30" s="308">
        <f>+Y30</f>
        <v/>
      </c>
      <c r="AO30" s="758">
        <f>AN30/G30</f>
        <v/>
      </c>
      <c r="AP30" s="758">
        <f>AB30</f>
        <v/>
      </c>
      <c r="AQ30" s="310">
        <f>+AO30-AP30</f>
        <v/>
      </c>
      <c r="AR30" s="756" t="n"/>
      <c r="AS30" s="326" t="n"/>
      <c r="AT30" s="332">
        <f>-$AS$3*H30</f>
        <v/>
      </c>
      <c r="AU30" s="757">
        <f>AT30</f>
        <v/>
      </c>
      <c r="AV30" s="310">
        <f>AT30/R30</f>
        <v/>
      </c>
      <c r="AW30" s="756" t="n"/>
      <c r="AX30" s="326" t="n"/>
      <c r="AY30" s="332">
        <f>AT30+AH30</f>
        <v/>
      </c>
      <c r="AZ30" s="756" t="n"/>
      <c r="BA30" s="326" t="n"/>
      <c r="BB30" s="332" t="n"/>
      <c r="BC30" s="756" t="n"/>
    </row>
    <row r="31">
      <c r="A31" s="752" t="inlineStr">
        <is>
          <t>Daniel Ross</t>
        </is>
      </c>
      <c r="B31" s="351">
        <f>_xlfn.XLOOKUP(A31,'CLIP_Schedule B'!A:A,'CLIP_Schedule B'!E:E,0,FALSE)</f>
        <v/>
      </c>
      <c r="C31" s="351">
        <f>_xlfn.XLOOKUP(A31,'Silsbee_Schedule B'!B:B,'Silsbee_Schedule B'!F:F,0,FALSE)</f>
        <v/>
      </c>
      <c r="D31" s="351">
        <f>_xlfn.XLOOKUP(A31,'Q2''26 Management Fee'!B:B,'Q2''26 Management Fee'!C:C)</f>
        <v/>
      </c>
      <c r="E31" s="761">
        <f>SUMIFS(Commitment!G:G,Commitment!A:A,'Subsequent Close - OLD B4 25k'!A31)</f>
        <v/>
      </c>
      <c r="F31" s="760">
        <f>E31/$E$90</f>
        <v/>
      </c>
      <c r="G31" s="761">
        <f>E31</f>
        <v/>
      </c>
      <c r="H31" s="760">
        <f>E31/$E$86</f>
        <v/>
      </c>
      <c r="I31" s="760">
        <f>G31/$G$86</f>
        <v/>
      </c>
      <c r="J31" s="761">
        <f>-G31</f>
        <v/>
      </c>
      <c r="K31" s="760">
        <f>J31/$J$86</f>
        <v/>
      </c>
      <c r="L31" s="762" t="n"/>
      <c r="M31" s="351">
        <f>$M$3*H31</f>
        <v/>
      </c>
      <c r="N31" s="351" t="n">
        <v>-1867.7</v>
      </c>
      <c r="O31" s="351" t="n"/>
      <c r="P31" s="351">
        <f>$P$3*H31</f>
        <v/>
      </c>
      <c r="Q31" s="351" t="n">
        <v>-11556.70725601969</v>
      </c>
      <c r="R31" s="351">
        <f>SUM(M31:Q31)</f>
        <v/>
      </c>
      <c r="S31" s="761" t="n"/>
      <c r="T31" s="249">
        <f>$T$3*I31</f>
        <v/>
      </c>
      <c r="U31" s="754" t="n">
        <v>0</v>
      </c>
      <c r="V31" s="249">
        <f>N31</f>
        <v/>
      </c>
      <c r="W31" s="249">
        <f>I31*$W$3</f>
        <v/>
      </c>
      <c r="X31" s="249">
        <f>$X$3*I31</f>
        <v/>
      </c>
      <c r="Y31" s="249">
        <f>T31+W31+X31+V31+U31</f>
        <v/>
      </c>
      <c r="Z31" s="761" t="n"/>
      <c r="AA31" s="302">
        <f>T31/G31</f>
        <v/>
      </c>
      <c r="AB31" s="303">
        <f>V31/G31</f>
        <v/>
      </c>
      <c r="AC31" s="303">
        <f>W31/G31</f>
        <v/>
      </c>
      <c r="AD31" s="303">
        <f>X31/G31</f>
        <v/>
      </c>
      <c r="AE31" s="919">
        <f>AD31+AC31+AA31</f>
        <v/>
      </c>
      <c r="AF31" s="761" t="n"/>
      <c r="AG31" s="326" t="n"/>
      <c r="AH31" s="249">
        <f>-Y31+R31</f>
        <v/>
      </c>
      <c r="AI31" s="717">
        <f>_xlfn.XLOOKUP(A31,'2.10.26 Sub Close Old'!A:A,'2.10.26 Sub Close Old'!AK:AK)</f>
        <v/>
      </c>
      <c r="AJ31" s="717">
        <f>_xlfn.XLOOKUP(A31,'2.10.26 Sub Close New'!A:A,'2.10.26 Sub Close New'!AJ:AJ)</f>
        <v/>
      </c>
      <c r="AK31" s="717">
        <f>+AJ31-AI31</f>
        <v/>
      </c>
      <c r="AL31" s="717">
        <f>+AH31+AK31</f>
        <v/>
      </c>
      <c r="AM31" s="756" t="n"/>
      <c r="AN31" s="308">
        <f>+Y31</f>
        <v/>
      </c>
      <c r="AO31" s="758">
        <f>AN31/G31</f>
        <v/>
      </c>
      <c r="AP31" s="758">
        <f>AB31</f>
        <v/>
      </c>
      <c r="AQ31" s="310">
        <f>+AO31-AP31</f>
        <v/>
      </c>
      <c r="AR31" s="756" t="n"/>
      <c r="AS31" s="326" t="n"/>
      <c r="AT31" s="332">
        <f>-$AS$3*H31</f>
        <v/>
      </c>
      <c r="AU31" s="757">
        <f>AT31</f>
        <v/>
      </c>
      <c r="AV31" s="310">
        <f>AT31/R31</f>
        <v/>
      </c>
      <c r="AW31" s="756" t="n"/>
      <c r="AX31" s="326" t="n"/>
      <c r="AY31" s="332">
        <f>AT31+AH31</f>
        <v/>
      </c>
      <c r="AZ31" s="756" t="n"/>
      <c r="BA31" s="326" t="n"/>
      <c r="BB31" s="332" t="n"/>
      <c r="BC31" s="756" t="n"/>
    </row>
    <row r="32">
      <c r="A32" s="752" t="inlineStr">
        <is>
          <t>Endurance Companies LLC</t>
        </is>
      </c>
      <c r="B32" s="351">
        <f>_xlfn.XLOOKUP(A32,'CLIP_Schedule B'!A:A,'CLIP_Schedule B'!E:E,0,FALSE)</f>
        <v/>
      </c>
      <c r="C32" s="351">
        <f>_xlfn.XLOOKUP(A32,'Silsbee_Schedule B'!B:B,'Silsbee_Schedule B'!F:F,0,FALSE)</f>
        <v/>
      </c>
      <c r="D32" s="351">
        <f>_xlfn.XLOOKUP(A32,'Q2''26 Management Fee'!B:B,'Q2''26 Management Fee'!C:C)</f>
        <v/>
      </c>
      <c r="E32" s="761">
        <f>SUMIFS(Commitment!G:G,Commitment!A:A,'Subsequent Close - OLD B4 25k'!A32)</f>
        <v/>
      </c>
      <c r="F32" s="760">
        <f>E32/$E$90</f>
        <v/>
      </c>
      <c r="G32" s="761">
        <f>E32</f>
        <v/>
      </c>
      <c r="H32" s="760">
        <f>E32/$E$86</f>
        <v/>
      </c>
      <c r="I32" s="760">
        <f>G32/$G$86</f>
        <v/>
      </c>
      <c r="J32" s="761">
        <f>-G32</f>
        <v/>
      </c>
      <c r="K32" s="760">
        <f>J32/$J$86</f>
        <v/>
      </c>
      <c r="L32" s="762" t="n"/>
      <c r="M32" s="351">
        <f>$M$3*H32</f>
        <v/>
      </c>
      <c r="N32" s="351" t="n">
        <v>-18743.89</v>
      </c>
      <c r="O32" s="351" t="n"/>
      <c r="P32" s="351">
        <f>$P$3*H32</f>
        <v/>
      </c>
      <c r="Q32" s="351" t="n">
        <v>-62727.72445179011</v>
      </c>
      <c r="R32" s="351">
        <f>SUM(M32:Q32)</f>
        <v/>
      </c>
      <c r="S32" s="761" t="n"/>
      <c r="T32" s="249">
        <f>$T$3*I32</f>
        <v/>
      </c>
      <c r="U32" s="754" t="n">
        <v>0</v>
      </c>
      <c r="V32" s="249">
        <f>N32</f>
        <v/>
      </c>
      <c r="W32" s="249">
        <f>I32*$W$3</f>
        <v/>
      </c>
      <c r="X32" s="249">
        <f>$X$3*I32</f>
        <v/>
      </c>
      <c r="Y32" s="249">
        <f>T32+W32+X32+V32+U32</f>
        <v/>
      </c>
      <c r="Z32" s="761" t="n"/>
      <c r="AA32" s="302">
        <f>T32/G32</f>
        <v/>
      </c>
      <c r="AB32" s="303">
        <f>V32/G32</f>
        <v/>
      </c>
      <c r="AC32" s="303">
        <f>W32/G32</f>
        <v/>
      </c>
      <c r="AD32" s="303">
        <f>X32/G32</f>
        <v/>
      </c>
      <c r="AE32" s="919">
        <f>AD32+AC32+AA32</f>
        <v/>
      </c>
      <c r="AF32" s="761" t="n"/>
      <c r="AG32" s="326" t="n"/>
      <c r="AH32" s="249">
        <f>-Y32+R32</f>
        <v/>
      </c>
      <c r="AI32" s="717">
        <f>_xlfn.XLOOKUP(A32,'2.10.26 Sub Close Old'!A:A,'2.10.26 Sub Close Old'!AK:AK)</f>
        <v/>
      </c>
      <c r="AJ32" s="717">
        <f>_xlfn.XLOOKUP(A32,'2.10.26 Sub Close New'!A:A,'2.10.26 Sub Close New'!AJ:AJ)</f>
        <v/>
      </c>
      <c r="AK32" s="717">
        <f>+AJ32-AI32</f>
        <v/>
      </c>
      <c r="AL32" s="717">
        <f>+AH32+AK32</f>
        <v/>
      </c>
      <c r="AM32" s="756" t="n"/>
      <c r="AN32" s="308">
        <f>+Y32</f>
        <v/>
      </c>
      <c r="AO32" s="758">
        <f>AN32/G32</f>
        <v/>
      </c>
      <c r="AP32" s="758">
        <f>AB32</f>
        <v/>
      </c>
      <c r="AQ32" s="310">
        <f>+AO32-AP32</f>
        <v/>
      </c>
      <c r="AR32" s="756" t="n"/>
      <c r="AS32" s="326" t="n"/>
      <c r="AT32" s="332">
        <f>-$AS$3*H32</f>
        <v/>
      </c>
      <c r="AU32" s="757">
        <f>AT32</f>
        <v/>
      </c>
      <c r="AV32" s="310">
        <f>AT32/R32</f>
        <v/>
      </c>
      <c r="AW32" s="756" t="n"/>
      <c r="AX32" s="326" t="n"/>
      <c r="AY32" s="332">
        <f>AT32+AH32</f>
        <v/>
      </c>
      <c r="AZ32" s="756" t="n"/>
      <c r="BA32" s="326" t="n"/>
      <c r="BB32" s="332" t="n"/>
      <c r="BC32" s="756" t="n"/>
    </row>
    <row r="33">
      <c r="A33" s="752" t="inlineStr">
        <is>
          <t>Forem Capital, LLC</t>
        </is>
      </c>
      <c r="B33" s="351">
        <f>_xlfn.XLOOKUP(A33,'CLIP_Schedule B'!A:A,'CLIP_Schedule B'!E:E,0,FALSE)</f>
        <v/>
      </c>
      <c r="C33" s="351">
        <f>_xlfn.XLOOKUP(A33,'Silsbee_Schedule B'!B:B,'Silsbee_Schedule B'!F:F,0,FALSE)</f>
        <v/>
      </c>
      <c r="D33" s="351">
        <f>_xlfn.XLOOKUP(A33,'Q2''26 Management Fee'!B:B,'Q2''26 Management Fee'!C:C)</f>
        <v/>
      </c>
      <c r="E33" s="761">
        <f>SUMIFS(Commitment!G:G,Commitment!A:A,'Subsequent Close - OLD B4 25k'!A33)</f>
        <v/>
      </c>
      <c r="F33" s="760">
        <f>E33/$E$90</f>
        <v/>
      </c>
      <c r="G33" s="761">
        <f>E33</f>
        <v/>
      </c>
      <c r="H33" s="760">
        <f>E33/$E$86</f>
        <v/>
      </c>
      <c r="I33" s="760">
        <f>G33/$G$86</f>
        <v/>
      </c>
      <c r="J33" s="761">
        <f>-G33</f>
        <v/>
      </c>
      <c r="K33" s="760">
        <f>J33/$J$86</f>
        <v/>
      </c>
      <c r="L33" s="762" t="n"/>
      <c r="M33" s="351">
        <f>$M$3*H33</f>
        <v/>
      </c>
      <c r="N33" s="351" t="n">
        <v>-22051.63</v>
      </c>
      <c r="O33" s="351" t="n"/>
      <c r="P33" s="351">
        <f>$P$3*H33</f>
        <v/>
      </c>
      <c r="Q33" s="351" t="n">
        <v>-110695.9843266884</v>
      </c>
      <c r="R33" s="351">
        <f>SUM(M33:Q33)</f>
        <v/>
      </c>
      <c r="S33" s="761" t="n"/>
      <c r="T33" s="249">
        <f>$T$3*I33</f>
        <v/>
      </c>
      <c r="U33" s="754" t="n">
        <v>0</v>
      </c>
      <c r="V33" s="249">
        <f>N33</f>
        <v/>
      </c>
      <c r="W33" s="249">
        <f>I33*$W$3</f>
        <v/>
      </c>
      <c r="X33" s="249">
        <f>$X$3*I33</f>
        <v/>
      </c>
      <c r="Y33" s="249">
        <f>T33+W33+X33+V33+U33</f>
        <v/>
      </c>
      <c r="Z33" s="761" t="n"/>
      <c r="AA33" s="302">
        <f>T33/G33</f>
        <v/>
      </c>
      <c r="AB33" s="303">
        <f>V33/G33</f>
        <v/>
      </c>
      <c r="AC33" s="303">
        <f>W33/G33</f>
        <v/>
      </c>
      <c r="AD33" s="303">
        <f>X33/G33</f>
        <v/>
      </c>
      <c r="AE33" s="919">
        <f>AD33+AC33+AA33</f>
        <v/>
      </c>
      <c r="AF33" s="761" t="n"/>
      <c r="AG33" s="326" t="n"/>
      <c r="AH33" s="249">
        <f>-Y33+R33</f>
        <v/>
      </c>
      <c r="AI33" s="717">
        <f>_xlfn.XLOOKUP(A33,'2.10.26 Sub Close Old'!A:A,'2.10.26 Sub Close Old'!AK:AK)</f>
        <v/>
      </c>
      <c r="AJ33" s="717">
        <f>_xlfn.XLOOKUP(A33,'2.10.26 Sub Close New'!A:A,'2.10.26 Sub Close New'!AJ:AJ)</f>
        <v/>
      </c>
      <c r="AK33" s="717">
        <f>+AJ33-AI33</f>
        <v/>
      </c>
      <c r="AL33" s="717">
        <f>+AH33+AK33</f>
        <v/>
      </c>
      <c r="AM33" s="756" t="n"/>
      <c r="AN33" s="308">
        <f>+Y33</f>
        <v/>
      </c>
      <c r="AO33" s="758">
        <f>AN33/G33</f>
        <v/>
      </c>
      <c r="AP33" s="758">
        <f>AB33</f>
        <v/>
      </c>
      <c r="AQ33" s="310">
        <f>+AO33-AP33</f>
        <v/>
      </c>
      <c r="AR33" s="756" t="n"/>
      <c r="AS33" s="326" t="n"/>
      <c r="AT33" s="332">
        <f>-$AS$3*H33</f>
        <v/>
      </c>
      <c r="AU33" s="757">
        <f>AT33</f>
        <v/>
      </c>
      <c r="AV33" s="310">
        <f>AT33/R33</f>
        <v/>
      </c>
      <c r="AW33" s="756" t="n"/>
      <c r="AX33" s="326" t="n"/>
      <c r="AY33" s="332">
        <f>AT33+AH33</f>
        <v/>
      </c>
      <c r="AZ33" s="756" t="n"/>
      <c r="BA33" s="326" t="n"/>
      <c r="BB33" s="332" t="n"/>
      <c r="BC33" s="756" t="n"/>
    </row>
    <row r="34">
      <c r="A34" s="752" t="inlineStr">
        <is>
          <t>Francis Brawley</t>
        </is>
      </c>
      <c r="B34" s="351">
        <f>_xlfn.XLOOKUP(A34,'CLIP_Schedule B'!A:A,'CLIP_Schedule B'!E:E,0,FALSE)</f>
        <v/>
      </c>
      <c r="C34" s="351">
        <f>_xlfn.XLOOKUP(A34,'Silsbee_Schedule B'!B:B,'Silsbee_Schedule B'!F:F,0,FALSE)</f>
        <v/>
      </c>
      <c r="D34" s="351">
        <f>_xlfn.XLOOKUP(A34,'Q2''26 Management Fee'!B:B,'Q2''26 Management Fee'!C:C)</f>
        <v/>
      </c>
      <c r="E34" s="761">
        <f>SUMIFS(Commitment!G:G,Commitment!A:A,'Subsequent Close - OLD B4 25k'!A34)</f>
        <v/>
      </c>
      <c r="F34" s="760">
        <f>E34/$E$90</f>
        <v/>
      </c>
      <c r="G34" s="761">
        <f>E34</f>
        <v/>
      </c>
      <c r="H34" s="760">
        <f>E34/$E$86</f>
        <v/>
      </c>
      <c r="I34" s="760">
        <f>G34/$G$86</f>
        <v/>
      </c>
      <c r="J34" s="761">
        <f>-G34</f>
        <v/>
      </c>
      <c r="K34" s="760">
        <f>J34/$J$86</f>
        <v/>
      </c>
      <c r="L34" s="762" t="n"/>
      <c r="M34" s="351">
        <f>$M$3*H34</f>
        <v/>
      </c>
      <c r="N34" s="351" t="n">
        <v>-3735.39</v>
      </c>
      <c r="O34" s="351" t="n"/>
      <c r="P34" s="351">
        <f>$P$3*H34</f>
        <v/>
      </c>
      <c r="Q34" s="351" t="n">
        <v>-23113.41451203938</v>
      </c>
      <c r="R34" s="351">
        <f>SUM(M34:Q34)</f>
        <v/>
      </c>
      <c r="S34" s="761" t="n"/>
      <c r="T34" s="249">
        <f>$T$3*I34</f>
        <v/>
      </c>
      <c r="U34" s="754" t="n">
        <v>0</v>
      </c>
      <c r="V34" s="249">
        <f>N34</f>
        <v/>
      </c>
      <c r="W34" s="249">
        <f>I34*$W$3</f>
        <v/>
      </c>
      <c r="X34" s="249">
        <f>$X$3*I34</f>
        <v/>
      </c>
      <c r="Y34" s="249">
        <f>T34+W34+X34+V34+U34</f>
        <v/>
      </c>
      <c r="Z34" s="761" t="n"/>
      <c r="AA34" s="302">
        <f>T34/G34</f>
        <v/>
      </c>
      <c r="AB34" s="303">
        <f>V34/G34</f>
        <v/>
      </c>
      <c r="AC34" s="303">
        <f>W34/G34</f>
        <v/>
      </c>
      <c r="AD34" s="303">
        <f>X34/G34</f>
        <v/>
      </c>
      <c r="AE34" s="919">
        <f>AD34+AC34+AA34</f>
        <v/>
      </c>
      <c r="AF34" s="761" t="n"/>
      <c r="AG34" s="326" t="n"/>
      <c r="AH34" s="249">
        <f>-Y34+R34</f>
        <v/>
      </c>
      <c r="AI34" s="717">
        <f>_xlfn.XLOOKUP(A34,'2.10.26 Sub Close Old'!A:A,'2.10.26 Sub Close Old'!AK:AK)</f>
        <v/>
      </c>
      <c r="AJ34" s="717">
        <f>_xlfn.XLOOKUP(A34,'2.10.26 Sub Close New'!A:A,'2.10.26 Sub Close New'!AJ:AJ)</f>
        <v/>
      </c>
      <c r="AK34" s="717">
        <f>+AJ34-AI34</f>
        <v/>
      </c>
      <c r="AL34" s="717">
        <f>+AH34+AK34</f>
        <v/>
      </c>
      <c r="AM34" s="756" t="n"/>
      <c r="AN34" s="308">
        <f>+Y34</f>
        <v/>
      </c>
      <c r="AO34" s="758">
        <f>AN34/G34</f>
        <v/>
      </c>
      <c r="AP34" s="758">
        <f>AB34</f>
        <v/>
      </c>
      <c r="AQ34" s="310">
        <f>+AO34-AP34</f>
        <v/>
      </c>
      <c r="AR34" s="756" t="n"/>
      <c r="AS34" s="326" t="n"/>
      <c r="AT34" s="332">
        <f>-$AS$3*H34</f>
        <v/>
      </c>
      <c r="AU34" s="757">
        <f>AT34</f>
        <v/>
      </c>
      <c r="AV34" s="310">
        <f>AT34/R34</f>
        <v/>
      </c>
      <c r="AW34" s="756" t="n"/>
      <c r="AX34" s="326" t="n"/>
      <c r="AY34" s="332">
        <f>AT34+AH34</f>
        <v/>
      </c>
      <c r="AZ34" s="756" t="n"/>
      <c r="BA34" s="326" t="n"/>
      <c r="BB34" s="332" t="n"/>
      <c r="BC34" s="756" t="n"/>
    </row>
    <row r="35">
      <c r="A35" s="752" t="inlineStr">
        <is>
          <t>Geoffrey and Elizabeth Bloomingdale Living Trust</t>
        </is>
      </c>
      <c r="B35" s="351">
        <f>_xlfn.XLOOKUP(A35,'CLIP_Schedule B'!A:A,'CLIP_Schedule B'!E:E,0,FALSE)</f>
        <v/>
      </c>
      <c r="C35" s="351">
        <f>_xlfn.XLOOKUP(A35,'Silsbee_Schedule B'!B:B,'Silsbee_Schedule B'!F:F,0,FALSE)</f>
        <v/>
      </c>
      <c r="D35" s="351">
        <f>_xlfn.XLOOKUP(A35,'Q2''26 Management Fee'!B:B,'Q2''26 Management Fee'!C:C)</f>
        <v/>
      </c>
      <c r="E35" s="761">
        <f>SUMIFS(Commitment!G:G,Commitment!A:A,'Subsequent Close - OLD B4 25k'!A35)</f>
        <v/>
      </c>
      <c r="F35" s="760">
        <f>E35/$E$90</f>
        <v/>
      </c>
      <c r="G35" s="761">
        <f>E35</f>
        <v/>
      </c>
      <c r="H35" s="760">
        <f>E35/$E$86</f>
        <v/>
      </c>
      <c r="I35" s="760">
        <f>G35/$G$86</f>
        <v/>
      </c>
      <c r="J35" s="761">
        <f>-G35</f>
        <v/>
      </c>
      <c r="K35" s="760">
        <f>J35/$J$86</f>
        <v/>
      </c>
      <c r="L35" s="762" t="n"/>
      <c r="M35" s="351">
        <f>$M$3*H35</f>
        <v/>
      </c>
      <c r="N35" s="351" t="n">
        <v>-2801.56</v>
      </c>
      <c r="O35" s="351" t="n"/>
      <c r="P35" s="351">
        <f>$P$3*H35</f>
        <v/>
      </c>
      <c r="Q35" s="351" t="n">
        <v>-17335.06125301615</v>
      </c>
      <c r="R35" s="351">
        <f>SUM(M35:Q35)</f>
        <v/>
      </c>
      <c r="S35" s="761" t="n"/>
      <c r="T35" s="249">
        <f>$T$3*I35</f>
        <v/>
      </c>
      <c r="U35" s="754" t="n">
        <v>0</v>
      </c>
      <c r="V35" s="249">
        <f>N35</f>
        <v/>
      </c>
      <c r="W35" s="249">
        <f>I35*$W$3</f>
        <v/>
      </c>
      <c r="X35" s="249">
        <f>$X$3*I35</f>
        <v/>
      </c>
      <c r="Y35" s="249">
        <f>T35+W35+X35+V35+U35</f>
        <v/>
      </c>
      <c r="Z35" s="761" t="n"/>
      <c r="AA35" s="302">
        <f>T35/G35</f>
        <v/>
      </c>
      <c r="AB35" s="303">
        <f>V35/G35</f>
        <v/>
      </c>
      <c r="AC35" s="303">
        <f>W35/G35</f>
        <v/>
      </c>
      <c r="AD35" s="303">
        <f>X35/G35</f>
        <v/>
      </c>
      <c r="AE35" s="919">
        <f>AD35+AC35+AA35</f>
        <v/>
      </c>
      <c r="AF35" s="761" t="n"/>
      <c r="AG35" s="326" t="n"/>
      <c r="AH35" s="249">
        <f>-Y35+R35</f>
        <v/>
      </c>
      <c r="AI35" s="717">
        <f>_xlfn.XLOOKUP(A35,'2.10.26 Sub Close Old'!A:A,'2.10.26 Sub Close Old'!AK:AK)</f>
        <v/>
      </c>
      <c r="AJ35" s="717">
        <f>_xlfn.XLOOKUP(A35,'2.10.26 Sub Close New'!A:A,'2.10.26 Sub Close New'!AJ:AJ)</f>
        <v/>
      </c>
      <c r="AK35" s="717">
        <f>+AJ35-AI35</f>
        <v/>
      </c>
      <c r="AL35" s="717">
        <f>+AH35+AK35</f>
        <v/>
      </c>
      <c r="AM35" s="756" t="n"/>
      <c r="AN35" s="308">
        <f>+Y35</f>
        <v/>
      </c>
      <c r="AO35" s="758">
        <f>AN35/G35</f>
        <v/>
      </c>
      <c r="AP35" s="758">
        <f>AB35</f>
        <v/>
      </c>
      <c r="AQ35" s="310">
        <f>+AO35-AP35</f>
        <v/>
      </c>
      <c r="AR35" s="756" t="n"/>
      <c r="AS35" s="326" t="n"/>
      <c r="AT35" s="332">
        <f>-$AS$3*H35</f>
        <v/>
      </c>
      <c r="AU35" s="757">
        <f>AT35</f>
        <v/>
      </c>
      <c r="AV35" s="310">
        <f>AT35/R35</f>
        <v/>
      </c>
      <c r="AW35" s="756" t="n"/>
      <c r="AX35" s="326" t="n"/>
      <c r="AY35" s="332">
        <f>AT35+AH35</f>
        <v/>
      </c>
      <c r="AZ35" s="756" t="n"/>
      <c r="BA35" s="326" t="n"/>
      <c r="BB35" s="332" t="n"/>
      <c r="BC35" s="756" t="n"/>
    </row>
    <row r="36">
      <c r="A36" s="752" t="inlineStr">
        <is>
          <t>Greene 2000 Family Trust</t>
        </is>
      </c>
      <c r="B36" s="351">
        <f>_xlfn.XLOOKUP(A36,'CLIP_Schedule B'!A:A,'CLIP_Schedule B'!E:E,0,FALSE)</f>
        <v/>
      </c>
      <c r="C36" s="351">
        <f>_xlfn.XLOOKUP(A36,'Silsbee_Schedule B'!B:B,'Silsbee_Schedule B'!F:F,0,FALSE)</f>
        <v/>
      </c>
      <c r="D36" s="351">
        <f>_xlfn.XLOOKUP(A36,'Q2''26 Management Fee'!B:B,'Q2''26 Management Fee'!C:C)</f>
        <v/>
      </c>
      <c r="E36" s="761">
        <f>SUMIFS(Commitment!G:G,Commitment!A:A,'Subsequent Close - OLD B4 25k'!A36)</f>
        <v/>
      </c>
      <c r="F36" s="760">
        <f>E36/$E$90</f>
        <v/>
      </c>
      <c r="G36" s="761">
        <f>E36</f>
        <v/>
      </c>
      <c r="H36" s="760">
        <f>E36/$E$86</f>
        <v/>
      </c>
      <c r="I36" s="760">
        <f>G36/$G$86</f>
        <v/>
      </c>
      <c r="J36" s="761">
        <f>-G36</f>
        <v/>
      </c>
      <c r="K36" s="760">
        <f>J36/$J$86</f>
        <v/>
      </c>
      <c r="L36" s="762" t="n"/>
      <c r="M36" s="351">
        <f>$M$3*H36</f>
        <v/>
      </c>
      <c r="N36" s="351" t="n">
        <v>-14701.09</v>
      </c>
      <c r="O36" s="351" t="n"/>
      <c r="P36" s="351">
        <f>$P$3*H36</f>
        <v/>
      </c>
      <c r="Q36" s="351" t="n">
        <v>-73797.32288445896</v>
      </c>
      <c r="R36" s="351">
        <f>SUM(M36:Q36)</f>
        <v/>
      </c>
      <c r="S36" s="761" t="n"/>
      <c r="T36" s="249">
        <f>$T$3*I36</f>
        <v/>
      </c>
      <c r="U36" s="754" t="n">
        <v>0</v>
      </c>
      <c r="V36" s="249">
        <f>N36</f>
        <v/>
      </c>
      <c r="W36" s="249">
        <f>I36*$W$3</f>
        <v/>
      </c>
      <c r="X36" s="249">
        <f>$X$3*I36</f>
        <v/>
      </c>
      <c r="Y36" s="249">
        <f>T36+W36+X36+V36+U36</f>
        <v/>
      </c>
      <c r="Z36" s="761" t="n"/>
      <c r="AA36" s="302">
        <f>T36/G36</f>
        <v/>
      </c>
      <c r="AB36" s="303">
        <f>V36/G36</f>
        <v/>
      </c>
      <c r="AC36" s="303">
        <f>W36/G36</f>
        <v/>
      </c>
      <c r="AD36" s="303">
        <f>X36/G36</f>
        <v/>
      </c>
      <c r="AE36" s="919">
        <f>AD36+AC36+AA36</f>
        <v/>
      </c>
      <c r="AF36" s="761" t="n"/>
      <c r="AG36" s="326" t="n"/>
      <c r="AH36" s="249">
        <f>-Y36+R36</f>
        <v/>
      </c>
      <c r="AI36" s="717">
        <f>_xlfn.XLOOKUP(A36,'2.10.26 Sub Close Old'!A:A,'2.10.26 Sub Close Old'!AK:AK)</f>
        <v/>
      </c>
      <c r="AJ36" s="717">
        <f>_xlfn.XLOOKUP(A36,'2.10.26 Sub Close New'!A:A,'2.10.26 Sub Close New'!AJ:AJ)</f>
        <v/>
      </c>
      <c r="AK36" s="717">
        <f>+AJ36-AI36</f>
        <v/>
      </c>
      <c r="AL36" s="717">
        <f>+AH36+AK36</f>
        <v/>
      </c>
      <c r="AM36" s="756" t="n"/>
      <c r="AN36" s="308">
        <f>+Y36</f>
        <v/>
      </c>
      <c r="AO36" s="758">
        <f>AN36/G36</f>
        <v/>
      </c>
      <c r="AP36" s="758">
        <f>AB36</f>
        <v/>
      </c>
      <c r="AQ36" s="310">
        <f>+AO36-AP36</f>
        <v/>
      </c>
      <c r="AR36" s="756" t="n"/>
      <c r="AS36" s="326" t="n"/>
      <c r="AT36" s="332">
        <f>-$AS$3*H36</f>
        <v/>
      </c>
      <c r="AU36" s="757">
        <f>AT36</f>
        <v/>
      </c>
      <c r="AV36" s="310">
        <f>AT36/R36</f>
        <v/>
      </c>
      <c r="AW36" s="756" t="n"/>
      <c r="AX36" s="326" t="n"/>
      <c r="AY36" s="332">
        <f>AT36+AH36</f>
        <v/>
      </c>
      <c r="AZ36" s="756" t="n"/>
      <c r="BA36" s="326" t="n"/>
      <c r="BB36" s="332" t="n"/>
      <c r="BC36" s="756" t="n"/>
    </row>
    <row r="37">
      <c r="A37" s="752" t="inlineStr">
        <is>
          <t>Greene Marital Trust</t>
        </is>
      </c>
      <c r="B37" s="351">
        <f>_xlfn.XLOOKUP(A37,'CLIP_Schedule B'!A:A,'CLIP_Schedule B'!E:E,0,FALSE)</f>
        <v/>
      </c>
      <c r="C37" s="351">
        <f>_xlfn.XLOOKUP(A37,'Silsbee_Schedule B'!B:B,'Silsbee_Schedule B'!F:F,0,FALSE)</f>
        <v/>
      </c>
      <c r="D37" s="351">
        <f>_xlfn.XLOOKUP(A37,'Q2''26 Management Fee'!B:B,'Q2''26 Management Fee'!C:C)</f>
        <v/>
      </c>
      <c r="E37" s="761">
        <f>SUMIFS(Commitment!G:G,Commitment!A:A,'Subsequent Close - OLD B4 25k'!A37)</f>
        <v/>
      </c>
      <c r="F37" s="760">
        <f>E37/$E$90</f>
        <v/>
      </c>
      <c r="G37" s="761">
        <f>E37</f>
        <v/>
      </c>
      <c r="H37" s="760">
        <f>E37/$E$86</f>
        <v/>
      </c>
      <c r="I37" s="760">
        <f>G37/$G$86</f>
        <v/>
      </c>
      <c r="J37" s="761">
        <f>-G37</f>
        <v/>
      </c>
      <c r="K37" s="760">
        <f>J37/$J$86</f>
        <v/>
      </c>
      <c r="L37" s="762" t="n"/>
      <c r="M37" s="351">
        <f>$M$3*H37</f>
        <v/>
      </c>
      <c r="N37" s="351" t="n">
        <v>-14701.09</v>
      </c>
      <c r="O37" s="351" t="n"/>
      <c r="P37" s="351">
        <f>$P$3*H37</f>
        <v/>
      </c>
      <c r="Q37" s="351" t="n">
        <v>-73797.32288445896</v>
      </c>
      <c r="R37" s="351">
        <f>SUM(M37:Q37)</f>
        <v/>
      </c>
      <c r="S37" s="761" t="n"/>
      <c r="T37" s="249">
        <f>$T$3*I37</f>
        <v/>
      </c>
      <c r="U37" s="754" t="n">
        <v>0</v>
      </c>
      <c r="V37" s="249">
        <f>N37</f>
        <v/>
      </c>
      <c r="W37" s="249">
        <f>I37*$W$3</f>
        <v/>
      </c>
      <c r="X37" s="249">
        <f>$X$3*I37</f>
        <v/>
      </c>
      <c r="Y37" s="249">
        <f>T37+W37+X37+V37+U37</f>
        <v/>
      </c>
      <c r="Z37" s="761" t="n"/>
      <c r="AA37" s="302">
        <f>T37/G37</f>
        <v/>
      </c>
      <c r="AB37" s="303">
        <f>V37/G37</f>
        <v/>
      </c>
      <c r="AC37" s="303">
        <f>W37/G37</f>
        <v/>
      </c>
      <c r="AD37" s="303">
        <f>X37/G37</f>
        <v/>
      </c>
      <c r="AE37" s="919">
        <f>AD37+AC37+AA37</f>
        <v/>
      </c>
      <c r="AF37" s="761" t="n"/>
      <c r="AG37" s="326" t="n"/>
      <c r="AH37" s="249">
        <f>-Y37+R37</f>
        <v/>
      </c>
      <c r="AI37" s="717">
        <f>_xlfn.XLOOKUP(A37,'2.10.26 Sub Close Old'!A:A,'2.10.26 Sub Close Old'!AK:AK)</f>
        <v/>
      </c>
      <c r="AJ37" s="717">
        <f>_xlfn.XLOOKUP(A37,'2.10.26 Sub Close New'!A:A,'2.10.26 Sub Close New'!AJ:AJ)</f>
        <v/>
      </c>
      <c r="AK37" s="717">
        <f>+AJ37-AI37</f>
        <v/>
      </c>
      <c r="AL37" s="717">
        <f>+AH37+AK37</f>
        <v/>
      </c>
      <c r="AM37" s="756" t="n"/>
      <c r="AN37" s="308">
        <f>+Y37</f>
        <v/>
      </c>
      <c r="AO37" s="758">
        <f>AN37/G37</f>
        <v/>
      </c>
      <c r="AP37" s="758">
        <f>AB37</f>
        <v/>
      </c>
      <c r="AQ37" s="310">
        <f>+AO37-AP37</f>
        <v/>
      </c>
      <c r="AR37" s="756" t="n"/>
      <c r="AS37" s="326" t="n"/>
      <c r="AT37" s="332">
        <f>-$AS$3*H37</f>
        <v/>
      </c>
      <c r="AU37" s="757">
        <f>AT37</f>
        <v/>
      </c>
      <c r="AV37" s="310">
        <f>AT37/R37</f>
        <v/>
      </c>
      <c r="AW37" s="756" t="n"/>
      <c r="AX37" s="326" t="n"/>
      <c r="AY37" s="332">
        <f>AT37+AH37</f>
        <v/>
      </c>
      <c r="AZ37" s="756" t="n"/>
      <c r="BA37" s="326" t="n"/>
      <c r="BB37" s="332" t="n"/>
      <c r="BC37" s="756" t="n"/>
    </row>
    <row r="38">
      <c r="A38" s="752" t="inlineStr">
        <is>
          <t>Gregory Brent Wood</t>
        </is>
      </c>
      <c r="B38" s="351">
        <f>_xlfn.XLOOKUP(A38,'CLIP_Schedule B'!A:A,'CLIP_Schedule B'!E:E,0,FALSE)</f>
        <v/>
      </c>
      <c r="C38" s="351">
        <f>_xlfn.XLOOKUP(A38,'Silsbee_Schedule B'!B:B,'Silsbee_Schedule B'!F:F,0,FALSE)</f>
        <v/>
      </c>
      <c r="D38" s="351">
        <f>_xlfn.XLOOKUP(A38,'Q2''26 Management Fee'!B:B,'Q2''26 Management Fee'!C:C)</f>
        <v/>
      </c>
      <c r="E38" s="761">
        <f>SUMIFS(Commitment!G:G,Commitment!A:A,'Subsequent Close - OLD B4 25k'!A38)</f>
        <v/>
      </c>
      <c r="F38" s="760">
        <f>E38/$E$90</f>
        <v/>
      </c>
      <c r="G38" s="761">
        <f>E38</f>
        <v/>
      </c>
      <c r="H38" s="760">
        <f>E38/$E$86</f>
        <v/>
      </c>
      <c r="I38" s="760">
        <f>G38/$G$86</f>
        <v/>
      </c>
      <c r="J38" s="761">
        <f>-G38</f>
        <v/>
      </c>
      <c r="K38" s="760">
        <f>J38/$J$86</f>
        <v/>
      </c>
      <c r="L38" s="762" t="n"/>
      <c r="M38" s="351">
        <f>$M$3*H38</f>
        <v/>
      </c>
      <c r="N38" s="351" t="n">
        <v>-1867.7</v>
      </c>
      <c r="O38" s="351" t="n"/>
      <c r="P38" s="351">
        <f>$P$3*H38</f>
        <v/>
      </c>
      <c r="Q38" s="351" t="n">
        <v>-11556.70725601969</v>
      </c>
      <c r="R38" s="351">
        <f>SUM(M38:Q38)</f>
        <v/>
      </c>
      <c r="S38" s="761" t="n"/>
      <c r="T38" s="249">
        <f>$T$3*I38</f>
        <v/>
      </c>
      <c r="U38" s="754" t="n">
        <v>0</v>
      </c>
      <c r="V38" s="249">
        <f>N38</f>
        <v/>
      </c>
      <c r="W38" s="249">
        <f>I38*$W$3</f>
        <v/>
      </c>
      <c r="X38" s="249">
        <f>$X$3*I38</f>
        <v/>
      </c>
      <c r="Y38" s="249">
        <f>T38+W38+X38+V38+U38</f>
        <v/>
      </c>
      <c r="Z38" s="761" t="n"/>
      <c r="AA38" s="302">
        <f>T38/G38</f>
        <v/>
      </c>
      <c r="AB38" s="303">
        <f>V38/G38</f>
        <v/>
      </c>
      <c r="AC38" s="303">
        <f>W38/G38</f>
        <v/>
      </c>
      <c r="AD38" s="303">
        <f>X38/G38</f>
        <v/>
      </c>
      <c r="AE38" s="919">
        <f>AD38+AC38+AA38</f>
        <v/>
      </c>
      <c r="AF38" s="761" t="n"/>
      <c r="AG38" s="326" t="n"/>
      <c r="AH38" s="249">
        <f>-Y38+R38</f>
        <v/>
      </c>
      <c r="AI38" s="717">
        <f>_xlfn.XLOOKUP(A38,'2.10.26 Sub Close Old'!A:A,'2.10.26 Sub Close Old'!AK:AK)</f>
        <v/>
      </c>
      <c r="AJ38" s="717">
        <f>_xlfn.XLOOKUP(A38,'2.10.26 Sub Close New'!A:A,'2.10.26 Sub Close New'!AJ:AJ)</f>
        <v/>
      </c>
      <c r="AK38" s="717">
        <f>+AJ38-AI38</f>
        <v/>
      </c>
      <c r="AL38" s="717">
        <f>+AH38+AK38</f>
        <v/>
      </c>
      <c r="AM38" s="756" t="n"/>
      <c r="AN38" s="308">
        <f>+Y38</f>
        <v/>
      </c>
      <c r="AO38" s="758">
        <f>AN38/G38</f>
        <v/>
      </c>
      <c r="AP38" s="758">
        <f>AB38</f>
        <v/>
      </c>
      <c r="AQ38" s="310">
        <f>+AO38-AP38</f>
        <v/>
      </c>
      <c r="AR38" s="756" t="n"/>
      <c r="AS38" s="326" t="n"/>
      <c r="AT38" s="332">
        <f>-$AS$3*H38</f>
        <v/>
      </c>
      <c r="AU38" s="757">
        <f>AT38</f>
        <v/>
      </c>
      <c r="AV38" s="310">
        <f>AT38/R38</f>
        <v/>
      </c>
      <c r="AW38" s="756" t="n"/>
      <c r="AX38" s="326" t="n"/>
      <c r="AY38" s="332">
        <f>AT38+AH38</f>
        <v/>
      </c>
      <c r="AZ38" s="756" t="n"/>
      <c r="BA38" s="326" t="n"/>
      <c r="BB38" s="332" t="n"/>
      <c r="BC38" s="756" t="n"/>
    </row>
    <row r="39">
      <c r="A39" s="752" t="inlineStr">
        <is>
          <t>Hundley Family Trust</t>
        </is>
      </c>
      <c r="B39" s="351">
        <f>_xlfn.XLOOKUP(A39,'CLIP_Schedule B'!A:A,'CLIP_Schedule B'!E:E,0,FALSE)</f>
        <v/>
      </c>
      <c r="C39" s="351">
        <f>_xlfn.XLOOKUP(A39,'Silsbee_Schedule B'!B:B,'Silsbee_Schedule B'!F:F,0,FALSE)</f>
        <v/>
      </c>
      <c r="D39" s="351">
        <f>_xlfn.XLOOKUP(A39,'Q2''26 Management Fee'!B:B,'Q2''26 Management Fee'!C:C)</f>
        <v/>
      </c>
      <c r="E39" s="761">
        <f>SUMIFS(Commitment!G:G,Commitment!A:A,'Subsequent Close - OLD B4 25k'!A39)</f>
        <v/>
      </c>
      <c r="F39" s="760">
        <f>E39/$E$90</f>
        <v/>
      </c>
      <c r="G39" s="761">
        <f>E39</f>
        <v/>
      </c>
      <c r="H39" s="760">
        <f>E39/$E$86</f>
        <v/>
      </c>
      <c r="I39" s="760">
        <f>G39/$G$86</f>
        <v/>
      </c>
      <c r="J39" s="761">
        <f>-G39</f>
        <v/>
      </c>
      <c r="K39" s="760">
        <f>J39/$J$86</f>
        <v/>
      </c>
      <c r="L39" s="762" t="n"/>
      <c r="M39" s="351">
        <f>$M$3*H39</f>
        <v/>
      </c>
      <c r="N39" s="351" t="n">
        <v>-4410.33</v>
      </c>
      <c r="O39" s="351" t="n"/>
      <c r="P39" s="351">
        <f>$P$3*H39</f>
        <v/>
      </c>
      <c r="Q39" s="351" t="n">
        <v>-14759.46457689179</v>
      </c>
      <c r="R39" s="351">
        <f>SUM(M39:Q39)</f>
        <v/>
      </c>
      <c r="S39" s="761" t="n"/>
      <c r="T39" s="249">
        <f>$T$3*I39</f>
        <v/>
      </c>
      <c r="U39" s="754" t="n">
        <v>0</v>
      </c>
      <c r="V39" s="249">
        <f>N39</f>
        <v/>
      </c>
      <c r="W39" s="249">
        <f>I39*$W$3</f>
        <v/>
      </c>
      <c r="X39" s="249">
        <f>$X$3*I39</f>
        <v/>
      </c>
      <c r="Y39" s="249">
        <f>T39+W39+X39+V39+U39</f>
        <v/>
      </c>
      <c r="Z39" s="761" t="n"/>
      <c r="AA39" s="302">
        <f>T39/G39</f>
        <v/>
      </c>
      <c r="AB39" s="303">
        <f>V39/G39</f>
        <v/>
      </c>
      <c r="AC39" s="303">
        <f>W39/G39</f>
        <v/>
      </c>
      <c r="AD39" s="303">
        <f>X39/G39</f>
        <v/>
      </c>
      <c r="AE39" s="919">
        <f>AD39+AC39+AA39</f>
        <v/>
      </c>
      <c r="AF39" s="761" t="n"/>
      <c r="AG39" s="326" t="n"/>
      <c r="AH39" s="249">
        <f>-Y39+R39</f>
        <v/>
      </c>
      <c r="AI39" s="717">
        <f>_xlfn.XLOOKUP(A39,'2.10.26 Sub Close Old'!A:A,'2.10.26 Sub Close Old'!AK:AK)</f>
        <v/>
      </c>
      <c r="AJ39" s="717">
        <f>_xlfn.XLOOKUP(A39,'2.10.26 Sub Close New'!A:A,'2.10.26 Sub Close New'!AJ:AJ)</f>
        <v/>
      </c>
      <c r="AK39" s="717">
        <f>+AJ39-AI39</f>
        <v/>
      </c>
      <c r="AL39" s="717">
        <f>+AH39+AK39</f>
        <v/>
      </c>
      <c r="AM39" s="756" t="n"/>
      <c r="AN39" s="308">
        <f>+Y39</f>
        <v/>
      </c>
      <c r="AO39" s="758">
        <f>AN39/G39</f>
        <v/>
      </c>
      <c r="AP39" s="758">
        <f>AB39</f>
        <v/>
      </c>
      <c r="AQ39" s="310">
        <f>+AO39-AP39</f>
        <v/>
      </c>
      <c r="AR39" s="756" t="n"/>
      <c r="AS39" s="326" t="n"/>
      <c r="AT39" s="332">
        <f>-$AS$3*H39</f>
        <v/>
      </c>
      <c r="AU39" s="757">
        <f>AT39</f>
        <v/>
      </c>
      <c r="AV39" s="310">
        <f>AT39/R39</f>
        <v/>
      </c>
      <c r="AW39" s="756" t="n"/>
      <c r="AX39" s="326" t="n"/>
      <c r="AY39" s="332">
        <f>AT39+AH39</f>
        <v/>
      </c>
      <c r="AZ39" s="756" t="n"/>
      <c r="BA39" s="326" t="n"/>
      <c r="BB39" s="332" t="n"/>
      <c r="BC39" s="756" t="n"/>
    </row>
    <row r="40">
      <c r="A40" s="752" t="inlineStr">
        <is>
          <t>In God We Trust 2017 Living Trust</t>
        </is>
      </c>
      <c r="B40" s="351">
        <f>_xlfn.XLOOKUP(A40,'CLIP_Schedule B'!A:A,'CLIP_Schedule B'!E:E,0,FALSE)</f>
        <v/>
      </c>
      <c r="C40" s="351">
        <f>_xlfn.XLOOKUP(A40,'Silsbee_Schedule B'!B:B,'Silsbee_Schedule B'!F:F,0,FALSE)</f>
        <v/>
      </c>
      <c r="D40" s="351">
        <f>_xlfn.XLOOKUP(A40,'Q2''26 Management Fee'!B:B,'Q2''26 Management Fee'!C:C)</f>
        <v/>
      </c>
      <c r="E40" s="761">
        <f>SUMIFS(Commitment!G:G,Commitment!A:A,'Subsequent Close - OLD B4 25k'!A40)</f>
        <v/>
      </c>
      <c r="F40" s="760">
        <f>E40/$E$90</f>
        <v/>
      </c>
      <c r="G40" s="761">
        <f>E40</f>
        <v/>
      </c>
      <c r="H40" s="760">
        <f>E40/$E$86</f>
        <v/>
      </c>
      <c r="I40" s="760">
        <f>G40/$G$86</f>
        <v/>
      </c>
      <c r="J40" s="761">
        <f>-G40</f>
        <v/>
      </c>
      <c r="K40" s="760">
        <f>J40/$J$86</f>
        <v/>
      </c>
      <c r="L40" s="762" t="n"/>
      <c r="M40" s="351">
        <f>$M$3*H40</f>
        <v/>
      </c>
      <c r="N40" s="351" t="n">
        <v>-2205.16</v>
      </c>
      <c r="O40" s="351" t="n"/>
      <c r="P40" s="351">
        <f>$P$3*H40</f>
        <v/>
      </c>
      <c r="Q40" s="351" t="n">
        <v>-7379.732288445896</v>
      </c>
      <c r="R40" s="351">
        <f>SUM(M40:Q40)</f>
        <v/>
      </c>
      <c r="S40" s="761" t="n"/>
      <c r="T40" s="249">
        <f>$T$3*I40</f>
        <v/>
      </c>
      <c r="U40" s="754" t="n">
        <v>0</v>
      </c>
      <c r="V40" s="249">
        <f>N40</f>
        <v/>
      </c>
      <c r="W40" s="249">
        <f>I40*$W$3</f>
        <v/>
      </c>
      <c r="X40" s="249">
        <f>$X$3*I40</f>
        <v/>
      </c>
      <c r="Y40" s="249">
        <f>T40+W40+X40+V40+U40</f>
        <v/>
      </c>
      <c r="Z40" s="761" t="n"/>
      <c r="AA40" s="302">
        <f>T40/G40</f>
        <v/>
      </c>
      <c r="AB40" s="303">
        <f>V40/G40</f>
        <v/>
      </c>
      <c r="AC40" s="303">
        <f>W40/G40</f>
        <v/>
      </c>
      <c r="AD40" s="303">
        <f>X40/G40</f>
        <v/>
      </c>
      <c r="AE40" s="919">
        <f>AD40+AC40+AA40</f>
        <v/>
      </c>
      <c r="AF40" s="761" t="n"/>
      <c r="AG40" s="326" t="n"/>
      <c r="AH40" s="249">
        <f>-Y40+R40</f>
        <v/>
      </c>
      <c r="AI40" s="717">
        <f>_xlfn.XLOOKUP(A40,'2.10.26 Sub Close Old'!A:A,'2.10.26 Sub Close Old'!AK:AK)</f>
        <v/>
      </c>
      <c r="AJ40" s="717">
        <f>_xlfn.XLOOKUP(A40,'2.10.26 Sub Close New'!A:A,'2.10.26 Sub Close New'!AJ:AJ)</f>
        <v/>
      </c>
      <c r="AK40" s="717">
        <f>+AJ40-AI40</f>
        <v/>
      </c>
      <c r="AL40" s="717">
        <f>+AH40+AK40</f>
        <v/>
      </c>
      <c r="AM40" s="756" t="n"/>
      <c r="AN40" s="308">
        <f>+Y40</f>
        <v/>
      </c>
      <c r="AO40" s="758">
        <f>AN40/G40</f>
        <v/>
      </c>
      <c r="AP40" s="758">
        <f>AB40</f>
        <v/>
      </c>
      <c r="AQ40" s="310">
        <f>+AO40-AP40</f>
        <v/>
      </c>
      <c r="AR40" s="756" t="n"/>
      <c r="AS40" s="326" t="n"/>
      <c r="AT40" s="332">
        <f>-$AS$3*H40</f>
        <v/>
      </c>
      <c r="AU40" s="757">
        <f>AT40</f>
        <v/>
      </c>
      <c r="AV40" s="310">
        <f>AT40/R40</f>
        <v/>
      </c>
      <c r="AW40" s="756" t="n"/>
      <c r="AX40" s="326" t="n"/>
      <c r="AY40" s="332">
        <f>AT40+AH40</f>
        <v/>
      </c>
      <c r="AZ40" s="756" t="n"/>
      <c r="BA40" s="326" t="n"/>
      <c r="BB40" s="332" t="n"/>
      <c r="BC40" s="756" t="n"/>
    </row>
    <row r="41">
      <c r="A41" s="752" t="inlineStr">
        <is>
          <t>James and Natelie Bloomingdale</t>
        </is>
      </c>
      <c r="B41" s="351" t="n"/>
      <c r="C41" s="351" t="n"/>
      <c r="D41" s="351" t="n"/>
      <c r="E41" s="761" t="n"/>
      <c r="F41" s="760" t="n"/>
      <c r="G41" s="761" t="n"/>
      <c r="H41" s="760" t="n"/>
      <c r="I41" s="760" t="n"/>
      <c r="J41" s="761" t="n"/>
      <c r="K41" s="760" t="n"/>
      <c r="L41" s="762" t="n"/>
      <c r="M41" s="351" t="n"/>
      <c r="N41" s="351" t="n"/>
      <c r="O41" s="351" t="n"/>
      <c r="P41" s="351" t="n"/>
      <c r="Q41" s="351" t="n">
        <v>0</v>
      </c>
      <c r="R41" s="351">
        <f>SUM(M41:Q41)</f>
        <v/>
      </c>
      <c r="S41" s="761" t="n"/>
      <c r="T41" s="249" t="n"/>
      <c r="U41" s="754" t="n"/>
      <c r="V41" s="249" t="n"/>
      <c r="W41" s="249" t="n"/>
      <c r="X41" s="249" t="n"/>
      <c r="Y41" s="249">
        <f>T41+W41+X41+V41+U41</f>
        <v/>
      </c>
      <c r="Z41" s="761" t="n"/>
      <c r="AA41" s="302" t="n"/>
      <c r="AB41" s="303" t="n"/>
      <c r="AC41" s="303" t="n"/>
      <c r="AD41" s="303" t="n"/>
      <c r="AE41" s="919" t="n"/>
      <c r="AF41" s="761" t="n"/>
      <c r="AG41" s="326" t="n"/>
      <c r="AH41" s="249">
        <f>-Y41+R41</f>
        <v/>
      </c>
      <c r="AI41" s="717" t="n"/>
      <c r="AJ41" s="717" t="n"/>
      <c r="AK41" s="717" t="n"/>
      <c r="AL41" s="717" t="n"/>
      <c r="AM41" s="756" t="n"/>
      <c r="AN41" s="308" t="n"/>
      <c r="AO41" s="758" t="n"/>
      <c r="AP41" s="758" t="n"/>
      <c r="AQ41" s="310" t="n"/>
      <c r="AR41" s="756" t="n"/>
      <c r="AS41" s="326" t="n"/>
      <c r="AT41" s="332">
        <f>-$AS$3*H41</f>
        <v/>
      </c>
      <c r="AU41" s="757" t="n"/>
      <c r="AV41" s="310" t="n"/>
      <c r="AW41" s="756" t="n"/>
      <c r="AX41" s="326" t="n"/>
      <c r="AY41" s="332">
        <f>AT41+AH41</f>
        <v/>
      </c>
      <c r="AZ41" s="756" t="n"/>
      <c r="BA41" s="326" t="n"/>
      <c r="BB41" s="332" t="n"/>
      <c r="BC41" s="756" t="n"/>
    </row>
    <row r="42">
      <c r="A42" s="752" t="inlineStr">
        <is>
          <t>James Campbell and Patricia Campbell</t>
        </is>
      </c>
      <c r="B42" s="351">
        <f>_xlfn.XLOOKUP(A42,'CLIP_Schedule B'!A:A,'CLIP_Schedule B'!E:E,0,FALSE)</f>
        <v/>
      </c>
      <c r="C42" s="351">
        <f>_xlfn.XLOOKUP(A42,'Silsbee_Schedule B'!B:B,'Silsbee_Schedule B'!F:F,0,FALSE)</f>
        <v/>
      </c>
      <c r="D42" s="351">
        <f>_xlfn.XLOOKUP(A42,'Q2''26 Management Fee'!B:B,'Q2''26 Management Fee'!C:C)</f>
        <v/>
      </c>
      <c r="E42" s="761">
        <f>SUMIFS(Commitment!G:G,Commitment!A:A,'Subsequent Close - OLD B4 25k'!A42)</f>
        <v/>
      </c>
      <c r="F42" s="760">
        <f>E42/$E$90</f>
        <v/>
      </c>
      <c r="G42" s="761">
        <f>E42</f>
        <v/>
      </c>
      <c r="H42" s="760">
        <f>E42/$E$86</f>
        <v/>
      </c>
      <c r="I42" s="760">
        <f>G42/$G$86</f>
        <v/>
      </c>
      <c r="J42" s="761">
        <f>-G42</f>
        <v/>
      </c>
      <c r="K42" s="760">
        <f>J42/$J$86</f>
        <v/>
      </c>
      <c r="L42" s="762" t="n"/>
      <c r="M42" s="351">
        <f>$M$3*H42</f>
        <v/>
      </c>
      <c r="N42" s="351" t="n">
        <v>-1867.7</v>
      </c>
      <c r="O42" s="351" t="n"/>
      <c r="P42" s="351">
        <f>$P$3*H42</f>
        <v/>
      </c>
      <c r="Q42" s="351" t="n">
        <v>-11556.70725601969</v>
      </c>
      <c r="R42" s="351">
        <f>SUM(M42:Q42)</f>
        <v/>
      </c>
      <c r="S42" s="761" t="n"/>
      <c r="T42" s="249">
        <f>$T$3*I42</f>
        <v/>
      </c>
      <c r="U42" s="754" t="n">
        <v>0</v>
      </c>
      <c r="V42" s="249">
        <f>N42</f>
        <v/>
      </c>
      <c r="W42" s="249">
        <f>I42*$W$3</f>
        <v/>
      </c>
      <c r="X42" s="249">
        <f>$X$3*I42</f>
        <v/>
      </c>
      <c r="Y42" s="249">
        <f>T42+W42+X42+V42+U42</f>
        <v/>
      </c>
      <c r="Z42" s="761" t="n"/>
      <c r="AA42" s="302">
        <f>T42/G42</f>
        <v/>
      </c>
      <c r="AB42" s="303">
        <f>V42/G42</f>
        <v/>
      </c>
      <c r="AC42" s="303">
        <f>W42/G42</f>
        <v/>
      </c>
      <c r="AD42" s="303">
        <f>X42/G42</f>
        <v/>
      </c>
      <c r="AE42" s="919">
        <f>AD42+AC42+AA42</f>
        <v/>
      </c>
      <c r="AF42" s="761" t="n"/>
      <c r="AG42" s="326" t="n"/>
      <c r="AH42" s="249">
        <f>-Y42+R42</f>
        <v/>
      </c>
      <c r="AI42" s="717">
        <f>_xlfn.XLOOKUP(A42,'2.10.26 Sub Close Old'!A:A,'2.10.26 Sub Close Old'!AK:AK)</f>
        <v/>
      </c>
      <c r="AJ42" s="717">
        <f>_xlfn.XLOOKUP(A42,'2.10.26 Sub Close New'!A:A,'2.10.26 Sub Close New'!AJ:AJ)</f>
        <v/>
      </c>
      <c r="AK42" s="717">
        <f>+AJ42-AI42</f>
        <v/>
      </c>
      <c r="AL42" s="717">
        <f>+AH42+AK42</f>
        <v/>
      </c>
      <c r="AM42" s="756" t="n"/>
      <c r="AN42" s="308">
        <f>+Y42</f>
        <v/>
      </c>
      <c r="AO42" s="758">
        <f>AN42/G42</f>
        <v/>
      </c>
      <c r="AP42" s="758">
        <f>AB42</f>
        <v/>
      </c>
      <c r="AQ42" s="310">
        <f>+AO42-AP42</f>
        <v/>
      </c>
      <c r="AR42" s="756" t="n"/>
      <c r="AS42" s="326" t="n"/>
      <c r="AT42" s="332">
        <f>-$AS$3*H42</f>
        <v/>
      </c>
      <c r="AU42" s="757">
        <f>AT42</f>
        <v/>
      </c>
      <c r="AV42" s="310">
        <f>AT42/R42</f>
        <v/>
      </c>
      <c r="AW42" s="756" t="n"/>
      <c r="AX42" s="326" t="n"/>
      <c r="AY42" s="332">
        <f>AT42+AH42</f>
        <v/>
      </c>
      <c r="AZ42" s="756" t="n"/>
      <c r="BA42" s="326" t="n"/>
      <c r="BB42" s="332" t="n"/>
      <c r="BC42" s="756" t="n"/>
    </row>
    <row r="43">
      <c r="A43" s="752" t="inlineStr">
        <is>
          <t>James Kane</t>
        </is>
      </c>
      <c r="B43" s="351">
        <f>_xlfn.XLOOKUP(A43,'CLIP_Schedule B'!A:A,'CLIP_Schedule B'!E:E,0,FALSE)</f>
        <v/>
      </c>
      <c r="C43" s="351">
        <f>_xlfn.XLOOKUP(A43,'Silsbee_Schedule B'!B:B,'Silsbee_Schedule B'!F:F,0,FALSE)</f>
        <v/>
      </c>
      <c r="D43" s="351">
        <f>_xlfn.XLOOKUP(A43,'Q2''26 Management Fee'!B:B,'Q2''26 Management Fee'!C:C)</f>
        <v/>
      </c>
      <c r="E43" s="761">
        <f>SUMIFS(Commitment!G:G,Commitment!A:A,'Subsequent Close - OLD B4 25k'!A43)</f>
        <v/>
      </c>
      <c r="F43" s="760">
        <f>E43/$E$90</f>
        <v/>
      </c>
      <c r="G43" s="761">
        <f>E43</f>
        <v/>
      </c>
      <c r="H43" s="760">
        <f>E43/$E$86</f>
        <v/>
      </c>
      <c r="I43" s="760">
        <f>G43/$G$86</f>
        <v/>
      </c>
      <c r="J43" s="761">
        <f>-G43</f>
        <v/>
      </c>
      <c r="K43" s="760">
        <f>J43/$J$86</f>
        <v/>
      </c>
      <c r="L43" s="762" t="n"/>
      <c r="M43" s="351">
        <f>$M$3*H43</f>
        <v/>
      </c>
      <c r="N43" s="351" t="n">
        <v>-1867.7</v>
      </c>
      <c r="O43" s="351" t="n"/>
      <c r="P43" s="351">
        <f>$P$3*H43</f>
        <v/>
      </c>
      <c r="Q43" s="351" t="n">
        <v>-11556.70725601969</v>
      </c>
      <c r="R43" s="351">
        <f>SUM(M43:Q43)</f>
        <v/>
      </c>
      <c r="S43" s="761" t="n"/>
      <c r="T43" s="249">
        <f>$T$3*I43</f>
        <v/>
      </c>
      <c r="U43" s="754" t="n">
        <v>0</v>
      </c>
      <c r="V43" s="249">
        <f>N43</f>
        <v/>
      </c>
      <c r="W43" s="249">
        <f>I43*$W$3</f>
        <v/>
      </c>
      <c r="X43" s="249">
        <f>$X$3*I43</f>
        <v/>
      </c>
      <c r="Y43" s="249">
        <f>T43+W43+X43+V43+U43</f>
        <v/>
      </c>
      <c r="Z43" s="761" t="n"/>
      <c r="AA43" s="302">
        <f>T43/G43</f>
        <v/>
      </c>
      <c r="AB43" s="303">
        <f>V43/G43</f>
        <v/>
      </c>
      <c r="AC43" s="303">
        <f>W43/G43</f>
        <v/>
      </c>
      <c r="AD43" s="303">
        <f>X43/G43</f>
        <v/>
      </c>
      <c r="AE43" s="919">
        <f>AD43+AC43+AA43</f>
        <v/>
      </c>
      <c r="AF43" s="761" t="n"/>
      <c r="AG43" s="326" t="n"/>
      <c r="AH43" s="249">
        <f>-Y43+R43</f>
        <v/>
      </c>
      <c r="AI43" s="717">
        <f>_xlfn.XLOOKUP(A43,'2.10.26 Sub Close Old'!A:A,'2.10.26 Sub Close Old'!AK:AK)</f>
        <v/>
      </c>
      <c r="AJ43" s="717">
        <f>_xlfn.XLOOKUP(A43,'2.10.26 Sub Close New'!A:A,'2.10.26 Sub Close New'!AJ:AJ)</f>
        <v/>
      </c>
      <c r="AK43" s="717">
        <f>+AJ43-AI43</f>
        <v/>
      </c>
      <c r="AL43" s="717">
        <f>+AH43+AK43</f>
        <v/>
      </c>
      <c r="AM43" s="756" t="n"/>
      <c r="AN43" s="308">
        <f>+Y43</f>
        <v/>
      </c>
      <c r="AO43" s="758">
        <f>AN43/G43</f>
        <v/>
      </c>
      <c r="AP43" s="758">
        <f>AB43</f>
        <v/>
      </c>
      <c r="AQ43" s="310">
        <f>+AO43-AP43</f>
        <v/>
      </c>
      <c r="AR43" s="756" t="n"/>
      <c r="AS43" s="326" t="n"/>
      <c r="AT43" s="332">
        <f>-$AS$3*H43</f>
        <v/>
      </c>
      <c r="AU43" s="757">
        <f>AT43</f>
        <v/>
      </c>
      <c r="AV43" s="310">
        <f>AT43/R43</f>
        <v/>
      </c>
      <c r="AW43" s="756" t="n"/>
      <c r="AX43" s="326" t="n"/>
      <c r="AY43" s="332">
        <f>AT43+AH43</f>
        <v/>
      </c>
      <c r="AZ43" s="756" t="n"/>
      <c r="BA43" s="326" t="n"/>
      <c r="BB43" s="332" t="n"/>
      <c r="BC43" s="756" t="n"/>
    </row>
    <row r="44">
      <c r="A44" s="752" t="inlineStr">
        <is>
          <t>James Thorp</t>
        </is>
      </c>
      <c r="B44" s="351">
        <f>_xlfn.XLOOKUP(A44,'CLIP_Schedule B'!A:A,'CLIP_Schedule B'!E:E,0,FALSE)</f>
        <v/>
      </c>
      <c r="C44" s="351">
        <f>_xlfn.XLOOKUP(A44,'Silsbee_Schedule B'!B:B,'Silsbee_Schedule B'!F:F,0,FALSE)</f>
        <v/>
      </c>
      <c r="D44" s="351">
        <f>_xlfn.XLOOKUP(A44,'Q2''26 Management Fee'!B:B,'Q2''26 Management Fee'!C:C)</f>
        <v/>
      </c>
      <c r="E44" s="761">
        <f>SUMIFS(Commitment!G:G,Commitment!A:A,'Subsequent Close - OLD B4 25k'!A44)</f>
        <v/>
      </c>
      <c r="F44" s="760">
        <f>E44/$E$90</f>
        <v/>
      </c>
      <c r="G44" s="761">
        <f>E44</f>
        <v/>
      </c>
      <c r="H44" s="760">
        <f>E44/$E$86</f>
        <v/>
      </c>
      <c r="I44" s="760">
        <f>G44/$G$86</f>
        <v/>
      </c>
      <c r="J44" s="761">
        <f>-G44</f>
        <v/>
      </c>
      <c r="K44" s="760">
        <f>J44/$J$86</f>
        <v/>
      </c>
      <c r="L44" s="762" t="n"/>
      <c r="M44" s="351">
        <f>$M$3*H44</f>
        <v/>
      </c>
      <c r="N44" s="351" t="n">
        <v>-2334.64</v>
      </c>
      <c r="O44" s="351" t="n"/>
      <c r="P44" s="351">
        <f>$P$3*H44</f>
        <v/>
      </c>
      <c r="Q44" s="351" t="n">
        <v>-14445.88425451792</v>
      </c>
      <c r="R44" s="351">
        <f>SUM(M44:Q44)</f>
        <v/>
      </c>
      <c r="S44" s="761" t="n"/>
      <c r="T44" s="249">
        <f>$T$3*I44</f>
        <v/>
      </c>
      <c r="U44" s="754" t="n">
        <v>0</v>
      </c>
      <c r="V44" s="249">
        <f>N44</f>
        <v/>
      </c>
      <c r="W44" s="249">
        <f>I44*$W$3</f>
        <v/>
      </c>
      <c r="X44" s="249">
        <f>$X$3*I44</f>
        <v/>
      </c>
      <c r="Y44" s="249">
        <f>T44+W44+X44+V44+U44</f>
        <v/>
      </c>
      <c r="Z44" s="761" t="n"/>
      <c r="AA44" s="302">
        <f>T44/G44</f>
        <v/>
      </c>
      <c r="AB44" s="303">
        <f>V44/G44</f>
        <v/>
      </c>
      <c r="AC44" s="303">
        <f>W44/G44</f>
        <v/>
      </c>
      <c r="AD44" s="303">
        <f>X44/G44</f>
        <v/>
      </c>
      <c r="AE44" s="919">
        <f>AD44+AC44+AA44</f>
        <v/>
      </c>
      <c r="AF44" s="761" t="n"/>
      <c r="AG44" s="326" t="n"/>
      <c r="AH44" s="249">
        <f>-Y44+R44</f>
        <v/>
      </c>
      <c r="AI44" s="717">
        <f>_xlfn.XLOOKUP(A44,'2.10.26 Sub Close Old'!A:A,'2.10.26 Sub Close Old'!AK:AK)</f>
        <v/>
      </c>
      <c r="AJ44" s="717">
        <f>_xlfn.XLOOKUP(A44,'2.10.26 Sub Close New'!A:A,'2.10.26 Sub Close New'!AJ:AJ)</f>
        <v/>
      </c>
      <c r="AK44" s="717">
        <f>+AJ44-AI44</f>
        <v/>
      </c>
      <c r="AL44" s="717">
        <f>+AH44+AK44</f>
        <v/>
      </c>
      <c r="AM44" s="756" t="n"/>
      <c r="AN44" s="308">
        <f>+Y44</f>
        <v/>
      </c>
      <c r="AO44" s="758">
        <f>AN44/G44</f>
        <v/>
      </c>
      <c r="AP44" s="758">
        <f>AB44</f>
        <v/>
      </c>
      <c r="AQ44" s="310">
        <f>+AO44-AP44</f>
        <v/>
      </c>
      <c r="AR44" s="756" t="n"/>
      <c r="AS44" s="326" t="n"/>
      <c r="AT44" s="332">
        <f>-$AS$3*H44</f>
        <v/>
      </c>
      <c r="AU44" s="757">
        <f>AT44</f>
        <v/>
      </c>
      <c r="AV44" s="310">
        <f>AT44/R44</f>
        <v/>
      </c>
      <c r="AW44" s="756" t="n"/>
      <c r="AX44" s="326" t="n"/>
      <c r="AY44" s="332">
        <f>AT44+AH44</f>
        <v/>
      </c>
      <c r="AZ44" s="756" t="n"/>
      <c r="BA44" s="326" t="n"/>
      <c r="BB44" s="332" t="n"/>
      <c r="BC44" s="756" t="n"/>
    </row>
    <row r="45">
      <c r="A45" s="752" t="inlineStr">
        <is>
          <t>Jeffrey A. Lipsitz Revocable Trust</t>
        </is>
      </c>
      <c r="B45" s="351">
        <f>_xlfn.XLOOKUP(A45,'CLIP_Schedule B'!A:A,'CLIP_Schedule B'!E:E,0,FALSE)</f>
        <v/>
      </c>
      <c r="C45" s="351">
        <f>_xlfn.XLOOKUP(A45,'Silsbee_Schedule B'!B:B,'Silsbee_Schedule B'!F:F,0,FALSE)</f>
        <v/>
      </c>
      <c r="D45" s="351">
        <f>_xlfn.XLOOKUP(A45,'Q2''26 Management Fee'!B:B,'Q2''26 Management Fee'!C:C)</f>
        <v/>
      </c>
      <c r="E45" s="761">
        <f>SUMIFS(Commitment!G:G,Commitment!A:A,'Subsequent Close - OLD B4 25k'!A45)</f>
        <v/>
      </c>
      <c r="F45" s="760">
        <f>E45/$E$90</f>
        <v/>
      </c>
      <c r="G45" s="761">
        <f>E45</f>
        <v/>
      </c>
      <c r="H45" s="760">
        <f>E45/$E$86</f>
        <v/>
      </c>
      <c r="I45" s="760">
        <f>G45/$G$86</f>
        <v/>
      </c>
      <c r="J45" s="761">
        <f>-G45</f>
        <v/>
      </c>
      <c r="K45" s="760">
        <f>J45/$J$86</f>
        <v/>
      </c>
      <c r="L45" s="762" t="n"/>
      <c r="M45" s="351">
        <f>$M$3*H45</f>
        <v/>
      </c>
      <c r="N45" s="351" t="n">
        <v>-14701.09</v>
      </c>
      <c r="O45" s="351" t="n"/>
      <c r="P45" s="351">
        <f>$P$3*H45</f>
        <v/>
      </c>
      <c r="Q45" s="351" t="n">
        <v>-73797.32288445896</v>
      </c>
      <c r="R45" s="351">
        <f>SUM(M45:Q45)</f>
        <v/>
      </c>
      <c r="S45" s="761" t="n"/>
      <c r="T45" s="249">
        <f>$T$3*I45</f>
        <v/>
      </c>
      <c r="U45" s="754" t="n">
        <v>0</v>
      </c>
      <c r="V45" s="249">
        <f>N45</f>
        <v/>
      </c>
      <c r="W45" s="249">
        <f>I45*$W$3</f>
        <v/>
      </c>
      <c r="X45" s="249">
        <f>$X$3*I45</f>
        <v/>
      </c>
      <c r="Y45" s="249">
        <f>T45+W45+X45+V45+U45</f>
        <v/>
      </c>
      <c r="Z45" s="761" t="n"/>
      <c r="AA45" s="302">
        <f>T45/G45</f>
        <v/>
      </c>
      <c r="AB45" s="303">
        <f>V45/G45</f>
        <v/>
      </c>
      <c r="AC45" s="303">
        <f>W45/G45</f>
        <v/>
      </c>
      <c r="AD45" s="303">
        <f>X45/G45</f>
        <v/>
      </c>
      <c r="AE45" s="919">
        <f>AD45+AC45+AA45</f>
        <v/>
      </c>
      <c r="AF45" s="761" t="n"/>
      <c r="AG45" s="326" t="n"/>
      <c r="AH45" s="249">
        <f>-Y45+R45</f>
        <v/>
      </c>
      <c r="AI45" s="717">
        <f>_xlfn.XLOOKUP(A45,'2.10.26 Sub Close Old'!A:A,'2.10.26 Sub Close Old'!AK:AK)</f>
        <v/>
      </c>
      <c r="AJ45" s="717">
        <f>_xlfn.XLOOKUP(A45,'2.10.26 Sub Close New'!A:A,'2.10.26 Sub Close New'!AJ:AJ)</f>
        <v/>
      </c>
      <c r="AK45" s="717">
        <f>+AJ45-AI45</f>
        <v/>
      </c>
      <c r="AL45" s="717">
        <f>+AH45+AK45</f>
        <v/>
      </c>
      <c r="AM45" s="756" t="n"/>
      <c r="AN45" s="308">
        <f>+Y45</f>
        <v/>
      </c>
      <c r="AO45" s="758">
        <f>AN45/G45</f>
        <v/>
      </c>
      <c r="AP45" s="758">
        <f>AB45</f>
        <v/>
      </c>
      <c r="AQ45" s="310">
        <f>+AO45-AP45</f>
        <v/>
      </c>
      <c r="AR45" s="756" t="n"/>
      <c r="AS45" s="326" t="n"/>
      <c r="AT45" s="332">
        <f>-$AS$3*H45</f>
        <v/>
      </c>
      <c r="AU45" s="757">
        <f>AT45</f>
        <v/>
      </c>
      <c r="AV45" s="310">
        <f>AT45/R45</f>
        <v/>
      </c>
      <c r="AW45" s="756" t="n"/>
      <c r="AX45" s="326" t="n"/>
      <c r="AY45" s="332">
        <f>AT45+AH45</f>
        <v/>
      </c>
      <c r="AZ45" s="756" t="n"/>
      <c r="BA45" s="326" t="n"/>
      <c r="BB45" s="332" t="n"/>
      <c r="BC45" s="756" t="n"/>
    </row>
    <row r="46">
      <c r="A46" s="752" t="inlineStr">
        <is>
          <t>Jeffrey D Furber Revocable Trust</t>
        </is>
      </c>
      <c r="B46" s="351">
        <f>_xlfn.XLOOKUP(A46,'CLIP_Schedule B'!A:A,'CLIP_Schedule B'!E:E,0,FALSE)</f>
        <v/>
      </c>
      <c r="C46" s="351">
        <f>_xlfn.XLOOKUP(A46,'Silsbee_Schedule B'!B:B,'Silsbee_Schedule B'!F:F,0,FALSE)</f>
        <v/>
      </c>
      <c r="D46" s="351">
        <f>_xlfn.XLOOKUP(A46,'Q2''26 Management Fee'!B:B,'Q2''26 Management Fee'!C:C)</f>
        <v/>
      </c>
      <c r="E46" s="761">
        <f>SUMIFS(Commitment!G:G,Commitment!A:A,'Subsequent Close - OLD B4 25k'!A46)</f>
        <v/>
      </c>
      <c r="F46" s="760">
        <f>E46/$E$90</f>
        <v/>
      </c>
      <c r="G46" s="761">
        <f>E46</f>
        <v/>
      </c>
      <c r="H46" s="760">
        <f>E46/$E$86</f>
        <v/>
      </c>
      <c r="I46" s="760">
        <f>G46/$G$86</f>
        <v/>
      </c>
      <c r="J46" s="761">
        <f>-G46</f>
        <v/>
      </c>
      <c r="K46" s="760">
        <f>J46/$J$86</f>
        <v/>
      </c>
      <c r="L46" s="762" t="n"/>
      <c r="M46" s="351">
        <f>$M$3*H46</f>
        <v/>
      </c>
      <c r="N46" s="351" t="n">
        <v>-7350.54</v>
      </c>
      <c r="O46" s="351" t="n"/>
      <c r="P46" s="351">
        <f>$P$3*H46</f>
        <v/>
      </c>
      <c r="Q46" s="351" t="n">
        <v>-36898.66144222948</v>
      </c>
      <c r="R46" s="351">
        <f>SUM(M46:Q46)</f>
        <v/>
      </c>
      <c r="S46" s="761" t="n"/>
      <c r="T46" s="249">
        <f>$T$3*I46</f>
        <v/>
      </c>
      <c r="U46" s="754" t="n">
        <v>0</v>
      </c>
      <c r="V46" s="249">
        <f>N46</f>
        <v/>
      </c>
      <c r="W46" s="249">
        <f>I46*$W$3</f>
        <v/>
      </c>
      <c r="X46" s="249">
        <f>$X$3*I46</f>
        <v/>
      </c>
      <c r="Y46" s="249">
        <f>T46+W46+X46+V46+U46</f>
        <v/>
      </c>
      <c r="Z46" s="761" t="n"/>
      <c r="AA46" s="302">
        <f>T46/G46</f>
        <v/>
      </c>
      <c r="AB46" s="303">
        <f>V46/G46</f>
        <v/>
      </c>
      <c r="AC46" s="303">
        <f>W46/G46</f>
        <v/>
      </c>
      <c r="AD46" s="303">
        <f>X46/G46</f>
        <v/>
      </c>
      <c r="AE46" s="919">
        <f>AD46+AC46+AA46</f>
        <v/>
      </c>
      <c r="AF46" s="761" t="n"/>
      <c r="AG46" s="326" t="n"/>
      <c r="AH46" s="249">
        <f>-Y46+R46</f>
        <v/>
      </c>
      <c r="AI46" s="717">
        <f>_xlfn.XLOOKUP(A46,'2.10.26 Sub Close Old'!A:A,'2.10.26 Sub Close Old'!AK:AK)</f>
        <v/>
      </c>
      <c r="AJ46" s="717">
        <f>_xlfn.XLOOKUP(A46,'2.10.26 Sub Close New'!A:A,'2.10.26 Sub Close New'!AJ:AJ)</f>
        <v/>
      </c>
      <c r="AK46" s="717">
        <f>+AJ46-AI46</f>
        <v/>
      </c>
      <c r="AL46" s="717">
        <f>+AH46+AK46</f>
        <v/>
      </c>
      <c r="AM46" s="756" t="n"/>
      <c r="AN46" s="308">
        <f>+Y46</f>
        <v/>
      </c>
      <c r="AO46" s="758">
        <f>AN46/G46</f>
        <v/>
      </c>
      <c r="AP46" s="758">
        <f>AB46</f>
        <v/>
      </c>
      <c r="AQ46" s="310">
        <f>+AO46-AP46</f>
        <v/>
      </c>
      <c r="AR46" s="756" t="n"/>
      <c r="AS46" s="326" t="n"/>
      <c r="AT46" s="332">
        <f>-$AS$3*H46</f>
        <v/>
      </c>
      <c r="AU46" s="757">
        <f>AT46</f>
        <v/>
      </c>
      <c r="AV46" s="310">
        <f>AT46/R46</f>
        <v/>
      </c>
      <c r="AW46" s="756" t="n"/>
      <c r="AX46" s="326" t="n"/>
      <c r="AY46" s="332">
        <f>AT46+AH46</f>
        <v/>
      </c>
      <c r="AZ46" s="756" t="n"/>
      <c r="BA46" s="326" t="n"/>
      <c r="BB46" s="332" t="n"/>
      <c r="BC46" s="756" t="n"/>
    </row>
    <row r="47">
      <c r="A47" s="752" t="inlineStr">
        <is>
          <t>Jeremy M. Jacobs Trust U/A/D April 1, 1973 fbo Margaret L. Reichenback</t>
        </is>
      </c>
      <c r="B47" s="351">
        <f>_xlfn.XLOOKUP(A47,'CLIP_Schedule B'!A:A,'CLIP_Schedule B'!E:E,0,FALSE)</f>
        <v/>
      </c>
      <c r="C47" s="351">
        <f>_xlfn.XLOOKUP(A47,'Silsbee_Schedule B'!B:B,'Silsbee_Schedule B'!F:F,0,FALSE)</f>
        <v/>
      </c>
      <c r="D47" s="351">
        <f>_xlfn.XLOOKUP(A47,'Q2''26 Management Fee'!B:B,'Q2''26 Management Fee'!C:C)</f>
        <v/>
      </c>
      <c r="E47" s="761">
        <f>SUMIFS(Commitment!G:G,Commitment!A:A,'Subsequent Close - OLD B4 25k'!A47)</f>
        <v/>
      </c>
      <c r="F47" s="760">
        <f>E47/$E$90</f>
        <v/>
      </c>
      <c r="G47" s="761">
        <f>E47</f>
        <v/>
      </c>
      <c r="H47" s="760">
        <f>E47/$E$86</f>
        <v/>
      </c>
      <c r="I47" s="760">
        <f>G47/$G$86</f>
        <v/>
      </c>
      <c r="J47" s="761">
        <f>-G47</f>
        <v/>
      </c>
      <c r="K47" s="760">
        <f>J47/$J$86</f>
        <v/>
      </c>
      <c r="L47" s="762" t="n"/>
      <c r="M47" s="351">
        <f>$M$3*H47</f>
        <v/>
      </c>
      <c r="N47" s="351" t="n">
        <v>-22051.63</v>
      </c>
      <c r="O47" s="351" t="n"/>
      <c r="P47" s="351">
        <f>$P$3*H47</f>
        <v/>
      </c>
      <c r="Q47" s="351" t="n">
        <v>-110695.9843266884</v>
      </c>
      <c r="R47" s="351">
        <f>SUM(M47:Q47)</f>
        <v/>
      </c>
      <c r="S47" s="761" t="n"/>
      <c r="T47" s="249">
        <f>$T$3*I47</f>
        <v/>
      </c>
      <c r="U47" s="754" t="n">
        <v>0</v>
      </c>
      <c r="V47" s="249">
        <f>N47</f>
        <v/>
      </c>
      <c r="W47" s="249">
        <f>I47*$W$3</f>
        <v/>
      </c>
      <c r="X47" s="249">
        <f>$X$3*I47</f>
        <v/>
      </c>
      <c r="Y47" s="249">
        <f>T47+W47+X47+V47+U47</f>
        <v/>
      </c>
      <c r="Z47" s="761" t="n"/>
      <c r="AA47" s="302">
        <f>T47/G47</f>
        <v/>
      </c>
      <c r="AB47" s="303">
        <f>V47/G47</f>
        <v/>
      </c>
      <c r="AC47" s="303">
        <f>W47/G47</f>
        <v/>
      </c>
      <c r="AD47" s="303">
        <f>X47/G47</f>
        <v/>
      </c>
      <c r="AE47" s="919">
        <f>AD47+AC47+AA47</f>
        <v/>
      </c>
      <c r="AF47" s="761" t="n"/>
      <c r="AG47" s="326" t="n"/>
      <c r="AH47" s="249">
        <f>-Y47+R47</f>
        <v/>
      </c>
      <c r="AI47" s="717">
        <f>_xlfn.XLOOKUP(A47,'2.10.26 Sub Close Old'!A:A,'2.10.26 Sub Close Old'!AK:AK)</f>
        <v/>
      </c>
      <c r="AJ47" s="717">
        <f>_xlfn.XLOOKUP(A47,'2.10.26 Sub Close New'!A:A,'2.10.26 Sub Close New'!AJ:AJ)</f>
        <v/>
      </c>
      <c r="AK47" s="717">
        <f>+AJ47-AI47</f>
        <v/>
      </c>
      <c r="AL47" s="717">
        <f>+AH47+AK47</f>
        <v/>
      </c>
      <c r="AM47" s="756" t="n"/>
      <c r="AN47" s="308">
        <f>+Y47</f>
        <v/>
      </c>
      <c r="AO47" s="758">
        <f>AN47/G47</f>
        <v/>
      </c>
      <c r="AP47" s="758">
        <f>AB47</f>
        <v/>
      </c>
      <c r="AQ47" s="310">
        <f>+AO47-AP47</f>
        <v/>
      </c>
      <c r="AR47" s="756" t="n"/>
      <c r="AS47" s="326" t="n"/>
      <c r="AT47" s="332">
        <f>-$AS$3*H47</f>
        <v/>
      </c>
      <c r="AU47" s="757">
        <f>AT47</f>
        <v/>
      </c>
      <c r="AV47" s="310">
        <f>AT47/R47</f>
        <v/>
      </c>
      <c r="AW47" s="756" t="n"/>
      <c r="AX47" s="326" t="n"/>
      <c r="AY47" s="332">
        <f>AT47+AH47</f>
        <v/>
      </c>
      <c r="AZ47" s="756" t="n"/>
      <c r="BA47" s="326" t="n"/>
      <c r="BB47" s="332" t="n"/>
      <c r="BC47" s="756" t="n"/>
    </row>
    <row r="48">
      <c r="A48" s="752" t="inlineStr">
        <is>
          <t>John Mark Comer</t>
        </is>
      </c>
      <c r="B48" s="351">
        <f>_xlfn.XLOOKUP(A48,'CLIP_Schedule B'!A:A,'CLIP_Schedule B'!E:E,0,FALSE)</f>
        <v/>
      </c>
      <c r="C48" s="351">
        <f>_xlfn.XLOOKUP(A48,'Silsbee_Schedule B'!B:B,'Silsbee_Schedule B'!F:F,0,FALSE)</f>
        <v/>
      </c>
      <c r="D48" s="351">
        <f>_xlfn.XLOOKUP(A48,'Q2''26 Management Fee'!B:B,'Q2''26 Management Fee'!C:C)</f>
        <v/>
      </c>
      <c r="E48" s="761">
        <f>SUMIFS(Commitment!G:G,Commitment!A:A,'Subsequent Close - OLD B4 25k'!A48)</f>
        <v/>
      </c>
      <c r="F48" s="760">
        <f>E48/$E$90</f>
        <v/>
      </c>
      <c r="G48" s="761">
        <f>E48</f>
        <v/>
      </c>
      <c r="H48" s="760">
        <f>E48/$E$86</f>
        <v/>
      </c>
      <c r="I48" s="760">
        <f>G48/$G$86</f>
        <v/>
      </c>
      <c r="J48" s="761">
        <f>-G48</f>
        <v/>
      </c>
      <c r="K48" s="760">
        <f>J48/$J$86</f>
        <v/>
      </c>
      <c r="L48" s="762" t="n"/>
      <c r="M48" s="351">
        <f>$M$3*H48</f>
        <v/>
      </c>
      <c r="N48" s="351" t="n">
        <v>-2205.16</v>
      </c>
      <c r="O48" s="351" t="n"/>
      <c r="P48" s="351">
        <f>$P$3*H48</f>
        <v/>
      </c>
      <c r="Q48" s="351" t="n">
        <v>-7379.732288445896</v>
      </c>
      <c r="R48" s="351">
        <f>SUM(M48:Q48)</f>
        <v/>
      </c>
      <c r="S48" s="761" t="n"/>
      <c r="T48" s="249">
        <f>$T$3*I48</f>
        <v/>
      </c>
      <c r="U48" s="754" t="n">
        <v>0</v>
      </c>
      <c r="V48" s="249">
        <f>N48</f>
        <v/>
      </c>
      <c r="W48" s="249">
        <f>I48*$W$3</f>
        <v/>
      </c>
      <c r="X48" s="249">
        <f>$X$3*I48</f>
        <v/>
      </c>
      <c r="Y48" s="249">
        <f>T48+W48+X48+V48+U48</f>
        <v/>
      </c>
      <c r="Z48" s="761" t="n"/>
      <c r="AA48" s="302">
        <f>T48/G48</f>
        <v/>
      </c>
      <c r="AB48" s="303">
        <f>V48/G48</f>
        <v/>
      </c>
      <c r="AC48" s="303">
        <f>W48/G48</f>
        <v/>
      </c>
      <c r="AD48" s="303">
        <f>X48/G48</f>
        <v/>
      </c>
      <c r="AE48" s="919">
        <f>AD48+AC48+AA48</f>
        <v/>
      </c>
      <c r="AF48" s="761" t="n"/>
      <c r="AG48" s="326" t="n"/>
      <c r="AH48" s="249">
        <f>-Y48+R48</f>
        <v/>
      </c>
      <c r="AI48" s="717">
        <f>_xlfn.XLOOKUP(A48,'2.10.26 Sub Close Old'!A:A,'2.10.26 Sub Close Old'!AK:AK)</f>
        <v/>
      </c>
      <c r="AJ48" s="717">
        <f>_xlfn.XLOOKUP(A48,'2.10.26 Sub Close New'!A:A,'2.10.26 Sub Close New'!AJ:AJ)</f>
        <v/>
      </c>
      <c r="AK48" s="717">
        <f>+AJ48-AI48</f>
        <v/>
      </c>
      <c r="AL48" s="717">
        <f>+AH48+AK48</f>
        <v/>
      </c>
      <c r="AM48" s="756" t="n"/>
      <c r="AN48" s="308">
        <f>+Y48</f>
        <v/>
      </c>
      <c r="AO48" s="758">
        <f>AN48/G48</f>
        <v/>
      </c>
      <c r="AP48" s="758">
        <f>AB48</f>
        <v/>
      </c>
      <c r="AQ48" s="310">
        <f>+AO48-AP48</f>
        <v/>
      </c>
      <c r="AR48" s="756" t="n"/>
      <c r="AS48" s="326" t="n"/>
      <c r="AT48" s="332">
        <f>-$AS$3*H48</f>
        <v/>
      </c>
      <c r="AU48" s="757">
        <f>AT48</f>
        <v/>
      </c>
      <c r="AV48" s="310">
        <f>AT48/R48</f>
        <v/>
      </c>
      <c r="AW48" s="756" t="n"/>
      <c r="AX48" s="326" t="n"/>
      <c r="AY48" s="332">
        <f>AT48+AH48</f>
        <v/>
      </c>
      <c r="AZ48" s="756" t="n"/>
      <c r="BA48" s="326" t="n"/>
      <c r="BB48" s="332" t="n"/>
      <c r="BC48" s="756" t="n"/>
    </row>
    <row r="49">
      <c r="A49" s="752" t="inlineStr">
        <is>
          <t>Landscape I, LP</t>
        </is>
      </c>
      <c r="B49" s="351">
        <f>_xlfn.XLOOKUP(A49,'CLIP_Schedule B'!A:A,'CLIP_Schedule B'!E:E,0,FALSE)</f>
        <v/>
      </c>
      <c r="C49" s="351">
        <f>_xlfn.XLOOKUP(A49,'Silsbee_Schedule B'!B:B,'Silsbee_Schedule B'!F:F,0,FALSE)</f>
        <v/>
      </c>
      <c r="D49" s="351">
        <f>_xlfn.XLOOKUP(A49,'Q2''26 Management Fee'!B:B,'Q2''26 Management Fee'!C:C)</f>
        <v/>
      </c>
      <c r="E49" s="761">
        <f>SUMIFS(Commitment!G:G,Commitment!A:A,'Subsequent Close - OLD B4 25k'!A49)</f>
        <v/>
      </c>
      <c r="F49" s="760">
        <f>E49/$E$90</f>
        <v/>
      </c>
      <c r="G49" s="761">
        <f>E49</f>
        <v/>
      </c>
      <c r="H49" s="760">
        <f>E49/$E$86</f>
        <v/>
      </c>
      <c r="I49" s="760">
        <f>G49/$G$86</f>
        <v/>
      </c>
      <c r="J49" s="761">
        <f>-G49</f>
        <v/>
      </c>
      <c r="K49" s="760">
        <f>J49/$J$86</f>
        <v/>
      </c>
      <c r="L49" s="762" t="n"/>
      <c r="M49" s="351">
        <f>$M$3*H49</f>
        <v/>
      </c>
      <c r="N49" s="351" t="n">
        <v>-11025.82</v>
      </c>
      <c r="O49" s="351" t="n"/>
      <c r="P49" s="351">
        <f>$P$3*H49</f>
        <v/>
      </c>
      <c r="Q49" s="351" t="n">
        <v>-55347.99216334422</v>
      </c>
      <c r="R49" s="351">
        <f>SUM(M49:Q49)</f>
        <v/>
      </c>
      <c r="S49" s="761" t="n"/>
      <c r="T49" s="249">
        <f>$T$3*I49</f>
        <v/>
      </c>
      <c r="U49" s="754" t="n">
        <v>0</v>
      </c>
      <c r="V49" s="249">
        <f>N49</f>
        <v/>
      </c>
      <c r="W49" s="249">
        <f>I49*$W$3</f>
        <v/>
      </c>
      <c r="X49" s="249">
        <f>$X$3*I49</f>
        <v/>
      </c>
      <c r="Y49" s="249">
        <f>T49+W49+X49+V49+U49</f>
        <v/>
      </c>
      <c r="Z49" s="761" t="n"/>
      <c r="AA49" s="302">
        <f>T49/G49</f>
        <v/>
      </c>
      <c r="AB49" s="303">
        <f>V49/G49</f>
        <v/>
      </c>
      <c r="AC49" s="303">
        <f>W49/G49</f>
        <v/>
      </c>
      <c r="AD49" s="303">
        <f>X49/G49</f>
        <v/>
      </c>
      <c r="AE49" s="919">
        <f>AD49+AC49+AA49</f>
        <v/>
      </c>
      <c r="AF49" s="761" t="n"/>
      <c r="AG49" s="326" t="n"/>
      <c r="AH49" s="249">
        <f>-Y49+R49</f>
        <v/>
      </c>
      <c r="AI49" s="717">
        <f>_xlfn.XLOOKUP(A49,'2.10.26 Sub Close Old'!A:A,'2.10.26 Sub Close Old'!AK:AK)</f>
        <v/>
      </c>
      <c r="AJ49" s="717">
        <f>_xlfn.XLOOKUP(A49,'2.10.26 Sub Close New'!A:A,'2.10.26 Sub Close New'!AJ:AJ)</f>
        <v/>
      </c>
      <c r="AK49" s="717">
        <f>+AJ49-AI49</f>
        <v/>
      </c>
      <c r="AL49" s="717">
        <f>+AH49+AK49</f>
        <v/>
      </c>
      <c r="AM49" s="756" t="n"/>
      <c r="AN49" s="308">
        <f>+Y49</f>
        <v/>
      </c>
      <c r="AO49" s="758">
        <f>AN49/G49</f>
        <v/>
      </c>
      <c r="AP49" s="758">
        <f>AB49</f>
        <v/>
      </c>
      <c r="AQ49" s="310">
        <f>+AO49-AP49</f>
        <v/>
      </c>
      <c r="AR49" s="756" t="n"/>
      <c r="AS49" s="326" t="n"/>
      <c r="AT49" s="332">
        <f>-$AS$3*H49</f>
        <v/>
      </c>
      <c r="AU49" s="757">
        <f>AT49</f>
        <v/>
      </c>
      <c r="AV49" s="310">
        <f>AT49/R49</f>
        <v/>
      </c>
      <c r="AW49" s="756" t="n"/>
      <c r="AX49" s="326" t="n"/>
      <c r="AY49" s="332">
        <f>AT49+AH49</f>
        <v/>
      </c>
      <c r="AZ49" s="756" t="n"/>
      <c r="BA49" s="326" t="n"/>
      <c r="BB49" s="332" t="n"/>
      <c r="BC49" s="756" t="n"/>
    </row>
    <row r="50">
      <c r="A50" s="752" t="inlineStr">
        <is>
          <t>Lisa Bell Trust, Elisabeth B. Bell, Trustee</t>
        </is>
      </c>
      <c r="B50" s="351">
        <f>_xlfn.XLOOKUP(A50,'CLIP_Schedule B'!A:A,'CLIP_Schedule B'!E:E,0,FALSE)</f>
        <v/>
      </c>
      <c r="C50" s="351">
        <f>_xlfn.XLOOKUP(A50,'Silsbee_Schedule B'!B:B,'Silsbee_Schedule B'!F:F,0,FALSE)</f>
        <v/>
      </c>
      <c r="D50" s="351">
        <f>_xlfn.XLOOKUP(A50,'Q2''26 Management Fee'!B:B,'Q2''26 Management Fee'!C:C)</f>
        <v/>
      </c>
      <c r="E50" s="761">
        <f>SUMIFS(Commitment!G:G,Commitment!A:A,'Subsequent Close - OLD B4 25k'!A50)</f>
        <v/>
      </c>
      <c r="F50" s="760">
        <f>E50/$E$90</f>
        <v/>
      </c>
      <c r="G50" s="761">
        <f>E50</f>
        <v/>
      </c>
      <c r="H50" s="760">
        <f>E50/$E$86</f>
        <v/>
      </c>
      <c r="I50" s="760">
        <f>G50/$G$86</f>
        <v/>
      </c>
      <c r="J50" s="761">
        <f>-G50</f>
        <v/>
      </c>
      <c r="K50" s="760">
        <f>J50/$J$86</f>
        <v/>
      </c>
      <c r="L50" s="762" t="n"/>
      <c r="M50" s="351">
        <f>$M$3*H50</f>
        <v/>
      </c>
      <c r="N50" s="351" t="n">
        <v>-2801.56</v>
      </c>
      <c r="O50" s="351" t="n"/>
      <c r="P50" s="351">
        <f>$P$3*H50</f>
        <v/>
      </c>
      <c r="Q50" s="351" t="n">
        <v>-17335.06125301615</v>
      </c>
      <c r="R50" s="351">
        <f>SUM(M50:Q50)</f>
        <v/>
      </c>
      <c r="S50" s="761" t="n"/>
      <c r="T50" s="249">
        <f>$T$3*I50</f>
        <v/>
      </c>
      <c r="U50" s="754" t="n">
        <v>0</v>
      </c>
      <c r="V50" s="249">
        <f>N50</f>
        <v/>
      </c>
      <c r="W50" s="249">
        <f>I50*$W$3</f>
        <v/>
      </c>
      <c r="X50" s="249">
        <f>$X$3*I50</f>
        <v/>
      </c>
      <c r="Y50" s="249">
        <f>T50+W50+X50+V50+U50</f>
        <v/>
      </c>
      <c r="Z50" s="761" t="n"/>
      <c r="AA50" s="302">
        <f>T50/G50</f>
        <v/>
      </c>
      <c r="AB50" s="303">
        <f>V50/G50</f>
        <v/>
      </c>
      <c r="AC50" s="303">
        <f>W50/G50</f>
        <v/>
      </c>
      <c r="AD50" s="303">
        <f>X50/G50</f>
        <v/>
      </c>
      <c r="AE50" s="919">
        <f>AD50+AC50+AA50</f>
        <v/>
      </c>
      <c r="AF50" s="761" t="n"/>
      <c r="AG50" s="326" t="n"/>
      <c r="AH50" s="249">
        <f>-Y50+R50</f>
        <v/>
      </c>
      <c r="AI50" s="717">
        <f>_xlfn.XLOOKUP(A50,'2.10.26 Sub Close Old'!A:A,'2.10.26 Sub Close Old'!AK:AK)</f>
        <v/>
      </c>
      <c r="AJ50" s="717">
        <f>_xlfn.XLOOKUP(A50,'2.10.26 Sub Close New'!A:A,'2.10.26 Sub Close New'!AJ:AJ)</f>
        <v/>
      </c>
      <c r="AK50" s="717">
        <f>+AJ50-AI50</f>
        <v/>
      </c>
      <c r="AL50" s="717">
        <f>+AH50+AK50</f>
        <v/>
      </c>
      <c r="AM50" s="756" t="n"/>
      <c r="AN50" s="308">
        <f>+Y50</f>
        <v/>
      </c>
      <c r="AO50" s="758">
        <f>AN50/G50</f>
        <v/>
      </c>
      <c r="AP50" s="758">
        <f>AB50</f>
        <v/>
      </c>
      <c r="AQ50" s="310">
        <f>+AO50-AP50</f>
        <v/>
      </c>
      <c r="AR50" s="756" t="n"/>
      <c r="AS50" s="326" t="n"/>
      <c r="AT50" s="332">
        <f>-$AS$3*H50</f>
        <v/>
      </c>
      <c r="AU50" s="757">
        <f>AT50</f>
        <v/>
      </c>
      <c r="AV50" s="310">
        <f>AT50/R50</f>
        <v/>
      </c>
      <c r="AW50" s="756" t="n"/>
      <c r="AX50" s="326" t="n"/>
      <c r="AY50" s="332">
        <f>AT50+AH50</f>
        <v/>
      </c>
      <c r="AZ50" s="756" t="n"/>
      <c r="BA50" s="326" t="n"/>
      <c r="BB50" s="332" t="n"/>
      <c r="BC50" s="756" t="n"/>
    </row>
    <row r="51">
      <c r="A51" s="752" t="inlineStr">
        <is>
          <t>Madten Investments LLC</t>
        </is>
      </c>
      <c r="B51" s="351">
        <f>_xlfn.XLOOKUP(A51,'CLIP_Schedule B'!A:A,'CLIP_Schedule B'!E:E,0,FALSE)</f>
        <v/>
      </c>
      <c r="C51" s="351">
        <f>_xlfn.XLOOKUP(A51,'Silsbee_Schedule B'!B:B,'Silsbee_Schedule B'!F:F,0,FALSE)</f>
        <v/>
      </c>
      <c r="D51" s="351">
        <f>_xlfn.XLOOKUP(A51,'Q2''26 Management Fee'!B:B,'Q2''26 Management Fee'!C:C)</f>
        <v/>
      </c>
      <c r="E51" s="761">
        <f>SUMIFS(Commitment!G:G,Commitment!A:A,'Subsequent Close - OLD B4 25k'!A51)</f>
        <v/>
      </c>
      <c r="F51" s="760">
        <f>E51/$E$90</f>
        <v/>
      </c>
      <c r="G51" s="761">
        <f>E51</f>
        <v/>
      </c>
      <c r="H51" s="760">
        <f>E51/$E$86</f>
        <v/>
      </c>
      <c r="I51" s="760">
        <f>G51/$G$86</f>
        <v/>
      </c>
      <c r="J51" s="761">
        <f>-G51</f>
        <v/>
      </c>
      <c r="K51" s="760">
        <f>J51/$J$86</f>
        <v/>
      </c>
      <c r="L51" s="762" t="n"/>
      <c r="M51" s="351">
        <f>$M$3*H51</f>
        <v/>
      </c>
      <c r="N51" s="351" t="n">
        <v>-14701.09</v>
      </c>
      <c r="O51" s="351" t="n"/>
      <c r="P51" s="351">
        <f>$P$3*H51</f>
        <v/>
      </c>
      <c r="Q51" s="351" t="n">
        <v>-73797.32288445896</v>
      </c>
      <c r="R51" s="351">
        <f>SUM(M51:Q51)</f>
        <v/>
      </c>
      <c r="S51" s="761" t="n"/>
      <c r="T51" s="249">
        <f>$T$3*I51</f>
        <v/>
      </c>
      <c r="U51" s="754" t="n">
        <v>0</v>
      </c>
      <c r="V51" s="249">
        <f>N51</f>
        <v/>
      </c>
      <c r="W51" s="249">
        <f>I51*$W$3</f>
        <v/>
      </c>
      <c r="X51" s="249">
        <f>$X$3*I51</f>
        <v/>
      </c>
      <c r="Y51" s="249">
        <f>T51+W51+X51+V51+U51</f>
        <v/>
      </c>
      <c r="Z51" s="761" t="n"/>
      <c r="AA51" s="302">
        <f>T51/G51</f>
        <v/>
      </c>
      <c r="AB51" s="303">
        <f>V51/G51</f>
        <v/>
      </c>
      <c r="AC51" s="303">
        <f>W51/G51</f>
        <v/>
      </c>
      <c r="AD51" s="303">
        <f>X51/G51</f>
        <v/>
      </c>
      <c r="AE51" s="919">
        <f>AD51+AC51+AA51</f>
        <v/>
      </c>
      <c r="AF51" s="761" t="n"/>
      <c r="AG51" s="326" t="n"/>
      <c r="AH51" s="249">
        <f>-Y51+R51</f>
        <v/>
      </c>
      <c r="AI51" s="717">
        <f>_xlfn.XLOOKUP(A51,'2.10.26 Sub Close Old'!A:A,'2.10.26 Sub Close Old'!AK:AK)</f>
        <v/>
      </c>
      <c r="AJ51" s="717">
        <f>_xlfn.XLOOKUP(A51,'2.10.26 Sub Close New'!A:A,'2.10.26 Sub Close New'!AJ:AJ)</f>
        <v/>
      </c>
      <c r="AK51" s="717">
        <f>+AJ51-AI51</f>
        <v/>
      </c>
      <c r="AL51" s="717">
        <f>+AH51+AK51</f>
        <v/>
      </c>
      <c r="AM51" s="756" t="n"/>
      <c r="AN51" s="308">
        <f>+Y51</f>
        <v/>
      </c>
      <c r="AO51" s="758">
        <f>AN51/G51</f>
        <v/>
      </c>
      <c r="AP51" s="758">
        <f>AB51</f>
        <v/>
      </c>
      <c r="AQ51" s="310">
        <f>+AO51-AP51</f>
        <v/>
      </c>
      <c r="AR51" s="756" t="n"/>
      <c r="AS51" s="326" t="n"/>
      <c r="AT51" s="332">
        <f>-$AS$3*H51</f>
        <v/>
      </c>
      <c r="AU51" s="757">
        <f>AT51</f>
        <v/>
      </c>
      <c r="AV51" s="310">
        <f>AT51/R51</f>
        <v/>
      </c>
      <c r="AW51" s="756" t="n"/>
      <c r="AX51" s="326" t="n"/>
      <c r="AY51" s="332">
        <f>AT51+AH51</f>
        <v/>
      </c>
      <c r="AZ51" s="756" t="n"/>
      <c r="BA51" s="326" t="n"/>
      <c r="BB51" s="332" t="n"/>
      <c r="BC51" s="756" t="n"/>
    </row>
    <row r="52">
      <c r="A52" s="752" t="inlineStr">
        <is>
          <t>Matt McCoy</t>
        </is>
      </c>
      <c r="B52" s="351">
        <f>_xlfn.XLOOKUP(A52,'CLIP_Schedule B'!A:A,'CLIP_Schedule B'!E:E,0,FALSE)</f>
        <v/>
      </c>
      <c r="C52" s="351">
        <f>_xlfn.XLOOKUP(A52,'Silsbee_Schedule B'!B:B,'Silsbee_Schedule B'!F:F,0,FALSE)</f>
        <v/>
      </c>
      <c r="D52" s="351">
        <f>_xlfn.XLOOKUP(A52,'Q2''26 Management Fee'!B:B,'Q2''26 Management Fee'!C:C)</f>
        <v/>
      </c>
      <c r="E52" s="761">
        <f>SUMIFS(Commitment!G:G,Commitment!A:A,'Subsequent Close - OLD B4 25k'!A52)</f>
        <v/>
      </c>
      <c r="F52" s="760">
        <f>E52/$E$90</f>
        <v/>
      </c>
      <c r="G52" s="761">
        <f>E52</f>
        <v/>
      </c>
      <c r="H52" s="760">
        <f>E52/$E$86</f>
        <v/>
      </c>
      <c r="I52" s="760">
        <f>G52/$G$86</f>
        <v/>
      </c>
      <c r="J52" s="761">
        <f>-G52</f>
        <v/>
      </c>
      <c r="K52" s="760">
        <f>J52/$J$86</f>
        <v/>
      </c>
      <c r="L52" s="762" t="n"/>
      <c r="M52" s="351">
        <f>$M$3*H52</f>
        <v/>
      </c>
      <c r="N52" s="351" t="n">
        <v>-1400.77</v>
      </c>
      <c r="O52" s="351" t="n"/>
      <c r="P52" s="351">
        <f>$P$3*H52</f>
        <v/>
      </c>
      <c r="Q52" s="351" t="n">
        <v>-8667.530257521459</v>
      </c>
      <c r="R52" s="351">
        <f>SUM(M52:Q52)</f>
        <v/>
      </c>
      <c r="S52" s="761" t="n"/>
      <c r="T52" s="249">
        <f>$T$3*I52</f>
        <v/>
      </c>
      <c r="U52" s="754" t="n">
        <v>0</v>
      </c>
      <c r="V52" s="249">
        <f>N52</f>
        <v/>
      </c>
      <c r="W52" s="249">
        <f>I52*$W$3</f>
        <v/>
      </c>
      <c r="X52" s="249">
        <f>$X$3*I52</f>
        <v/>
      </c>
      <c r="Y52" s="249">
        <f>T52+W52+X52+V52+U52</f>
        <v/>
      </c>
      <c r="Z52" s="761" t="n"/>
      <c r="AA52" s="302">
        <f>T52/G52</f>
        <v/>
      </c>
      <c r="AB52" s="303">
        <f>V52/G52</f>
        <v/>
      </c>
      <c r="AC52" s="303">
        <f>W52/G52</f>
        <v/>
      </c>
      <c r="AD52" s="303">
        <f>X52/G52</f>
        <v/>
      </c>
      <c r="AE52" s="919">
        <f>AD52+AC52+AA52</f>
        <v/>
      </c>
      <c r="AF52" s="761" t="n"/>
      <c r="AG52" s="326" t="n"/>
      <c r="AH52" s="249">
        <f>-Y52+R52</f>
        <v/>
      </c>
      <c r="AI52" s="717">
        <f>_xlfn.XLOOKUP(A52,'2.10.26 Sub Close Old'!A:A,'2.10.26 Sub Close Old'!AK:AK)</f>
        <v/>
      </c>
      <c r="AJ52" s="717">
        <f>_xlfn.XLOOKUP(A52,'2.10.26 Sub Close New'!A:A,'2.10.26 Sub Close New'!AJ:AJ)</f>
        <v/>
      </c>
      <c r="AK52" s="717">
        <f>+AJ52-AI52</f>
        <v/>
      </c>
      <c r="AL52" s="717">
        <f>+AH52+AK52</f>
        <v/>
      </c>
      <c r="AM52" s="756" t="n"/>
      <c r="AN52" s="308">
        <f>+Y52</f>
        <v/>
      </c>
      <c r="AO52" s="758">
        <f>AN52/G52</f>
        <v/>
      </c>
      <c r="AP52" s="758">
        <f>AB52</f>
        <v/>
      </c>
      <c r="AQ52" s="310">
        <f>+AO52-AP52</f>
        <v/>
      </c>
      <c r="AR52" s="756" t="n"/>
      <c r="AS52" s="326" t="n"/>
      <c r="AT52" s="332">
        <f>-$AS$3*H52</f>
        <v/>
      </c>
      <c r="AU52" s="757">
        <f>AT52</f>
        <v/>
      </c>
      <c r="AV52" s="310">
        <f>AT52/R52</f>
        <v/>
      </c>
      <c r="AW52" s="756" t="n"/>
      <c r="AX52" s="326" t="n"/>
      <c r="AY52" s="332">
        <f>AT52+AH52</f>
        <v/>
      </c>
      <c r="AZ52" s="756" t="n"/>
      <c r="BA52" s="326" t="n"/>
      <c r="BB52" s="332" t="n"/>
      <c r="BC52" s="756" t="n"/>
    </row>
    <row r="53">
      <c r="A53" s="752" t="inlineStr">
        <is>
          <t>Matterhorn Holdings, LLC</t>
        </is>
      </c>
      <c r="B53" s="351">
        <f>_xlfn.XLOOKUP(A53,'CLIP_Schedule B'!A:A,'CLIP_Schedule B'!E:E,0,FALSE)</f>
        <v/>
      </c>
      <c r="C53" s="351">
        <f>_xlfn.XLOOKUP(A53,'Silsbee_Schedule B'!B:B,'Silsbee_Schedule B'!F:F,0,FALSE)</f>
        <v/>
      </c>
      <c r="D53" s="351">
        <f>_xlfn.XLOOKUP(A53,'Q2''26 Management Fee'!B:B,'Q2''26 Management Fee'!C:C)</f>
        <v/>
      </c>
      <c r="E53" s="761">
        <f>SUMIFS(Commitment!G:G,Commitment!A:A,'Subsequent Close - OLD B4 25k'!A53)</f>
        <v/>
      </c>
      <c r="F53" s="760">
        <f>E53/$E$90</f>
        <v/>
      </c>
      <c r="G53" s="761">
        <f>E53</f>
        <v/>
      </c>
      <c r="H53" s="760">
        <f>E53/$E$86</f>
        <v/>
      </c>
      <c r="I53" s="760">
        <f>G53/$G$86</f>
        <v/>
      </c>
      <c r="J53" s="761">
        <f>-G53</f>
        <v/>
      </c>
      <c r="K53" s="760">
        <f>J53/$J$86</f>
        <v/>
      </c>
      <c r="L53" s="762" t="n"/>
      <c r="M53" s="351">
        <f>$M$3*H53</f>
        <v/>
      </c>
      <c r="N53" s="351" t="n">
        <v>-2205.16</v>
      </c>
      <c r="O53" s="351" t="n"/>
      <c r="P53" s="351">
        <f>$P$3*H53</f>
        <v/>
      </c>
      <c r="Q53" s="351" t="n">
        <v>-7379.732288445896</v>
      </c>
      <c r="R53" s="351">
        <f>SUM(M53:Q53)</f>
        <v/>
      </c>
      <c r="S53" s="761" t="n"/>
      <c r="T53" s="249">
        <f>$T$3*I53</f>
        <v/>
      </c>
      <c r="U53" s="754" t="n">
        <v>0</v>
      </c>
      <c r="V53" s="249">
        <f>N53</f>
        <v/>
      </c>
      <c r="W53" s="249">
        <f>I53*$W$3</f>
        <v/>
      </c>
      <c r="X53" s="249">
        <f>$X$3*I53</f>
        <v/>
      </c>
      <c r="Y53" s="249">
        <f>T53+W53+X53+V53+U53</f>
        <v/>
      </c>
      <c r="Z53" s="761" t="n"/>
      <c r="AA53" s="302">
        <f>T53/G53</f>
        <v/>
      </c>
      <c r="AB53" s="303">
        <f>V53/G53</f>
        <v/>
      </c>
      <c r="AC53" s="303">
        <f>W53/G53</f>
        <v/>
      </c>
      <c r="AD53" s="303">
        <f>X53/G53</f>
        <v/>
      </c>
      <c r="AE53" s="919">
        <f>AD53+AC53+AA53</f>
        <v/>
      </c>
      <c r="AF53" s="761" t="n"/>
      <c r="AG53" s="326" t="n"/>
      <c r="AH53" s="249">
        <f>-Y53+R53</f>
        <v/>
      </c>
      <c r="AI53" s="717">
        <f>_xlfn.XLOOKUP(A53,'2.10.26 Sub Close Old'!A:A,'2.10.26 Sub Close Old'!AK:AK)</f>
        <v/>
      </c>
      <c r="AJ53" s="717">
        <f>_xlfn.XLOOKUP(A53,'2.10.26 Sub Close New'!A:A,'2.10.26 Sub Close New'!AJ:AJ)</f>
        <v/>
      </c>
      <c r="AK53" s="717">
        <f>+AJ53-AI53</f>
        <v/>
      </c>
      <c r="AL53" s="717">
        <f>+AH53+AK53</f>
        <v/>
      </c>
      <c r="AM53" s="756" t="n"/>
      <c r="AN53" s="308">
        <f>+Y53</f>
        <v/>
      </c>
      <c r="AO53" s="758">
        <f>AN53/G53</f>
        <v/>
      </c>
      <c r="AP53" s="758">
        <f>AB53</f>
        <v/>
      </c>
      <c r="AQ53" s="310">
        <f>+AO53-AP53</f>
        <v/>
      </c>
      <c r="AR53" s="756" t="n"/>
      <c r="AS53" s="326" t="n"/>
      <c r="AT53" s="332">
        <f>-$AS$3*H53</f>
        <v/>
      </c>
      <c r="AU53" s="757">
        <f>AT53</f>
        <v/>
      </c>
      <c r="AV53" s="310">
        <f>AT53/R53</f>
        <v/>
      </c>
      <c r="AW53" s="756" t="n"/>
      <c r="AX53" s="326" t="n"/>
      <c r="AY53" s="332">
        <f>AT53+AH53</f>
        <v/>
      </c>
      <c r="AZ53" s="756" t="n"/>
      <c r="BA53" s="326" t="n"/>
      <c r="BB53" s="332" t="n"/>
      <c r="BC53" s="756" t="n"/>
    </row>
    <row r="54">
      <c r="A54" s="752" t="inlineStr">
        <is>
          <t>Max O. Reinbach III</t>
        </is>
      </c>
      <c r="B54" s="351">
        <f>_xlfn.XLOOKUP(A54,'CLIP_Schedule B'!A:A,'CLIP_Schedule B'!E:E,0,FALSE)</f>
        <v/>
      </c>
      <c r="C54" s="351">
        <f>_xlfn.XLOOKUP(A54,'Silsbee_Schedule B'!B:B,'Silsbee_Schedule B'!F:F,0,FALSE)</f>
        <v/>
      </c>
      <c r="D54" s="351">
        <f>_xlfn.XLOOKUP(A54,'Q2''26 Management Fee'!B:B,'Q2''26 Management Fee'!C:C)</f>
        <v/>
      </c>
      <c r="E54" s="761">
        <f>SUMIFS(Commitment!G:G,Commitment!A:A,'Subsequent Close - OLD B4 25k'!A54)</f>
        <v/>
      </c>
      <c r="F54" s="760">
        <f>E54/$E$90</f>
        <v/>
      </c>
      <c r="G54" s="761">
        <f>E54</f>
        <v/>
      </c>
      <c r="H54" s="760">
        <f>E54/$E$86</f>
        <v/>
      </c>
      <c r="I54" s="760">
        <f>G54/$G$86</f>
        <v/>
      </c>
      <c r="J54" s="761">
        <f>-G54</f>
        <v/>
      </c>
      <c r="K54" s="760">
        <f>J54/$J$86</f>
        <v/>
      </c>
      <c r="L54" s="762" t="n"/>
      <c r="M54" s="351">
        <f>$M$3*H54</f>
        <v/>
      </c>
      <c r="N54" s="351" t="n">
        <v>-933.86</v>
      </c>
      <c r="O54" s="351" t="n"/>
      <c r="P54" s="351">
        <f>$P$3*H54</f>
        <v/>
      </c>
      <c r="Q54" s="351" t="n">
        <v>-5778.35399699646</v>
      </c>
      <c r="R54" s="351">
        <f>SUM(M54:Q54)</f>
        <v/>
      </c>
      <c r="S54" s="761" t="n"/>
      <c r="T54" s="249">
        <f>$T$3*I54</f>
        <v/>
      </c>
      <c r="U54" s="754" t="n">
        <v>0</v>
      </c>
      <c r="V54" s="249">
        <f>N54</f>
        <v/>
      </c>
      <c r="W54" s="249">
        <f>I54*$W$3</f>
        <v/>
      </c>
      <c r="X54" s="249">
        <f>$X$3*I54</f>
        <v/>
      </c>
      <c r="Y54" s="249">
        <f>T54+W54+X54+V54+U54</f>
        <v/>
      </c>
      <c r="Z54" s="761" t="n"/>
      <c r="AA54" s="302">
        <f>T54/G54</f>
        <v/>
      </c>
      <c r="AB54" s="303">
        <f>V54/G54</f>
        <v/>
      </c>
      <c r="AC54" s="303">
        <f>W54/G54</f>
        <v/>
      </c>
      <c r="AD54" s="303">
        <f>X54/G54</f>
        <v/>
      </c>
      <c r="AE54" s="919">
        <f>AD54+AC54+AA54</f>
        <v/>
      </c>
      <c r="AF54" s="761" t="n"/>
      <c r="AG54" s="326" t="n"/>
      <c r="AH54" s="249">
        <f>-Y54+R54</f>
        <v/>
      </c>
      <c r="AI54" s="717">
        <f>_xlfn.XLOOKUP(A54,'2.10.26 Sub Close Old'!A:A,'2.10.26 Sub Close Old'!AK:AK)</f>
        <v/>
      </c>
      <c r="AJ54" s="717">
        <f>_xlfn.XLOOKUP(A54,'2.10.26 Sub Close New'!A:A,'2.10.26 Sub Close New'!AJ:AJ)</f>
        <v/>
      </c>
      <c r="AK54" s="717">
        <f>+AJ54-AI54</f>
        <v/>
      </c>
      <c r="AL54" s="717">
        <f>+AH54+AK54</f>
        <v/>
      </c>
      <c r="AM54" s="756" t="n"/>
      <c r="AN54" s="308">
        <f>+Y54</f>
        <v/>
      </c>
      <c r="AO54" s="758">
        <f>AN54/G54</f>
        <v/>
      </c>
      <c r="AP54" s="758">
        <f>AB54</f>
        <v/>
      </c>
      <c r="AQ54" s="310">
        <f>+AO54-AP54</f>
        <v/>
      </c>
      <c r="AR54" s="756" t="n"/>
      <c r="AS54" s="326" t="n"/>
      <c r="AT54" s="332">
        <f>-$AS$3*H54</f>
        <v/>
      </c>
      <c r="AU54" s="757">
        <f>AT54</f>
        <v/>
      </c>
      <c r="AV54" s="310">
        <f>AT54/R54</f>
        <v/>
      </c>
      <c r="AW54" s="756" t="n"/>
      <c r="AX54" s="326" t="n"/>
      <c r="AY54" s="332">
        <f>AT54+AH54</f>
        <v/>
      </c>
      <c r="AZ54" s="756" t="n"/>
      <c r="BA54" s="326" t="n"/>
      <c r="BB54" s="332" t="n"/>
      <c r="BC54" s="756" t="n"/>
    </row>
    <row r="55">
      <c r="A55" s="752" t="inlineStr">
        <is>
          <t>Meghann C. Robinson</t>
        </is>
      </c>
      <c r="B55" s="351">
        <f>_xlfn.XLOOKUP(A55,'CLIP_Schedule B'!A:A,'CLIP_Schedule B'!E:E,0,FALSE)</f>
        <v/>
      </c>
      <c r="C55" s="351">
        <f>_xlfn.XLOOKUP(A55,'Silsbee_Schedule B'!B:B,'Silsbee_Schedule B'!F:F,0,FALSE)</f>
        <v/>
      </c>
      <c r="D55" s="351">
        <f>_xlfn.XLOOKUP(A55,'Q2''26 Management Fee'!B:B,'Q2''26 Management Fee'!C:C)</f>
        <v/>
      </c>
      <c r="E55" s="761">
        <f>SUMIFS(Commitment!G:G,Commitment!A:A,'Subsequent Close - OLD B4 25k'!A55)</f>
        <v/>
      </c>
      <c r="F55" s="760">
        <f>E55/$E$90</f>
        <v/>
      </c>
      <c r="G55" s="761">
        <f>E55</f>
        <v/>
      </c>
      <c r="H55" s="760">
        <f>E55/$E$86</f>
        <v/>
      </c>
      <c r="I55" s="760">
        <f>G55/$G$86</f>
        <v/>
      </c>
      <c r="J55" s="761">
        <f>-G55</f>
        <v/>
      </c>
      <c r="K55" s="760">
        <f>J55/$J$86</f>
        <v/>
      </c>
      <c r="L55" s="762" t="n"/>
      <c r="M55" s="351">
        <f>$M$3*H55</f>
        <v/>
      </c>
      <c r="N55" s="351" t="n">
        <v>-9338.51</v>
      </c>
      <c r="O55" s="351" t="n"/>
      <c r="P55" s="351">
        <f>$P$3*H55</f>
        <v/>
      </c>
      <c r="Q55" s="351" t="n">
        <v>-57783.53701807168</v>
      </c>
      <c r="R55" s="351">
        <f>SUM(M55:Q55)</f>
        <v/>
      </c>
      <c r="S55" s="761" t="n"/>
      <c r="T55" s="249">
        <f>$T$3*I55</f>
        <v/>
      </c>
      <c r="U55" s="754" t="n">
        <v>0</v>
      </c>
      <c r="V55" s="249">
        <f>N55</f>
        <v/>
      </c>
      <c r="W55" s="249">
        <f>I55*$W$3</f>
        <v/>
      </c>
      <c r="X55" s="249">
        <f>$X$3*I55</f>
        <v/>
      </c>
      <c r="Y55" s="249">
        <f>T55+W55+X55+V55+U55</f>
        <v/>
      </c>
      <c r="Z55" s="761" t="n"/>
      <c r="AA55" s="302">
        <f>T55/G55</f>
        <v/>
      </c>
      <c r="AB55" s="303">
        <f>V55/G55</f>
        <v/>
      </c>
      <c r="AC55" s="303">
        <f>W55/G55</f>
        <v/>
      </c>
      <c r="AD55" s="303">
        <f>X55/G55</f>
        <v/>
      </c>
      <c r="AE55" s="919">
        <f>AD55+AC55+AA55</f>
        <v/>
      </c>
      <c r="AF55" s="761" t="n"/>
      <c r="AG55" s="326" t="n"/>
      <c r="AH55" s="249">
        <f>-Y55+R55</f>
        <v/>
      </c>
      <c r="AI55" s="717">
        <f>_xlfn.XLOOKUP(A55,'2.10.26 Sub Close Old'!A:A,'2.10.26 Sub Close Old'!AK:AK)</f>
        <v/>
      </c>
      <c r="AJ55" s="717">
        <f>_xlfn.XLOOKUP(A55,'2.10.26 Sub Close New'!A:A,'2.10.26 Sub Close New'!AJ:AJ)</f>
        <v/>
      </c>
      <c r="AK55" s="717">
        <f>+AJ55-AI55</f>
        <v/>
      </c>
      <c r="AL55" s="717">
        <f>+AH55+AK55</f>
        <v/>
      </c>
      <c r="AM55" s="756" t="n"/>
      <c r="AN55" s="308">
        <f>+Y55</f>
        <v/>
      </c>
      <c r="AO55" s="758">
        <f>AN55/G55</f>
        <v/>
      </c>
      <c r="AP55" s="758">
        <f>AB55</f>
        <v/>
      </c>
      <c r="AQ55" s="310">
        <f>+AO55-AP55</f>
        <v/>
      </c>
      <c r="AR55" s="756" t="n"/>
      <c r="AS55" s="326" t="n"/>
      <c r="AT55" s="332">
        <f>-$AS$3*H55</f>
        <v/>
      </c>
      <c r="AU55" s="757">
        <f>AT55</f>
        <v/>
      </c>
      <c r="AV55" s="310">
        <f>AT55/R55</f>
        <v/>
      </c>
      <c r="AW55" s="756" t="n"/>
      <c r="AX55" s="326" t="n"/>
      <c r="AY55" s="332">
        <f>AT55+AH55</f>
        <v/>
      </c>
      <c r="AZ55" s="756" t="n"/>
      <c r="BA55" s="326" t="n"/>
      <c r="BB55" s="332" t="n"/>
      <c r="BC55" s="756" t="n"/>
    </row>
    <row r="56">
      <c r="A56" s="752" t="inlineStr">
        <is>
          <t>Nahas Investments II LLC</t>
        </is>
      </c>
      <c r="B56" s="351">
        <f>_xlfn.XLOOKUP(A56,'CLIP_Schedule B'!A:A,'CLIP_Schedule B'!E:E,0,FALSE)</f>
        <v/>
      </c>
      <c r="C56" s="351">
        <f>_xlfn.XLOOKUP(A56,'Silsbee_Schedule B'!B:B,'Silsbee_Schedule B'!F:F,0,FALSE)</f>
        <v/>
      </c>
      <c r="D56" s="351">
        <f>_xlfn.XLOOKUP(A56,'Q2''26 Management Fee'!B:B,'Q2''26 Management Fee'!C:C)</f>
        <v/>
      </c>
      <c r="E56" s="761">
        <f>SUMIFS(Commitment!G:G,Commitment!A:A,'Subsequent Close - OLD B4 25k'!A56)</f>
        <v/>
      </c>
      <c r="F56" s="760">
        <f>E56/$E$90</f>
        <v/>
      </c>
      <c r="G56" s="761">
        <f>E56</f>
        <v/>
      </c>
      <c r="H56" s="760">
        <f>E56/$E$86</f>
        <v/>
      </c>
      <c r="I56" s="760">
        <f>G56/$G$86</f>
        <v/>
      </c>
      <c r="J56" s="761">
        <f>-G56</f>
        <v/>
      </c>
      <c r="K56" s="760">
        <f>J56/$J$86</f>
        <v/>
      </c>
      <c r="L56" s="762" t="n"/>
      <c r="M56" s="351">
        <f>$M$3*H56</f>
        <v/>
      </c>
      <c r="N56" s="351" t="n">
        <v>-4669.25</v>
      </c>
      <c r="O56" s="351" t="n"/>
      <c r="P56" s="351">
        <f>$P$3*H56</f>
        <v/>
      </c>
      <c r="Q56" s="351" t="n">
        <v>-28891.76850903584</v>
      </c>
      <c r="R56" s="351">
        <f>SUM(M56:Q56)</f>
        <v/>
      </c>
      <c r="S56" s="761" t="n"/>
      <c r="T56" s="249">
        <f>$T$3*I56</f>
        <v/>
      </c>
      <c r="U56" s="754" t="n">
        <v>0</v>
      </c>
      <c r="V56" s="249">
        <f>N56</f>
        <v/>
      </c>
      <c r="W56" s="249">
        <f>I56*$W$3</f>
        <v/>
      </c>
      <c r="X56" s="249">
        <f>$X$3*I56</f>
        <v/>
      </c>
      <c r="Y56" s="249">
        <f>T56+W56+X56+V56+U56</f>
        <v/>
      </c>
      <c r="Z56" s="761" t="n"/>
      <c r="AA56" s="302">
        <f>T56/G56</f>
        <v/>
      </c>
      <c r="AB56" s="303">
        <f>V56/G56</f>
        <v/>
      </c>
      <c r="AC56" s="303">
        <f>W56/G56</f>
        <v/>
      </c>
      <c r="AD56" s="303">
        <f>X56/G56</f>
        <v/>
      </c>
      <c r="AE56" s="919">
        <f>AD56+AC56+AA56</f>
        <v/>
      </c>
      <c r="AF56" s="761" t="n"/>
      <c r="AG56" s="326" t="n"/>
      <c r="AH56" s="249">
        <f>-Y56+R56</f>
        <v/>
      </c>
      <c r="AI56" s="717">
        <f>_xlfn.XLOOKUP(A56,'2.10.26 Sub Close Old'!A:A,'2.10.26 Sub Close Old'!AK:AK)</f>
        <v/>
      </c>
      <c r="AJ56" s="717">
        <f>_xlfn.XLOOKUP(A56,'2.10.26 Sub Close New'!A:A,'2.10.26 Sub Close New'!AJ:AJ)</f>
        <v/>
      </c>
      <c r="AK56" s="717">
        <f>+AJ56-AI56</f>
        <v/>
      </c>
      <c r="AL56" s="717">
        <f>+AH56+AK56</f>
        <v/>
      </c>
      <c r="AM56" s="756" t="n"/>
      <c r="AN56" s="308">
        <f>+Y56</f>
        <v/>
      </c>
      <c r="AO56" s="758">
        <f>AN56/G56</f>
        <v/>
      </c>
      <c r="AP56" s="758">
        <f>AB56</f>
        <v/>
      </c>
      <c r="AQ56" s="310">
        <f>+AO56-AP56</f>
        <v/>
      </c>
      <c r="AR56" s="756" t="n"/>
      <c r="AS56" s="326" t="n"/>
      <c r="AT56" s="332">
        <f>-$AS$3*H56</f>
        <v/>
      </c>
      <c r="AU56" s="757">
        <f>AT56</f>
        <v/>
      </c>
      <c r="AV56" s="310">
        <f>AT56/R56</f>
        <v/>
      </c>
      <c r="AW56" s="756" t="n"/>
      <c r="AX56" s="326" t="n"/>
      <c r="AY56" s="332">
        <f>AT56+AH56</f>
        <v/>
      </c>
      <c r="AZ56" s="756" t="n"/>
      <c r="BA56" s="326" t="n"/>
      <c r="BB56" s="332" t="n"/>
      <c r="BC56" s="756" t="n"/>
    </row>
    <row r="57" customFormat="1" s="726">
      <c r="A57" s="713" t="inlineStr">
        <is>
          <t>Odyssey Holdings, LLC</t>
        </is>
      </c>
      <c r="B57" s="717">
        <f>_xlfn.XLOOKUP(A57,'CLIP_Schedule B'!A:A,'CLIP_Schedule B'!E:E,0,FALSE)</f>
        <v/>
      </c>
      <c r="C57" s="717">
        <f>_xlfn.XLOOKUP(A57,'Silsbee_Schedule B'!B:B,'Silsbee_Schedule B'!F:F,0,FALSE)</f>
        <v/>
      </c>
      <c r="D57" s="717">
        <f>_xlfn.XLOOKUP(A57,'Q2''26 Management Fee'!B:B,'Q2''26 Management Fee'!C:C)</f>
        <v/>
      </c>
      <c r="E57" s="717">
        <f>SUMIFS(Commitment!G:G,Commitment!A:A,'Subsequent Close - OLD B4 25k'!A57)</f>
        <v/>
      </c>
      <c r="F57" s="716" t="n">
        <v>0</v>
      </c>
      <c r="G57" s="717">
        <f>E57</f>
        <v/>
      </c>
      <c r="H57" s="716">
        <f>E57/$E$86</f>
        <v/>
      </c>
      <c r="I57" s="716">
        <f>G57/$G$86</f>
        <v/>
      </c>
      <c r="J57" s="717" t="n"/>
      <c r="K57" s="716">
        <f>J57/$J$86</f>
        <v/>
      </c>
      <c r="L57" s="718" t="n"/>
      <c r="M57" s="717">
        <f>$M$3*H57</f>
        <v/>
      </c>
      <c r="N57" s="717" t="n">
        <v>0</v>
      </c>
      <c r="O57" s="717" t="n"/>
      <c r="P57" s="717">
        <f>$P$3*H57</f>
        <v/>
      </c>
      <c r="Q57" s="717" t="n">
        <v>-51891.61189304895</v>
      </c>
      <c r="R57" s="717">
        <f>SUM(M57:Q57)</f>
        <v/>
      </c>
      <c r="S57" s="717" t="n"/>
      <c r="T57" s="717">
        <f>$T$3*I57</f>
        <v/>
      </c>
      <c r="U57" s="717" t="n">
        <v>0</v>
      </c>
      <c r="V57" s="717">
        <f>N57</f>
        <v/>
      </c>
      <c r="W57" s="717">
        <f>I57*$W$3</f>
        <v/>
      </c>
      <c r="X57" s="717">
        <f>$X$3*I57</f>
        <v/>
      </c>
      <c r="Y57" s="717">
        <f>T57+W57+X57+V57+U57</f>
        <v/>
      </c>
      <c r="Z57" s="717" t="n"/>
      <c r="AA57" s="719">
        <f>T57/G57</f>
        <v/>
      </c>
      <c r="AB57" s="720">
        <f>V57/G57</f>
        <v/>
      </c>
      <c r="AC57" s="720">
        <f>W57/G57</f>
        <v/>
      </c>
      <c r="AD57" s="720">
        <f>X57/G57</f>
        <v/>
      </c>
      <c r="AE57" s="920">
        <f>AD57+AC57+AA57</f>
        <v/>
      </c>
      <c r="AF57" s="717" t="n"/>
      <c r="AG57" s="722" t="n"/>
      <c r="AH57" s="717">
        <f>-Y57+R57</f>
        <v/>
      </c>
      <c r="AI57" s="717">
        <f>_xlfn.XLOOKUP(A57,'2.10.26 Sub Close Old'!A:A,'2.10.26 Sub Close Old'!AK:AK)</f>
        <v/>
      </c>
      <c r="AJ57" s="717">
        <f>_xlfn.XLOOKUP(A57,'2.10.26 Sub Close New'!A:A,'2.10.26 Sub Close New'!AJ:AJ)</f>
        <v/>
      </c>
      <c r="AK57" s="717">
        <f>+AJ57-AI57</f>
        <v/>
      </c>
      <c r="AL57" s="717">
        <f>+AH57+AK57</f>
        <v/>
      </c>
      <c r="AM57" s="723" t="n"/>
      <c r="AN57" s="463">
        <f>+Y57</f>
        <v/>
      </c>
      <c r="AO57" s="798">
        <f>AN57/G57</f>
        <v/>
      </c>
      <c r="AP57" s="798">
        <f>AB57</f>
        <v/>
      </c>
      <c r="AQ57" s="725">
        <f>+AO57-AP57</f>
        <v/>
      </c>
      <c r="AR57" s="723" t="n"/>
      <c r="AS57" s="722" t="n"/>
      <c r="AT57" s="462">
        <f>-$AS$3*H57</f>
        <v/>
      </c>
      <c r="AU57" s="557">
        <f>AT57</f>
        <v/>
      </c>
      <c r="AV57" s="725">
        <f>AT57/R57</f>
        <v/>
      </c>
      <c r="AW57" s="723" t="n"/>
      <c r="AX57" s="722" t="n"/>
      <c r="AY57" s="462">
        <f>AT57+AH57</f>
        <v/>
      </c>
      <c r="AZ57" s="723" t="n"/>
      <c r="BA57" s="722" t="n"/>
      <c r="BB57" s="462">
        <f>-BA86</f>
        <v/>
      </c>
      <c r="BC57" s="723" t="n"/>
      <c r="BE57" s="723" t="n"/>
    </row>
    <row r="58">
      <c r="A58" s="752" t="inlineStr">
        <is>
          <t>Pease River Holdings LLC</t>
        </is>
      </c>
      <c r="B58" s="351">
        <f>_xlfn.XLOOKUP(A58,'CLIP_Schedule B'!A:A,'CLIP_Schedule B'!E:E,0,FALSE)</f>
        <v/>
      </c>
      <c r="C58" s="351">
        <f>_xlfn.XLOOKUP(A58,'Silsbee_Schedule B'!B:B,'Silsbee_Schedule B'!F:F,0,FALSE)</f>
        <v/>
      </c>
      <c r="D58" s="351">
        <f>_xlfn.XLOOKUP(A58,'Q2''26 Management Fee'!B:B,'Q2''26 Management Fee'!C:C)</f>
        <v/>
      </c>
      <c r="E58" s="761">
        <f>SUMIFS(Commitment!G:G,Commitment!A:A,'Subsequent Close - OLD B4 25k'!A58)</f>
        <v/>
      </c>
      <c r="F58" s="760">
        <f>E58/$E$90</f>
        <v/>
      </c>
      <c r="G58" s="761">
        <f>E58</f>
        <v/>
      </c>
      <c r="H58" s="760">
        <f>E58/$E$86</f>
        <v/>
      </c>
      <c r="I58" s="760">
        <f>G58/$G$86</f>
        <v/>
      </c>
      <c r="J58" s="761">
        <f>-G58</f>
        <v/>
      </c>
      <c r="K58" s="760">
        <f>J58/$J$86</f>
        <v/>
      </c>
      <c r="L58" s="762" t="n"/>
      <c r="M58" s="351">
        <f>$M$3*H58</f>
        <v/>
      </c>
      <c r="N58" s="351" t="n">
        <v>-933.86</v>
      </c>
      <c r="O58" s="351" t="n"/>
      <c r="P58" s="351">
        <f>$P$3*H58</f>
        <v/>
      </c>
      <c r="Q58" s="351" t="n">
        <v>-5778.35399699646</v>
      </c>
      <c r="R58" s="351">
        <f>SUM(M58:Q58)</f>
        <v/>
      </c>
      <c r="S58" s="761" t="n"/>
      <c r="T58" s="249">
        <f>$T$3*I58</f>
        <v/>
      </c>
      <c r="U58" s="754" t="n">
        <v>0</v>
      </c>
      <c r="V58" s="249">
        <f>N58</f>
        <v/>
      </c>
      <c r="W58" s="249">
        <f>I58*$W$3</f>
        <v/>
      </c>
      <c r="X58" s="249">
        <f>$X$3*I58</f>
        <v/>
      </c>
      <c r="Y58" s="249">
        <f>T58+W58+X58+V58+U58</f>
        <v/>
      </c>
      <c r="Z58" s="761" t="n"/>
      <c r="AA58" s="302">
        <f>T58/G58</f>
        <v/>
      </c>
      <c r="AB58" s="303">
        <f>V58/G58</f>
        <v/>
      </c>
      <c r="AC58" s="303">
        <f>W58/G58</f>
        <v/>
      </c>
      <c r="AD58" s="303">
        <f>X58/G58</f>
        <v/>
      </c>
      <c r="AE58" s="919">
        <f>AD58+AC58+AA58</f>
        <v/>
      </c>
      <c r="AF58" s="761" t="n"/>
      <c r="AG58" s="326" t="n"/>
      <c r="AH58" s="249">
        <f>-Y58+R58</f>
        <v/>
      </c>
      <c r="AI58" s="717">
        <f>_xlfn.XLOOKUP(A58,'2.10.26 Sub Close Old'!A:A,'2.10.26 Sub Close Old'!AK:AK)</f>
        <v/>
      </c>
      <c r="AJ58" s="717">
        <f>_xlfn.XLOOKUP(A58,'2.10.26 Sub Close New'!A:A,'2.10.26 Sub Close New'!AJ:AJ)</f>
        <v/>
      </c>
      <c r="AK58" s="717">
        <f>+AJ58-AI58</f>
        <v/>
      </c>
      <c r="AL58" s="717">
        <f>+AH58+AK58</f>
        <v/>
      </c>
      <c r="AM58" s="756" t="n"/>
      <c r="AN58" s="308">
        <f>+Y58</f>
        <v/>
      </c>
      <c r="AO58" s="758">
        <f>AN58/G58</f>
        <v/>
      </c>
      <c r="AP58" s="758">
        <f>AB58</f>
        <v/>
      </c>
      <c r="AQ58" s="310">
        <f>+AO58-AP58</f>
        <v/>
      </c>
      <c r="AR58" s="756" t="n"/>
      <c r="AS58" s="326" t="n"/>
      <c r="AT58" s="332">
        <f>-$AS$3*H58</f>
        <v/>
      </c>
      <c r="AU58" s="757">
        <f>AT58</f>
        <v/>
      </c>
      <c r="AV58" s="310">
        <f>AT58/R58</f>
        <v/>
      </c>
      <c r="AW58" s="756" t="n"/>
      <c r="AX58" s="326" t="n"/>
      <c r="AY58" s="332">
        <f>AT58+AH58</f>
        <v/>
      </c>
      <c r="AZ58" s="756" t="n"/>
      <c r="BA58" s="326" t="n"/>
      <c r="BB58" s="332" t="n"/>
      <c r="BC58" s="756" t="n"/>
    </row>
    <row r="59">
      <c r="A59" s="752" t="inlineStr">
        <is>
          <t>PT Burros, LLC</t>
        </is>
      </c>
      <c r="B59" s="351">
        <f>_xlfn.XLOOKUP(A59,'CLIP_Schedule B'!A:A,'CLIP_Schedule B'!E:E,0,FALSE)</f>
        <v/>
      </c>
      <c r="C59" s="351">
        <f>_xlfn.XLOOKUP(A59,'Silsbee_Schedule B'!B:B,'Silsbee_Schedule B'!F:F,0,FALSE)</f>
        <v/>
      </c>
      <c r="D59" s="351">
        <f>_xlfn.XLOOKUP(A59,'Q2''26 Management Fee'!B:B,'Q2''26 Management Fee'!C:C)</f>
        <v/>
      </c>
      <c r="E59" s="761">
        <f>SUMIFS(Commitment!G:G,Commitment!A:A,'Subsequent Close - OLD B4 25k'!A59)</f>
        <v/>
      </c>
      <c r="F59" s="760">
        <f>E59/$E$90</f>
        <v/>
      </c>
      <c r="G59" s="761">
        <f>E59</f>
        <v/>
      </c>
      <c r="H59" s="760">
        <f>E59/$E$86</f>
        <v/>
      </c>
      <c r="I59" s="760">
        <f>G59/$G$86</f>
        <v/>
      </c>
      <c r="J59" s="761">
        <f>-G59</f>
        <v/>
      </c>
      <c r="K59" s="760">
        <f>J59/$J$86</f>
        <v/>
      </c>
      <c r="L59" s="762" t="n"/>
      <c r="M59" s="351">
        <f>$M$3*H59</f>
        <v/>
      </c>
      <c r="N59" s="351" t="n">
        <v>-3301.752910326087</v>
      </c>
      <c r="O59" s="351" t="n"/>
      <c r="P59" s="351">
        <f>$P$3*H59</f>
        <v/>
      </c>
      <c r="Q59" s="351" t="n">
        <v>-24315.34708201919</v>
      </c>
      <c r="R59" s="351">
        <f>SUM(M59:Q59)</f>
        <v/>
      </c>
      <c r="S59" s="761" t="n"/>
      <c r="T59" s="249">
        <f>$T$3*I59</f>
        <v/>
      </c>
      <c r="U59" s="754" t="n">
        <v>0</v>
      </c>
      <c r="V59" s="249">
        <f>N59</f>
        <v/>
      </c>
      <c r="W59" s="249">
        <f>I59*$W$3</f>
        <v/>
      </c>
      <c r="X59" s="249">
        <f>$X$3*I59</f>
        <v/>
      </c>
      <c r="Y59" s="249">
        <f>T59+W59+X59+V59+U59</f>
        <v/>
      </c>
      <c r="Z59" s="761" t="n"/>
      <c r="AA59" s="302">
        <f>T59/G59</f>
        <v/>
      </c>
      <c r="AB59" s="303">
        <f>V59/G59</f>
        <v/>
      </c>
      <c r="AC59" s="303">
        <f>W59/G59</f>
        <v/>
      </c>
      <c r="AD59" s="303">
        <f>X59/G59</f>
        <v/>
      </c>
      <c r="AE59" s="919">
        <f>AD59+AC59+AA59</f>
        <v/>
      </c>
      <c r="AF59" s="761" t="n"/>
      <c r="AG59" s="326" t="n"/>
      <c r="AH59" s="249">
        <f>-Y59+R59</f>
        <v/>
      </c>
      <c r="AI59" s="717">
        <f>_xlfn.XLOOKUP(A59,'2.10.26 Sub Close Old'!A:A,'2.10.26 Sub Close Old'!AK:AK)</f>
        <v/>
      </c>
      <c r="AJ59" s="717">
        <f>_xlfn.XLOOKUP(A59,'2.10.26 Sub Close New'!A:A,'2.10.26 Sub Close New'!AJ:AJ)</f>
        <v/>
      </c>
      <c r="AK59" s="717">
        <f>+AJ59-AI59</f>
        <v/>
      </c>
      <c r="AL59" s="717">
        <f>+AH59+AK59</f>
        <v/>
      </c>
      <c r="AM59" s="756" t="n"/>
      <c r="AN59" s="308">
        <f>+Y59</f>
        <v/>
      </c>
      <c r="AO59" s="758">
        <f>AN59/G59</f>
        <v/>
      </c>
      <c r="AP59" s="758">
        <f>AB59</f>
        <v/>
      </c>
      <c r="AQ59" s="310">
        <f>+AO59-AP59</f>
        <v/>
      </c>
      <c r="AR59" s="756" t="n"/>
      <c r="AS59" s="326" t="n"/>
      <c r="AT59" s="332">
        <f>-$AS$3*H59</f>
        <v/>
      </c>
      <c r="AU59" s="757">
        <f>AT59</f>
        <v/>
      </c>
      <c r="AV59" s="310">
        <f>AT59/R59</f>
        <v/>
      </c>
      <c r="AW59" s="756" t="n"/>
      <c r="AX59" s="326" t="n"/>
      <c r="AY59" s="332">
        <f>AT59+AH59</f>
        <v/>
      </c>
      <c r="AZ59" s="756" t="n"/>
      <c r="BA59" s="326" t="n"/>
      <c r="BB59" s="332" t="n"/>
      <c r="BC59" s="756" t="n"/>
    </row>
    <row r="60">
      <c r="A60" s="752" t="inlineStr">
        <is>
          <t>Robert D. Falese III</t>
        </is>
      </c>
      <c r="B60" s="351">
        <f>_xlfn.XLOOKUP(A60,'CLIP_Schedule B'!A:A,'CLIP_Schedule B'!E:E,0,FALSE)</f>
        <v/>
      </c>
      <c r="C60" s="351">
        <f>_xlfn.XLOOKUP(A60,'Silsbee_Schedule B'!B:B,'Silsbee_Schedule B'!F:F,0,FALSE)</f>
        <v/>
      </c>
      <c r="D60" s="351">
        <f>_xlfn.XLOOKUP(A60,'Q2''26 Management Fee'!B:B,'Q2''26 Management Fee'!C:C)</f>
        <v/>
      </c>
      <c r="E60" s="761">
        <f>SUMIFS(Commitment!G:G,Commitment!A:A,'Subsequent Close - OLD B4 25k'!A60)</f>
        <v/>
      </c>
      <c r="F60" s="760">
        <f>E60/$E$90</f>
        <v/>
      </c>
      <c r="G60" s="761">
        <f>E60</f>
        <v/>
      </c>
      <c r="H60" s="760">
        <f>E60/$E$86</f>
        <v/>
      </c>
      <c r="I60" s="760">
        <f>G60/$G$86</f>
        <v/>
      </c>
      <c r="J60" s="761">
        <f>-G60</f>
        <v/>
      </c>
      <c r="K60" s="760">
        <f>J60/$J$86</f>
        <v/>
      </c>
      <c r="L60" s="762" t="n"/>
      <c r="M60" s="351">
        <f>$M$3*H60</f>
        <v/>
      </c>
      <c r="N60" s="351" t="n">
        <v>-9838.702910326087</v>
      </c>
      <c r="O60" s="351" t="n"/>
      <c r="P60" s="351">
        <f>$P$3*H60</f>
        <v/>
      </c>
      <c r="Q60" s="351" t="n">
        <v>-64763.82284707472</v>
      </c>
      <c r="R60" s="351">
        <f>SUM(M60:Q60)</f>
        <v/>
      </c>
      <c r="S60" s="761" t="n"/>
      <c r="T60" s="249">
        <f>$T$3*I60</f>
        <v/>
      </c>
      <c r="U60" s="754" t="n">
        <v>0</v>
      </c>
      <c r="V60" s="249">
        <f>N60</f>
        <v/>
      </c>
      <c r="W60" s="249">
        <f>I60*$W$3</f>
        <v/>
      </c>
      <c r="X60" s="249">
        <f>$X$3*I60</f>
        <v/>
      </c>
      <c r="Y60" s="249">
        <f>T60+W60+X60+V60+U60</f>
        <v/>
      </c>
      <c r="Z60" s="761" t="n"/>
      <c r="AA60" s="302">
        <f>T60/G60</f>
        <v/>
      </c>
      <c r="AB60" s="303">
        <f>V60/G60</f>
        <v/>
      </c>
      <c r="AC60" s="303">
        <f>W60/G60</f>
        <v/>
      </c>
      <c r="AD60" s="303">
        <f>X60/G60</f>
        <v/>
      </c>
      <c r="AE60" s="919">
        <f>AD60+AC60+AA60</f>
        <v/>
      </c>
      <c r="AF60" s="761" t="n"/>
      <c r="AG60" s="326" t="n"/>
      <c r="AH60" s="249">
        <f>-Y60+R60</f>
        <v/>
      </c>
      <c r="AI60" s="717">
        <f>_xlfn.XLOOKUP(A60,'2.10.26 Sub Close Old'!A:A,'2.10.26 Sub Close Old'!AK:AK)</f>
        <v/>
      </c>
      <c r="AJ60" s="717">
        <f>_xlfn.XLOOKUP(A60,'2.10.26 Sub Close New'!A:A,'2.10.26 Sub Close New'!AJ:AJ)</f>
        <v/>
      </c>
      <c r="AK60" s="717">
        <f>+AJ60-AI60</f>
        <v/>
      </c>
      <c r="AL60" s="717">
        <f>+AH60+AK60</f>
        <v/>
      </c>
      <c r="AM60" s="756" t="n"/>
      <c r="AN60" s="308">
        <f>+Y60</f>
        <v/>
      </c>
      <c r="AO60" s="758">
        <f>AN60/G60</f>
        <v/>
      </c>
      <c r="AP60" s="758">
        <f>AB60</f>
        <v/>
      </c>
      <c r="AQ60" s="310">
        <f>+AO60-AP60</f>
        <v/>
      </c>
      <c r="AR60" s="756" t="n"/>
      <c r="AS60" s="326" t="n"/>
      <c r="AT60" s="332">
        <f>-$AS$3*H60</f>
        <v/>
      </c>
      <c r="AU60" s="757">
        <f>AT60</f>
        <v/>
      </c>
      <c r="AV60" s="310">
        <f>AT60/R60</f>
        <v/>
      </c>
      <c r="AW60" s="756" t="n"/>
      <c r="AX60" s="326" t="n"/>
      <c r="AY60" s="332">
        <f>AT60+AH60</f>
        <v/>
      </c>
      <c r="AZ60" s="756" t="n"/>
      <c r="BA60" s="326" t="n"/>
      <c r="BB60" s="332" t="n"/>
      <c r="BC60" s="756" t="n"/>
    </row>
    <row r="61">
      <c r="A61" s="752" t="inlineStr">
        <is>
          <t>Robert Parker Yates</t>
        </is>
      </c>
      <c r="B61" s="351">
        <f>_xlfn.XLOOKUP(A61,'CLIP_Schedule B'!A:A,'CLIP_Schedule B'!E:E,0,FALSE)</f>
        <v/>
      </c>
      <c r="C61" s="351">
        <f>_xlfn.XLOOKUP(A61,'Silsbee_Schedule B'!B:B,'Silsbee_Schedule B'!F:F,0,FALSE)</f>
        <v/>
      </c>
      <c r="D61" s="351">
        <f>_xlfn.XLOOKUP(A61,'Q2''26 Management Fee'!B:B,'Q2''26 Management Fee'!C:C)</f>
        <v/>
      </c>
      <c r="E61" s="761">
        <f>SUMIFS(Commitment!G:G,Commitment!A:A,'Subsequent Close - OLD B4 25k'!A61)</f>
        <v/>
      </c>
      <c r="F61" s="760">
        <f>E61/$E$90</f>
        <v/>
      </c>
      <c r="G61" s="761">
        <f>E61</f>
        <v/>
      </c>
      <c r="H61" s="760">
        <f>E61/$E$86</f>
        <v/>
      </c>
      <c r="I61" s="760">
        <f>G61/$G$86</f>
        <v/>
      </c>
      <c r="J61" s="761">
        <f>-G61</f>
        <v/>
      </c>
      <c r="K61" s="760">
        <f>J61/$J$86</f>
        <v/>
      </c>
      <c r="L61" s="762" t="n"/>
      <c r="M61" s="351">
        <f>$M$3*H61</f>
        <v/>
      </c>
      <c r="N61" s="351" t="n">
        <v>-466.92</v>
      </c>
      <c r="O61" s="351" t="n"/>
      <c r="P61" s="351">
        <f>$P$3*H61</f>
        <v/>
      </c>
      <c r="Q61" s="351" t="n">
        <v>-2889.17699849823</v>
      </c>
      <c r="R61" s="351">
        <f>SUM(M61:Q61)</f>
        <v/>
      </c>
      <c r="S61" s="761" t="n"/>
      <c r="T61" s="249">
        <f>$T$3*I61</f>
        <v/>
      </c>
      <c r="U61" s="754" t="n">
        <v>0</v>
      </c>
      <c r="V61" s="249">
        <f>N61</f>
        <v/>
      </c>
      <c r="W61" s="249">
        <f>I61*$W$3</f>
        <v/>
      </c>
      <c r="X61" s="249">
        <f>$X$3*I61</f>
        <v/>
      </c>
      <c r="Y61" s="249">
        <f>T61+W61+X61+V61+U61</f>
        <v/>
      </c>
      <c r="Z61" s="761" t="n"/>
      <c r="AA61" s="302">
        <f>T61/G61</f>
        <v/>
      </c>
      <c r="AB61" s="303">
        <f>V61/G61</f>
        <v/>
      </c>
      <c r="AC61" s="303">
        <f>W61/G61</f>
        <v/>
      </c>
      <c r="AD61" s="303">
        <f>X61/G61</f>
        <v/>
      </c>
      <c r="AE61" s="919">
        <f>AD61+AC61+AA61</f>
        <v/>
      </c>
      <c r="AF61" s="761" t="n"/>
      <c r="AG61" s="326" t="n"/>
      <c r="AH61" s="249">
        <f>-Y61+R61</f>
        <v/>
      </c>
      <c r="AI61" s="717">
        <f>_xlfn.XLOOKUP(A61,'2.10.26 Sub Close Old'!A:A,'2.10.26 Sub Close Old'!AK:AK)</f>
        <v/>
      </c>
      <c r="AJ61" s="717">
        <f>_xlfn.XLOOKUP(A61,'2.10.26 Sub Close New'!A:A,'2.10.26 Sub Close New'!AJ:AJ)</f>
        <v/>
      </c>
      <c r="AK61" s="717">
        <f>+AJ61-AI61</f>
        <v/>
      </c>
      <c r="AL61" s="717">
        <f>+AH61+AK61</f>
        <v/>
      </c>
      <c r="AM61" s="756" t="n"/>
      <c r="AN61" s="308">
        <f>+Y61</f>
        <v/>
      </c>
      <c r="AO61" s="758">
        <f>AN61/G61</f>
        <v/>
      </c>
      <c r="AP61" s="758">
        <f>AB61</f>
        <v/>
      </c>
      <c r="AQ61" s="310">
        <f>+AO61-AP61</f>
        <v/>
      </c>
      <c r="AR61" s="756" t="n"/>
      <c r="AS61" s="326" t="n"/>
      <c r="AT61" s="332">
        <f>-$AS$3*H61</f>
        <v/>
      </c>
      <c r="AU61" s="757">
        <f>AT61</f>
        <v/>
      </c>
      <c r="AV61" s="310">
        <f>AT61/R61</f>
        <v/>
      </c>
      <c r="AW61" s="756" t="n"/>
      <c r="AX61" s="326" t="n"/>
      <c r="AY61" s="332">
        <f>AT61+AH61</f>
        <v/>
      </c>
      <c r="AZ61" s="756" t="n"/>
      <c r="BA61" s="326" t="n"/>
      <c r="BB61" s="332" t="n"/>
      <c r="BC61" s="756" t="n"/>
    </row>
    <row r="62">
      <c r="A62" s="752" t="inlineStr">
        <is>
          <t>Robert S. Shafir &amp; Donna R. Shafir TEN/COM</t>
        </is>
      </c>
      <c r="B62" s="351">
        <f>_xlfn.XLOOKUP(A62,'CLIP_Schedule B'!A:A,'CLIP_Schedule B'!E:E,0,FALSE)</f>
        <v/>
      </c>
      <c r="C62" s="351">
        <f>_xlfn.XLOOKUP(A62,'Silsbee_Schedule B'!B:B,'Silsbee_Schedule B'!F:F,0,FALSE)</f>
        <v/>
      </c>
      <c r="D62" s="351">
        <f>_xlfn.XLOOKUP(A62,'Q2''26 Management Fee'!B:B,'Q2''26 Management Fee'!C:C)</f>
        <v/>
      </c>
      <c r="E62" s="761">
        <f>SUMIFS(Commitment!G:G,Commitment!A:A,'Subsequent Close - OLD B4 25k'!A62)</f>
        <v/>
      </c>
      <c r="F62" s="760">
        <f>E62/$E$90</f>
        <v/>
      </c>
      <c r="G62" s="761">
        <f>E62</f>
        <v/>
      </c>
      <c r="H62" s="760">
        <f>E62/$E$86</f>
        <v/>
      </c>
      <c r="I62" s="760">
        <f>G62/$G$86</f>
        <v/>
      </c>
      <c r="J62" s="761">
        <f>-G62</f>
        <v/>
      </c>
      <c r="K62" s="760">
        <f>J62/$J$86</f>
        <v/>
      </c>
      <c r="L62" s="762" t="n"/>
      <c r="M62" s="351">
        <f>$M$3*H62</f>
        <v/>
      </c>
      <c r="N62" s="351" t="n">
        <v>-22051.63</v>
      </c>
      <c r="O62" s="351" t="n"/>
      <c r="P62" s="351">
        <f>$P$3*H62</f>
        <v/>
      </c>
      <c r="Q62" s="351" t="n">
        <v>-110695.9843266884</v>
      </c>
      <c r="R62" s="351">
        <f>SUM(M62:Q62)</f>
        <v/>
      </c>
      <c r="S62" s="761" t="n"/>
      <c r="T62" s="249">
        <f>$T$3*I62</f>
        <v/>
      </c>
      <c r="U62" s="754" t="n">
        <v>0</v>
      </c>
      <c r="V62" s="249">
        <f>N62</f>
        <v/>
      </c>
      <c r="W62" s="249">
        <f>I62*$W$3</f>
        <v/>
      </c>
      <c r="X62" s="249">
        <f>$X$3*I62</f>
        <v/>
      </c>
      <c r="Y62" s="249">
        <f>T62+W62+X62+V62+U62</f>
        <v/>
      </c>
      <c r="Z62" s="761" t="n"/>
      <c r="AA62" s="302">
        <f>T62/G62</f>
        <v/>
      </c>
      <c r="AB62" s="303">
        <f>V62/G62</f>
        <v/>
      </c>
      <c r="AC62" s="303">
        <f>W62/G62</f>
        <v/>
      </c>
      <c r="AD62" s="303">
        <f>X62/G62</f>
        <v/>
      </c>
      <c r="AE62" s="919">
        <f>AD62+AC62+AA62</f>
        <v/>
      </c>
      <c r="AF62" s="761" t="n"/>
      <c r="AG62" s="326" t="n"/>
      <c r="AH62" s="249">
        <f>-Y62+R62</f>
        <v/>
      </c>
      <c r="AI62" s="717">
        <f>_xlfn.XLOOKUP(A62,'2.10.26 Sub Close Old'!A:A,'2.10.26 Sub Close Old'!AK:AK)</f>
        <v/>
      </c>
      <c r="AJ62" s="717">
        <f>_xlfn.XLOOKUP(A62,'2.10.26 Sub Close New'!A:A,'2.10.26 Sub Close New'!AJ:AJ)</f>
        <v/>
      </c>
      <c r="AK62" s="717">
        <f>+AJ62-AI62</f>
        <v/>
      </c>
      <c r="AL62" s="717">
        <f>+AH62+AK62</f>
        <v/>
      </c>
      <c r="AM62" s="756" t="n"/>
      <c r="AN62" s="308">
        <f>+Y62</f>
        <v/>
      </c>
      <c r="AO62" s="758">
        <f>AN62/G62</f>
        <v/>
      </c>
      <c r="AP62" s="758">
        <f>AB62</f>
        <v/>
      </c>
      <c r="AQ62" s="310">
        <f>+AO62-AP62</f>
        <v/>
      </c>
      <c r="AR62" s="756" t="n"/>
      <c r="AS62" s="326" t="n"/>
      <c r="AT62" s="332">
        <f>-$AS$3*H62</f>
        <v/>
      </c>
      <c r="AU62" s="757">
        <f>AT62</f>
        <v/>
      </c>
      <c r="AV62" s="310">
        <f>AT62/R62</f>
        <v/>
      </c>
      <c r="AW62" s="756" t="n"/>
      <c r="AX62" s="326" t="n"/>
      <c r="AY62" s="332">
        <f>AT62+AH62</f>
        <v/>
      </c>
      <c r="AZ62" s="756" t="n"/>
      <c r="BA62" s="326" t="n"/>
      <c r="BB62" s="332" t="n"/>
      <c r="BC62" s="756" t="n"/>
    </row>
    <row r="63">
      <c r="A63" s="752" t="inlineStr">
        <is>
          <t>Robert S. Shafir 2011 Children's Trust</t>
        </is>
      </c>
      <c r="B63" s="351">
        <f>_xlfn.XLOOKUP(A63,'CLIP_Schedule B'!A:A,'CLIP_Schedule B'!E:E,0,FALSE)</f>
        <v/>
      </c>
      <c r="C63" s="351">
        <f>_xlfn.XLOOKUP(A63,'Silsbee_Schedule B'!B:B,'Silsbee_Schedule B'!F:F,0,FALSE)</f>
        <v/>
      </c>
      <c r="D63" s="351">
        <f>_xlfn.XLOOKUP(A63,'Q2''26 Management Fee'!B:B,'Q2''26 Management Fee'!C:C)</f>
        <v/>
      </c>
      <c r="E63" s="761">
        <f>SUMIFS(Commitment!G:G,Commitment!A:A,'Subsequent Close - OLD B4 25k'!A63)</f>
        <v/>
      </c>
      <c r="F63" s="760">
        <f>E63/$E$90</f>
        <v/>
      </c>
      <c r="G63" s="761">
        <f>E63</f>
        <v/>
      </c>
      <c r="H63" s="760">
        <f>E63/$E$86</f>
        <v/>
      </c>
      <c r="I63" s="760">
        <f>G63/$G$86</f>
        <v/>
      </c>
      <c r="J63" s="761">
        <f>-G63</f>
        <v/>
      </c>
      <c r="K63" s="760">
        <f>J63/$J$86</f>
        <v/>
      </c>
      <c r="L63" s="762" t="n"/>
      <c r="M63" s="351">
        <f>$M$3*H63</f>
        <v/>
      </c>
      <c r="N63" s="351" t="n">
        <v>-14701.09</v>
      </c>
      <c r="O63" s="351" t="n"/>
      <c r="P63" s="351">
        <f>$P$3*H63</f>
        <v/>
      </c>
      <c r="Q63" s="351" t="n">
        <v>-73797.32288445896</v>
      </c>
      <c r="R63" s="351">
        <f>SUM(M63:Q63)</f>
        <v/>
      </c>
      <c r="S63" s="761" t="n"/>
      <c r="T63" s="249">
        <f>$T$3*I63</f>
        <v/>
      </c>
      <c r="U63" s="754" t="n">
        <v>0</v>
      </c>
      <c r="V63" s="249">
        <f>N63</f>
        <v/>
      </c>
      <c r="W63" s="249">
        <f>I63*$W$3</f>
        <v/>
      </c>
      <c r="X63" s="249">
        <f>$X$3*I63</f>
        <v/>
      </c>
      <c r="Y63" s="249">
        <f>T63+W63+X63+V63+U63</f>
        <v/>
      </c>
      <c r="Z63" s="761" t="n"/>
      <c r="AA63" s="302">
        <f>T63/G63</f>
        <v/>
      </c>
      <c r="AB63" s="303">
        <f>V63/G63</f>
        <v/>
      </c>
      <c r="AC63" s="303">
        <f>W63/G63</f>
        <v/>
      </c>
      <c r="AD63" s="303">
        <f>X63/G63</f>
        <v/>
      </c>
      <c r="AE63" s="919">
        <f>AD63+AC63+AA63</f>
        <v/>
      </c>
      <c r="AF63" s="761" t="n"/>
      <c r="AG63" s="326" t="n"/>
      <c r="AH63" s="249">
        <f>-Y63+R63</f>
        <v/>
      </c>
      <c r="AI63" s="717">
        <f>_xlfn.XLOOKUP(A63,'2.10.26 Sub Close Old'!A:A,'2.10.26 Sub Close Old'!AK:AK)</f>
        <v/>
      </c>
      <c r="AJ63" s="717">
        <f>_xlfn.XLOOKUP(A63,'2.10.26 Sub Close New'!A:A,'2.10.26 Sub Close New'!AJ:AJ)</f>
        <v/>
      </c>
      <c r="AK63" s="717">
        <f>+AJ63-AI63</f>
        <v/>
      </c>
      <c r="AL63" s="717">
        <f>+AH63+AK63</f>
        <v/>
      </c>
      <c r="AM63" s="756" t="n"/>
      <c r="AN63" s="308">
        <f>+Y63</f>
        <v/>
      </c>
      <c r="AO63" s="758">
        <f>AN63/G63</f>
        <v/>
      </c>
      <c r="AP63" s="758">
        <f>AB63</f>
        <v/>
      </c>
      <c r="AQ63" s="310">
        <f>+AO63-AP63</f>
        <v/>
      </c>
      <c r="AR63" s="756" t="n"/>
      <c r="AS63" s="326" t="n"/>
      <c r="AT63" s="332">
        <f>-$AS$3*H63</f>
        <v/>
      </c>
      <c r="AU63" s="757">
        <f>AT63</f>
        <v/>
      </c>
      <c r="AV63" s="310">
        <f>AT63/R63</f>
        <v/>
      </c>
      <c r="AW63" s="756" t="n"/>
      <c r="AX63" s="326" t="n"/>
      <c r="AY63" s="332">
        <f>AT63+AH63</f>
        <v/>
      </c>
      <c r="AZ63" s="756" t="n"/>
      <c r="BA63" s="326" t="n"/>
      <c r="BB63" s="332" t="n"/>
      <c r="BC63" s="756" t="n"/>
    </row>
    <row r="64">
      <c r="A64" s="752" t="inlineStr">
        <is>
          <t>Romar Partners, LP</t>
        </is>
      </c>
      <c r="B64" s="351">
        <f>_xlfn.XLOOKUP(A64,'CLIP_Schedule B'!A:A,'CLIP_Schedule B'!E:E,0,FALSE)</f>
        <v/>
      </c>
      <c r="C64" s="351">
        <f>_xlfn.XLOOKUP(A64,'Silsbee_Schedule B'!B:B,'Silsbee_Schedule B'!F:F,0,FALSE)</f>
        <v/>
      </c>
      <c r="D64" s="351">
        <f>_xlfn.XLOOKUP(A64,'Q2''26 Management Fee'!B:B,'Q2''26 Management Fee'!C:C)</f>
        <v/>
      </c>
      <c r="E64" s="761">
        <f>SUMIFS(Commitment!G:G,Commitment!A:A,'Subsequent Close - OLD B4 25k'!A64)</f>
        <v/>
      </c>
      <c r="F64" s="760">
        <f>E64/$E$90</f>
        <v/>
      </c>
      <c r="G64" s="761">
        <f>E64</f>
        <v/>
      </c>
      <c r="H64" s="760">
        <f>E64/$E$86</f>
        <v/>
      </c>
      <c r="I64" s="760">
        <f>G64/$G$86</f>
        <v/>
      </c>
      <c r="J64" s="761">
        <f>-G64</f>
        <v/>
      </c>
      <c r="K64" s="760">
        <f>J64/$J$86</f>
        <v/>
      </c>
      <c r="L64" s="762" t="n"/>
      <c r="M64" s="351">
        <f>$M$3*H64</f>
        <v/>
      </c>
      <c r="N64" s="351" t="n">
        <v>-14701.09</v>
      </c>
      <c r="O64" s="351" t="n"/>
      <c r="P64" s="351">
        <f>$P$3*H64</f>
        <v/>
      </c>
      <c r="Q64" s="351" t="n">
        <v>-73797.32288445896</v>
      </c>
      <c r="R64" s="351">
        <f>SUM(M64:Q64)</f>
        <v/>
      </c>
      <c r="S64" s="761" t="n"/>
      <c r="T64" s="249">
        <f>$T$3*I64</f>
        <v/>
      </c>
      <c r="U64" s="754" t="n">
        <v>0</v>
      </c>
      <c r="V64" s="249">
        <f>N64</f>
        <v/>
      </c>
      <c r="W64" s="249">
        <f>I64*$W$3</f>
        <v/>
      </c>
      <c r="X64" s="249">
        <f>$X$3*I64</f>
        <v/>
      </c>
      <c r="Y64" s="249">
        <f>T64+W64+X64+V64+U64</f>
        <v/>
      </c>
      <c r="Z64" s="761" t="n"/>
      <c r="AA64" s="302">
        <f>T64/G64</f>
        <v/>
      </c>
      <c r="AB64" s="303">
        <f>V64/G64</f>
        <v/>
      </c>
      <c r="AC64" s="303">
        <f>W64/G64</f>
        <v/>
      </c>
      <c r="AD64" s="303">
        <f>X64/G64</f>
        <v/>
      </c>
      <c r="AE64" s="919">
        <f>AD64+AC64+AA64</f>
        <v/>
      </c>
      <c r="AF64" s="761" t="n"/>
      <c r="AG64" s="326" t="n"/>
      <c r="AH64" s="249">
        <f>-Y64+R64</f>
        <v/>
      </c>
      <c r="AI64" s="717">
        <f>_xlfn.XLOOKUP(A64,'2.10.26 Sub Close Old'!A:A,'2.10.26 Sub Close Old'!AK:AK)</f>
        <v/>
      </c>
      <c r="AJ64" s="717">
        <f>_xlfn.XLOOKUP(A64,'2.10.26 Sub Close New'!A:A,'2.10.26 Sub Close New'!AJ:AJ)</f>
        <v/>
      </c>
      <c r="AK64" s="717">
        <f>+AJ64-AI64</f>
        <v/>
      </c>
      <c r="AL64" s="717">
        <f>+AH64+AK64</f>
        <v/>
      </c>
      <c r="AM64" s="756" t="n"/>
      <c r="AN64" s="308">
        <f>+Y64</f>
        <v/>
      </c>
      <c r="AO64" s="758">
        <f>AN64/G64</f>
        <v/>
      </c>
      <c r="AP64" s="758">
        <f>AB64</f>
        <v/>
      </c>
      <c r="AQ64" s="310">
        <f>+AO64-AP64</f>
        <v/>
      </c>
      <c r="AR64" s="756" t="n"/>
      <c r="AS64" s="326" t="n"/>
      <c r="AT64" s="332">
        <f>-$AS$3*H64</f>
        <v/>
      </c>
      <c r="AU64" s="757">
        <f>AT64</f>
        <v/>
      </c>
      <c r="AV64" s="310">
        <f>AT64/R64</f>
        <v/>
      </c>
      <c r="AW64" s="756" t="n"/>
      <c r="AX64" s="326" t="n"/>
      <c r="AY64" s="332">
        <f>AT64+AH64</f>
        <v/>
      </c>
      <c r="AZ64" s="756" t="n"/>
      <c r="BA64" s="326" t="n"/>
      <c r="BB64" s="332" t="n"/>
      <c r="BC64" s="756" t="n"/>
    </row>
    <row r="65">
      <c r="A65" s="752" t="inlineStr">
        <is>
          <t>Steven and Chani Laufer 2012 Dynasty Trust</t>
        </is>
      </c>
      <c r="B65" s="351">
        <f>_xlfn.XLOOKUP(A65,'CLIP_Schedule B'!A:A,'CLIP_Schedule B'!E:E,0,FALSE)</f>
        <v/>
      </c>
      <c r="C65" s="351">
        <f>_xlfn.XLOOKUP(A65,'Silsbee_Schedule B'!B:B,'Silsbee_Schedule B'!F:F,0,FALSE)</f>
        <v/>
      </c>
      <c r="D65" s="351">
        <f>_xlfn.XLOOKUP(A65,'Q2''26 Management Fee'!B:B,'Q2''26 Management Fee'!C:C)</f>
        <v/>
      </c>
      <c r="E65" s="761">
        <f>SUMIFS(Commitment!G:G,Commitment!A:A,'Subsequent Close - OLD B4 25k'!A65)</f>
        <v/>
      </c>
      <c r="F65" s="760">
        <f>E65/$E$90</f>
        <v/>
      </c>
      <c r="G65" s="761">
        <f>E65</f>
        <v/>
      </c>
      <c r="H65" s="760">
        <f>E65/$E$86</f>
        <v/>
      </c>
      <c r="I65" s="760">
        <f>G65/$G$86</f>
        <v/>
      </c>
      <c r="J65" s="761">
        <f>-G65</f>
        <v/>
      </c>
      <c r="K65" s="760">
        <f>J65/$J$86</f>
        <v/>
      </c>
      <c r="L65" s="762" t="n"/>
      <c r="M65" s="351">
        <f>$M$3*H65</f>
        <v/>
      </c>
      <c r="N65" s="351" t="n">
        <v>-29402.17</v>
      </c>
      <c r="O65" s="351" t="n"/>
      <c r="P65" s="351">
        <f>$P$3*H65</f>
        <v/>
      </c>
      <c r="Q65" s="351" t="n">
        <v>-147594.6457689179</v>
      </c>
      <c r="R65" s="351">
        <f>SUM(M65:Q65)</f>
        <v/>
      </c>
      <c r="S65" s="761" t="n"/>
      <c r="T65" s="249">
        <f>$T$3*I65</f>
        <v/>
      </c>
      <c r="U65" s="754" t="n">
        <v>0</v>
      </c>
      <c r="V65" s="249">
        <f>N65</f>
        <v/>
      </c>
      <c r="W65" s="249">
        <f>I65*$W$3</f>
        <v/>
      </c>
      <c r="X65" s="249">
        <f>$X$3*I65</f>
        <v/>
      </c>
      <c r="Y65" s="249">
        <f>T65+W65+X65+V65+U65</f>
        <v/>
      </c>
      <c r="Z65" s="761" t="n"/>
      <c r="AA65" s="302">
        <f>T65/G65</f>
        <v/>
      </c>
      <c r="AB65" s="303">
        <f>V65/G65</f>
        <v/>
      </c>
      <c r="AC65" s="303">
        <f>W65/G65</f>
        <v/>
      </c>
      <c r="AD65" s="303">
        <f>X65/G65</f>
        <v/>
      </c>
      <c r="AE65" s="919">
        <f>AD65+AC65+AA65</f>
        <v/>
      </c>
      <c r="AF65" s="761" t="n"/>
      <c r="AG65" s="326" t="n"/>
      <c r="AH65" s="249">
        <f>-Y65+R65</f>
        <v/>
      </c>
      <c r="AI65" s="717">
        <f>_xlfn.XLOOKUP(A65,'2.10.26 Sub Close Old'!A:A,'2.10.26 Sub Close Old'!AK:AK)</f>
        <v/>
      </c>
      <c r="AJ65" s="717">
        <f>_xlfn.XLOOKUP(A65,'2.10.26 Sub Close New'!A:A,'2.10.26 Sub Close New'!AJ:AJ)</f>
        <v/>
      </c>
      <c r="AK65" s="717">
        <f>+AJ65-AI65</f>
        <v/>
      </c>
      <c r="AL65" s="717">
        <f>+AH65+AK65</f>
        <v/>
      </c>
      <c r="AM65" s="756" t="n"/>
      <c r="AN65" s="308">
        <f>+Y65</f>
        <v/>
      </c>
      <c r="AO65" s="758">
        <f>AN65/G65</f>
        <v/>
      </c>
      <c r="AP65" s="758">
        <f>AB65</f>
        <v/>
      </c>
      <c r="AQ65" s="310">
        <f>+AO65-AP65</f>
        <v/>
      </c>
      <c r="AR65" s="756" t="n"/>
      <c r="AS65" s="326" t="n"/>
      <c r="AT65" s="332">
        <f>-$AS$3*H65</f>
        <v/>
      </c>
      <c r="AU65" s="757">
        <f>AT65</f>
        <v/>
      </c>
      <c r="AV65" s="310">
        <f>AT65/R65</f>
        <v/>
      </c>
      <c r="AW65" s="756" t="n"/>
      <c r="AX65" s="326" t="n"/>
      <c r="AY65" s="332">
        <f>AT65+AH65</f>
        <v/>
      </c>
      <c r="AZ65" s="756" t="n"/>
      <c r="BA65" s="326" t="n"/>
      <c r="BB65" s="332" t="n"/>
      <c r="BC65" s="756" t="n"/>
    </row>
    <row r="66">
      <c r="A66" s="752" t="inlineStr">
        <is>
          <t>Steven M. Laufer 2012 Trust</t>
        </is>
      </c>
      <c r="B66" s="351">
        <f>_xlfn.XLOOKUP(A66,'CLIP_Schedule B'!A:A,'CLIP_Schedule B'!E:E,0,FALSE)</f>
        <v/>
      </c>
      <c r="C66" s="351">
        <f>_xlfn.XLOOKUP(A66,'Silsbee_Schedule B'!B:B,'Silsbee_Schedule B'!F:F,0,FALSE)</f>
        <v/>
      </c>
      <c r="D66" s="351">
        <f>_xlfn.XLOOKUP(A66,'Q2''26 Management Fee'!B:B,'Q2''26 Management Fee'!C:C)</f>
        <v/>
      </c>
      <c r="E66" s="761">
        <f>SUMIFS(Commitment!G:G,Commitment!A:A,'Subsequent Close - OLD B4 25k'!A66)</f>
        <v/>
      </c>
      <c r="F66" s="760">
        <f>E66/$E$90</f>
        <v/>
      </c>
      <c r="G66" s="761">
        <f>E66</f>
        <v/>
      </c>
      <c r="H66" s="760">
        <f>E66/$E$86</f>
        <v/>
      </c>
      <c r="I66" s="760">
        <f>G66/$G$86</f>
        <v/>
      </c>
      <c r="J66" s="761">
        <f>-G66</f>
        <v/>
      </c>
      <c r="K66" s="760">
        <f>J66/$J$86</f>
        <v/>
      </c>
      <c r="L66" s="762" t="n"/>
      <c r="M66" s="351">
        <f>$M$3*H66</f>
        <v/>
      </c>
      <c r="N66" s="351" t="n">
        <v>-14701.09</v>
      </c>
      <c r="O66" s="351" t="n"/>
      <c r="P66" s="351">
        <f>$P$3*H66</f>
        <v/>
      </c>
      <c r="Q66" s="351" t="n">
        <v>-73797.32288445896</v>
      </c>
      <c r="R66" s="351">
        <f>SUM(M66:Q66)</f>
        <v/>
      </c>
      <c r="S66" s="761" t="n"/>
      <c r="T66" s="249">
        <f>$T$3*I66</f>
        <v/>
      </c>
      <c r="U66" s="754" t="n">
        <v>0</v>
      </c>
      <c r="V66" s="249">
        <f>N66</f>
        <v/>
      </c>
      <c r="W66" s="249">
        <f>I66*$W$3</f>
        <v/>
      </c>
      <c r="X66" s="249">
        <f>$X$3*I66</f>
        <v/>
      </c>
      <c r="Y66" s="249">
        <f>T66+W66+X66+V66+U66</f>
        <v/>
      </c>
      <c r="Z66" s="761" t="n"/>
      <c r="AA66" s="302">
        <f>T66/G66</f>
        <v/>
      </c>
      <c r="AB66" s="303">
        <f>V66/G66</f>
        <v/>
      </c>
      <c r="AC66" s="303">
        <f>W66/G66</f>
        <v/>
      </c>
      <c r="AD66" s="303">
        <f>X66/G66</f>
        <v/>
      </c>
      <c r="AE66" s="919">
        <f>AD66+AC66+AA66</f>
        <v/>
      </c>
      <c r="AF66" s="761" t="n"/>
      <c r="AG66" s="326" t="n"/>
      <c r="AH66" s="249">
        <f>-Y66+R66</f>
        <v/>
      </c>
      <c r="AI66" s="717">
        <f>_xlfn.XLOOKUP(A66,'2.10.26 Sub Close Old'!A:A,'2.10.26 Sub Close Old'!AK:AK)</f>
        <v/>
      </c>
      <c r="AJ66" s="717">
        <f>_xlfn.XLOOKUP(A66,'2.10.26 Sub Close New'!A:A,'2.10.26 Sub Close New'!AJ:AJ)</f>
        <v/>
      </c>
      <c r="AK66" s="717">
        <f>+AJ66-AI66</f>
        <v/>
      </c>
      <c r="AL66" s="717">
        <f>+AH66+AK66</f>
        <v/>
      </c>
      <c r="AM66" s="756" t="n"/>
      <c r="AN66" s="308">
        <f>+Y66</f>
        <v/>
      </c>
      <c r="AO66" s="758">
        <f>AN66/G66</f>
        <v/>
      </c>
      <c r="AP66" s="758">
        <f>AB66</f>
        <v/>
      </c>
      <c r="AQ66" s="310">
        <f>+AO66-AP66</f>
        <v/>
      </c>
      <c r="AR66" s="756" t="n"/>
      <c r="AS66" s="326" t="n"/>
      <c r="AT66" s="332">
        <f>-$AS$3*H66</f>
        <v/>
      </c>
      <c r="AU66" s="757">
        <f>AT66</f>
        <v/>
      </c>
      <c r="AV66" s="310">
        <f>AT66/R66</f>
        <v/>
      </c>
      <c r="AW66" s="756" t="n"/>
      <c r="AX66" s="326" t="n"/>
      <c r="AY66" s="332">
        <f>AT66+AH66</f>
        <v/>
      </c>
      <c r="AZ66" s="756" t="n"/>
      <c r="BA66" s="326" t="n"/>
      <c r="BB66" s="332" t="n"/>
      <c r="BC66" s="756" t="n"/>
    </row>
    <row r="67">
      <c r="A67" s="752" t="inlineStr">
        <is>
          <t>Stewart Tate</t>
        </is>
      </c>
      <c r="B67" s="351">
        <f>_xlfn.XLOOKUP(A67,'CLIP_Schedule B'!A:A,'CLIP_Schedule B'!E:E,0,FALSE)</f>
        <v/>
      </c>
      <c r="C67" s="351">
        <f>_xlfn.XLOOKUP(A67,'Silsbee_Schedule B'!B:B,'Silsbee_Schedule B'!F:F,0,FALSE)</f>
        <v/>
      </c>
      <c r="D67" s="351">
        <f>_xlfn.XLOOKUP(A67,'Q2''26 Management Fee'!B:B,'Q2''26 Management Fee'!C:C)</f>
        <v/>
      </c>
      <c r="E67" s="761">
        <f>SUMIFS(Commitment!G:G,Commitment!A:A,'Subsequent Close - OLD B4 25k'!A67)</f>
        <v/>
      </c>
      <c r="F67" s="760">
        <f>E67/$E$90</f>
        <v/>
      </c>
      <c r="G67" s="761">
        <f>E67</f>
        <v/>
      </c>
      <c r="H67" s="760">
        <f>E67/$E$86</f>
        <v/>
      </c>
      <c r="I67" s="760">
        <f>G67/$G$86</f>
        <v/>
      </c>
      <c r="J67" s="761">
        <f>-G67</f>
        <v/>
      </c>
      <c r="K67" s="760">
        <f>J67/$J$86</f>
        <v/>
      </c>
      <c r="L67" s="762" t="n"/>
      <c r="M67" s="351">
        <f>$M$3*H67</f>
        <v/>
      </c>
      <c r="N67" s="351" t="n">
        <v>-5989.953164130435</v>
      </c>
      <c r="O67" s="351" t="n"/>
      <c r="P67" s="351">
        <f>$P$3*H67</f>
        <v/>
      </c>
      <c r="Q67" s="351" t="n">
        <v>-38617.90734184351</v>
      </c>
      <c r="R67" s="351">
        <f>SUM(M67:Q67)</f>
        <v/>
      </c>
      <c r="S67" s="761" t="n"/>
      <c r="T67" s="249">
        <f>$T$3*I67</f>
        <v/>
      </c>
      <c r="U67" s="754" t="n">
        <v>0</v>
      </c>
      <c r="V67" s="249">
        <f>N67</f>
        <v/>
      </c>
      <c r="W67" s="249">
        <f>I67*$W$3</f>
        <v/>
      </c>
      <c r="X67" s="249">
        <f>$X$3*I67</f>
        <v/>
      </c>
      <c r="Y67" s="249">
        <f>T67+W67+X67+V67+U67</f>
        <v/>
      </c>
      <c r="Z67" s="761" t="n"/>
      <c r="AA67" s="302">
        <f>T67/G67</f>
        <v/>
      </c>
      <c r="AB67" s="303">
        <f>V67/G67</f>
        <v/>
      </c>
      <c r="AC67" s="303">
        <f>W67/G67</f>
        <v/>
      </c>
      <c r="AD67" s="303">
        <f>X67/G67</f>
        <v/>
      </c>
      <c r="AE67" s="919">
        <f>AD67+AC67+AA67</f>
        <v/>
      </c>
      <c r="AF67" s="761" t="n"/>
      <c r="AG67" s="326" t="n"/>
      <c r="AH67" s="249">
        <f>-Y67+R67</f>
        <v/>
      </c>
      <c r="AI67" s="717">
        <f>_xlfn.XLOOKUP(A67,'2.10.26 Sub Close Old'!A:A,'2.10.26 Sub Close Old'!AK:AK)</f>
        <v/>
      </c>
      <c r="AJ67" s="717">
        <f>_xlfn.XLOOKUP(A67,'2.10.26 Sub Close New'!A:A,'2.10.26 Sub Close New'!AJ:AJ)</f>
        <v/>
      </c>
      <c r="AK67" s="717">
        <f>+AJ67-AI67</f>
        <v/>
      </c>
      <c r="AL67" s="717">
        <f>+AH67+AK67</f>
        <v/>
      </c>
      <c r="AM67" s="756" t="n"/>
      <c r="AN67" s="308">
        <f>+Y67</f>
        <v/>
      </c>
      <c r="AO67" s="758">
        <f>AN67/G67</f>
        <v/>
      </c>
      <c r="AP67" s="758">
        <f>AB67</f>
        <v/>
      </c>
      <c r="AQ67" s="310">
        <f>+AO67-AP67</f>
        <v/>
      </c>
      <c r="AR67" s="756" t="n"/>
      <c r="AS67" s="326" t="n"/>
      <c r="AT67" s="332">
        <f>-$AS$3*H67</f>
        <v/>
      </c>
      <c r="AU67" s="757">
        <f>AT67</f>
        <v/>
      </c>
      <c r="AV67" s="310">
        <f>AT67/R67</f>
        <v/>
      </c>
      <c r="AW67" s="756" t="n"/>
      <c r="AX67" s="326" t="n"/>
      <c r="AY67" s="332">
        <f>AT67+AH67</f>
        <v/>
      </c>
      <c r="AZ67" s="756" t="n"/>
      <c r="BA67" s="326" t="n"/>
      <c r="BB67" s="332" t="n"/>
      <c r="BC67" s="756" t="n"/>
    </row>
    <row r="68">
      <c r="A68" s="752" t="inlineStr">
        <is>
          <t>TC Wilson Family Trust</t>
        </is>
      </c>
      <c r="B68" s="351">
        <f>_xlfn.XLOOKUP(A68,'CLIP_Schedule B'!A:A,'CLIP_Schedule B'!E:E,0,FALSE)</f>
        <v/>
      </c>
      <c r="C68" s="351">
        <f>_xlfn.XLOOKUP(A68,'Silsbee_Schedule B'!B:B,'Silsbee_Schedule B'!F:F,0,FALSE)</f>
        <v/>
      </c>
      <c r="D68" s="351">
        <f>_xlfn.XLOOKUP(A68,'Q2''26 Management Fee'!B:B,'Q2''26 Management Fee'!C:C)</f>
        <v/>
      </c>
      <c r="E68" s="761">
        <f>SUMIFS(Commitment!G:G,Commitment!A:A,'Subsequent Close - OLD B4 25k'!A68)</f>
        <v/>
      </c>
      <c r="F68" s="760">
        <f>E68/$E$90</f>
        <v/>
      </c>
      <c r="G68" s="761">
        <f>E68</f>
        <v/>
      </c>
      <c r="H68" s="760">
        <f>E68/$E$86</f>
        <v/>
      </c>
      <c r="I68" s="760">
        <f>G68/$G$86</f>
        <v/>
      </c>
      <c r="J68" s="761">
        <f>-G68</f>
        <v/>
      </c>
      <c r="K68" s="760">
        <f>J68/$J$86</f>
        <v/>
      </c>
      <c r="L68" s="762" t="n"/>
      <c r="M68" s="351">
        <f>$M$3*H68</f>
        <v/>
      </c>
      <c r="N68" s="351" t="n">
        <v>-1867.7</v>
      </c>
      <c r="O68" s="351" t="n"/>
      <c r="P68" s="351">
        <f>$P$3*H68</f>
        <v/>
      </c>
      <c r="Q68" s="351" t="n">
        <v>-11556.70725601969</v>
      </c>
      <c r="R68" s="351">
        <f>SUM(M68:Q68)</f>
        <v/>
      </c>
      <c r="S68" s="761" t="n"/>
      <c r="T68" s="249">
        <f>$T$3*I68</f>
        <v/>
      </c>
      <c r="U68" s="754" t="n">
        <v>0</v>
      </c>
      <c r="V68" s="249">
        <f>N68</f>
        <v/>
      </c>
      <c r="W68" s="249">
        <f>I68*$W$3</f>
        <v/>
      </c>
      <c r="X68" s="249">
        <f>$X$3*I68</f>
        <v/>
      </c>
      <c r="Y68" s="249">
        <f>T68+W68+X68+V68+U68</f>
        <v/>
      </c>
      <c r="Z68" s="761" t="n"/>
      <c r="AA68" s="302">
        <f>T68/G68</f>
        <v/>
      </c>
      <c r="AB68" s="303">
        <f>V68/G68</f>
        <v/>
      </c>
      <c r="AC68" s="303">
        <f>W68/G68</f>
        <v/>
      </c>
      <c r="AD68" s="303">
        <f>X68/G68</f>
        <v/>
      </c>
      <c r="AE68" s="919">
        <f>AD68+AC68+AA68</f>
        <v/>
      </c>
      <c r="AF68" s="761" t="n"/>
      <c r="AG68" s="326" t="n"/>
      <c r="AH68" s="249">
        <f>-Y68+R68</f>
        <v/>
      </c>
      <c r="AI68" s="717">
        <f>_xlfn.XLOOKUP(A68,'2.10.26 Sub Close Old'!A:A,'2.10.26 Sub Close Old'!AK:AK)</f>
        <v/>
      </c>
      <c r="AJ68" s="717">
        <f>_xlfn.XLOOKUP(A68,'2.10.26 Sub Close New'!A:A,'2.10.26 Sub Close New'!AJ:AJ)</f>
        <v/>
      </c>
      <c r="AK68" s="717">
        <f>+AJ68-AI68</f>
        <v/>
      </c>
      <c r="AL68" s="717">
        <f>+AH68+AK68</f>
        <v/>
      </c>
      <c r="AM68" s="756" t="n"/>
      <c r="AN68" s="308">
        <f>+Y68</f>
        <v/>
      </c>
      <c r="AO68" s="758">
        <f>AN68/G68</f>
        <v/>
      </c>
      <c r="AP68" s="758">
        <f>AB68</f>
        <v/>
      </c>
      <c r="AQ68" s="310">
        <f>+AO68-AP68</f>
        <v/>
      </c>
      <c r="AR68" s="756" t="n"/>
      <c r="AS68" s="326" t="n"/>
      <c r="AT68" s="332">
        <f>-$AS$3*H68</f>
        <v/>
      </c>
      <c r="AU68" s="757">
        <f>AT68</f>
        <v/>
      </c>
      <c r="AV68" s="310">
        <f>AT68/R68</f>
        <v/>
      </c>
      <c r="AW68" s="756" t="n"/>
      <c r="AX68" s="326" t="n"/>
      <c r="AY68" s="332">
        <f>AT68+AH68</f>
        <v/>
      </c>
      <c r="AZ68" s="756" t="n"/>
      <c r="BA68" s="326" t="n"/>
      <c r="BB68" s="332" t="n"/>
      <c r="BC68" s="756" t="n"/>
    </row>
    <row r="69">
      <c r="A69" s="752" t="inlineStr">
        <is>
          <t>Terminal Refrigerating &amp; Warehousing Corp.</t>
        </is>
      </c>
      <c r="B69" s="351">
        <f>_xlfn.XLOOKUP(A69,'CLIP_Schedule B'!A:A,'CLIP_Schedule B'!E:E,0,FALSE)</f>
        <v/>
      </c>
      <c r="C69" s="351">
        <f>_xlfn.XLOOKUP(A69,'Silsbee_Schedule B'!B:B,'Silsbee_Schedule B'!F:F,0,FALSE)</f>
        <v/>
      </c>
      <c r="D69" s="351">
        <f>_xlfn.XLOOKUP(A69,'Q2''26 Management Fee'!B:B,'Q2''26 Management Fee'!C:C)</f>
        <v/>
      </c>
      <c r="E69" s="761">
        <f>SUMIFS(Commitment!G:G,Commitment!A:A,'Subsequent Close - OLD B4 25k'!A69)</f>
        <v/>
      </c>
      <c r="F69" s="760">
        <f>E69/$E$90</f>
        <v/>
      </c>
      <c r="G69" s="761">
        <f>E69</f>
        <v/>
      </c>
      <c r="H69" s="760">
        <f>E69/$E$86</f>
        <v/>
      </c>
      <c r="I69" s="760">
        <f>G69/$G$86</f>
        <v/>
      </c>
      <c r="J69" s="761">
        <f>-G69</f>
        <v/>
      </c>
      <c r="K69" s="760">
        <f>J69/$J$86</f>
        <v/>
      </c>
      <c r="L69" s="762" t="n"/>
      <c r="M69" s="351">
        <f>$M$3*H69</f>
        <v/>
      </c>
      <c r="N69" s="351" t="n">
        <v>0</v>
      </c>
      <c r="O69" s="351" t="n"/>
      <c r="P69" s="351">
        <f>$P$3*H69</f>
        <v/>
      </c>
      <c r="Q69" s="351" t="n">
        <v>0</v>
      </c>
      <c r="R69" s="351">
        <f>SUM(M69:Q69)</f>
        <v/>
      </c>
      <c r="S69" s="761" t="n"/>
      <c r="T69" s="249">
        <f>$T$3*I69</f>
        <v/>
      </c>
      <c r="U69" s="754" t="n">
        <v>0</v>
      </c>
      <c r="V69" s="249">
        <f>N69</f>
        <v/>
      </c>
      <c r="W69" s="249">
        <f>I69*$W$3</f>
        <v/>
      </c>
      <c r="X69" s="249">
        <f>$X$3*I69</f>
        <v/>
      </c>
      <c r="Y69" s="249">
        <f>T69+W69+X69+V69+U69</f>
        <v/>
      </c>
      <c r="Z69" s="761" t="n"/>
      <c r="AA69" s="302" t="n">
        <v>0</v>
      </c>
      <c r="AB69" s="303" t="n">
        <v>0</v>
      </c>
      <c r="AC69" s="303" t="n">
        <v>0</v>
      </c>
      <c r="AD69" s="303" t="n">
        <v>0</v>
      </c>
      <c r="AE69" s="919">
        <f>AD69+AC69+AA69</f>
        <v/>
      </c>
      <c r="AF69" s="761" t="n"/>
      <c r="AG69" s="326" t="n"/>
      <c r="AH69" s="249">
        <f>-Y69+R69</f>
        <v/>
      </c>
      <c r="AI69" s="717" t="n"/>
      <c r="AJ69" s="717" t="n"/>
      <c r="AK69" s="717">
        <f>+AJ69-AI69</f>
        <v/>
      </c>
      <c r="AL69" s="717">
        <f>+AH69+AK69</f>
        <v/>
      </c>
      <c r="AM69" s="756" t="n"/>
      <c r="AN69" s="308">
        <f>+Y69</f>
        <v/>
      </c>
      <c r="AO69" s="758" t="n"/>
      <c r="AP69" s="758">
        <f>AB69</f>
        <v/>
      </c>
      <c r="AQ69" s="310">
        <f>+AO69-AP69</f>
        <v/>
      </c>
      <c r="AR69" s="756" t="n"/>
      <c r="AS69" s="326" t="n"/>
      <c r="AT69" s="332">
        <f>-$AS$3*H69</f>
        <v/>
      </c>
      <c r="AU69" s="757">
        <f>AT69</f>
        <v/>
      </c>
      <c r="AV69" s="310" t="n">
        <v>0</v>
      </c>
      <c r="AW69" s="756" t="n"/>
      <c r="AX69" s="326" t="n"/>
      <c r="AY69" s="332">
        <f>AT69+AH69</f>
        <v/>
      </c>
      <c r="AZ69" s="756" t="n"/>
      <c r="BA69" s="326" t="n"/>
      <c r="BB69" s="332" t="n"/>
      <c r="BC69" s="756" t="n"/>
    </row>
    <row r="70">
      <c r="A70" s="752" t="inlineStr">
        <is>
          <t>The 2015 Pipe Reality Delaware Trust</t>
        </is>
      </c>
      <c r="B70" s="351">
        <f>_xlfn.XLOOKUP(A70,'CLIP_Schedule B'!A:A,'CLIP_Schedule B'!E:E,0,FALSE)</f>
        <v/>
      </c>
      <c r="C70" s="351">
        <f>_xlfn.XLOOKUP(A70,'Silsbee_Schedule B'!B:B,'Silsbee_Schedule B'!F:F,0,FALSE)</f>
        <v/>
      </c>
      <c r="D70" s="351">
        <f>_xlfn.XLOOKUP(A70,'Q2''26 Management Fee'!B:B,'Q2''26 Management Fee'!C:C)</f>
        <v/>
      </c>
      <c r="E70" s="761">
        <f>SUMIFS(Commitment!G:G,Commitment!A:A,'Subsequent Close - OLD B4 25k'!A70)</f>
        <v/>
      </c>
      <c r="F70" s="760">
        <f>E70/$E$90</f>
        <v/>
      </c>
      <c r="G70" s="761">
        <f>E70</f>
        <v/>
      </c>
      <c r="H70" s="760">
        <f>E70/$E$86</f>
        <v/>
      </c>
      <c r="I70" s="760">
        <f>G70/$G$86</f>
        <v/>
      </c>
      <c r="J70" s="761">
        <f>-G70</f>
        <v/>
      </c>
      <c r="K70" s="760">
        <f>J70/$J$86</f>
        <v/>
      </c>
      <c r="L70" s="762" t="n"/>
      <c r="M70" s="351">
        <f>$M$3*H70</f>
        <v/>
      </c>
      <c r="N70" s="351" t="n">
        <v>-14701.09</v>
      </c>
      <c r="O70" s="351" t="n"/>
      <c r="P70" s="351">
        <f>$P$3*H70</f>
        <v/>
      </c>
      <c r="Q70" s="351" t="n">
        <v>-73797.32288445896</v>
      </c>
      <c r="R70" s="351">
        <f>SUM(M70:Q70)</f>
        <v/>
      </c>
      <c r="S70" s="761" t="n"/>
      <c r="T70" s="249">
        <f>$T$3*I70</f>
        <v/>
      </c>
      <c r="U70" s="754" t="n">
        <v>0</v>
      </c>
      <c r="V70" s="249">
        <f>N70</f>
        <v/>
      </c>
      <c r="W70" s="249">
        <f>I70*$W$3</f>
        <v/>
      </c>
      <c r="X70" s="249">
        <f>$X$3*I70</f>
        <v/>
      </c>
      <c r="Y70" s="249">
        <f>T70+W70+X70+V70+U70</f>
        <v/>
      </c>
      <c r="Z70" s="761" t="n"/>
      <c r="AA70" s="302">
        <f>T70/G70</f>
        <v/>
      </c>
      <c r="AB70" s="303">
        <f>V70/G70</f>
        <v/>
      </c>
      <c r="AC70" s="303">
        <f>W70/G70</f>
        <v/>
      </c>
      <c r="AD70" s="303">
        <f>X70/G70</f>
        <v/>
      </c>
      <c r="AE70" s="919">
        <f>AD70+AC70+AA70</f>
        <v/>
      </c>
      <c r="AF70" s="761" t="n"/>
      <c r="AG70" s="326" t="n"/>
      <c r="AH70" s="249">
        <f>-Y70+R70</f>
        <v/>
      </c>
      <c r="AI70" s="717">
        <f>_xlfn.XLOOKUP(A70,'2.10.26 Sub Close Old'!A:A,'2.10.26 Sub Close Old'!AK:AK)</f>
        <v/>
      </c>
      <c r="AJ70" s="717">
        <f>_xlfn.XLOOKUP(A70,'2.10.26 Sub Close New'!A:A,'2.10.26 Sub Close New'!AJ:AJ)</f>
        <v/>
      </c>
      <c r="AK70" s="717">
        <f>+AJ70-AI70</f>
        <v/>
      </c>
      <c r="AL70" s="717">
        <f>+AH70+AK70</f>
        <v/>
      </c>
      <c r="AM70" s="756" t="n"/>
      <c r="AN70" s="308">
        <f>+Y70</f>
        <v/>
      </c>
      <c r="AO70" s="758">
        <f>AN70/G70</f>
        <v/>
      </c>
      <c r="AP70" s="758">
        <f>AB70</f>
        <v/>
      </c>
      <c r="AQ70" s="310">
        <f>+AO70-AP70</f>
        <v/>
      </c>
      <c r="AR70" s="756" t="n"/>
      <c r="AS70" s="326" t="n"/>
      <c r="AT70" s="332">
        <f>-$AS$3*H70</f>
        <v/>
      </c>
      <c r="AU70" s="757">
        <f>AT70</f>
        <v/>
      </c>
      <c r="AV70" s="310">
        <f>AT70/R70</f>
        <v/>
      </c>
      <c r="AW70" s="756" t="n"/>
      <c r="AX70" s="326" t="n"/>
      <c r="AY70" s="332">
        <f>AT70+AH70</f>
        <v/>
      </c>
      <c r="AZ70" s="756" t="n"/>
      <c r="BA70" s="326" t="n"/>
      <c r="BB70" s="332" t="n"/>
      <c r="BC70" s="756" t="n"/>
    </row>
    <row r="71">
      <c r="A71" s="752" t="inlineStr">
        <is>
          <t>The David L. Schnadig 2017 Trust</t>
        </is>
      </c>
      <c r="B71" s="351">
        <f>_xlfn.XLOOKUP(A71,'CLIP_Schedule B'!A:A,'CLIP_Schedule B'!E:E,0,FALSE)</f>
        <v/>
      </c>
      <c r="C71" s="351">
        <f>_xlfn.XLOOKUP(A71,'Silsbee_Schedule B'!B:B,'Silsbee_Schedule B'!F:F,0,FALSE)</f>
        <v/>
      </c>
      <c r="D71" s="351">
        <f>_xlfn.XLOOKUP(A71,'Q2''26 Management Fee'!B:B,'Q2''26 Management Fee'!C:C)</f>
        <v/>
      </c>
      <c r="E71" s="761">
        <f>SUMIFS(Commitment!G:G,Commitment!A:A,'Subsequent Close - OLD B4 25k'!A71)</f>
        <v/>
      </c>
      <c r="F71" s="760">
        <f>E71/$E$90</f>
        <v/>
      </c>
      <c r="G71" s="761">
        <f>E71</f>
        <v/>
      </c>
      <c r="H71" s="760">
        <f>E71/$E$86</f>
        <v/>
      </c>
      <c r="I71" s="760">
        <f>G71/$G$86</f>
        <v/>
      </c>
      <c r="J71" s="761">
        <f>-G71</f>
        <v/>
      </c>
      <c r="K71" s="760">
        <f>J71/$J$86</f>
        <v/>
      </c>
      <c r="L71" s="762" t="n"/>
      <c r="M71" s="351">
        <f>$M$3*H71</f>
        <v/>
      </c>
      <c r="N71" s="351" t="n">
        <v>-14701.09</v>
      </c>
      <c r="O71" s="351" t="n"/>
      <c r="P71" s="351">
        <f>$P$3*H71</f>
        <v/>
      </c>
      <c r="Q71" s="351" t="n">
        <v>-73797.32288445896</v>
      </c>
      <c r="R71" s="351">
        <f>SUM(M71:Q71)</f>
        <v/>
      </c>
      <c r="S71" s="761" t="n"/>
      <c r="T71" s="249">
        <f>$T$3*I71</f>
        <v/>
      </c>
      <c r="U71" s="754" t="n">
        <v>0</v>
      </c>
      <c r="V71" s="249">
        <f>N71</f>
        <v/>
      </c>
      <c r="W71" s="249">
        <f>I71*$W$3</f>
        <v/>
      </c>
      <c r="X71" s="249">
        <f>$X$3*I71</f>
        <v/>
      </c>
      <c r="Y71" s="249">
        <f>T71+W71+X71+V71+U71</f>
        <v/>
      </c>
      <c r="Z71" s="761" t="n"/>
      <c r="AA71" s="302">
        <f>T71/G71</f>
        <v/>
      </c>
      <c r="AB71" s="303">
        <f>V71/G71</f>
        <v/>
      </c>
      <c r="AC71" s="303">
        <f>W71/G71</f>
        <v/>
      </c>
      <c r="AD71" s="303">
        <f>X71/G71</f>
        <v/>
      </c>
      <c r="AE71" s="919">
        <f>AD71+AC71+AA71</f>
        <v/>
      </c>
      <c r="AF71" s="761" t="n"/>
      <c r="AG71" s="326" t="n"/>
      <c r="AH71" s="249">
        <f>-Y71+R71</f>
        <v/>
      </c>
      <c r="AI71" s="717">
        <f>_xlfn.XLOOKUP(A71,'2.10.26 Sub Close Old'!A:A,'2.10.26 Sub Close Old'!AK:AK)</f>
        <v/>
      </c>
      <c r="AJ71" s="717">
        <f>_xlfn.XLOOKUP(A71,'2.10.26 Sub Close New'!A:A,'2.10.26 Sub Close New'!AJ:AJ)</f>
        <v/>
      </c>
      <c r="AK71" s="717">
        <f>+AJ71-AI71</f>
        <v/>
      </c>
      <c r="AL71" s="717">
        <f>+AH71+AK71</f>
        <v/>
      </c>
      <c r="AM71" s="756" t="n"/>
      <c r="AN71" s="308">
        <f>+Y71</f>
        <v/>
      </c>
      <c r="AO71" s="758">
        <f>AN71/G71</f>
        <v/>
      </c>
      <c r="AP71" s="758">
        <f>AB71</f>
        <v/>
      </c>
      <c r="AQ71" s="310">
        <f>+AO71-AP71</f>
        <v/>
      </c>
      <c r="AR71" s="756" t="n"/>
      <c r="AS71" s="326" t="n"/>
      <c r="AT71" s="332">
        <f>-$AS$3*H71</f>
        <v/>
      </c>
      <c r="AU71" s="757">
        <f>AT71</f>
        <v/>
      </c>
      <c r="AV71" s="310">
        <f>AT71/R71</f>
        <v/>
      </c>
      <c r="AW71" s="756" t="n"/>
      <c r="AX71" s="326" t="n"/>
      <c r="AY71" s="332">
        <f>AT71+AH71</f>
        <v/>
      </c>
      <c r="AZ71" s="756" t="n"/>
      <c r="BA71" s="326" t="n"/>
      <c r="BB71" s="332" t="n"/>
      <c r="BC71" s="756" t="n"/>
    </row>
    <row r="72">
      <c r="A72" s="752" t="inlineStr">
        <is>
          <t>The Diane Rosen 2021 Irrevocable Family Trust</t>
        </is>
      </c>
      <c r="B72" s="351">
        <f>_xlfn.XLOOKUP(A72,'CLIP_Schedule B'!A:A,'CLIP_Schedule B'!E:E,0,FALSE)</f>
        <v/>
      </c>
      <c r="C72" s="351">
        <f>_xlfn.XLOOKUP(A72,'Silsbee_Schedule B'!B:B,'Silsbee_Schedule B'!F:F,0,FALSE)</f>
        <v/>
      </c>
      <c r="D72" s="351">
        <f>_xlfn.XLOOKUP(A72,'Q2''26 Management Fee'!B:B,'Q2''26 Management Fee'!C:C)</f>
        <v/>
      </c>
      <c r="E72" s="761">
        <f>SUMIFS(Commitment!G:G,Commitment!A:A,'Subsequent Close - OLD B4 25k'!A72)</f>
        <v/>
      </c>
      <c r="F72" s="760">
        <f>E72/$E$90</f>
        <v/>
      </c>
      <c r="G72" s="761">
        <f>E72</f>
        <v/>
      </c>
      <c r="H72" s="760">
        <f>E72/$E$86</f>
        <v/>
      </c>
      <c r="I72" s="760">
        <f>G72/$G$86</f>
        <v/>
      </c>
      <c r="J72" s="761">
        <f>-G72</f>
        <v/>
      </c>
      <c r="K72" s="760">
        <f>J72/$J$86</f>
        <v/>
      </c>
      <c r="L72" s="762" t="n"/>
      <c r="M72" s="351">
        <f>$M$3*H72</f>
        <v/>
      </c>
      <c r="N72" s="351" t="n">
        <v>-8820.65</v>
      </c>
      <c r="O72" s="351" t="n"/>
      <c r="P72" s="351">
        <f>$P$3*H72</f>
        <v/>
      </c>
      <c r="Q72" s="351" t="n">
        <v>-44278.39373067537</v>
      </c>
      <c r="R72" s="351">
        <f>SUM(M72:Q72)</f>
        <v/>
      </c>
      <c r="S72" s="761" t="n"/>
      <c r="T72" s="249">
        <f>$T$3*I72</f>
        <v/>
      </c>
      <c r="U72" s="754" t="n">
        <v>0</v>
      </c>
      <c r="V72" s="249">
        <f>N72</f>
        <v/>
      </c>
      <c r="W72" s="249">
        <f>I72*$W$3</f>
        <v/>
      </c>
      <c r="X72" s="249">
        <f>$X$3*I72</f>
        <v/>
      </c>
      <c r="Y72" s="249">
        <f>T72+W72+X72+V72+U72</f>
        <v/>
      </c>
      <c r="Z72" s="761" t="n"/>
      <c r="AA72" s="302">
        <f>T72/G72</f>
        <v/>
      </c>
      <c r="AB72" s="303">
        <f>V72/G72</f>
        <v/>
      </c>
      <c r="AC72" s="303">
        <f>W72/G72</f>
        <v/>
      </c>
      <c r="AD72" s="303">
        <f>X72/G72</f>
        <v/>
      </c>
      <c r="AE72" s="919">
        <f>AD72+AC72+AA72</f>
        <v/>
      </c>
      <c r="AF72" s="761" t="n"/>
      <c r="AG72" s="326" t="n"/>
      <c r="AH72" s="249">
        <f>-Y72+R72</f>
        <v/>
      </c>
      <c r="AI72" s="717">
        <f>_xlfn.XLOOKUP(A72,'2.10.26 Sub Close Old'!A:A,'2.10.26 Sub Close Old'!AK:AK)</f>
        <v/>
      </c>
      <c r="AJ72" s="717">
        <f>_xlfn.XLOOKUP(A72,'2.10.26 Sub Close New'!A:A,'2.10.26 Sub Close New'!AJ:AJ)</f>
        <v/>
      </c>
      <c r="AK72" s="717">
        <f>+AJ72-AI72</f>
        <v/>
      </c>
      <c r="AL72" s="717">
        <f>+AH72+AK72</f>
        <v/>
      </c>
      <c r="AM72" s="756" t="n"/>
      <c r="AN72" s="308">
        <f>+Y72</f>
        <v/>
      </c>
      <c r="AO72" s="758">
        <f>AN72/G72</f>
        <v/>
      </c>
      <c r="AP72" s="758">
        <f>AB72</f>
        <v/>
      </c>
      <c r="AQ72" s="310">
        <f>+AO72-AP72</f>
        <v/>
      </c>
      <c r="AR72" s="756" t="n"/>
      <c r="AS72" s="326" t="n"/>
      <c r="AT72" s="332">
        <f>-$AS$3*H72</f>
        <v/>
      </c>
      <c r="AU72" s="757">
        <f>AT72</f>
        <v/>
      </c>
      <c r="AV72" s="310">
        <f>AT72/R72</f>
        <v/>
      </c>
      <c r="AW72" s="756" t="n"/>
      <c r="AX72" s="326" t="n"/>
      <c r="AY72" s="332">
        <f>AT72+AH72</f>
        <v/>
      </c>
      <c r="AZ72" s="756" t="n"/>
      <c r="BA72" s="326" t="n"/>
      <c r="BB72" s="332" t="n"/>
      <c r="BC72" s="756" t="n"/>
    </row>
    <row r="73">
      <c r="A73" s="752" t="inlineStr">
        <is>
          <t>The Mark T. Kirchdorfer 2015 Family Delaware Dynasty Trust</t>
        </is>
      </c>
      <c r="B73" s="351">
        <f>_xlfn.XLOOKUP(A73,'CLIP_Schedule B'!A:A,'CLIP_Schedule B'!E:E,0,FALSE)</f>
        <v/>
      </c>
      <c r="C73" s="351">
        <f>_xlfn.XLOOKUP(A73,'Silsbee_Schedule B'!B:B,'Silsbee_Schedule B'!F:F,0,FALSE)</f>
        <v/>
      </c>
      <c r="D73" s="351">
        <f>_xlfn.XLOOKUP(A73,'Q2''26 Management Fee'!B:B,'Q2''26 Management Fee'!C:C)</f>
        <v/>
      </c>
      <c r="E73" s="761">
        <f>SUMIFS(Commitment!G:G,Commitment!A:A,'Subsequent Close - OLD B4 25k'!A73)</f>
        <v/>
      </c>
      <c r="F73" s="760">
        <f>E73/$E$90</f>
        <v/>
      </c>
      <c r="G73" s="761">
        <f>E73</f>
        <v/>
      </c>
      <c r="H73" s="760">
        <f>E73/$E$86</f>
        <v/>
      </c>
      <c r="I73" s="760">
        <f>G73/$G$86</f>
        <v/>
      </c>
      <c r="J73" s="761">
        <f>-G73</f>
        <v/>
      </c>
      <c r="K73" s="760">
        <f>J73/$J$86</f>
        <v/>
      </c>
      <c r="L73" s="762" t="n"/>
      <c r="M73" s="351">
        <f>$M$3*H73</f>
        <v/>
      </c>
      <c r="N73" s="351" t="n">
        <v>-14701.09</v>
      </c>
      <c r="O73" s="351" t="n"/>
      <c r="P73" s="351">
        <f>$P$3*H73</f>
        <v/>
      </c>
      <c r="Q73" s="351" t="n">
        <v>-73797.32288445896</v>
      </c>
      <c r="R73" s="351">
        <f>SUM(M73:Q73)</f>
        <v/>
      </c>
      <c r="S73" s="761" t="n"/>
      <c r="T73" s="249">
        <f>$T$3*I73</f>
        <v/>
      </c>
      <c r="U73" s="754" t="n">
        <v>0</v>
      </c>
      <c r="V73" s="249">
        <f>N73</f>
        <v/>
      </c>
      <c r="W73" s="249">
        <f>I73*$W$3</f>
        <v/>
      </c>
      <c r="X73" s="249">
        <f>$X$3*I73</f>
        <v/>
      </c>
      <c r="Y73" s="249">
        <f>T73+W73+X73+V73+U73</f>
        <v/>
      </c>
      <c r="Z73" s="761" t="n"/>
      <c r="AA73" s="302">
        <f>T73/G73</f>
        <v/>
      </c>
      <c r="AB73" s="303">
        <f>V73/G73</f>
        <v/>
      </c>
      <c r="AC73" s="303">
        <f>W73/G73</f>
        <v/>
      </c>
      <c r="AD73" s="303">
        <f>X73/G73</f>
        <v/>
      </c>
      <c r="AE73" s="919">
        <f>AD73+AC73+AA73</f>
        <v/>
      </c>
      <c r="AF73" s="761" t="n"/>
      <c r="AG73" s="326" t="n"/>
      <c r="AH73" s="249">
        <f>-Y73+R73</f>
        <v/>
      </c>
      <c r="AI73" s="717">
        <f>_xlfn.XLOOKUP(A73,'2.10.26 Sub Close Old'!A:A,'2.10.26 Sub Close Old'!AK:AK)</f>
        <v/>
      </c>
      <c r="AJ73" s="717">
        <f>_xlfn.XLOOKUP(A73,'2.10.26 Sub Close New'!A:A,'2.10.26 Sub Close New'!AJ:AJ)</f>
        <v/>
      </c>
      <c r="AK73" s="717">
        <f>+AJ73-AI73</f>
        <v/>
      </c>
      <c r="AL73" s="717">
        <f>+AH73+AK73</f>
        <v/>
      </c>
      <c r="AM73" s="756" t="n"/>
      <c r="AN73" s="308">
        <f>+Y73</f>
        <v/>
      </c>
      <c r="AO73" s="758">
        <f>AN73/G73</f>
        <v/>
      </c>
      <c r="AP73" s="758">
        <f>AB73</f>
        <v/>
      </c>
      <c r="AQ73" s="310">
        <f>+AO73-AP73</f>
        <v/>
      </c>
      <c r="AR73" s="756" t="n"/>
      <c r="AS73" s="326" t="n"/>
      <c r="AT73" s="332">
        <f>-$AS$3*H73</f>
        <v/>
      </c>
      <c r="AU73" s="757">
        <f>AT73</f>
        <v/>
      </c>
      <c r="AV73" s="310">
        <f>AT73/R73</f>
        <v/>
      </c>
      <c r="AW73" s="756" t="n"/>
      <c r="AX73" s="326" t="n"/>
      <c r="AY73" s="332">
        <f>AT73+AH73</f>
        <v/>
      </c>
      <c r="AZ73" s="756" t="n"/>
      <c r="BA73" s="326" t="n"/>
      <c r="BB73" s="332" t="n"/>
      <c r="BC73" s="756" t="n"/>
    </row>
    <row r="74">
      <c r="A74" s="752" t="inlineStr">
        <is>
          <t>University of Southern California</t>
        </is>
      </c>
      <c r="B74" s="351">
        <f>_xlfn.XLOOKUP(A74,'CLIP_Schedule B'!A:A,'CLIP_Schedule B'!E:E,0,FALSE)</f>
        <v/>
      </c>
      <c r="C74" s="351">
        <f>_xlfn.XLOOKUP(A74,'Silsbee_Schedule B'!B:B,'Silsbee_Schedule B'!F:F,0,FALSE)</f>
        <v/>
      </c>
      <c r="D74" s="351">
        <f>_xlfn.XLOOKUP(A74,'Q2''26 Management Fee'!B:B,'Q2''26 Management Fee'!C:C)</f>
        <v/>
      </c>
      <c r="E74" s="761">
        <f>SUMIFS(Commitment!G:G,Commitment!A:A,'Subsequent Close - OLD B4 25k'!A74)</f>
        <v/>
      </c>
      <c r="F74" s="760">
        <f>E74/$E$90</f>
        <v/>
      </c>
      <c r="G74" s="761">
        <f>E74</f>
        <v/>
      </c>
      <c r="H74" s="760">
        <f>E74/$E$86</f>
        <v/>
      </c>
      <c r="I74" s="760">
        <f>G74/$G$86</f>
        <v/>
      </c>
      <c r="J74" s="761">
        <f>-G74</f>
        <v/>
      </c>
      <c r="K74" s="760">
        <f>J74/$J$86</f>
        <v/>
      </c>
      <c r="L74" s="762" t="n"/>
      <c r="M74" s="351">
        <f>$M$3*H74</f>
        <v/>
      </c>
      <c r="N74" s="351" t="n">
        <v>-369021.74</v>
      </c>
      <c r="O74" s="351" t="n"/>
      <c r="P74" s="351">
        <f>$P$3*H74</f>
        <v/>
      </c>
      <c r="Q74" s="351" t="n">
        <v>-1475946.457689179</v>
      </c>
      <c r="R74" s="351">
        <f>SUM(M74:Q74)</f>
        <v/>
      </c>
      <c r="S74" s="761" t="n"/>
      <c r="T74" s="249">
        <f>$T$3*I74</f>
        <v/>
      </c>
      <c r="U74" s="754" t="n">
        <v>0</v>
      </c>
      <c r="V74" s="249">
        <f>N74</f>
        <v/>
      </c>
      <c r="W74" s="249">
        <f>I74*$W$3</f>
        <v/>
      </c>
      <c r="X74" s="249">
        <f>$X$3*I74</f>
        <v/>
      </c>
      <c r="Y74" s="249">
        <f>T74+W74+X74+V74+U74</f>
        <v/>
      </c>
      <c r="Z74" s="761" t="n"/>
      <c r="AA74" s="302">
        <f>T74/G74</f>
        <v/>
      </c>
      <c r="AB74" s="303">
        <f>V74/G74</f>
        <v/>
      </c>
      <c r="AC74" s="303">
        <f>W74/G74</f>
        <v/>
      </c>
      <c r="AD74" s="303">
        <f>X74/G74</f>
        <v/>
      </c>
      <c r="AE74" s="919">
        <f>AD74+AC74+AA74</f>
        <v/>
      </c>
      <c r="AF74" s="761" t="n"/>
      <c r="AG74" s="326" t="n"/>
      <c r="AH74" s="249">
        <f>-Y74+R74</f>
        <v/>
      </c>
      <c r="AI74" s="717">
        <f>_xlfn.XLOOKUP(A74,'2.10.26 Sub Close Old'!A:A,'2.10.26 Sub Close Old'!AK:AK)</f>
        <v/>
      </c>
      <c r="AJ74" s="717">
        <f>_xlfn.XLOOKUP(A74,'2.10.26 Sub Close New'!A:A,'2.10.26 Sub Close New'!AJ:AJ)</f>
        <v/>
      </c>
      <c r="AK74" s="717">
        <f>+AJ74-AI74</f>
        <v/>
      </c>
      <c r="AL74" s="717">
        <f>+AH74+AK74</f>
        <v/>
      </c>
      <c r="AM74" s="756" t="n"/>
      <c r="AN74" s="308">
        <f>+Y74</f>
        <v/>
      </c>
      <c r="AO74" s="758">
        <f>AN74/G74</f>
        <v/>
      </c>
      <c r="AP74" s="758">
        <f>AB74</f>
        <v/>
      </c>
      <c r="AQ74" s="310">
        <f>+AO74-AP74</f>
        <v/>
      </c>
      <c r="AR74" s="756" t="n"/>
      <c r="AS74" s="326" t="n"/>
      <c r="AT74" s="332">
        <f>-$AS$3*H74</f>
        <v/>
      </c>
      <c r="AU74" s="757">
        <f>AT74</f>
        <v/>
      </c>
      <c r="AV74" s="310">
        <f>AT74/R74</f>
        <v/>
      </c>
      <c r="AW74" s="756" t="n"/>
      <c r="AX74" s="326" t="n"/>
      <c r="AY74" s="332">
        <f>AT74+AH74</f>
        <v/>
      </c>
      <c r="AZ74" s="756" t="n"/>
      <c r="BA74" s="326" t="n"/>
      <c r="BB74" s="332" t="n"/>
      <c r="BC74" s="756" t="n"/>
    </row>
    <row r="75">
      <c r="A75" s="752" t="inlineStr">
        <is>
          <t>Walker D. Zimmerman</t>
        </is>
      </c>
      <c r="B75" s="351">
        <f>_xlfn.XLOOKUP(A75,'CLIP_Schedule B'!A:A,'CLIP_Schedule B'!E:E,0,FALSE)</f>
        <v/>
      </c>
      <c r="C75" s="351">
        <f>_xlfn.XLOOKUP(A75,'Silsbee_Schedule B'!B:B,'Silsbee_Schedule B'!F:F,0,FALSE)</f>
        <v/>
      </c>
      <c r="D75" s="351">
        <f>_xlfn.XLOOKUP(A75,'Q2''26 Management Fee'!B:B,'Q2''26 Management Fee'!C:C)</f>
        <v/>
      </c>
      <c r="E75" s="761">
        <f>SUMIFS(Commitment!G:G,Commitment!A:A,'Subsequent Close - OLD B4 25k'!A75)</f>
        <v/>
      </c>
      <c r="F75" s="760">
        <f>E75/$E$90</f>
        <v/>
      </c>
      <c r="G75" s="761">
        <f>E75</f>
        <v/>
      </c>
      <c r="H75" s="760">
        <f>E75/$E$86</f>
        <v/>
      </c>
      <c r="I75" s="760">
        <f>G75/$G$86</f>
        <v/>
      </c>
      <c r="J75" s="761">
        <f>-G75</f>
        <v/>
      </c>
      <c r="K75" s="760">
        <f>J75/$J$86</f>
        <v/>
      </c>
      <c r="L75" s="762" t="n"/>
      <c r="M75" s="351">
        <f>$M$3*H75</f>
        <v/>
      </c>
      <c r="N75" s="351" t="n">
        <v>-5512.91</v>
      </c>
      <c r="O75" s="351" t="n"/>
      <c r="P75" s="351">
        <f>$P$3*H75</f>
        <v/>
      </c>
      <c r="Q75" s="351" t="n">
        <v>-18449.33072111474</v>
      </c>
      <c r="R75" s="351">
        <f>SUM(M75:Q75)</f>
        <v/>
      </c>
      <c r="S75" s="761" t="n"/>
      <c r="T75" s="249">
        <f>$T$3*I75</f>
        <v/>
      </c>
      <c r="U75" s="754" t="n">
        <v>0</v>
      </c>
      <c r="V75" s="249">
        <f>N75</f>
        <v/>
      </c>
      <c r="W75" s="249">
        <f>I75*$W$3</f>
        <v/>
      </c>
      <c r="X75" s="249">
        <f>$X$3*I75</f>
        <v/>
      </c>
      <c r="Y75" s="249">
        <f>T75+W75+X75+V75+U75</f>
        <v/>
      </c>
      <c r="Z75" s="761" t="n"/>
      <c r="AA75" s="302">
        <f>T75/G75</f>
        <v/>
      </c>
      <c r="AB75" s="303">
        <f>V75/G75</f>
        <v/>
      </c>
      <c r="AC75" s="303">
        <f>W75/G75</f>
        <v/>
      </c>
      <c r="AD75" s="303">
        <f>X75/G75</f>
        <v/>
      </c>
      <c r="AE75" s="919">
        <f>AD75+AC75+AA75</f>
        <v/>
      </c>
      <c r="AF75" s="761" t="n"/>
      <c r="AG75" s="326" t="n"/>
      <c r="AH75" s="249">
        <f>-Y75+R75</f>
        <v/>
      </c>
      <c r="AI75" s="717">
        <f>_xlfn.XLOOKUP(A75,'2.10.26 Sub Close Old'!A:A,'2.10.26 Sub Close Old'!AK:AK)</f>
        <v/>
      </c>
      <c r="AJ75" s="717">
        <f>_xlfn.XLOOKUP(A75,'2.10.26 Sub Close New'!A:A,'2.10.26 Sub Close New'!AJ:AJ)</f>
        <v/>
      </c>
      <c r="AK75" s="717">
        <f>+AJ75-AI75</f>
        <v/>
      </c>
      <c r="AL75" s="717">
        <f>+AH75+AK75</f>
        <v/>
      </c>
      <c r="AM75" s="756" t="n"/>
      <c r="AN75" s="308">
        <f>+Y75</f>
        <v/>
      </c>
      <c r="AO75" s="758">
        <f>AN75/G75</f>
        <v/>
      </c>
      <c r="AP75" s="758">
        <f>AB75</f>
        <v/>
      </c>
      <c r="AQ75" s="310">
        <f>+AO75-AP75</f>
        <v/>
      </c>
      <c r="AR75" s="756" t="n"/>
      <c r="AS75" s="326" t="n"/>
      <c r="AT75" s="332">
        <f>-$AS$3*H75</f>
        <v/>
      </c>
      <c r="AU75" s="757">
        <f>AT75</f>
        <v/>
      </c>
      <c r="AV75" s="310">
        <f>AT75/R75</f>
        <v/>
      </c>
      <c r="AW75" s="756" t="n"/>
      <c r="AX75" s="326" t="n"/>
      <c r="AY75" s="332">
        <f>AT75+AH75</f>
        <v/>
      </c>
      <c r="AZ75" s="756" t="n"/>
      <c r="BA75" s="326" t="n"/>
      <c r="BB75" s="332" t="n"/>
      <c r="BC75" s="756" t="n"/>
    </row>
    <row r="76">
      <c r="A76" s="752" t="inlineStr">
        <is>
          <t>Wilson Family Trust DTD 3-6-1987</t>
        </is>
      </c>
      <c r="B76" s="351">
        <f>_xlfn.XLOOKUP(A76,'CLIP_Schedule B'!A:A,'CLIP_Schedule B'!E:E,0,FALSE)</f>
        <v/>
      </c>
      <c r="C76" s="351">
        <f>_xlfn.XLOOKUP(A76,'Silsbee_Schedule B'!B:B,'Silsbee_Schedule B'!F:F,0,FALSE)</f>
        <v/>
      </c>
      <c r="D76" s="351">
        <f>_xlfn.XLOOKUP(A76,'Q2''26 Management Fee'!B:B,'Q2''26 Management Fee'!C:C)</f>
        <v/>
      </c>
      <c r="E76" s="761">
        <f>SUMIFS(Commitment!G:G,Commitment!A:A,'Subsequent Close - OLD B4 25k'!A76)</f>
        <v/>
      </c>
      <c r="F76" s="760">
        <f>E76/$E$90</f>
        <v/>
      </c>
      <c r="G76" s="761">
        <f>E76</f>
        <v/>
      </c>
      <c r="H76" s="760">
        <f>E76/$E$86</f>
        <v/>
      </c>
      <c r="I76" s="760">
        <f>G76/$G$86</f>
        <v/>
      </c>
      <c r="J76" s="761">
        <f>-G76</f>
        <v/>
      </c>
      <c r="K76" s="760">
        <f>J76/$J$86</f>
        <v/>
      </c>
      <c r="L76" s="762" t="n"/>
      <c r="M76" s="351">
        <f>$M$3*H76</f>
        <v/>
      </c>
      <c r="N76" s="351" t="n">
        <v>-3735.39</v>
      </c>
      <c r="O76" s="351" t="n"/>
      <c r="P76" s="351">
        <f>$P$3*H76</f>
        <v/>
      </c>
      <c r="Q76" s="351" t="n">
        <v>-23113.41451203938</v>
      </c>
      <c r="R76" s="351">
        <f>SUM(M76:Q76)</f>
        <v/>
      </c>
      <c r="S76" s="761" t="n"/>
      <c r="T76" s="249">
        <f>$T$3*I76</f>
        <v/>
      </c>
      <c r="U76" s="754" t="n">
        <v>0</v>
      </c>
      <c r="V76" s="249">
        <f>N76</f>
        <v/>
      </c>
      <c r="W76" s="249">
        <f>I76*$W$3</f>
        <v/>
      </c>
      <c r="X76" s="249">
        <f>$X$3*I76</f>
        <v/>
      </c>
      <c r="Y76" s="249">
        <f>T76+W76+X76+V76+U76</f>
        <v/>
      </c>
      <c r="Z76" s="761" t="n"/>
      <c r="AA76" s="302">
        <f>T76/G76</f>
        <v/>
      </c>
      <c r="AB76" s="303">
        <f>V76/G76</f>
        <v/>
      </c>
      <c r="AC76" s="303">
        <f>W76/G76</f>
        <v/>
      </c>
      <c r="AD76" s="303">
        <f>X76/G76</f>
        <v/>
      </c>
      <c r="AE76" s="919">
        <f>AD76+AC76+AA76</f>
        <v/>
      </c>
      <c r="AF76" s="761" t="n"/>
      <c r="AG76" s="326" t="n"/>
      <c r="AH76" s="249">
        <f>-Y76+R76</f>
        <v/>
      </c>
      <c r="AI76" s="717">
        <f>_xlfn.XLOOKUP(A76,'2.10.26 Sub Close Old'!A:A,'2.10.26 Sub Close Old'!AK:AK)</f>
        <v/>
      </c>
      <c r="AJ76" s="717">
        <f>_xlfn.XLOOKUP(A76,'2.10.26 Sub Close New'!A:A,'2.10.26 Sub Close New'!AJ:AJ)</f>
        <v/>
      </c>
      <c r="AK76" s="717">
        <f>+AJ76-AI76</f>
        <v/>
      </c>
      <c r="AL76" s="717">
        <f>+AH76+AK76</f>
        <v/>
      </c>
      <c r="AM76" s="756" t="n"/>
      <c r="AN76" s="308">
        <f>+Y76</f>
        <v/>
      </c>
      <c r="AO76" s="758">
        <f>AN76/G76</f>
        <v/>
      </c>
      <c r="AP76" s="758">
        <f>AB76</f>
        <v/>
      </c>
      <c r="AQ76" s="310">
        <f>+AO76-AP76</f>
        <v/>
      </c>
      <c r="AR76" s="756" t="n"/>
      <c r="AS76" s="326" t="n"/>
      <c r="AT76" s="332">
        <f>-$AS$3*H76</f>
        <v/>
      </c>
      <c r="AU76" s="757">
        <f>AT76</f>
        <v/>
      </c>
      <c r="AV76" s="310">
        <f>AT76/R76</f>
        <v/>
      </c>
      <c r="AW76" s="756" t="n"/>
      <c r="AX76" s="326" t="n"/>
      <c r="AY76" s="332">
        <f>AT76+AH76</f>
        <v/>
      </c>
      <c r="AZ76" s="756" t="n"/>
      <c r="BA76" s="326" t="n"/>
      <c r="BB76" s="332" t="n"/>
      <c r="BC76" s="756" t="n"/>
    </row>
    <row r="77">
      <c r="A77" s="752" t="inlineStr">
        <is>
          <t>Wilson GST Exempt Trust</t>
        </is>
      </c>
      <c r="B77" s="351">
        <f>_xlfn.XLOOKUP(A77,'CLIP_Schedule B'!A:A,'CLIP_Schedule B'!E:E,0,FALSE)</f>
        <v/>
      </c>
      <c r="C77" s="351">
        <f>_xlfn.XLOOKUP(A77,'Silsbee_Schedule B'!B:B,'Silsbee_Schedule B'!F:F,0,FALSE)</f>
        <v/>
      </c>
      <c r="D77" s="351">
        <f>_xlfn.XLOOKUP(A77,'Q2''26 Management Fee'!B:B,'Q2''26 Management Fee'!C:C)</f>
        <v/>
      </c>
      <c r="E77" s="761">
        <f>SUMIFS(Commitment!G:G,Commitment!A:A,'Subsequent Close - OLD B4 25k'!A77)</f>
        <v/>
      </c>
      <c r="F77" s="760">
        <f>E77/$E$90</f>
        <v/>
      </c>
      <c r="G77" s="761">
        <f>E77</f>
        <v/>
      </c>
      <c r="H77" s="760">
        <f>E77/$E$86</f>
        <v/>
      </c>
      <c r="I77" s="760">
        <f>G77/$G$86</f>
        <v/>
      </c>
      <c r="J77" s="761">
        <f>-G77</f>
        <v/>
      </c>
      <c r="K77" s="760">
        <f>J77/$J$86</f>
        <v/>
      </c>
      <c r="L77" s="762" t="n"/>
      <c r="M77" s="351">
        <f>$M$3*H77</f>
        <v/>
      </c>
      <c r="N77" s="351" t="n">
        <v>-3735.39</v>
      </c>
      <c r="O77" s="351" t="n"/>
      <c r="P77" s="351">
        <f>$P$3*H77</f>
        <v/>
      </c>
      <c r="Q77" s="351" t="n">
        <v>-23113.41451203938</v>
      </c>
      <c r="R77" s="351">
        <f>SUM(M77:Q77)</f>
        <v/>
      </c>
      <c r="S77" s="761" t="n"/>
      <c r="T77" s="249">
        <f>$T$3*I77</f>
        <v/>
      </c>
      <c r="U77" s="754" t="n">
        <v>0</v>
      </c>
      <c r="V77" s="249">
        <f>N77</f>
        <v/>
      </c>
      <c r="W77" s="249">
        <f>I77*$W$3</f>
        <v/>
      </c>
      <c r="X77" s="249">
        <f>$X$3*I77</f>
        <v/>
      </c>
      <c r="Y77" s="249">
        <f>T77+W77+X77+V77+U77</f>
        <v/>
      </c>
      <c r="Z77" s="761" t="n"/>
      <c r="AA77" s="302">
        <f>T77/G77</f>
        <v/>
      </c>
      <c r="AB77" s="303">
        <f>V77/G77</f>
        <v/>
      </c>
      <c r="AC77" s="303">
        <f>W77/G77</f>
        <v/>
      </c>
      <c r="AD77" s="303">
        <f>X77/G77</f>
        <v/>
      </c>
      <c r="AE77" s="919">
        <f>AD77+AC77+AA77</f>
        <v/>
      </c>
      <c r="AF77" s="761" t="n"/>
      <c r="AG77" s="326" t="n"/>
      <c r="AH77" s="249">
        <f>-Y77+R77</f>
        <v/>
      </c>
      <c r="AI77" s="717">
        <f>_xlfn.XLOOKUP(A77,'2.10.26 Sub Close Old'!A:A,'2.10.26 Sub Close Old'!AK:AK)</f>
        <v/>
      </c>
      <c r="AJ77" s="717">
        <f>_xlfn.XLOOKUP(A77,'2.10.26 Sub Close New'!A:A,'2.10.26 Sub Close New'!AJ:AJ)</f>
        <v/>
      </c>
      <c r="AK77" s="717">
        <f>+AJ77-AI77</f>
        <v/>
      </c>
      <c r="AL77" s="717">
        <f>+AH77+AK77</f>
        <v/>
      </c>
      <c r="AM77" s="756" t="n"/>
      <c r="AN77" s="308">
        <f>+Y77</f>
        <v/>
      </c>
      <c r="AO77" s="758">
        <f>AN77/G77</f>
        <v/>
      </c>
      <c r="AP77" s="758">
        <f>AB77</f>
        <v/>
      </c>
      <c r="AQ77" s="310">
        <f>+AO77-AP77</f>
        <v/>
      </c>
      <c r="AR77" s="756" t="n"/>
      <c r="AS77" s="326" t="n"/>
      <c r="AT77" s="332">
        <f>-$AS$3*H77</f>
        <v/>
      </c>
      <c r="AU77" s="757">
        <f>AT77</f>
        <v/>
      </c>
      <c r="AV77" s="310">
        <f>AT77/R77</f>
        <v/>
      </c>
      <c r="AW77" s="756" t="n"/>
      <c r="AX77" s="326" t="n"/>
      <c r="AY77" s="332">
        <f>AT77+AH77</f>
        <v/>
      </c>
      <c r="AZ77" s="756" t="n"/>
      <c r="BA77" s="326" t="n"/>
      <c r="BB77" s="332" t="n"/>
      <c r="BC77" s="756" t="n"/>
    </row>
    <row r="78">
      <c r="A78" s="752" t="inlineStr">
        <is>
          <t>Texas Emerging Managers Private Markets Program, L.P. (2025-1 RE Investment Series)</t>
        </is>
      </c>
      <c r="B78" s="351">
        <f>_xlfn.XLOOKUP(A78,'CLIP_Schedule B'!A:A,'CLIP_Schedule B'!E:E,0,FALSE)</f>
        <v/>
      </c>
      <c r="C78" s="351">
        <f>_xlfn.XLOOKUP(A78,'Silsbee_Schedule B'!B:B,'Silsbee_Schedule B'!F:F,0,FALSE)</f>
        <v/>
      </c>
      <c r="D78" s="351">
        <f>_xlfn.XLOOKUP(A78,'Q2''26 Management Fee'!B:B,'Q2''26 Management Fee'!C:C)</f>
        <v/>
      </c>
      <c r="E78" s="761">
        <f>SUMIFS(Commitment!G:G,Commitment!A:A,'Subsequent Close - OLD B4 25k'!A78)</f>
        <v/>
      </c>
      <c r="F78" s="760">
        <f>E78/$E$90</f>
        <v/>
      </c>
      <c r="G78" s="761" t="n">
        <v>5000000</v>
      </c>
      <c r="H78" s="760">
        <f>E78/$E$86</f>
        <v/>
      </c>
      <c r="I78" s="760">
        <f>G78/$G$86</f>
        <v/>
      </c>
      <c r="J78" s="761">
        <f>-G78</f>
        <v/>
      </c>
      <c r="K78" s="760">
        <f>J78/$J$86</f>
        <v/>
      </c>
      <c r="L78" s="762" t="n"/>
      <c r="M78" s="351">
        <f>$M$3*H78</f>
        <v/>
      </c>
      <c r="N78" s="351" t="n">
        <v>-73505.43478260869</v>
      </c>
      <c r="O78" s="351" t="n"/>
      <c r="P78" s="351">
        <f>$P$3*H78</f>
        <v/>
      </c>
      <c r="Q78" s="351" t="n">
        <v>-368986.6144222948</v>
      </c>
      <c r="R78" s="351">
        <f>SUM(M78:Q78)</f>
        <v/>
      </c>
      <c r="S78" s="761" t="n"/>
      <c r="T78" s="249">
        <f>$T$3*I78</f>
        <v/>
      </c>
      <c r="U78" s="754" t="n">
        <v>0</v>
      </c>
      <c r="V78" s="249">
        <f>N78</f>
        <v/>
      </c>
      <c r="W78" s="249">
        <f>I78*$W$3</f>
        <v/>
      </c>
      <c r="X78" s="249">
        <f>$X$3*I78</f>
        <v/>
      </c>
      <c r="Y78" s="249">
        <f>T78+W78+X78+V78+U78</f>
        <v/>
      </c>
      <c r="Z78" s="761" t="n"/>
      <c r="AA78" s="302">
        <f>T78/G78</f>
        <v/>
      </c>
      <c r="AB78" s="303">
        <f>V78/G78</f>
        <v/>
      </c>
      <c r="AC78" s="303">
        <f>W78/G78</f>
        <v/>
      </c>
      <c r="AD78" s="303">
        <f>X78/G78</f>
        <v/>
      </c>
      <c r="AE78" s="919">
        <f>AD78+AC78+AA78</f>
        <v/>
      </c>
      <c r="AF78" s="761" t="n"/>
      <c r="AG78" s="326" t="n"/>
      <c r="AH78" s="249">
        <f>-Y78+R78</f>
        <v/>
      </c>
      <c r="AI78" s="717">
        <f>_xlfn.XLOOKUP(A78,'2.10.26 Sub Close Old'!A:A,'2.10.26 Sub Close Old'!AK:AK)</f>
        <v/>
      </c>
      <c r="AJ78" s="717">
        <f>_xlfn.XLOOKUP(A78,'2.10.26 Sub Close New'!A:A,'2.10.26 Sub Close New'!AJ:AJ)</f>
        <v/>
      </c>
      <c r="AK78" s="717">
        <f>+AJ78-AI78</f>
        <v/>
      </c>
      <c r="AL78" s="717">
        <f>+AH78+AK78</f>
        <v/>
      </c>
      <c r="AM78" s="756" t="n"/>
      <c r="AN78" s="308">
        <f>+Y78</f>
        <v/>
      </c>
      <c r="AO78" s="758">
        <f>AN78/G78</f>
        <v/>
      </c>
      <c r="AP78" s="758">
        <f>AB78</f>
        <v/>
      </c>
      <c r="AQ78" s="310">
        <f>+AO78-AP78</f>
        <v/>
      </c>
      <c r="AR78" s="756" t="n"/>
      <c r="AS78" s="326" t="n"/>
      <c r="AT78" s="332">
        <f>-$AS$3*H78</f>
        <v/>
      </c>
      <c r="AU78" s="757">
        <f>AT78</f>
        <v/>
      </c>
      <c r="AV78" s="310">
        <f>AT78/R78</f>
        <v/>
      </c>
      <c r="AW78" s="756" t="n"/>
      <c r="AX78" s="326" t="n"/>
      <c r="AY78" s="332">
        <f>AT78+AH78</f>
        <v/>
      </c>
      <c r="AZ78" s="756" t="n"/>
      <c r="BA78" s="326" t="n"/>
      <c r="BB78" s="332" t="n"/>
      <c r="BC78" s="756" t="n"/>
    </row>
    <row r="79">
      <c r="A79" s="752" t="inlineStr">
        <is>
          <t>GCM Grosvenor NJ RE Emerging Managers Program, LP (2023-1 Investment Series)</t>
        </is>
      </c>
      <c r="B79" s="351">
        <f>_xlfn.XLOOKUP(A79,'CLIP_Schedule B'!A:A,'CLIP_Schedule B'!E:E,0,FALSE)</f>
        <v/>
      </c>
      <c r="C79" s="351">
        <f>_xlfn.XLOOKUP(A79,'Silsbee_Schedule B'!B:B,'Silsbee_Schedule B'!F:F,0,FALSE)</f>
        <v/>
      </c>
      <c r="D79" s="351">
        <f>_xlfn.XLOOKUP(A79,'Q2''26 Management Fee'!B:B,'Q2''26 Management Fee'!C:C)</f>
        <v/>
      </c>
      <c r="E79" s="761">
        <f>SUMIFS(Commitment!G:G,Commitment!A:A,'Subsequent Close - OLD B4 25k'!A79)</f>
        <v/>
      </c>
      <c r="F79" s="760">
        <f>E79/$E$90</f>
        <v/>
      </c>
      <c r="G79" s="761" t="n">
        <v>7500000</v>
      </c>
      <c r="H79" s="760">
        <f>E79/$E$86</f>
        <v/>
      </c>
      <c r="I79" s="760">
        <f>G79/$G$86</f>
        <v/>
      </c>
      <c r="J79" s="761">
        <f>-G79</f>
        <v/>
      </c>
      <c r="K79" s="760">
        <f>J79/$J$86</f>
        <v/>
      </c>
      <c r="L79" s="762" t="n"/>
      <c r="M79" s="351">
        <f>$M$3*H79</f>
        <v/>
      </c>
      <c r="N79" s="351" t="n">
        <v>-110258.1521739131</v>
      </c>
      <c r="O79" s="351" t="n"/>
      <c r="P79" s="351">
        <f>$P$3*H79</f>
        <v/>
      </c>
      <c r="Q79" s="351" t="n">
        <v>-553479.9216334422</v>
      </c>
      <c r="R79" s="351">
        <f>SUM(M79:Q79)</f>
        <v/>
      </c>
      <c r="S79" s="761" t="n"/>
      <c r="T79" s="249">
        <f>$T$3*I79</f>
        <v/>
      </c>
      <c r="U79" s="754" t="n">
        <v>0</v>
      </c>
      <c r="V79" s="249">
        <f>N79</f>
        <v/>
      </c>
      <c r="W79" s="249">
        <f>I79*$W$3</f>
        <v/>
      </c>
      <c r="X79" s="249">
        <f>$X$3*I79</f>
        <v/>
      </c>
      <c r="Y79" s="249">
        <f>T79+W79+X79+V79+U79</f>
        <v/>
      </c>
      <c r="Z79" s="761" t="n"/>
      <c r="AA79" s="302">
        <f>T79/G79</f>
        <v/>
      </c>
      <c r="AB79" s="303">
        <f>V79/G79</f>
        <v/>
      </c>
      <c r="AC79" s="303">
        <f>W79/G79</f>
        <v/>
      </c>
      <c r="AD79" s="303">
        <f>X79/G79</f>
        <v/>
      </c>
      <c r="AE79" s="919">
        <f>AD79+AC79+AA79</f>
        <v/>
      </c>
      <c r="AF79" s="761" t="n"/>
      <c r="AG79" s="326" t="n"/>
      <c r="AH79" s="249">
        <f>-Y79+R79</f>
        <v/>
      </c>
      <c r="AI79" s="717">
        <f>_xlfn.XLOOKUP(A79,'2.10.26 Sub Close Old'!A:A,'2.10.26 Sub Close Old'!AK:AK)</f>
        <v/>
      </c>
      <c r="AJ79" s="717">
        <f>_xlfn.XLOOKUP(A79,'2.10.26 Sub Close New'!A:A,'2.10.26 Sub Close New'!AJ:AJ)</f>
        <v/>
      </c>
      <c r="AK79" s="717">
        <f>+AJ79-AI79</f>
        <v/>
      </c>
      <c r="AL79" s="717">
        <f>+AH79+AK79</f>
        <v/>
      </c>
      <c r="AM79" s="756" t="n"/>
      <c r="AN79" s="308">
        <f>+Y79</f>
        <v/>
      </c>
      <c r="AO79" s="758">
        <f>AN79/G79</f>
        <v/>
      </c>
      <c r="AP79" s="758">
        <f>AB79</f>
        <v/>
      </c>
      <c r="AQ79" s="310">
        <f>+AO79-AP79</f>
        <v/>
      </c>
      <c r="AR79" s="756" t="n"/>
      <c r="AS79" s="326" t="n"/>
      <c r="AT79" s="332">
        <f>-$AS$3*H79</f>
        <v/>
      </c>
      <c r="AU79" s="757">
        <f>AT79</f>
        <v/>
      </c>
      <c r="AV79" s="310">
        <f>AT79/R79</f>
        <v/>
      </c>
      <c r="AW79" s="756" t="n"/>
      <c r="AX79" s="326" t="n"/>
      <c r="AY79" s="332">
        <f>AT79+AH79</f>
        <v/>
      </c>
      <c r="AZ79" s="756" t="n"/>
      <c r="BA79" s="326" t="n"/>
      <c r="BB79" s="332" t="n"/>
      <c r="BC79" s="756" t="n"/>
    </row>
    <row r="80">
      <c r="A80" s="752" t="inlineStr">
        <is>
          <t>GCM Grosvenor - NYSTRS Real Estate Investment Partners, L.P. (2024-1 Series)</t>
        </is>
      </c>
      <c r="B80" s="351">
        <f>_xlfn.XLOOKUP(A80,'CLIP_Schedule B'!A:A,'CLIP_Schedule B'!E:E,0,FALSE)</f>
        <v/>
      </c>
      <c r="C80" s="351">
        <f>_xlfn.XLOOKUP(A80,'Silsbee_Schedule B'!B:B,'Silsbee_Schedule B'!F:F,0,FALSE)</f>
        <v/>
      </c>
      <c r="D80" s="351">
        <f>_xlfn.XLOOKUP(A80,'Q2''26 Management Fee'!B:B,'Q2''26 Management Fee'!C:C)</f>
        <v/>
      </c>
      <c r="E80" s="761">
        <f>SUMIFS(Commitment!G:G,Commitment!A:A,'Subsequent Close - OLD B4 25k'!A80)</f>
        <v/>
      </c>
      <c r="F80" s="760">
        <f>E80/$E$90</f>
        <v/>
      </c>
      <c r="G80" s="761" t="n">
        <v>5000000</v>
      </c>
      <c r="H80" s="760">
        <f>E80/$E$86</f>
        <v/>
      </c>
      <c r="I80" s="760">
        <f>G80/$G$86</f>
        <v/>
      </c>
      <c r="J80" s="761">
        <f>-G80</f>
        <v/>
      </c>
      <c r="K80" s="760">
        <f>J80/$J$86</f>
        <v/>
      </c>
      <c r="L80" s="762" t="n"/>
      <c r="M80" s="351">
        <f>$M$3*H80</f>
        <v/>
      </c>
      <c r="N80" s="351" t="n">
        <v>-73505.43478260869</v>
      </c>
      <c r="O80" s="351" t="n"/>
      <c r="P80" s="351">
        <f>$P$3*H80</f>
        <v/>
      </c>
      <c r="Q80" s="351" t="n">
        <v>-368986.6144222948</v>
      </c>
      <c r="R80" s="351">
        <f>SUM(M80:Q80)</f>
        <v/>
      </c>
      <c r="S80" s="761" t="n"/>
      <c r="T80" s="249">
        <f>$T$3*I80</f>
        <v/>
      </c>
      <c r="U80" s="754" t="n">
        <v>0</v>
      </c>
      <c r="V80" s="249">
        <f>N80</f>
        <v/>
      </c>
      <c r="W80" s="249">
        <f>I80*$W$3</f>
        <v/>
      </c>
      <c r="X80" s="249">
        <f>$X$3*I80</f>
        <v/>
      </c>
      <c r="Y80" s="249">
        <f>T80+W80+X80+V80+U80</f>
        <v/>
      </c>
      <c r="Z80" s="761" t="n"/>
      <c r="AA80" s="302">
        <f>T80/G80</f>
        <v/>
      </c>
      <c r="AB80" s="303">
        <f>V80/G80</f>
        <v/>
      </c>
      <c r="AC80" s="303">
        <f>W80/G80</f>
        <v/>
      </c>
      <c r="AD80" s="303">
        <f>X80/G80</f>
        <v/>
      </c>
      <c r="AE80" s="919">
        <f>AD80+AC80+AA80</f>
        <v/>
      </c>
      <c r="AF80" s="761" t="n"/>
      <c r="AG80" s="326" t="n"/>
      <c r="AH80" s="249">
        <f>-Y80+R80</f>
        <v/>
      </c>
      <c r="AI80" s="717">
        <f>_xlfn.XLOOKUP(A80,'2.10.26 Sub Close Old'!A:A,'2.10.26 Sub Close Old'!AK:AK)</f>
        <v/>
      </c>
      <c r="AJ80" s="717">
        <f>_xlfn.XLOOKUP(A80,'2.10.26 Sub Close New'!A:A,'2.10.26 Sub Close New'!AJ:AJ)</f>
        <v/>
      </c>
      <c r="AK80" s="717">
        <f>+AJ80-AI80</f>
        <v/>
      </c>
      <c r="AL80" s="717">
        <f>+AH80+AK80</f>
        <v/>
      </c>
      <c r="AM80" s="756" t="n"/>
      <c r="AN80" s="308">
        <f>+Y80</f>
        <v/>
      </c>
      <c r="AO80" s="758">
        <f>AN80/G80</f>
        <v/>
      </c>
      <c r="AP80" s="758">
        <f>AB80</f>
        <v/>
      </c>
      <c r="AQ80" s="310">
        <f>+AO80-AP80</f>
        <v/>
      </c>
      <c r="AR80" s="756" t="n"/>
      <c r="AS80" s="326" t="n"/>
      <c r="AT80" s="332">
        <f>-$AS$3*H80</f>
        <v/>
      </c>
      <c r="AU80" s="757">
        <f>AT80</f>
        <v/>
      </c>
      <c r="AV80" s="310">
        <f>AT80/R80</f>
        <v/>
      </c>
      <c r="AW80" s="756" t="n"/>
      <c r="AX80" s="326" t="n"/>
      <c r="AY80" s="332">
        <f>AT80+AH80</f>
        <v/>
      </c>
      <c r="AZ80" s="756" t="n"/>
      <c r="BA80" s="326" t="n"/>
      <c r="BB80" s="332" t="n"/>
      <c r="BC80" s="756" t="n"/>
    </row>
    <row r="81">
      <c r="A81" s="752" t="inlineStr">
        <is>
          <t>CRPTF-GCM Middle-Market RE Partnership, L.P. (2025-01 Investment Series)</t>
        </is>
      </c>
      <c r="B81" s="351">
        <f>_xlfn.XLOOKUP(A81,'CLIP_Schedule B'!A:A,'CLIP_Schedule B'!E:E,0,FALSE)</f>
        <v/>
      </c>
      <c r="C81" s="351">
        <f>_xlfn.XLOOKUP(A81,'Silsbee_Schedule B'!B:B,'Silsbee_Schedule B'!F:F,0,FALSE)</f>
        <v/>
      </c>
      <c r="D81" s="351">
        <f>_xlfn.XLOOKUP(A81,'Q2''26 Management Fee'!B:B,'Q2''26 Management Fee'!C:C)</f>
        <v/>
      </c>
      <c r="E81" s="761">
        <f>SUMIFS(Commitment!G:G,Commitment!A:A,'Subsequent Close - OLD B4 25k'!A81)</f>
        <v/>
      </c>
      <c r="F81" s="760">
        <f>E81/$E$90</f>
        <v/>
      </c>
      <c r="G81" s="761" t="n">
        <v>30000000</v>
      </c>
      <c r="H81" s="760">
        <f>E81/$E$86</f>
        <v/>
      </c>
      <c r="I81" s="760">
        <f>G81/$G$86</f>
        <v/>
      </c>
      <c r="J81" s="761">
        <f>-G81</f>
        <v/>
      </c>
      <c r="K81" s="760">
        <f>J81/$J$86</f>
        <v/>
      </c>
      <c r="L81" s="762" t="n"/>
      <c r="M81" s="351">
        <f>$M$3*H81</f>
        <v/>
      </c>
      <c r="N81" s="351" t="n">
        <v>-441032.6086956522</v>
      </c>
      <c r="O81" s="351" t="n"/>
      <c r="P81" s="351">
        <f>$P$3*H81</f>
        <v/>
      </c>
      <c r="Q81" s="351" t="n">
        <v>-2213919.686533769</v>
      </c>
      <c r="R81" s="351">
        <f>SUM(M81:Q81)</f>
        <v/>
      </c>
      <c r="S81" s="761" t="n"/>
      <c r="T81" s="249">
        <f>$T$3*I81</f>
        <v/>
      </c>
      <c r="U81" s="754" t="n">
        <v>0</v>
      </c>
      <c r="V81" s="249">
        <f>N81</f>
        <v/>
      </c>
      <c r="W81" s="249">
        <f>I81*$W$3</f>
        <v/>
      </c>
      <c r="X81" s="249">
        <f>$X$3*I81</f>
        <v/>
      </c>
      <c r="Y81" s="249">
        <f>T81+W81+X81+V81+U81</f>
        <v/>
      </c>
      <c r="Z81" s="761" t="n"/>
      <c r="AA81" s="302">
        <f>T81/G81</f>
        <v/>
      </c>
      <c r="AB81" s="303">
        <f>V81/G81</f>
        <v/>
      </c>
      <c r="AC81" s="303">
        <f>W81/G81</f>
        <v/>
      </c>
      <c r="AD81" s="303">
        <f>X81/G81</f>
        <v/>
      </c>
      <c r="AE81" s="919">
        <f>AD81+AC81+AA81</f>
        <v/>
      </c>
      <c r="AF81" s="761" t="n"/>
      <c r="AG81" s="326" t="n"/>
      <c r="AH81" s="249">
        <f>-Y81+R81</f>
        <v/>
      </c>
      <c r="AI81" s="717">
        <f>_xlfn.XLOOKUP(A81,'2.10.26 Sub Close Old'!A:A,'2.10.26 Sub Close Old'!AK:AK)</f>
        <v/>
      </c>
      <c r="AJ81" s="717">
        <f>_xlfn.XLOOKUP(A81,'2.10.26 Sub Close New'!A:A,'2.10.26 Sub Close New'!AJ:AJ)</f>
        <v/>
      </c>
      <c r="AK81" s="717">
        <f>+AJ81-AI81</f>
        <v/>
      </c>
      <c r="AL81" s="717">
        <f>+AH81+AK81</f>
        <v/>
      </c>
      <c r="AM81" s="756" t="n"/>
      <c r="AN81" s="308">
        <f>+Y81</f>
        <v/>
      </c>
      <c r="AO81" s="758">
        <f>AN81/G81</f>
        <v/>
      </c>
      <c r="AP81" s="758">
        <f>AB81</f>
        <v/>
      </c>
      <c r="AQ81" s="310">
        <f>+AO81-AP81</f>
        <v/>
      </c>
      <c r="AR81" s="756" t="n"/>
      <c r="AS81" s="326" t="n"/>
      <c r="AT81" s="332">
        <f>-$AS$3*H81</f>
        <v/>
      </c>
      <c r="AU81" s="757">
        <f>AT81</f>
        <v/>
      </c>
      <c r="AV81" s="310">
        <f>AT81/R81</f>
        <v/>
      </c>
      <c r="AW81" s="756" t="n"/>
      <c r="AX81" s="326" t="n"/>
      <c r="AY81" s="332">
        <f>AT81+AH81</f>
        <v/>
      </c>
      <c r="AZ81" s="756" t="n"/>
      <c r="BA81" s="326" t="n"/>
      <c r="BB81" s="332" t="n"/>
      <c r="BC81" s="756" t="n"/>
    </row>
    <row r="82" customFormat="1" s="741">
      <c r="A82" s="363" t="inlineStr">
        <is>
          <t>Legacy Knight Strategic Opportunities Fund LLC - CL Rail Series</t>
        </is>
      </c>
      <c r="B82" s="730">
        <f>_xlfn.XLOOKUP(A82,'CLIP_Schedule B'!A:A,'CLIP_Schedule B'!E:E,0,FALSE)</f>
        <v/>
      </c>
      <c r="C82" s="730">
        <f>_xlfn.XLOOKUP(A82,'Silsbee_Schedule B'!B:B,'Silsbee_Schedule B'!F:F,0,FALSE)</f>
        <v/>
      </c>
      <c r="D82" s="730">
        <f>_xlfn.XLOOKUP(A82,'Q2''26 Management Fee'!B:B,'Q2''26 Management Fee'!C:C)</f>
        <v/>
      </c>
      <c r="E82" s="730">
        <f>SUMIFS(Commitment!G:G,Commitment!A:A,'Subsequent Close - OLD B4 25k'!A82)</f>
        <v/>
      </c>
      <c r="F82" s="728">
        <f>E82/$E$90</f>
        <v/>
      </c>
      <c r="G82" s="730" t="n">
        <v>16700000</v>
      </c>
      <c r="H82" s="728">
        <f>E82/$E$86</f>
        <v/>
      </c>
      <c r="I82" s="728">
        <f>G82/$G$86</f>
        <v/>
      </c>
      <c r="J82" s="730">
        <f>-G82</f>
        <v/>
      </c>
      <c r="K82" s="728">
        <f>J82/$J$86</f>
        <v/>
      </c>
      <c r="L82" s="731" t="n"/>
      <c r="M82" s="730">
        <f>$M$3*H82</f>
        <v/>
      </c>
      <c r="N82" s="730" t="n">
        <v>-220516.3</v>
      </c>
      <c r="O82" s="730" t="n"/>
      <c r="P82" s="730">
        <f>$P$3*H82</f>
        <v/>
      </c>
      <c r="Q82" s="730" t="n">
        <v>-737973.2288445896</v>
      </c>
      <c r="R82" s="730">
        <f>SUM(M82:Q82)</f>
        <v/>
      </c>
      <c r="S82" s="730" t="n"/>
      <c r="T82" s="730">
        <f>$T$3*I82</f>
        <v/>
      </c>
      <c r="U82" s="730">
        <f>-'Management Fees - New Investor'!M13</f>
        <v/>
      </c>
      <c r="V82" s="730">
        <f>N82</f>
        <v/>
      </c>
      <c r="W82" s="730">
        <f>I82*$W$3</f>
        <v/>
      </c>
      <c r="X82" s="730">
        <f>$X$3*I82</f>
        <v/>
      </c>
      <c r="Y82" s="730">
        <f>T82+W82+X82+V82+U82</f>
        <v/>
      </c>
      <c r="Z82" s="730" t="n"/>
      <c r="AA82" s="732">
        <f>T82/G82</f>
        <v/>
      </c>
      <c r="AB82" s="733">
        <f>V82/(G82+U82)</f>
        <v/>
      </c>
      <c r="AC82" s="733">
        <f>W82/G82</f>
        <v/>
      </c>
      <c r="AD82" s="733">
        <f>X82/G82</f>
        <v/>
      </c>
      <c r="AE82" s="921">
        <f>AD82+AC82+AA82</f>
        <v/>
      </c>
      <c r="AF82" s="730" t="n"/>
      <c r="AG82" s="735">
        <f>-T82-W82-X82+M82+P82+Q82</f>
        <v/>
      </c>
      <c r="AH82" s="730" t="n">
        <v>0</v>
      </c>
      <c r="AI82" s="730">
        <f>_xlfn.XLOOKUP(A82,'2.10.26 Sub Close Old'!A:A,'2.10.26 Sub Close Old'!AK:AK)</f>
        <v/>
      </c>
      <c r="AJ82" s="730">
        <f>_xlfn.XLOOKUP(A82,'2.10.26 Sub Close New'!A:A,'2.10.26 Sub Close New'!AJ:AJ)</f>
        <v/>
      </c>
      <c r="AK82" s="730">
        <f>+AJ82-AI82</f>
        <v/>
      </c>
      <c r="AL82" s="730">
        <f>+AH82+AK82</f>
        <v/>
      </c>
      <c r="AM82" s="736" t="n"/>
      <c r="AN82" s="751">
        <f>+Y82</f>
        <v/>
      </c>
      <c r="AO82" s="799">
        <f>AN82/G82</f>
        <v/>
      </c>
      <c r="AP82" s="799">
        <f>AB82</f>
        <v/>
      </c>
      <c r="AQ82" s="738">
        <f>+AO82-AP82</f>
        <v/>
      </c>
      <c r="AR82" s="736" t="n"/>
      <c r="AS82" s="735">
        <f>'Closing Interest'!O25</f>
        <v/>
      </c>
      <c r="AT82" s="739">
        <f>-$AS$3*H82</f>
        <v/>
      </c>
      <c r="AU82" s="740">
        <f>AT82</f>
        <v/>
      </c>
      <c r="AV82" s="738">
        <f>AT82/R82</f>
        <v/>
      </c>
      <c r="AW82" s="736" t="n"/>
      <c r="AX82" s="735">
        <f>AG82+AS82</f>
        <v/>
      </c>
      <c r="AY82" s="739">
        <f>AT82+AH82</f>
        <v/>
      </c>
      <c r="AZ82" s="736" t="n"/>
      <c r="BA82" s="735">
        <f>'Management Fees - New Investor'!M20</f>
        <v/>
      </c>
      <c r="BB82" s="739" t="n"/>
      <c r="BC82" s="736" t="n"/>
    </row>
    <row r="83">
      <c r="A83" s="752" t="inlineStr">
        <is>
          <t>Argos Holdings, LLC</t>
        </is>
      </c>
      <c r="B83" s="351" t="n"/>
      <c r="C83" s="351" t="n"/>
      <c r="D83" s="351">
        <f>_xlfn.XLOOKUP(A83,'Q2''26 Management Fee'!B:B,'Q2''26 Management Fee'!C:C)</f>
        <v/>
      </c>
      <c r="E83" s="761">
        <f>SUMIFS(Commitment!G:G,Commitment!A:A,'Subsequent Close - OLD B4 25k'!A83)</f>
        <v/>
      </c>
      <c r="F83" s="760">
        <f>E83/$E$90</f>
        <v/>
      </c>
      <c r="G83" s="761">
        <f>E83</f>
        <v/>
      </c>
      <c r="H83" s="760">
        <f>E83/$E$86</f>
        <v/>
      </c>
      <c r="I83" s="760">
        <f>G83/$G$86</f>
        <v/>
      </c>
      <c r="J83" s="761">
        <f>-G83</f>
        <v/>
      </c>
      <c r="K83" s="760">
        <f>J83/$J$86</f>
        <v/>
      </c>
      <c r="L83" s="762" t="n"/>
      <c r="M83" s="351">
        <f>$M$3*H83</f>
        <v/>
      </c>
      <c r="N83" s="351" t="n">
        <v>-4669.25</v>
      </c>
      <c r="O83" s="351" t="n"/>
      <c r="P83" s="351">
        <f>$P$3*H83</f>
        <v/>
      </c>
      <c r="Q83" s="351" t="n">
        <v>-28891.76850903584</v>
      </c>
      <c r="R83" s="351">
        <f>SUM(M83:Q83)</f>
        <v/>
      </c>
      <c r="S83" s="761" t="n"/>
      <c r="T83" s="249">
        <f>$T$3*I83</f>
        <v/>
      </c>
      <c r="U83" s="754" t="n">
        <v>0</v>
      </c>
      <c r="V83" s="249">
        <f>N83</f>
        <v/>
      </c>
      <c r="W83" s="249">
        <f>I83*$W$3</f>
        <v/>
      </c>
      <c r="X83" s="249">
        <f>$X$3*I83</f>
        <v/>
      </c>
      <c r="Y83" s="249">
        <f>T83+W83+X83+V83+U83</f>
        <v/>
      </c>
      <c r="Z83" s="761" t="n"/>
      <c r="AA83" s="302">
        <f>T83/G83</f>
        <v/>
      </c>
      <c r="AB83" s="303">
        <f>V83/G83</f>
        <v/>
      </c>
      <c r="AC83" s="303">
        <f>W83/G83</f>
        <v/>
      </c>
      <c r="AD83" s="303">
        <f>X83/G83</f>
        <v/>
      </c>
      <c r="AE83" s="919">
        <f>AD83+AC83+AA83</f>
        <v/>
      </c>
      <c r="AF83" s="761" t="n"/>
      <c r="AG83" s="326" t="n"/>
      <c r="AH83" s="249">
        <f>-Y83+R83</f>
        <v/>
      </c>
      <c r="AI83" s="717">
        <f>_xlfn.XLOOKUP(A83,'2.10.26 Sub Close Old'!A:A,'2.10.26 Sub Close Old'!AK:AK)</f>
        <v/>
      </c>
      <c r="AJ83" s="717">
        <f>_xlfn.XLOOKUP(A83,'2.10.26 Sub Close New'!A:A,'2.10.26 Sub Close New'!AJ:AJ)</f>
        <v/>
      </c>
      <c r="AK83" s="717">
        <f>+AJ83-AI83</f>
        <v/>
      </c>
      <c r="AL83" s="717">
        <f>+AH83+AK83</f>
        <v/>
      </c>
      <c r="AM83" s="756" t="n"/>
      <c r="AN83" s="308">
        <f>+Y83</f>
        <v/>
      </c>
      <c r="AO83" s="758">
        <f>AN83/G83</f>
        <v/>
      </c>
      <c r="AP83" s="758">
        <f>AB83</f>
        <v/>
      </c>
      <c r="AQ83" s="310">
        <f>+AO83-AP83</f>
        <v/>
      </c>
      <c r="AR83" s="756" t="n"/>
      <c r="AS83" s="326" t="n"/>
      <c r="AT83" s="332">
        <f>-$AS$3*H83</f>
        <v/>
      </c>
      <c r="AU83" s="757">
        <f>AT83</f>
        <v/>
      </c>
      <c r="AV83" s="310">
        <f>AT83/R83</f>
        <v/>
      </c>
      <c r="AW83" s="756" t="n"/>
      <c r="AX83" s="326" t="n"/>
      <c r="AY83" s="332">
        <f>AT83+AH83</f>
        <v/>
      </c>
      <c r="AZ83" s="756" t="n"/>
      <c r="BA83" s="326" t="n"/>
      <c r="BB83" s="332" t="n"/>
      <c r="BC83" s="756" t="n"/>
    </row>
    <row r="84" s="759">
      <c r="A84" s="752" t="inlineStr">
        <is>
          <t>Palmatum HR Illiquid, LLC</t>
        </is>
      </c>
      <c r="B84" s="351" t="n"/>
      <c r="C84" s="351" t="n"/>
      <c r="D84" s="351" t="inlineStr">
        <is>
          <t>Standard</t>
        </is>
      </c>
      <c r="E84" s="761">
        <f>SUMIFS(Commitment!G:G,Commitment!A:A,'Subsequent Close - OLD B4 25k'!A84)</f>
        <v/>
      </c>
      <c r="F84" s="760">
        <f>E84/$E$90</f>
        <v/>
      </c>
      <c r="G84" s="761">
        <f>E84</f>
        <v/>
      </c>
      <c r="H84" s="760">
        <f>E84/$E$86</f>
        <v/>
      </c>
      <c r="I84" s="760">
        <f>G84/$G$86</f>
        <v/>
      </c>
      <c r="J84" s="761">
        <f>-G84</f>
        <v/>
      </c>
      <c r="K84" s="760">
        <f>J84/$J$86</f>
        <v/>
      </c>
      <c r="L84" s="762" t="n"/>
      <c r="M84" s="351">
        <f>$M$3*H84</f>
        <v/>
      </c>
      <c r="N84" s="351" t="n">
        <v>-29402.17</v>
      </c>
      <c r="O84" s="351" t="n"/>
      <c r="P84" s="351">
        <f>$P$3*H84</f>
        <v/>
      </c>
      <c r="Q84" s="351" t="n">
        <v>-147594.6457689179</v>
      </c>
      <c r="R84" s="351">
        <f>SUM(M84:Q84)</f>
        <v/>
      </c>
      <c r="S84" s="761" t="n"/>
      <c r="T84" s="249">
        <f>$T$3*I84</f>
        <v/>
      </c>
      <c r="U84" s="754" t="n">
        <v>0</v>
      </c>
      <c r="V84" s="249">
        <f>N84</f>
        <v/>
      </c>
      <c r="W84" s="249">
        <f>I84*$W$3</f>
        <v/>
      </c>
      <c r="X84" s="249">
        <f>$X$3*I84</f>
        <v/>
      </c>
      <c r="Y84" s="249">
        <f>T84+W84+X84+V84+U84</f>
        <v/>
      </c>
      <c r="Z84" s="761" t="n"/>
      <c r="AA84" s="303">
        <f>T84/G84</f>
        <v/>
      </c>
      <c r="AB84" s="303">
        <f>V84/G84</f>
        <v/>
      </c>
      <c r="AC84" s="303">
        <f>W84/G84</f>
        <v/>
      </c>
      <c r="AD84" s="303">
        <f>X84/G84</f>
        <v/>
      </c>
      <c r="AE84" s="922">
        <f>AD84+AC84+AA84</f>
        <v/>
      </c>
      <c r="AF84" s="761" t="n"/>
      <c r="AG84" s="249" t="n"/>
      <c r="AH84" s="249">
        <f>-Y84+R84</f>
        <v/>
      </c>
      <c r="AI84" s="717">
        <f>_xlfn.XLOOKUP(A69,'2.10.26 Sub Close Old'!A:A,'2.10.26 Sub Close Old'!AK:AK)</f>
        <v/>
      </c>
      <c r="AJ84" s="717">
        <f>_xlfn.XLOOKUP(A69,'2.10.26 Sub Close New'!A:A,'2.10.26 Sub Close New'!AJ:AJ)</f>
        <v/>
      </c>
      <c r="AK84" s="717">
        <f>+AJ84-AI84</f>
        <v/>
      </c>
      <c r="AL84" s="717">
        <f>+AH84+AK84</f>
        <v/>
      </c>
      <c r="AM84" s="756" t="n"/>
      <c r="AN84" s="757">
        <f>+Y84</f>
        <v/>
      </c>
      <c r="AO84" s="758">
        <f>AN84/G84</f>
        <v/>
      </c>
      <c r="AP84" s="758">
        <f>AB84</f>
        <v/>
      </c>
      <c r="AQ84" s="758">
        <f>+AO84-AP84</f>
        <v/>
      </c>
      <c r="AR84" s="756" t="n"/>
      <c r="AS84" s="249" t="n"/>
      <c r="AT84" s="249">
        <f>-$AS$3*H84</f>
        <v/>
      </c>
      <c r="AU84" s="757">
        <f>AT84</f>
        <v/>
      </c>
      <c r="AV84" s="758">
        <f>AT84/R84</f>
        <v/>
      </c>
      <c r="AW84" s="756" t="n"/>
      <c r="AX84" s="249" t="n"/>
      <c r="AY84" s="249">
        <f>AT84+AH84</f>
        <v/>
      </c>
      <c r="AZ84" s="756" t="n"/>
      <c r="BA84" s="249" t="n"/>
      <c r="BB84" s="249" t="n"/>
      <c r="BC84" s="756" t="n"/>
    </row>
    <row r="85" s="759">
      <c r="A85" s="774" t="inlineStr">
        <is>
          <t>NEW COMMITMENT</t>
        </is>
      </c>
      <c r="B85" s="146" t="n"/>
      <c r="C85" s="146" t="n"/>
      <c r="D85" s="146" t="n"/>
      <c r="E85" s="770" t="n">
        <v>25000000</v>
      </c>
      <c r="F85" s="531" t="n"/>
      <c r="G85" s="770" t="n"/>
      <c r="H85" s="531" t="n"/>
      <c r="I85" s="531" t="n"/>
      <c r="J85" s="770" t="n"/>
      <c r="K85" s="531" t="n"/>
      <c r="L85" s="771" t="n"/>
      <c r="M85" s="146" t="n"/>
      <c r="N85" s="146" t="n"/>
      <c r="O85" s="146" t="n"/>
      <c r="P85" s="146" t="n"/>
      <c r="Q85" s="146" t="n"/>
      <c r="R85" s="146" t="n"/>
      <c r="S85" s="770" t="n"/>
      <c r="T85" s="243" t="n"/>
      <c r="U85" s="247" t="n"/>
      <c r="V85" s="243" t="n"/>
      <c r="W85" s="243" t="n"/>
      <c r="X85" s="243" t="n"/>
      <c r="Y85" s="243" t="n"/>
      <c r="Z85" s="770" t="n"/>
      <c r="AA85" s="306" t="n"/>
      <c r="AB85" s="306" t="n"/>
      <c r="AC85" s="306" t="n"/>
      <c r="AD85" s="306" t="n"/>
      <c r="AE85" s="925" t="n"/>
      <c r="AF85" s="770" t="n"/>
      <c r="AG85" s="243" t="n"/>
      <c r="AH85" s="243" t="n"/>
      <c r="AI85" s="773" t="n"/>
      <c r="AJ85" s="773" t="n"/>
      <c r="AK85" s="773" t="n"/>
      <c r="AL85" s="773" t="n"/>
      <c r="AM85" s="208" t="n"/>
      <c r="AN85" s="413" t="n"/>
      <c r="AO85" s="312" t="n"/>
      <c r="AP85" s="312" t="n"/>
      <c r="AQ85" s="312" t="n"/>
      <c r="AR85" s="208" t="n"/>
      <c r="AS85" s="243" t="n"/>
      <c r="AT85" s="243" t="n"/>
      <c r="AU85" s="413" t="n"/>
      <c r="AV85" s="312" t="n"/>
      <c r="AW85" s="208" t="n"/>
      <c r="AX85" s="243" t="n"/>
      <c r="AY85" s="243" t="n"/>
      <c r="AZ85" s="208" t="n"/>
      <c r="BA85" s="243" t="n"/>
      <c r="BB85" s="243" t="n"/>
      <c r="BC85" s="756" t="n"/>
    </row>
    <row r="86">
      <c r="B86" s="766">
        <f>SUM(B4:B82)</f>
        <v/>
      </c>
      <c r="C86" s="766">
        <f>SUM(C4:C82)</f>
        <v/>
      </c>
      <c r="D86" s="766" t="n"/>
      <c r="E86" s="763">
        <f>SUM(E4:E84)</f>
        <v/>
      </c>
      <c r="F86" s="764">
        <f>SUM(F4:F84)</f>
        <v/>
      </c>
      <c r="G86" s="763">
        <f>SUM(G4:G84)</f>
        <v/>
      </c>
      <c r="H86" s="764">
        <f>SUM(H4:H84)</f>
        <v/>
      </c>
      <c r="I86" s="764">
        <f>SUM(I4:I84)</f>
        <v/>
      </c>
      <c r="J86" s="763">
        <f>SUM(J4:J84)</f>
        <v/>
      </c>
      <c r="K86" s="765">
        <f>SUM(K4:K84)</f>
        <v/>
      </c>
      <c r="L86" s="763" t="n"/>
      <c r="M86" s="766">
        <f>SUM(M4:M84)</f>
        <v/>
      </c>
      <c r="N86" s="766">
        <f>SUM(N4:N84)</f>
        <v/>
      </c>
      <c r="O86" s="766" t="n"/>
      <c r="P86" s="766">
        <f>SUM(P4:P84)</f>
        <v/>
      </c>
      <c r="Q86" s="766">
        <f>SUM(Q4:Q84)</f>
        <v/>
      </c>
      <c r="R86" s="766">
        <f>SUM(R4:R84)</f>
        <v/>
      </c>
      <c r="S86" s="763">
        <f>SUM(S4:S84)</f>
        <v/>
      </c>
      <c r="T86" s="767">
        <f>SUM(T4:T84)</f>
        <v/>
      </c>
      <c r="U86" s="248">
        <f>SUM(U4:U84)</f>
        <v/>
      </c>
      <c r="V86" s="767">
        <f>SUM(V4:V84)</f>
        <v/>
      </c>
      <c r="W86" s="767">
        <f>SUM(W4:W84)</f>
        <v/>
      </c>
      <c r="X86" s="767">
        <f>SUM(X4:X84)</f>
        <v/>
      </c>
      <c r="Y86" s="767">
        <f>SUM(Y4:Y84)</f>
        <v/>
      </c>
      <c r="Z86" s="763" t="n"/>
      <c r="AA86" s="763" t="n"/>
      <c r="AB86" s="924" t="n"/>
      <c r="AC86" s="763" t="n"/>
      <c r="AD86" s="763" t="n"/>
      <c r="AF86" s="763" t="n"/>
      <c r="AG86" s="767">
        <f>SUM(AG4:AG82)</f>
        <v/>
      </c>
      <c r="AH86" s="767">
        <f>SUM(AH4:AH84)</f>
        <v/>
      </c>
      <c r="AI86" s="769">
        <f>SUM(AI4:AI84)</f>
        <v/>
      </c>
      <c r="AJ86" s="769">
        <f>SUM(AJ4:AJ84)</f>
        <v/>
      </c>
      <c r="AK86" s="769">
        <f>SUM(AK4:AK84)</f>
        <v/>
      </c>
      <c r="AL86" s="769">
        <f>SUM(AL4:AL84)</f>
        <v/>
      </c>
      <c r="AM86" s="31" t="n"/>
      <c r="AN86" s="763">
        <f>SUM(AN4:AN84)</f>
        <v/>
      </c>
      <c r="AR86" s="31" t="n"/>
      <c r="AS86" s="767">
        <f>SUM(AS4:AS82)</f>
        <v/>
      </c>
      <c r="AT86" s="767">
        <f>SUM(AT4:AT84)</f>
        <v/>
      </c>
      <c r="AU86" s="763">
        <f>SUM(AU4:AU84)</f>
        <v/>
      </c>
      <c r="AW86" s="31" t="n"/>
      <c r="AX86" s="767">
        <f>SUM(AX4:AX82)</f>
        <v/>
      </c>
      <c r="AY86" s="767">
        <f>SUM(AY4:AY84)</f>
        <v/>
      </c>
      <c r="AZ86" s="31" t="n"/>
      <c r="BA86" s="767">
        <f>SUM(BA4:BA82)</f>
        <v/>
      </c>
      <c r="BB86" s="767">
        <f>SUM(BB4:BB82)</f>
        <v/>
      </c>
      <c r="BC86" s="31" t="n"/>
    </row>
    <row r="87">
      <c r="G87" s="536">
        <f>G86-E86</f>
        <v/>
      </c>
      <c r="M87" s="536">
        <f>M3-M86</f>
        <v/>
      </c>
      <c r="P87" s="536">
        <f>P3-P86</f>
        <v/>
      </c>
      <c r="R87" s="536" t="n"/>
      <c r="T87" s="536">
        <f>T3-T86</f>
        <v/>
      </c>
      <c r="Y87" s="761" t="n"/>
      <c r="AG87" s="756" t="n"/>
      <c r="AN87" s="756" t="n"/>
      <c r="AT87" s="756" t="n"/>
      <c r="AY87" s="756">
        <f>+AX86+AY86</f>
        <v/>
      </c>
    </row>
    <row r="88" ht="21.6" customHeight="1" s="759">
      <c r="G88" s="538" t="n"/>
      <c r="M88" s="538" t="n"/>
      <c r="N88" s="538" t="n"/>
      <c r="O88" s="516" t="n"/>
      <c r="P88" s="538" t="n"/>
      <c r="Q88" s="538" t="n"/>
      <c r="R88" s="538" t="n"/>
      <c r="T88" s="538" t="n"/>
      <c r="U88" s="538" t="n"/>
      <c r="V88" s="538" t="n"/>
      <c r="W88" s="538" t="n"/>
      <c r="X88" s="538" t="n"/>
      <c r="Y88" s="538" t="n"/>
      <c r="AN88" s="756" t="n"/>
    </row>
    <row r="89">
      <c r="A89" s="534" t="inlineStr">
        <is>
          <t>GP Commitment</t>
        </is>
      </c>
      <c r="B89" s="756" t="n"/>
      <c r="C89" s="756" t="n"/>
      <c r="E89" s="533">
        <f>E30+E29+E57</f>
        <v/>
      </c>
      <c r="G89" s="516" t="n"/>
      <c r="I89" s="825" t="n"/>
      <c r="J89" s="825" t="n"/>
      <c r="K89" s="825" t="n"/>
      <c r="M89" s="538" t="n"/>
      <c r="N89" s="538" t="n"/>
      <c r="O89" s="516" t="n"/>
      <c r="P89" s="538" t="n"/>
      <c r="Q89" s="550" t="n"/>
      <c r="R89" s="756" t="n"/>
      <c r="S89" s="210" t="n"/>
      <c r="T89" s="538" t="n"/>
      <c r="V89" s="538" t="n"/>
      <c r="X89" s="110" t="inlineStr">
        <is>
          <t>Increase in contributions</t>
        </is>
      </c>
      <c r="Y89" s="361">
        <f>Y86-R86</f>
        <v/>
      </c>
      <c r="AF89" s="570" t="inlineStr">
        <is>
          <t>Catch-up management fees</t>
        </is>
      </c>
      <c r="AH89" s="31" t="n"/>
      <c r="AI89" s="31" t="n"/>
      <c r="AJ89" s="31" t="n"/>
      <c r="AK89" s="31" t="n"/>
      <c r="AL89" s="31" t="n"/>
      <c r="AM89" s="110" t="n"/>
      <c r="AN89" s="756" t="n"/>
      <c r="AT89" s="761" t="n"/>
    </row>
    <row r="90">
      <c r="A90" s="110" t="inlineStr">
        <is>
          <t>LP Commitment (After Terminal transfer)</t>
        </is>
      </c>
      <c r="E90" s="756">
        <f>E86-E89</f>
        <v/>
      </c>
      <c r="S90" s="157" t="n"/>
      <c r="AG90" s="756" t="n"/>
      <c r="AN90" s="756" t="n"/>
      <c r="AX90" s="337" t="inlineStr">
        <is>
          <t>Recon to total called</t>
        </is>
      </c>
      <c r="AY90" s="337" t="n"/>
    </row>
    <row r="91" ht="15.75" customHeight="1" s="759" thickBot="1">
      <c r="E91" s="535">
        <f>SUM(E89:E90)</f>
        <v/>
      </c>
      <c r="V91" s="756" t="n"/>
      <c r="X91" s="157" t="n"/>
      <c r="Y91" s="756" t="n"/>
      <c r="AN91" s="756" t="n"/>
      <c r="AX91" s="756">
        <f>AX86</f>
        <v/>
      </c>
      <c r="AY91" s="23" t="inlineStr">
        <is>
          <t>Total disributed to LPs</t>
        </is>
      </c>
    </row>
    <row r="92" ht="15.75" customHeight="1" s="759" thickTop="1">
      <c r="I92" s="825" t="n"/>
      <c r="J92" s="825" t="n"/>
      <c r="K92" s="825" t="n"/>
      <c r="V92" s="761" t="n"/>
      <c r="AG92" s="756" t="n"/>
      <c r="AN92" s="756" t="n"/>
      <c r="AX92" s="756">
        <f>-U86</f>
        <v/>
      </c>
      <c r="AY92" s="23" t="inlineStr">
        <is>
          <t>Total management fees called</t>
        </is>
      </c>
    </row>
    <row r="93">
      <c r="V93" s="761" t="n"/>
      <c r="W93" s="271" t="n"/>
      <c r="X93" s="295" t="inlineStr">
        <is>
          <t>Total non-management fee contributions</t>
        </is>
      </c>
      <c r="Y93" s="754">
        <f>-Q99</f>
        <v/>
      </c>
      <c r="AG93" s="756" t="n"/>
      <c r="AX93" s="208">
        <f>BA86</f>
        <v/>
      </c>
      <c r="AY93" s="23" t="inlineStr">
        <is>
          <t>Total management fee interest</t>
        </is>
      </c>
    </row>
    <row r="94">
      <c r="E94" s="454" t="n"/>
      <c r="W94" s="271" t="n"/>
      <c r="X94" s="295" t="inlineStr">
        <is>
          <t>ITD management fees</t>
        </is>
      </c>
      <c r="Y94" s="754">
        <f>-V86</f>
        <v/>
      </c>
      <c r="AX94" s="756">
        <f>SUM(AX91:AX93)</f>
        <v/>
      </c>
      <c r="AY94" s="23" t="inlineStr">
        <is>
          <t>Total called</t>
        </is>
      </c>
    </row>
    <row r="95">
      <c r="W95" s="271" t="n"/>
      <c r="X95" s="295" t="inlineStr">
        <is>
          <t>Legacy Knight manamgenet fees</t>
        </is>
      </c>
      <c r="Y95" s="247">
        <f>+'Management Fees - New Investor'!M12</f>
        <v/>
      </c>
      <c r="AX95" s="208">
        <f>Summary!F6</f>
        <v/>
      </c>
      <c r="AY95" s="23" t="inlineStr">
        <is>
          <t>Total call from Legacy Knight</t>
        </is>
      </c>
    </row>
    <row r="96">
      <c r="W96" s="271" t="n"/>
      <c r="X96" s="295" t="inlineStr">
        <is>
          <t>Total invested capital post close</t>
        </is>
      </c>
      <c r="Y96" s="248">
        <f>SUM(Y93:Y95)</f>
        <v/>
      </c>
      <c r="AX96" s="756">
        <f>SUM(AX94:AX95)</f>
        <v/>
      </c>
      <c r="AY96" s="23" t="inlineStr">
        <is>
          <t>Difference</t>
        </is>
      </c>
    </row>
    <row r="97">
      <c r="Y97" s="415" t="inlineStr">
        <is>
          <t>SC: Tied to cell Y 85</t>
        </is>
      </c>
    </row>
    <row r="98">
      <c r="F98" s="31" t="n"/>
      <c r="H98" s="252" t="inlineStr">
        <is>
          <t>Recap - Contributions - Investments</t>
        </is>
      </c>
      <c r="I98" s="253" t="n"/>
      <c r="J98" s="253" t="n"/>
      <c r="K98" s="253" t="n"/>
      <c r="L98" s="253" t="n"/>
      <c r="M98" s="253" t="n"/>
      <c r="N98" s="253" t="n"/>
      <c r="O98" s="253" t="n"/>
      <c r="P98" s="254" t="n"/>
      <c r="Q98" s="253" t="n"/>
      <c r="R98" s="255" t="n"/>
      <c r="Y98" s="756">
        <f>Y96+Y86</f>
        <v/>
      </c>
    </row>
    <row r="99">
      <c r="H99" s="152" t="n"/>
      <c r="N99" s="251" t="inlineStr">
        <is>
          <t>Total Contribution - Investments</t>
        </is>
      </c>
      <c r="O99" s="251" t="n"/>
      <c r="P99" s="761" t="n"/>
      <c r="Q99" s="756">
        <f>T86+X86+W3</f>
        <v/>
      </c>
      <c r="R99" s="153" t="n"/>
    </row>
    <row r="100">
      <c r="H100" s="152" t="n"/>
      <c r="N100" s="251" t="inlineStr">
        <is>
          <t>Total per Closing Interest Tab</t>
        </is>
      </c>
      <c r="O100" s="251" t="n"/>
      <c r="P100" s="761" t="n"/>
      <c r="Q100" s="208">
        <f>'Closing Interest'!O3</f>
        <v/>
      </c>
      <c r="R100" s="153" t="n"/>
    </row>
    <row r="101">
      <c r="H101" s="152" t="n"/>
      <c r="N101" s="520" t="inlineStr">
        <is>
          <t>Difference</t>
        </is>
      </c>
      <c r="O101" s="520" t="n"/>
      <c r="P101" s="763" t="n"/>
      <c r="Q101" s="756">
        <f>SUM(Q99:Q100)</f>
        <v/>
      </c>
      <c r="R101" s="153" t="n"/>
      <c r="X101" s="31" t="n"/>
      <c r="AF101" s="569" t="n"/>
    </row>
    <row r="102">
      <c r="H102" s="152" t="n"/>
      <c r="R102" s="153" t="n"/>
      <c r="AF102" s="335" t="n"/>
    </row>
    <row r="103">
      <c r="F103" s="470" t="n"/>
      <c r="H103" s="262" t="inlineStr">
        <is>
          <t>Total Contributions (non-management fees) by Partner</t>
        </is>
      </c>
      <c r="I103" s="263" t="n"/>
      <c r="J103" s="263" t="n"/>
      <c r="K103" s="263" t="n"/>
      <c r="L103" s="263" t="n"/>
      <c r="M103" s="263" t="n"/>
      <c r="N103" s="263" t="n"/>
      <c r="O103" s="263" t="n"/>
      <c r="P103" s="264" t="n"/>
      <c r="Q103" s="263" t="n"/>
      <c r="R103" s="256" t="n"/>
      <c r="V103" s="761" t="n"/>
      <c r="AF103" s="761" t="n"/>
    </row>
    <row r="104">
      <c r="H104" s="152" t="n"/>
      <c r="N104" s="157" t="inlineStr">
        <is>
          <t>Legacy Knight Strategic Opportunities Fund LLC - CL Rail Series</t>
        </is>
      </c>
      <c r="O104" s="157" t="n"/>
      <c r="Q104" s="756">
        <f>T82+X82+W82-M82-P82-Q82</f>
        <v/>
      </c>
      <c r="R104" s="153" t="n"/>
      <c r="AF104" s="761" t="n"/>
    </row>
    <row r="105">
      <c r="H105" s="152" t="n"/>
      <c r="Q105" s="763">
        <f>SUM(Q104)</f>
        <v/>
      </c>
      <c r="R105" s="153" t="n"/>
      <c r="AF105" s="763" t="n"/>
    </row>
    <row r="106">
      <c r="H106" s="152" t="n"/>
      <c r="Q106" s="763">
        <f>'Closing Interest'!O18</f>
        <v/>
      </c>
      <c r="R106" s="153" t="n"/>
    </row>
    <row r="107">
      <c r="H107" s="154" t="n"/>
      <c r="I107" s="122" t="n"/>
      <c r="J107" s="122" t="n"/>
      <c r="K107" s="122" t="n"/>
      <c r="L107" s="122" t="n"/>
      <c r="M107" s="122" t="n"/>
      <c r="N107" s="122" t="n"/>
      <c r="O107" s="122" t="n"/>
      <c r="P107" s="122" t="n"/>
      <c r="Q107" s="208">
        <f>SUM(Q105:Q106)</f>
        <v/>
      </c>
      <c r="R107" s="155" t="n"/>
      <c r="AF107" s="318" t="n"/>
    </row>
  </sheetData>
  <pageMargins left="0.7" right="0.7" top="0.75" bottom="0.75" header="0.3" footer="0.3"/>
  <pageSetup orientation="portrait" horizontalDpi="1200" verticalDpi="1200"/>
</worksheet>
</file>

<file path=xl/worksheets/sheet5.xml><?xml version="1.0" encoding="utf-8"?>
<worksheet xmlns="http://schemas.openxmlformats.org/spreadsheetml/2006/main">
  <sheetPr>
    <tabColor theme="9" tint="0.3999755851924192"/>
    <outlinePr summaryBelow="1" summaryRight="1"/>
    <pageSetUpPr/>
  </sheetPr>
  <dimension ref="A1:AO80"/>
  <sheetViews>
    <sheetView topLeftCell="C8" zoomScale="96" zoomScaleNormal="80" workbookViewId="0">
      <selection activeCell="O18" sqref="O18"/>
    </sheetView>
  </sheetViews>
  <sheetFormatPr baseColWidth="8" defaultRowHeight="15"/>
  <cols>
    <col width="1" customWidth="1" style="759" min="1" max="1"/>
    <col width="71.28515625" customWidth="1" style="759" min="2" max="2"/>
    <col width="21.7109375" customWidth="1" style="759" min="3" max="3"/>
    <col width="14" bestFit="1" customWidth="1" style="759" min="4" max="4"/>
    <col width="15.140625" bestFit="1" customWidth="1" style="759" min="5" max="6"/>
    <col width="15" bestFit="1" customWidth="1" style="759" min="7" max="7"/>
    <col width="14.140625" bestFit="1" customWidth="1" style="759" min="8" max="9"/>
    <col width="14.140625" customWidth="1" style="759" min="10" max="10"/>
    <col width="14.140625" bestFit="1" customWidth="1" style="759" min="11" max="11"/>
    <col width="14.140625" customWidth="1" style="759" min="12" max="12"/>
    <col width="16.7109375" customWidth="1" style="759" min="13" max="13"/>
    <col width="14.140625" customWidth="1" style="759" min="14" max="16"/>
    <col width="12" customWidth="1" style="759" min="17" max="17"/>
    <col width="22.5703125" bestFit="1" customWidth="1" style="759" min="18" max="18"/>
    <col width="17.85546875" bestFit="1" customWidth="1" style="759" min="19" max="20"/>
    <col width="13" bestFit="1" customWidth="1" style="759" min="21" max="21"/>
    <col width="15.5703125" customWidth="1" style="759" min="37" max="41"/>
  </cols>
  <sheetData>
    <row r="1">
      <c r="P1" t="inlineStr">
        <is>
          <t xml:space="preserve">Fr "Subsequent </t>
        </is>
      </c>
      <c r="AK1" s="282" t="inlineStr">
        <is>
          <t>EQUALIZATION AND INTEREST DISTRIBUTIOn</t>
        </is>
      </c>
      <c r="AL1" s="281" t="n"/>
      <c r="AM1" s="281" t="n"/>
      <c r="AN1" s="281" t="n"/>
      <c r="AO1" s="281" t="n"/>
    </row>
    <row r="2">
      <c r="E2" s="156" t="n">
        <v>45520</v>
      </c>
      <c r="F2" s="156" t="n">
        <v>45569</v>
      </c>
      <c r="G2" s="156" t="n">
        <v>45716</v>
      </c>
      <c r="H2" s="156" t="n">
        <v>45870</v>
      </c>
      <c r="I2" s="156" t="n">
        <v>45877</v>
      </c>
      <c r="J2" s="156" t="n">
        <v>45889</v>
      </c>
      <c r="K2" s="156" t="n">
        <v>45973</v>
      </c>
      <c r="L2" s="156" t="n">
        <v>46022</v>
      </c>
      <c r="M2" s="156" t="n">
        <v>46063</v>
      </c>
      <c r="N2" s="156" t="n">
        <v>46104</v>
      </c>
      <c r="O2" s="258" t="inlineStr">
        <is>
          <t>Total</t>
        </is>
      </c>
      <c r="P2" t="inlineStr">
        <is>
          <t>Close" tab</t>
        </is>
      </c>
      <c r="Q2" s="552" t="inlineStr">
        <is>
          <t>Diff</t>
        </is>
      </c>
      <c r="AK2" t="inlineStr">
        <is>
          <t>Equalization Distribution</t>
        </is>
      </c>
    </row>
    <row r="3">
      <c r="D3" s="157" t="inlineStr">
        <is>
          <t>Contributions - Investments, Org Fees &amp;  General</t>
        </is>
      </c>
      <c r="E3" s="218" t="n">
        <v>1140373.84112325</v>
      </c>
      <c r="F3" s="756" t="n">
        <v>4202052.760111375</v>
      </c>
      <c r="G3" s="218">
        <f>46716939.5094735-486084</f>
        <v/>
      </c>
      <c r="H3" s="159" t="n">
        <v>73270865.7797028</v>
      </c>
      <c r="I3" s="159" t="n">
        <v>5786805.77264117</v>
      </c>
      <c r="J3" s="159" t="n">
        <v>-555029.23629662</v>
      </c>
      <c r="K3" s="159" t="n">
        <v>9816983.699999999</v>
      </c>
      <c r="L3" s="159">
        <f>-L4</f>
        <v/>
      </c>
      <c r="M3" s="159" t="n">
        <v>35107019</v>
      </c>
      <c r="N3" s="159" t="n">
        <v>-35107019</v>
      </c>
      <c r="O3" s="259">
        <f>SUM(E3:N3)</f>
        <v/>
      </c>
      <c r="P3" s="539">
        <f>'Subsequent Close'!T86+'Subsequent Close'!W86+'Subsequent Close'!X86</f>
        <v/>
      </c>
      <c r="Q3" s="554">
        <f>P3+O3</f>
        <v/>
      </c>
      <c r="AK3">
        <f>SUM(AK4:AK80)</f>
        <v/>
      </c>
    </row>
    <row r="4">
      <c r="D4" s="157" t="inlineStr">
        <is>
          <t>Contributions - Management Fees</t>
        </is>
      </c>
      <c r="E4" s="163" t="n">
        <v>13012.1588767487</v>
      </c>
      <c r="F4" s="770" t="n">
        <v>47947.23988862528</v>
      </c>
      <c r="G4" s="209" t="n">
        <v>533060.4905264811</v>
      </c>
      <c r="H4" s="158" t="n">
        <v>836052.2770526947</v>
      </c>
      <c r="I4" s="158" t="n">
        <v>66029.95735882995</v>
      </c>
      <c r="J4" s="158" t="n">
        <v>-6333.123703379959</v>
      </c>
      <c r="K4" s="158" t="n">
        <v>183016.3</v>
      </c>
      <c r="L4" s="158">
        <f>465213.98-183016.3</f>
        <v/>
      </c>
      <c r="M4" s="158" t="n">
        <v>698302</v>
      </c>
      <c r="N4" s="158" t="n"/>
      <c r="O4" s="260">
        <f>SUM(E4:N4)</f>
        <v/>
      </c>
      <c r="P4" s="539">
        <f>SUM('Subsequent Close'!V86)</f>
        <v/>
      </c>
      <c r="Q4" s="554">
        <f>P4+O4</f>
        <v/>
      </c>
      <c r="R4" s="926" t="inlineStr">
        <is>
          <t>Financial Statement Tie-Out</t>
        </is>
      </c>
      <c r="S4" s="927" t="n"/>
      <c r="T4" s="927" t="n"/>
      <c r="U4" s="928" t="n"/>
      <c r="AK4" s="756">
        <f>SUM(I4,K4,L4)-SUM(Q4,V4,X4)</f>
        <v/>
      </c>
    </row>
    <row r="5">
      <c r="D5" s="157" t="n"/>
      <c r="E5" s="161">
        <f>SUM(E3:E4)</f>
        <v/>
      </c>
      <c r="F5" s="161">
        <f>SUM(F3:F4)</f>
        <v/>
      </c>
      <c r="G5" s="161">
        <f>SUM(G3:G4)</f>
        <v/>
      </c>
      <c r="H5" s="161">
        <f>SUM(H3:H4)</f>
        <v/>
      </c>
      <c r="I5" s="161">
        <f>SUM(I3:I4)</f>
        <v/>
      </c>
      <c r="J5" s="161">
        <f>SUM(J3:J4)</f>
        <v/>
      </c>
      <c r="K5" s="161">
        <f>SUM(K3:K4)</f>
        <v/>
      </c>
      <c r="L5" s="161">
        <f>SUM(L3:L4)</f>
        <v/>
      </c>
      <c r="M5" s="161">
        <f>SUM(M3:M4)</f>
        <v/>
      </c>
      <c r="N5" s="161">
        <f>SUM(N3:N4)</f>
        <v/>
      </c>
      <c r="O5" s="261">
        <f>SUM(E5:N5)</f>
        <v/>
      </c>
      <c r="P5" s="551">
        <f>SUM(P3:P4)</f>
        <v/>
      </c>
      <c r="Q5" s="553">
        <f>SUM(Q3:Q4)</f>
        <v/>
      </c>
      <c r="R5" s="929" t="n"/>
      <c r="S5" s="930" t="n"/>
      <c r="T5" s="930" t="n"/>
      <c r="U5" s="931" t="n"/>
      <c r="AK5" s="756">
        <f>SUM(I5,K5,L5)-SUM(Q5,V5,X5)</f>
        <v/>
      </c>
    </row>
    <row r="6">
      <c r="B6" t="inlineStr">
        <is>
          <t>Dradown Date</t>
        </is>
      </c>
      <c r="C6" s="555" t="n">
        <v>46134</v>
      </c>
      <c r="E6" s="161" t="n"/>
      <c r="F6" s="161" t="n"/>
      <c r="G6" s="161" t="n"/>
      <c r="H6" s="161" t="n"/>
      <c r="I6" s="161" t="n"/>
      <c r="J6" s="161" t="n"/>
      <c r="K6" s="161" t="n"/>
      <c r="L6" s="161" t="n"/>
      <c r="M6" s="161" t="n"/>
      <c r="N6" s="161" t="n"/>
      <c r="O6" s="161" t="n"/>
      <c r="P6" s="161" t="n"/>
      <c r="Q6" s="165" t="n"/>
      <c r="R6" s="929" t="n"/>
      <c r="S6" s="930" t="n"/>
      <c r="T6" s="930" t="n"/>
      <c r="U6" s="931" t="n"/>
      <c r="AK6" s="756">
        <f>SUM(I6,K6,L6)-SUM(Q6,V6,X6)</f>
        <v/>
      </c>
    </row>
    <row r="7">
      <c r="B7" t="inlineStr">
        <is>
          <t>Interest Rate</t>
        </is>
      </c>
      <c r="C7" s="170" t="n">
        <v>0.08</v>
      </c>
      <c r="E7" s="932" t="n"/>
      <c r="H7" s="161" t="n"/>
      <c r="O7" s="539" t="n"/>
      <c r="R7" s="929" t="n"/>
      <c r="S7" s="930" t="n"/>
      <c r="T7" s="930" t="n"/>
      <c r="U7" s="931" t="n"/>
      <c r="AK7" s="756">
        <f>SUM(I7,K7,L7)-SUM(Q7,V7,X7)</f>
        <v/>
      </c>
    </row>
    <row r="8">
      <c r="B8" t="inlineStr">
        <is>
          <t>Daily rate</t>
        </is>
      </c>
      <c r="C8" s="170">
        <f>C7/365.25</f>
        <v/>
      </c>
      <c r="H8" s="161" t="n"/>
      <c r="O8" s="539" t="n"/>
      <c r="R8" s="929" t="n"/>
      <c r="S8" s="930" t="n"/>
      <c r="T8" s="930" t="n"/>
      <c r="U8" s="931" t="n"/>
      <c r="AK8" s="756">
        <f>SUM(I8,K8,L8)-SUM(Q8,V8,X8)</f>
        <v/>
      </c>
    </row>
    <row r="9">
      <c r="E9" s="161" t="n"/>
      <c r="F9" s="161" t="n"/>
      <c r="G9" s="161" t="n"/>
      <c r="H9" s="161" t="n"/>
      <c r="I9" s="161" t="n"/>
      <c r="J9" s="161" t="n"/>
      <c r="K9" s="161" t="n"/>
      <c r="L9" s="161" t="n"/>
      <c r="M9" s="161" t="n"/>
      <c r="N9" s="161" t="n"/>
      <c r="O9" s="161" t="n"/>
      <c r="P9" s="761" t="n"/>
      <c r="R9" s="810" t="inlineStr">
        <is>
          <t>FY 2024 Contributions</t>
        </is>
      </c>
      <c r="S9" s="811">
        <f>F5+E5</f>
        <v/>
      </c>
      <c r="T9" s="811">
        <f>S9</f>
        <v/>
      </c>
      <c r="U9" s="812">
        <f>S9-T9</f>
        <v/>
      </c>
      <c r="AK9" s="756">
        <f>SUM(I9,K9,L9)-SUM(Q9,V9,X9)</f>
        <v/>
      </c>
    </row>
    <row r="10" ht="15.75" customHeight="1" s="759" thickBot="1">
      <c r="B10" s="31" t="inlineStr">
        <is>
          <t>HYPOTHETICAL CONTRIBUTION - INVESTMENTS, ORG COSTS AND GENERAL</t>
        </is>
      </c>
      <c r="O10" s="160" t="n"/>
      <c r="P10" s="761" t="n"/>
      <c r="R10" s="810" t="inlineStr">
        <is>
          <t>Q1 2025 Contributions</t>
        </is>
      </c>
      <c r="S10" s="813">
        <f>G5</f>
        <v/>
      </c>
      <c r="T10" s="811" t="n">
        <v>47250000</v>
      </c>
      <c r="U10" s="814">
        <f>S10-T10</f>
        <v/>
      </c>
      <c r="AK10" s="756">
        <f>SUM(I10,K10,L10)-SUM(Q10,V10,X10)</f>
        <v/>
      </c>
    </row>
    <row r="11">
      <c r="B11" s="184" t="n"/>
      <c r="C11" s="185" t="n"/>
      <c r="D11" s="185" t="n"/>
      <c r="E11" s="186" t="inlineStr">
        <is>
          <t>Hypothetical contribution for new limited partners - Investments, org fees &amp; general</t>
        </is>
      </c>
      <c r="F11" s="187" t="n"/>
      <c r="G11" s="187" t="n"/>
      <c r="H11" s="187" t="n"/>
      <c r="I11" s="187" t="n"/>
      <c r="J11" s="187" t="n"/>
      <c r="K11" s="187" t="n"/>
      <c r="L11" s="187" t="n"/>
      <c r="M11" s="187" t="n"/>
      <c r="N11" s="187" t="n"/>
      <c r="O11" s="205" t="inlineStr">
        <is>
          <t>TOTAL</t>
        </is>
      </c>
      <c r="P11" s="756" t="n"/>
      <c r="R11" s="810" t="inlineStr">
        <is>
          <t>Q2 2025 Contributions</t>
        </is>
      </c>
      <c r="S11" s="811" t="n">
        <v>0</v>
      </c>
      <c r="T11" s="811" t="n">
        <v>0</v>
      </c>
      <c r="U11" s="814">
        <f>S11-T11</f>
        <v/>
      </c>
      <c r="AK11" s="756">
        <f>SUM(I11,K11,L11)-SUM(Q11,V11,X11)</f>
        <v/>
      </c>
    </row>
    <row r="12">
      <c r="B12" s="181" t="n"/>
      <c r="E12" s="275" t="n">
        <v>45520</v>
      </c>
      <c r="F12" s="275" t="n">
        <v>45569</v>
      </c>
      <c r="G12" s="275" t="n">
        <v>45716</v>
      </c>
      <c r="H12" s="275" t="n">
        <v>45870</v>
      </c>
      <c r="I12" s="275" t="n">
        <v>45877</v>
      </c>
      <c r="J12" s="275" t="n">
        <v>45889</v>
      </c>
      <c r="K12" s="275" t="n">
        <v>45973</v>
      </c>
      <c r="L12" s="275" t="n">
        <v>46022</v>
      </c>
      <c r="M12" s="275">
        <f>+M2</f>
        <v/>
      </c>
      <c r="N12" s="275">
        <f>+N2</f>
        <v/>
      </c>
      <c r="O12" s="277" t="n"/>
      <c r="P12" s="756" t="n"/>
      <c r="R12" s="810" t="inlineStr">
        <is>
          <t>Q3 2025 Contributions</t>
        </is>
      </c>
      <c r="S12" s="813">
        <f>H5+I5+J5</f>
        <v/>
      </c>
      <c r="T12" s="811">
        <f>126648391-T10</f>
        <v/>
      </c>
      <c r="U12" s="814">
        <f>S12-T12</f>
        <v/>
      </c>
      <c r="AK12" s="756">
        <f>SUM(I12,K12,L12)-SUM(Q12,V12,X12)</f>
        <v/>
      </c>
    </row>
    <row r="13" ht="30" customHeight="1" s="759">
      <c r="B13" s="181" t="inlineStr">
        <is>
          <t>Limited Partner</t>
        </is>
      </c>
      <c r="C13" s="822" t="inlineStr">
        <is>
          <t>Change in commitment</t>
        </is>
      </c>
      <c r="D13" s="822" t="inlineStr">
        <is>
          <t>Change in Sharing %</t>
        </is>
      </c>
      <c r="E13" s="761">
        <f>E3</f>
        <v/>
      </c>
      <c r="F13" s="761">
        <f>F3</f>
        <v/>
      </c>
      <c r="G13" s="761">
        <f>G3</f>
        <v/>
      </c>
      <c r="H13" s="761">
        <f>H3</f>
        <v/>
      </c>
      <c r="I13" s="761">
        <f>I3</f>
        <v/>
      </c>
      <c r="J13" s="761">
        <f>J3</f>
        <v/>
      </c>
      <c r="K13" s="761">
        <f>K3</f>
        <v/>
      </c>
      <c r="L13" s="761">
        <f>L3</f>
        <v/>
      </c>
      <c r="M13" s="761">
        <f>M3</f>
        <v/>
      </c>
      <c r="N13" s="761">
        <f>N3</f>
        <v/>
      </c>
      <c r="O13" s="203">
        <f>SUM(E13:N13)</f>
        <v/>
      </c>
      <c r="P13" s="756" t="n"/>
      <c r="R13" s="810" t="inlineStr">
        <is>
          <t>Q4 2025 Contributions</t>
        </is>
      </c>
      <c r="S13" s="813">
        <f>K5</f>
        <v/>
      </c>
      <c r="T13" s="813" t="n"/>
      <c r="U13" s="814">
        <f>S13-T13</f>
        <v/>
      </c>
      <c r="V13" s="165" t="inlineStr">
        <is>
          <t>x1</t>
        </is>
      </c>
      <c r="AK13" s="756">
        <f>SUM(I13,K13,L13)-SUM(Q13,V13,X13)</f>
        <v/>
      </c>
    </row>
    <row r="14">
      <c r="B14" s="823" t="inlineStr">
        <is>
          <t>Legacy Knight Strategic Opportunities Fund LLC - CL Rail Series</t>
        </is>
      </c>
      <c r="C14" s="824" t="n">
        <v>6700000</v>
      </c>
      <c r="D14" s="825">
        <f>'Subsequent Close'!I82-'Subsequent Close'!H82</f>
        <v/>
      </c>
      <c r="E14" s="756">
        <f>$D14*E$13</f>
        <v/>
      </c>
      <c r="F14" s="756">
        <f>$D14*F$13</f>
        <v/>
      </c>
      <c r="G14" s="756">
        <f>$D14*G$13</f>
        <v/>
      </c>
      <c r="H14" s="756">
        <f>$D14*H$13</f>
        <v/>
      </c>
      <c r="I14" s="756">
        <f>$D14*I$13</f>
        <v/>
      </c>
      <c r="J14" s="756">
        <f>$D14*J$13</f>
        <v/>
      </c>
      <c r="K14" s="756">
        <f>$D14*K$13</f>
        <v/>
      </c>
      <c r="L14" s="756">
        <f>$D14*L$13</f>
        <v/>
      </c>
      <c r="M14" s="756">
        <f>$D14*M$13</f>
        <v/>
      </c>
      <c r="N14" s="756">
        <f>$D14*N$13</f>
        <v/>
      </c>
      <c r="O14" s="203">
        <f>SUM(E14:N14)</f>
        <v/>
      </c>
      <c r="P14" s="756" t="n"/>
      <c r="R14" s="810" t="inlineStr">
        <is>
          <t>Q1 2025 Contributions</t>
        </is>
      </c>
      <c r="S14" s="813" t="n"/>
      <c r="T14" s="815" t="n"/>
      <c r="U14" s="816" t="n"/>
      <c r="AK14" s="756">
        <f>SUM(I14,K14,L14)-SUM(Q14,V14,X14)</f>
        <v/>
      </c>
    </row>
    <row r="15">
      <c r="B15" s="171" t="inlineStr">
        <is>
          <t>James Bloomingdale</t>
        </is>
      </c>
      <c r="C15" s="824" t="n">
        <v>25000</v>
      </c>
      <c r="D15" s="825">
        <f>'Subsequent Close'!I85</f>
        <v/>
      </c>
      <c r="E15" s="756">
        <f>$D15*E$13</f>
        <v/>
      </c>
      <c r="F15" s="756">
        <f>$D15*F$13</f>
        <v/>
      </c>
      <c r="G15" s="756">
        <f>$D15*G$13</f>
        <v/>
      </c>
      <c r="H15" s="756">
        <f>$D15*H$13</f>
        <v/>
      </c>
      <c r="I15" s="756">
        <f>$D15*I$13</f>
        <v/>
      </c>
      <c r="J15" s="756">
        <f>$D15*J$13</f>
        <v/>
      </c>
      <c r="K15" s="756">
        <f>$D15*K$13</f>
        <v/>
      </c>
      <c r="L15" s="756">
        <f>$D15*L$13</f>
        <v/>
      </c>
      <c r="M15" s="756">
        <f>$D15*M$13</f>
        <v/>
      </c>
      <c r="N15" s="756">
        <f>$D15*N$13</f>
        <v/>
      </c>
      <c r="O15" s="203">
        <f>SUM(E15:N15)</f>
        <v/>
      </c>
      <c r="P15" s="756" t="n"/>
      <c r="R15" s="810" t="n"/>
      <c r="S15" s="817">
        <f>SUM(S9:S14)</f>
        <v/>
      </c>
      <c r="T15" s="817">
        <f>SUM(T9:T14)</f>
        <v/>
      </c>
      <c r="U15" s="814">
        <f>S15-T15</f>
        <v/>
      </c>
      <c r="AK15" s="756">
        <f>SUM(I15,K15,L15)-SUM(Q15,V15,X15)</f>
        <v/>
      </c>
    </row>
    <row r="16">
      <c r="B16" s="171" t="n"/>
      <c r="C16" s="824" t="n"/>
      <c r="D16" s="825" t="n"/>
      <c r="E16" s="756" t="n"/>
      <c r="F16" s="756" t="n"/>
      <c r="G16" s="756" t="n"/>
      <c r="H16" s="756" t="n"/>
      <c r="I16" s="756" t="n"/>
      <c r="J16" s="756" t="n"/>
      <c r="K16" s="756" t="n"/>
      <c r="L16" s="756" t="n"/>
      <c r="M16" s="756" t="n"/>
      <c r="N16" s="756" t="n"/>
      <c r="O16" s="203" t="n"/>
      <c r="P16" s="756" t="n"/>
      <c r="R16" s="818" t="n"/>
      <c r="S16" s="819" t="n"/>
      <c r="T16" s="820" t="n"/>
      <c r="U16" s="821" t="n"/>
      <c r="AK16" s="756">
        <f>SUM(I16,K16,L16)-SUM(Q16,V16,X16)</f>
        <v/>
      </c>
    </row>
    <row r="17">
      <c r="B17" s="273" t="n"/>
      <c r="C17" s="278" t="n"/>
      <c r="D17" s="279" t="n"/>
      <c r="E17" s="208" t="n"/>
      <c r="F17" s="208" t="n"/>
      <c r="G17" s="208" t="n"/>
      <c r="H17" s="208" t="n"/>
      <c r="I17" s="208" t="n"/>
      <c r="J17" s="208" t="n"/>
      <c r="K17" s="208" t="n"/>
      <c r="L17" s="208" t="n"/>
      <c r="M17" s="208" t="n"/>
      <c r="N17" s="208" t="n"/>
      <c r="O17" s="215" t="n"/>
      <c r="P17" s="756" t="n"/>
      <c r="AK17" s="756">
        <f>SUM(I17,K17,L17)-SUM(Q17,V17,X17)</f>
        <v/>
      </c>
    </row>
    <row r="18" ht="15.75" customHeight="1" s="759" thickBot="1">
      <c r="B18" s="177" t="inlineStr">
        <is>
          <t>Total Contributions</t>
        </is>
      </c>
      <c r="C18" s="182" t="n"/>
      <c r="D18" s="175">
        <f>SUM(D14:D17)</f>
        <v/>
      </c>
      <c r="E18" s="176">
        <f>SUM(E14:E17)</f>
        <v/>
      </c>
      <c r="F18" s="176">
        <f>SUM(F14:F17)</f>
        <v/>
      </c>
      <c r="G18" s="176">
        <f>SUM(G14:G17)</f>
        <v/>
      </c>
      <c r="H18" s="176">
        <f>SUM(H14:H17)</f>
        <v/>
      </c>
      <c r="I18" s="176">
        <f>SUM(I14:I17)</f>
        <v/>
      </c>
      <c r="J18" s="176">
        <f>SUM(J14:J17)</f>
        <v/>
      </c>
      <c r="K18" s="176">
        <f>SUM(K14:K17)</f>
        <v/>
      </c>
      <c r="L18" s="176">
        <f>SUM(L13:L17)</f>
        <v/>
      </c>
      <c r="M18" s="176">
        <f>SUM(M13:M17)</f>
        <v/>
      </c>
      <c r="N18" s="176">
        <f>SUM(N13:N17)</f>
        <v/>
      </c>
      <c r="O18" s="257">
        <f>SUM(O14:O17)</f>
        <v/>
      </c>
      <c r="P18" s="216">
        <f>O18+'Subsequent Close'!Q106</f>
        <v/>
      </c>
      <c r="Q18" s="217" t="inlineStr">
        <is>
          <t>Checking</t>
        </is>
      </c>
      <c r="R18" s="202" t="n"/>
      <c r="S18" s="756" t="n"/>
      <c r="AK18" s="756">
        <f>SUM(I18,K18,L18)-SUM(Q18,V18,X18)</f>
        <v/>
      </c>
    </row>
    <row r="19">
      <c r="A19" s="190" t="n"/>
      <c r="O19" s="756" t="n"/>
      <c r="P19" s="756" t="n"/>
      <c r="AK19" s="756">
        <f>SUM(I19,K19,L19)-SUM(Q19,V19,X19)</f>
        <v/>
      </c>
    </row>
    <row r="20" ht="15.75" customHeight="1" s="759" thickBot="1">
      <c r="A20" s="171" t="n"/>
      <c r="B20" s="31" t="inlineStr">
        <is>
          <t>INTEREST CALCULATION - INVESTMENTS, ORG COSTS AND GENERAL</t>
        </is>
      </c>
      <c r="C20" s="824" t="n"/>
      <c r="D20" s="825" t="n"/>
      <c r="E20" s="756" t="n"/>
      <c r="F20" s="756" t="n"/>
      <c r="G20" s="756" t="n"/>
      <c r="H20" s="756" t="n"/>
      <c r="I20" s="756" t="n"/>
      <c r="J20" s="756" t="n"/>
      <c r="K20" s="756" t="n"/>
      <c r="L20" s="756" t="n"/>
      <c r="M20" s="756" t="n"/>
      <c r="N20" s="756" t="n"/>
      <c r="O20" s="169" t="n"/>
      <c r="P20" s="756" t="n"/>
      <c r="AK20" s="756">
        <f>SUM(I20,K20,L20)-SUM(Q20,V20,X20)</f>
        <v/>
      </c>
    </row>
    <row r="21">
      <c r="A21" s="171" t="n"/>
      <c r="B21" s="195" t="n"/>
      <c r="C21" s="191" t="n"/>
      <c r="D21" s="194" t="n"/>
      <c r="E21" s="186" t="inlineStr">
        <is>
          <t>Interest on contributions for investments, org fees &amp; general</t>
        </is>
      </c>
      <c r="F21" s="187" t="n"/>
      <c r="G21" s="187" t="n"/>
      <c r="H21" s="187" t="n"/>
      <c r="I21" s="187" t="n"/>
      <c r="J21" s="187" t="n"/>
      <c r="K21" s="187" t="n"/>
      <c r="L21" s="187" t="n"/>
      <c r="M21" s="187" t="n"/>
      <c r="N21" s="187" t="n"/>
      <c r="O21" s="204" t="inlineStr">
        <is>
          <t>TOTAL</t>
        </is>
      </c>
      <c r="P21" s="756" t="n"/>
      <c r="AK21" s="756">
        <f>SUM(I21,K21,L21)-SUM(Q21,V21,X21)</f>
        <v/>
      </c>
    </row>
    <row r="22">
      <c r="A22" s="171" t="n"/>
      <c r="B22" s="179" t="n"/>
      <c r="C22" s="826" t="n"/>
      <c r="D22" s="827" t="n"/>
      <c r="E22" s="275" t="n">
        <v>45520</v>
      </c>
      <c r="F22" s="275" t="n">
        <v>45569</v>
      </c>
      <c r="G22" s="275" t="n">
        <v>45716</v>
      </c>
      <c r="H22" s="275" t="n">
        <v>45870</v>
      </c>
      <c r="I22" s="275" t="n">
        <v>45877</v>
      </c>
      <c r="J22" s="275" t="n">
        <v>45889</v>
      </c>
      <c r="K22" s="275" t="n">
        <v>45973</v>
      </c>
      <c r="L22" s="275" t="n">
        <v>46022</v>
      </c>
      <c r="M22" s="275">
        <f>+M2</f>
        <v/>
      </c>
      <c r="N22" s="275">
        <f>+N2</f>
        <v/>
      </c>
      <c r="O22" s="276" t="n"/>
      <c r="P22" s="756" t="n"/>
      <c r="AK22" s="756">
        <f>SUM(I22,K22,L22)-SUM(Q22,V22,X22)</f>
        <v/>
      </c>
    </row>
    <row r="23">
      <c r="A23" s="171" t="n"/>
      <c r="B23" s="181" t="inlineStr">
        <is>
          <t>Days outstanding</t>
        </is>
      </c>
      <c r="D23" s="825" t="n"/>
      <c r="E23" s="756">
        <f>$C$6-E2</f>
        <v/>
      </c>
      <c r="F23" s="756">
        <f>$C$6-F2</f>
        <v/>
      </c>
      <c r="G23" s="756">
        <f>$C$6-G2</f>
        <v/>
      </c>
      <c r="H23" s="756">
        <f>$C$6-H2</f>
        <v/>
      </c>
      <c r="I23" s="756">
        <f>$C$6-I2</f>
        <v/>
      </c>
      <c r="J23" s="756">
        <f>$C$6-J2</f>
        <v/>
      </c>
      <c r="K23" s="756">
        <f>$C$6-K2</f>
        <v/>
      </c>
      <c r="L23" s="756">
        <f>$C$6-L2</f>
        <v/>
      </c>
      <c r="M23" s="756">
        <f>$C$6-M2</f>
        <v/>
      </c>
      <c r="N23" s="756">
        <f>$C$6-N2</f>
        <v/>
      </c>
      <c r="O23" s="172" t="n"/>
      <c r="P23" s="756" t="n"/>
      <c r="AK23" s="756">
        <f>SUM(I23,K23,L23)-SUM(Q23,V23,X23)</f>
        <v/>
      </c>
    </row>
    <row r="24">
      <c r="A24" s="171" t="n"/>
      <c r="B24" s="179" t="n"/>
      <c r="C24" s="826" t="n"/>
      <c r="D24" s="827" t="n"/>
      <c r="E24" s="180" t="n"/>
      <c r="F24" s="828" t="n"/>
      <c r="G24" s="828" t="n"/>
      <c r="H24" s="828" t="n"/>
      <c r="I24" s="828" t="n"/>
      <c r="J24" s="828" t="n"/>
      <c r="K24" s="828" t="n"/>
      <c r="L24" s="828" t="n"/>
      <c r="M24" s="828" t="n"/>
      <c r="N24" s="828" t="n"/>
      <c r="O24" s="197" t="n"/>
      <c r="P24" s="756" t="n"/>
      <c r="AK24" s="756">
        <f>SUM(I24,K24,L24)-SUM(Q24,V24,X24)</f>
        <v/>
      </c>
    </row>
    <row r="25">
      <c r="A25" s="171" t="n"/>
      <c r="B25" s="823" t="inlineStr">
        <is>
          <t>Legacy Knight Strategic Opportunities Fund LLC - CL Rail Series</t>
        </is>
      </c>
      <c r="C25" s="824" t="n"/>
      <c r="D25" s="825" t="n"/>
      <c r="E25" s="756">
        <f>E$23*$C$8*E14</f>
        <v/>
      </c>
      <c r="F25" s="756">
        <f>F$23*$C$8*F14</f>
        <v/>
      </c>
      <c r="G25" s="756">
        <f>G$23*$C$8*G14</f>
        <v/>
      </c>
      <c r="H25" s="756">
        <f>H$23*$C$8*H14</f>
        <v/>
      </c>
      <c r="I25" s="756">
        <f>I$23*$C$8*I14</f>
        <v/>
      </c>
      <c r="J25" s="756">
        <f>J$23*$C$8*J14</f>
        <v/>
      </c>
      <c r="K25" s="756">
        <f>K$23*$C$8*K14</f>
        <v/>
      </c>
      <c r="L25" s="756">
        <f>L$23*$C$8*L14</f>
        <v/>
      </c>
      <c r="M25" s="756">
        <f>M$23*$C$8*M14</f>
        <v/>
      </c>
      <c r="N25" s="756">
        <f>N$23*$C$8*N14</f>
        <v/>
      </c>
      <c r="O25" s="203">
        <f>SUM(E25:N25)</f>
        <v/>
      </c>
      <c r="P25" s="756" t="n"/>
      <c r="AK25" s="756">
        <f>SUM(I25,K25,L25)-SUM(Q25,V25,X25)</f>
        <v/>
      </c>
    </row>
    <row r="26">
      <c r="A26" s="171" t="n"/>
      <c r="B26" s="171" t="inlineStr">
        <is>
          <t>James Bloomingdale</t>
        </is>
      </c>
      <c r="C26" s="824" t="n"/>
      <c r="D26" s="825" t="n"/>
      <c r="E26" s="756">
        <f>E$23*$C$8*E15</f>
        <v/>
      </c>
      <c r="F26" s="756">
        <f>F$23*$C$8*F15</f>
        <v/>
      </c>
      <c r="G26" s="756">
        <f>G$23*$C$8*G15</f>
        <v/>
      </c>
      <c r="H26" s="756">
        <f>H$23*$C$8*H15</f>
        <v/>
      </c>
      <c r="I26" s="756">
        <f>I$23*$C$8*I15</f>
        <v/>
      </c>
      <c r="J26" s="756">
        <f>J$23*$C$8*J15</f>
        <v/>
      </c>
      <c r="K26" s="756">
        <f>K$23*$C$8*K15</f>
        <v/>
      </c>
      <c r="L26" s="756">
        <f>L$23*$C$8*L15</f>
        <v/>
      </c>
      <c r="M26" s="756">
        <f>M$23*$C$8*M15</f>
        <v/>
      </c>
      <c r="N26" s="756">
        <f>N$23*$C$8*N15</f>
        <v/>
      </c>
      <c r="O26" s="203">
        <f>SUM(E26:N26)</f>
        <v/>
      </c>
      <c r="P26" s="756" t="n"/>
      <c r="AK26" s="756">
        <f>SUM(I26,K26,L26)-SUM(Q26,V26,X26)</f>
        <v/>
      </c>
    </row>
    <row r="27" ht="15.75" customHeight="1" s="759" thickBot="1">
      <c r="A27" s="173" t="n"/>
      <c r="B27" s="171" t="n"/>
      <c r="C27" s="824" t="n"/>
      <c r="D27" s="825" t="n"/>
      <c r="E27" s="756" t="n"/>
      <c r="F27" s="756" t="n"/>
      <c r="G27" s="756" t="n"/>
      <c r="H27" s="756" t="n"/>
      <c r="I27" s="756" t="n"/>
      <c r="J27" s="756" t="n"/>
      <c r="K27" s="756" t="n"/>
      <c r="L27" s="756" t="n"/>
      <c r="M27" s="756" t="n"/>
      <c r="N27" s="756" t="n"/>
      <c r="O27" s="203" t="n"/>
      <c r="P27" s="756" t="n"/>
      <c r="AK27" s="756">
        <f>SUM(I27,K27,L27)-SUM(Q27,V27,X27)</f>
        <v/>
      </c>
    </row>
    <row r="28">
      <c r="B28" s="273" t="n"/>
      <c r="C28" s="278" t="n"/>
      <c r="D28" s="279" t="n"/>
      <c r="E28" s="208" t="n"/>
      <c r="F28" s="208" t="n"/>
      <c r="G28" s="208" t="n"/>
      <c r="H28" s="208" t="n"/>
      <c r="I28" s="208" t="n"/>
      <c r="J28" s="208" t="n"/>
      <c r="K28" s="208" t="n"/>
      <c r="L28" s="208" t="n"/>
      <c r="M28" s="208" t="n"/>
      <c r="N28" s="208" t="n"/>
      <c r="O28" s="215" t="n"/>
      <c r="P28" s="756" t="n"/>
      <c r="AK28" s="756">
        <f>SUM(I28,K28,L28)-SUM(Q28,V28,X28)</f>
        <v/>
      </c>
    </row>
    <row r="29" ht="15.75" customHeight="1" s="759" thickBot="1">
      <c r="B29" s="178" t="inlineStr">
        <is>
          <t>Total Interest</t>
        </is>
      </c>
      <c r="C29" s="174" t="n"/>
      <c r="D29" s="175" t="n"/>
      <c r="E29" s="176">
        <f>SUM(E25:E28)</f>
        <v/>
      </c>
      <c r="F29" s="176">
        <f>SUM(F25:F28)</f>
        <v/>
      </c>
      <c r="G29" s="176">
        <f>SUM(G25:G28)</f>
        <v/>
      </c>
      <c r="H29" s="176">
        <f>SUM(H25:H28)</f>
        <v/>
      </c>
      <c r="I29" s="176">
        <f>SUM(I25:I28)</f>
        <v/>
      </c>
      <c r="J29" s="176">
        <f>SUM(J25:J28)</f>
        <v/>
      </c>
      <c r="K29" s="176">
        <f>SUM(K25:K28)</f>
        <v/>
      </c>
      <c r="L29" s="176">
        <f>SUM(L25:L28)</f>
        <v/>
      </c>
      <c r="M29" s="176">
        <f>SUM(M25:M28)</f>
        <v/>
      </c>
      <c r="N29" s="176">
        <f>SUM(N25:N28)</f>
        <v/>
      </c>
      <c r="O29" s="257">
        <f>SUM(O25:O28)</f>
        <v/>
      </c>
      <c r="P29" s="756" t="n"/>
      <c r="AK29" s="756">
        <f>SUM(I29,K29,L29)-SUM(Q29,V29,X29)</f>
        <v/>
      </c>
    </row>
    <row r="30">
      <c r="C30" s="824" t="n"/>
      <c r="D30" s="825" t="n"/>
      <c r="E30" s="756" t="n"/>
      <c r="F30" s="756" t="n"/>
      <c r="G30" s="756" t="n"/>
      <c r="H30" s="756" t="n"/>
      <c r="I30" s="756" t="n"/>
      <c r="J30" s="756" t="n"/>
      <c r="K30" s="756" t="n"/>
      <c r="L30" s="756" t="n"/>
      <c r="M30" s="756" t="n"/>
      <c r="N30" s="756" t="n"/>
      <c r="O30" s="756" t="n"/>
      <c r="P30" s="756" t="n"/>
      <c r="AK30" s="756">
        <f>SUM(I30,K30,L30)-SUM(Q30,V30,X30)</f>
        <v/>
      </c>
    </row>
    <row r="31">
      <c r="C31" s="824" t="n"/>
      <c r="D31" s="825" t="n"/>
      <c r="E31" s="756" t="n"/>
      <c r="F31" s="756" t="n"/>
      <c r="G31" s="756" t="n"/>
      <c r="H31" s="756" t="n"/>
      <c r="I31" s="756" t="n"/>
      <c r="J31" s="756" t="n"/>
      <c r="K31" s="756" t="n"/>
      <c r="L31" s="756" t="n"/>
      <c r="M31" s="756" t="n"/>
      <c r="N31" s="756" t="n"/>
      <c r="O31" s="756" t="n"/>
      <c r="P31" s="756" t="n"/>
      <c r="AK31" s="756">
        <f>SUM(I31,K31,L31)-SUM(Q31,V31,X31)</f>
        <v/>
      </c>
    </row>
    <row r="32">
      <c r="C32" s="824" t="n"/>
      <c r="D32" s="825" t="n"/>
      <c r="E32" s="756" t="n"/>
      <c r="F32" s="756" t="n"/>
      <c r="G32" s="756" t="n"/>
      <c r="H32" s="756" t="n"/>
      <c r="I32" s="756" t="n"/>
      <c r="J32" s="756" t="n"/>
      <c r="K32" s="756" t="n"/>
      <c r="L32" s="756" t="n"/>
      <c r="M32" s="756" t="n"/>
      <c r="N32" s="756" t="n"/>
      <c r="O32" s="756" t="n"/>
      <c r="P32" s="756" t="n"/>
      <c r="AK32" s="756">
        <f>SUM(I32,K32,L32)-SUM(Q32,V32,X32)</f>
        <v/>
      </c>
    </row>
    <row r="33">
      <c r="C33" s="824" t="n"/>
      <c r="D33" s="825" t="n"/>
      <c r="E33" s="756" t="n"/>
      <c r="F33" s="756" t="n"/>
      <c r="G33" s="756" t="n"/>
      <c r="H33" s="756" t="n"/>
      <c r="I33" s="756" t="n"/>
      <c r="J33" s="756" t="n"/>
      <c r="K33" s="756" t="n"/>
      <c r="L33" s="756" t="n"/>
      <c r="M33" s="756" t="n"/>
      <c r="N33" s="756" t="n"/>
      <c r="O33" s="756" t="n"/>
      <c r="P33" s="756" t="n"/>
      <c r="AK33" s="756">
        <f>SUM(I33,K33,L33)-SUM(Q33,V33,X33)</f>
        <v/>
      </c>
    </row>
    <row r="34">
      <c r="C34" s="824" t="n"/>
      <c r="D34" s="825" t="n"/>
      <c r="E34" s="756" t="n"/>
      <c r="F34" s="756" t="n"/>
      <c r="G34" s="756" t="n"/>
      <c r="H34" s="756" t="n"/>
      <c r="I34" s="756" t="n"/>
      <c r="J34" s="756" t="n"/>
      <c r="K34" s="756" t="n"/>
      <c r="L34" s="756" t="n"/>
      <c r="M34" s="756" t="n"/>
      <c r="N34" s="756" t="n"/>
      <c r="O34" s="756" t="n"/>
      <c r="P34" s="756" t="n"/>
      <c r="AK34" s="756">
        <f>SUM(I34,K34,L34)-SUM(Q34,V34,X34)</f>
        <v/>
      </c>
    </row>
    <row r="35">
      <c r="C35" s="824" t="n"/>
      <c r="D35" s="825" t="n"/>
      <c r="E35" s="756" t="n"/>
      <c r="F35" s="756" t="n"/>
      <c r="G35" s="756" t="n"/>
      <c r="H35" s="756" t="n"/>
      <c r="I35" s="756" t="n"/>
      <c r="J35" s="756" t="n"/>
      <c r="K35" s="756" t="n"/>
      <c r="L35" s="756" t="n"/>
      <c r="M35" s="756" t="n"/>
      <c r="N35" s="756" t="n"/>
      <c r="O35" s="756" t="n"/>
      <c r="AK35" s="756">
        <f>SUM(I35,K35,L35)-SUM(Q35,V35,X35)</f>
        <v/>
      </c>
    </row>
    <row r="36">
      <c r="C36" s="824" t="n"/>
      <c r="D36" s="825" t="n"/>
      <c r="E36" s="756" t="n"/>
      <c r="F36" s="756" t="n"/>
      <c r="G36" s="756" t="n"/>
      <c r="H36" s="756" t="n"/>
      <c r="I36" s="756" t="n"/>
      <c r="J36" s="756" t="n"/>
      <c r="K36" s="756" t="n"/>
      <c r="L36" s="756" t="n"/>
      <c r="M36" s="756" t="n"/>
      <c r="N36" s="756" t="n"/>
      <c r="O36" s="756" t="n"/>
      <c r="T36" s="761" t="n"/>
      <c r="AK36" s="756">
        <f>SUM(I36,K36,L36)-SUM(Q36,V36,X36)</f>
        <v/>
      </c>
    </row>
    <row r="37">
      <c r="C37" s="824" t="n"/>
      <c r="D37" s="825" t="n"/>
      <c r="E37" s="756" t="n"/>
      <c r="F37" s="756" t="n"/>
      <c r="G37" s="756" t="n"/>
      <c r="H37" s="756" t="n"/>
      <c r="I37" s="756" t="n"/>
      <c r="J37" s="756" t="n"/>
      <c r="K37" s="756" t="n"/>
      <c r="L37" s="756" t="n"/>
      <c r="M37" s="756" t="n"/>
      <c r="N37" s="756" t="n"/>
      <c r="AK37" s="756">
        <f>SUM(I37,K37,L37)-SUM(Q37,V37,X37)</f>
        <v/>
      </c>
    </row>
    <row r="38">
      <c r="C38" s="824" t="n"/>
      <c r="D38" s="825" t="n"/>
      <c r="E38" s="756" t="n"/>
      <c r="F38" s="756" t="n"/>
      <c r="G38" s="756" t="n"/>
      <c r="H38" s="756" t="n"/>
      <c r="I38" s="756" t="n"/>
      <c r="J38" s="756" t="n"/>
      <c r="K38" s="756" t="n"/>
      <c r="L38" s="756" t="n"/>
      <c r="M38" s="756" t="n"/>
      <c r="N38" s="756" t="n"/>
      <c r="T38" s="756" t="n"/>
      <c r="AK38" s="756">
        <f>SUM(I38,K38,L38)-SUM(Q38,V38,X38)</f>
        <v/>
      </c>
    </row>
    <row r="39">
      <c r="C39" s="824" t="n"/>
      <c r="D39" s="825" t="n"/>
      <c r="E39" s="756" t="n"/>
      <c r="F39" s="756" t="n"/>
      <c r="G39" s="756" t="n"/>
      <c r="H39" s="756" t="n"/>
      <c r="I39" s="756" t="n"/>
      <c r="J39" s="756" t="n"/>
      <c r="K39" s="756" t="n"/>
      <c r="L39" s="756" t="n"/>
      <c r="M39" s="756" t="n"/>
      <c r="N39" s="756" t="n"/>
      <c r="AK39" s="756">
        <f>SUM(I39,K39,L39)-SUM(Q39,V39,X39)</f>
        <v/>
      </c>
    </row>
    <row r="40">
      <c r="R40" s="761" t="n"/>
      <c r="T40" s="756" t="n"/>
      <c r="AK40" s="756">
        <f>SUM(I40,K40,L40)-SUM(Q40,V40,X40)</f>
        <v/>
      </c>
    </row>
    <row r="41">
      <c r="E41" s="761" t="n"/>
      <c r="R41" s="761" t="n"/>
      <c r="AK41" s="756">
        <f>SUM(I41,K41,L41)-SUM(Q41,V41,X41)</f>
        <v/>
      </c>
    </row>
    <row r="42">
      <c r="E42" s="756" t="n"/>
      <c r="R42" s="761" t="n"/>
      <c r="AK42" s="756">
        <f>SUM(I42,K42,L42)-SUM(Q42,V42,X42)</f>
        <v/>
      </c>
    </row>
    <row r="43">
      <c r="R43" s="756" t="n"/>
      <c r="AK43" s="756">
        <f>SUM(I43,K43,L43)-SUM(Q43,V43,X43)</f>
        <v/>
      </c>
    </row>
    <row r="44">
      <c r="AK44" s="756">
        <f>SUM(I44,K44,L44)-SUM(Q44,V44,X44)</f>
        <v/>
      </c>
    </row>
    <row r="45">
      <c r="R45" s="202" t="n"/>
      <c r="AK45" s="756">
        <f>SUM(I45,K45,L45)-SUM(Q45,V45,X45)</f>
        <v/>
      </c>
    </row>
    <row r="46">
      <c r="AK46" s="756">
        <f>SUM(I46,K46,L46)-SUM(Q46,V46,X46)</f>
        <v/>
      </c>
    </row>
    <row r="47">
      <c r="AK47" s="756">
        <f>SUM(I47,K47,L47)-SUM(Q47,V47,X47)</f>
        <v/>
      </c>
    </row>
    <row r="48">
      <c r="AK48" s="756">
        <f>SUM(I48,K48,L48)-SUM(Q48,V48,X48)</f>
        <v/>
      </c>
    </row>
    <row r="49">
      <c r="AK49" s="756">
        <f>SUM(I49,K49,L49)-SUM(Q49,V49,X49)</f>
        <v/>
      </c>
    </row>
    <row r="50">
      <c r="AK50" s="756">
        <f>SUM(I50,K50,L50)-SUM(Q50,V50,X50)</f>
        <v/>
      </c>
    </row>
    <row r="51">
      <c r="AK51" s="756">
        <f>SUM(I51,K51,L51)-SUM(Q51,V51,X51)</f>
        <v/>
      </c>
    </row>
    <row r="52">
      <c r="AK52" s="756">
        <f>SUM(I52,K52,L52)-SUM(Q52,V52,X52)</f>
        <v/>
      </c>
    </row>
    <row r="53">
      <c r="AK53" s="756">
        <f>SUM(I53,K53,L53)-SUM(Q53,V53,X53)</f>
        <v/>
      </c>
    </row>
    <row r="54">
      <c r="AK54" s="756">
        <f>SUM(I54,K54,L54)-SUM(Q54,V54,X54)</f>
        <v/>
      </c>
    </row>
    <row r="55">
      <c r="AK55" s="756">
        <f>SUM(I55,K55,L55)-SUM(Q55,V55,X55)</f>
        <v/>
      </c>
    </row>
    <row r="56">
      <c r="AK56" s="756">
        <f>SUM(I56,K56,L56)-SUM(Q56,V56,X56)</f>
        <v/>
      </c>
    </row>
    <row r="57">
      <c r="AK57" s="756">
        <f>SUM(I57,K57,L57)-SUM(Q57,V57,X57)</f>
        <v/>
      </c>
    </row>
    <row r="58">
      <c r="AK58" s="756">
        <f>SUM(I58,K58,L58)-SUM(Q58,V58,X58)</f>
        <v/>
      </c>
    </row>
    <row r="59">
      <c r="AK59" s="756">
        <f>SUM(I59,K59,L59)-SUM(Q59,V59,X59)</f>
        <v/>
      </c>
    </row>
    <row r="60">
      <c r="AK60" s="756">
        <f>SUM(I60,K60,L60)-SUM(Q60,V60,X60)</f>
        <v/>
      </c>
    </row>
    <row r="61">
      <c r="AK61" s="756">
        <f>SUM(I61,K61,L61)-SUM(Q61,V61,X61)</f>
        <v/>
      </c>
    </row>
    <row r="62">
      <c r="AK62" s="756">
        <f>SUM(I62,K62,L62)-SUM(Q62,V62,X62)</f>
        <v/>
      </c>
    </row>
    <row r="63">
      <c r="AK63" s="756">
        <f>SUM(I63,K63,L63)-SUM(Q63,V63,X63)</f>
        <v/>
      </c>
    </row>
    <row r="64">
      <c r="AK64" s="756">
        <f>SUM(I64,K64,L64)-SUM(Q64,V64,X64)</f>
        <v/>
      </c>
    </row>
    <row r="65">
      <c r="AK65" s="756">
        <f>SUM(I65,K65,L65)-SUM(Q65,V65,X65)</f>
        <v/>
      </c>
    </row>
    <row r="66">
      <c r="AK66" s="756">
        <f>SUM(I66,K66,L66)-SUM(Q66,V66,X66)</f>
        <v/>
      </c>
    </row>
    <row r="67">
      <c r="AK67" s="756">
        <f>SUM(I67,K67,L67)-SUM(Q67,V67,X67)</f>
        <v/>
      </c>
    </row>
    <row r="68">
      <c r="AK68" s="756">
        <f>SUM(I68,K68,L68)-SUM(Q68,V68,X68)</f>
        <v/>
      </c>
    </row>
    <row r="69">
      <c r="AK69" s="756">
        <f>SUM(I69,K69,L69)-SUM(Q69,V69,X69)</f>
        <v/>
      </c>
    </row>
    <row r="70">
      <c r="AK70" s="756">
        <f>SUM(I70,K70,L70)-SUM(Q70,V70,X70)</f>
        <v/>
      </c>
    </row>
    <row r="71">
      <c r="AK71" s="756">
        <f>SUM(I71,K71,L71)-SUM(Q71,V71,X71)</f>
        <v/>
      </c>
    </row>
    <row r="72">
      <c r="AK72" s="756">
        <f>SUM(I72,K72,L72)-SUM(Q72,V72,X72)</f>
        <v/>
      </c>
    </row>
    <row r="73">
      <c r="AK73" s="756">
        <f>SUM(I73,K73,L73)-SUM(Q73,V73,X73)</f>
        <v/>
      </c>
    </row>
    <row r="74">
      <c r="AK74" s="756">
        <f>SUM(I74,K74,L74)-SUM(Q74,V74,X74)</f>
        <v/>
      </c>
    </row>
    <row r="75">
      <c r="AK75" s="756">
        <f>SUM(I75,K75,L75)-SUM(Q75,V75,X75)</f>
        <v/>
      </c>
    </row>
    <row r="76">
      <c r="AK76" s="756" t="n"/>
    </row>
    <row r="77">
      <c r="AK77" s="756" t="n"/>
    </row>
    <row r="78">
      <c r="AK78" s="756" t="n"/>
    </row>
    <row r="79">
      <c r="AK79" s="756" t="n"/>
    </row>
    <row r="80">
      <c r="AK80" s="756">
        <f>SUM(I80,K80,L80)-SUM(Q80,V80,X80)</f>
        <v/>
      </c>
    </row>
  </sheetData>
  <pageMargins left="0.7" right="0.7" top="0.75" bottom="0.75" header="0.3" footer="0.3"/>
  <pageSetup orientation="portrait" horizontalDpi="1200" verticalDpi="1200"/>
</worksheet>
</file>

<file path=xl/worksheets/sheet6.xml><?xml version="1.0" encoding="utf-8"?>
<worksheet xmlns="http://schemas.openxmlformats.org/spreadsheetml/2006/main">
  <sheetPr>
    <tabColor theme="9" tint="0.3999755851924192"/>
    <outlinePr summaryBelow="1" summaryRight="1"/>
    <pageSetUpPr/>
  </sheetPr>
  <dimension ref="B2:BB96"/>
  <sheetViews>
    <sheetView topLeftCell="C9" zoomScale="80" zoomScaleNormal="80" workbookViewId="0">
      <selection activeCell="AX97" sqref="AX97"/>
    </sheetView>
  </sheetViews>
  <sheetFormatPr baseColWidth="8" defaultRowHeight="15"/>
  <cols>
    <col width="1" customWidth="1" style="759" min="1" max="1"/>
    <col width="78.85546875" bestFit="1" customWidth="1" style="759" min="2" max="2"/>
    <col width="21.7109375" customWidth="1" style="759" min="3" max="6"/>
    <col width="15.140625" bestFit="1" customWidth="1" style="759" min="7" max="9"/>
    <col width="15" bestFit="1" customWidth="1" style="759" min="10" max="10"/>
    <col width="14.140625" bestFit="1" customWidth="1" style="759" min="11" max="11"/>
    <col width="14.140625" customWidth="1" style="759" min="12" max="13"/>
    <col width="13.28515625" bestFit="1" customWidth="1" style="759" min="14" max="14"/>
  </cols>
  <sheetData>
    <row r="2">
      <c r="B2" t="inlineStr">
        <is>
          <t>Management Fee Standard Rate</t>
        </is>
      </c>
      <c r="C2" s="825" t="n">
        <v>0.015</v>
      </c>
      <c r="D2" s="825" t="n"/>
      <c r="E2" s="825" t="n"/>
      <c r="F2" s="825" t="n"/>
    </row>
    <row r="3">
      <c r="B3" t="inlineStr">
        <is>
          <t>Management Fee Start Date (Inception date)</t>
        </is>
      </c>
      <c r="C3" s="22" t="n">
        <v>45485</v>
      </c>
      <c r="D3" s="22" t="n"/>
      <c r="E3" s="22" t="n"/>
      <c r="F3" s="22" t="n"/>
      <c r="G3" s="198" t="n"/>
      <c r="H3" s="198" t="n"/>
      <c r="I3" s="198" t="n"/>
      <c r="J3" s="198" t="n"/>
      <c r="K3" s="198" t="n"/>
      <c r="L3" s="198" t="n"/>
      <c r="AN3" s="790" t="n"/>
      <c r="AO3" s="800" t="n"/>
      <c r="AP3" s="800" t="n"/>
      <c r="AQ3" s="791" t="n"/>
      <c r="AX3" s="790" t="n"/>
      <c r="AY3" s="791" t="n"/>
    </row>
    <row r="4">
      <c r="B4" t="inlineStr">
        <is>
          <t>Total days outstanding</t>
        </is>
      </c>
      <c r="C4" s="933">
        <f>G9-C3+1</f>
        <v/>
      </c>
      <c r="D4" s="933" t="n"/>
      <c r="E4" s="934" t="n"/>
      <c r="F4" s="934" t="n"/>
      <c r="G4" s="160" t="n"/>
      <c r="H4" s="160" t="n"/>
      <c r="I4" s="160" t="n"/>
      <c r="J4" s="160" t="n"/>
      <c r="K4" s="160" t="n"/>
      <c r="L4" s="160" t="n"/>
      <c r="AG4" s="790" t="n"/>
      <c r="AH4" s="791" t="n"/>
      <c r="AN4" s="152" t="n"/>
      <c r="AQ4" s="153" t="n"/>
      <c r="AU4" s="790" t="n"/>
      <c r="AV4" s="791" t="n"/>
      <c r="AX4" s="152" t="n"/>
      <c r="AY4" s="153" t="n"/>
    </row>
    <row r="5">
      <c r="B5" t="inlineStr">
        <is>
          <t>Total days in quarter</t>
        </is>
      </c>
      <c r="C5" s="933" t="n">
        <v>92</v>
      </c>
      <c r="D5" s="933" t="n"/>
      <c r="E5" s="934" t="n"/>
      <c r="F5" s="934" t="n"/>
      <c r="G5" s="160" t="n"/>
      <c r="H5" s="160" t="n"/>
      <c r="I5" s="160" t="n"/>
      <c r="J5" s="160" t="n"/>
      <c r="K5" s="160" t="n"/>
      <c r="L5" s="160" t="n"/>
      <c r="AG5" s="152" t="n"/>
      <c r="AH5" s="153" t="n"/>
      <c r="AN5" s="152" t="n"/>
      <c r="AQ5" s="153" t="n"/>
      <c r="AU5" s="152" t="n"/>
      <c r="AV5" s="153" t="n"/>
      <c r="AX5" s="152" t="n"/>
      <c r="AY5" s="153" t="n"/>
    </row>
    <row r="6">
      <c r="B6" t="inlineStr">
        <is>
          <t>% of quarter for first accrual period</t>
        </is>
      </c>
      <c r="C6" s="934">
        <f>C4/C5</f>
        <v/>
      </c>
      <c r="D6" s="934" t="n"/>
      <c r="E6" s="934" t="n"/>
      <c r="F6" s="934" t="n"/>
      <c r="G6" s="160" t="n"/>
      <c r="H6" s="160" t="n"/>
      <c r="I6" s="160" t="n"/>
      <c r="J6" s="160" t="n"/>
      <c r="K6" s="160" t="n"/>
      <c r="L6" s="160" t="n"/>
      <c r="AG6" s="152" t="n"/>
      <c r="AH6" s="153" t="n"/>
      <c r="AN6" s="152" t="n"/>
      <c r="AQ6" s="153" t="n"/>
      <c r="AU6" s="152" t="n"/>
      <c r="AV6" s="153" t="n"/>
      <c r="AX6" s="152" t="n"/>
      <c r="AY6" s="153" t="n"/>
    </row>
    <row r="7">
      <c r="G7" s="160" t="n"/>
      <c r="H7" s="160" t="n"/>
      <c r="I7" s="160" t="n"/>
      <c r="J7" s="160" t="n"/>
      <c r="K7" s="160" t="n"/>
      <c r="L7" s="160" t="n"/>
      <c r="AG7" s="152" t="n"/>
      <c r="AH7" s="153" t="n"/>
      <c r="AN7" s="152" t="n"/>
      <c r="AQ7" s="153" t="n"/>
      <c r="AU7" s="152" t="n"/>
      <c r="AV7" s="153" t="n"/>
      <c r="AX7" s="152" t="n"/>
      <c r="AY7" s="153" t="n"/>
    </row>
    <row r="8" ht="15.75" customHeight="1" s="759" thickBot="1">
      <c r="B8" s="103" t="inlineStr">
        <is>
          <t>MANAGEMENT FEES EARNED - FIRST TIER</t>
        </is>
      </c>
      <c r="C8" s="265" t="n"/>
      <c r="D8" s="265" t="n"/>
      <c r="E8" s="265" t="n"/>
      <c r="F8" s="265" t="n"/>
      <c r="G8" s="266" t="n"/>
      <c r="H8" s="266" t="n"/>
      <c r="I8" s="266" t="n"/>
      <c r="J8" s="266" t="n"/>
      <c r="K8" s="266" t="n"/>
      <c r="L8" s="266" t="n"/>
      <c r="M8" s="169" t="n"/>
      <c r="AG8" s="152" t="n"/>
      <c r="AH8" s="153" t="n"/>
      <c r="AN8" s="152" t="n"/>
      <c r="AQ8" s="153" t="n"/>
      <c r="AU8" s="152" t="n"/>
      <c r="AV8" s="153" t="n"/>
      <c r="AX8" s="152" t="n"/>
      <c r="AY8" s="153" t="n"/>
    </row>
    <row r="9" ht="30" customHeight="1" s="759">
      <c r="B9" s="346" t="n"/>
      <c r="C9" s="347" t="n"/>
      <c r="D9" s="348" t="inlineStr">
        <is>
          <t>Commitment charged at standard rate</t>
        </is>
      </c>
      <c r="E9" s="348" t="inlineStr">
        <is>
          <t>Annual Management Fee</t>
        </is>
      </c>
      <c r="F9" s="348" t="inlineStr">
        <is>
          <t>Quarterly Management Fee</t>
        </is>
      </c>
      <c r="G9" s="192" t="n">
        <v>45565</v>
      </c>
      <c r="H9" s="192" t="n">
        <v>45657</v>
      </c>
      <c r="I9" s="192" t="n">
        <v>45747</v>
      </c>
      <c r="J9" s="192" t="n">
        <v>45838</v>
      </c>
      <c r="K9" s="192" t="n">
        <v>45930</v>
      </c>
      <c r="L9" s="193" t="n">
        <v>46022</v>
      </c>
      <c r="M9" s="756" t="n"/>
      <c r="AG9" s="152" t="n"/>
      <c r="AH9" s="153" t="n"/>
      <c r="AN9" s="152" t="n"/>
      <c r="AQ9" s="153" t="n"/>
      <c r="AU9" s="152" t="n"/>
      <c r="AV9" s="153" t="n"/>
      <c r="AX9" s="152" t="n"/>
      <c r="AY9" s="153" t="n"/>
    </row>
    <row r="10">
      <c r="B10" s="349" t="n"/>
      <c r="C10" s="350" t="n"/>
      <c r="D10" s="351" t="n">
        <v>6700000</v>
      </c>
      <c r="E10" s="742" t="n"/>
      <c r="F10" s="742" t="n"/>
      <c r="G10" s="151" t="n"/>
      <c r="H10" s="151" t="n"/>
      <c r="I10" s="151" t="n"/>
      <c r="J10" s="151" t="n"/>
      <c r="K10" s="151" t="n"/>
      <c r="L10" s="345" t="n"/>
      <c r="M10" s="756" t="n"/>
      <c r="AG10" s="152" t="n"/>
      <c r="AH10" s="153" t="n"/>
      <c r="AN10" s="152" t="n"/>
      <c r="AQ10" s="153" t="n"/>
      <c r="AU10" s="152" t="n"/>
      <c r="AV10" s="153" t="n"/>
      <c r="AX10" s="152" t="n"/>
      <c r="AY10" s="153" t="n"/>
    </row>
    <row r="11" ht="30" customHeight="1" s="759">
      <c r="B11" s="352" t="n"/>
      <c r="C11" s="743" t="inlineStr">
        <is>
          <t>New commitment</t>
        </is>
      </c>
      <c r="D11" s="744" t="inlineStr">
        <is>
          <t>Commitment allocated to tier</t>
        </is>
      </c>
      <c r="E11" s="745" t="n"/>
      <c r="F11" s="745" t="n"/>
      <c r="J11" s="756" t="n"/>
      <c r="K11" s="756" t="n"/>
      <c r="L11" s="172" t="n"/>
      <c r="M11" s="169" t="inlineStr">
        <is>
          <t>Total</t>
        </is>
      </c>
      <c r="AG11" s="152" t="n"/>
      <c r="AH11" s="153" t="n"/>
      <c r="AN11" s="152" t="n"/>
      <c r="AQ11" s="153" t="n"/>
      <c r="AU11" s="152" t="n"/>
      <c r="AV11" s="153" t="n"/>
      <c r="AX11" s="152" t="n"/>
      <c r="AY11" s="153" t="n"/>
    </row>
    <row r="12" ht="15.75" customHeight="1" s="759" thickBot="1">
      <c r="B12" s="354" t="inlineStr">
        <is>
          <t>Legacy Knight Strategic Opportunities Fund LLC - CL Rail Series</t>
        </is>
      </c>
      <c r="C12" s="355">
        <f>_xlfn.XLOOKUP(B20,'Subsequent Close - OLD B4 25k'!A:A,'Subsequent Close - OLD B4 25k'!G:G,0,FALSE)</f>
        <v/>
      </c>
      <c r="D12" s="355">
        <f>(C12/$C$13)*$D$10</f>
        <v/>
      </c>
      <c r="E12" s="355">
        <f>D12*$C$2</f>
        <v/>
      </c>
      <c r="F12" s="356">
        <f>E12/4</f>
        <v/>
      </c>
      <c r="G12" s="200">
        <f>F12*$C$6</f>
        <v/>
      </c>
      <c r="H12" s="200">
        <f>F12</f>
        <v/>
      </c>
      <c r="I12" s="200">
        <f>F12</f>
        <v/>
      </c>
      <c r="J12" s="200">
        <f>F12</f>
        <v/>
      </c>
      <c r="K12" s="200">
        <f>F12</f>
        <v/>
      </c>
      <c r="L12" s="201">
        <f>K12</f>
        <v/>
      </c>
      <c r="M12" s="756">
        <f>SUM(G12:L12)</f>
        <v/>
      </c>
      <c r="AG12" s="152" t="n"/>
      <c r="AH12" s="153" t="n"/>
      <c r="AN12" s="152" t="n"/>
      <c r="AQ12" s="153" t="n"/>
      <c r="AU12" s="152" t="n"/>
      <c r="AV12" s="153" t="n"/>
      <c r="AX12" s="152" t="n"/>
      <c r="AY12" s="153" t="n"/>
    </row>
    <row r="13">
      <c r="B13" s="353" t="n"/>
      <c r="C13" s="746">
        <f>SUM(C12:C12)</f>
        <v/>
      </c>
      <c r="D13" s="746">
        <f>SUM(D12:D12)</f>
        <v/>
      </c>
      <c r="E13" s="746">
        <f>SUM(E12:E12)</f>
        <v/>
      </c>
      <c r="F13" s="746">
        <f>E13/4</f>
        <v/>
      </c>
      <c r="G13" s="756">
        <f>F13*$C$6</f>
        <v/>
      </c>
      <c r="H13" s="756">
        <f>F13</f>
        <v/>
      </c>
      <c r="I13" s="756">
        <f>F13</f>
        <v/>
      </c>
      <c r="J13" s="756">
        <f>F13</f>
        <v/>
      </c>
      <c r="K13" s="756">
        <f>F13</f>
        <v/>
      </c>
      <c r="L13" s="172">
        <f>K13</f>
        <v/>
      </c>
      <c r="M13" s="763">
        <f>SUM(M12:M12)</f>
        <v/>
      </c>
      <c r="AG13" s="152" t="n"/>
      <c r="AH13" s="153" t="n"/>
      <c r="AN13" s="152" t="n"/>
      <c r="AQ13" s="153" t="n"/>
      <c r="AU13" s="152" t="n"/>
      <c r="AV13" s="153" t="n"/>
      <c r="AX13" s="152" t="n"/>
      <c r="AY13" s="153" t="n"/>
    </row>
    <row r="14">
      <c r="B14" s="171" t="n"/>
      <c r="C14" s="824" t="n"/>
      <c r="D14" s="824" t="n"/>
      <c r="E14" s="824" t="n"/>
      <c r="F14" s="824" t="n"/>
      <c r="G14" s="756" t="n"/>
      <c r="H14" s="756" t="n"/>
      <c r="I14" s="756" t="n"/>
      <c r="J14" s="756" t="n"/>
      <c r="K14" s="756" t="n"/>
      <c r="L14" s="172" t="n"/>
      <c r="M14" s="756" t="n"/>
      <c r="AG14" s="152" t="n"/>
      <c r="AH14" s="153" t="n"/>
      <c r="AN14" s="152" t="n"/>
      <c r="AQ14" s="153" t="n"/>
      <c r="AU14" s="152" t="n"/>
      <c r="AV14" s="153" t="n"/>
      <c r="AX14" s="152" t="n"/>
      <c r="AY14" s="153" t="n"/>
    </row>
    <row r="15" ht="15.75" customHeight="1" s="759" thickBot="1">
      <c r="B15" s="181" t="inlineStr">
        <is>
          <t>Interest</t>
        </is>
      </c>
      <c r="C15" s="824" t="n"/>
      <c r="D15" s="824" t="n"/>
      <c r="E15" s="824" t="n"/>
      <c r="F15" s="824" t="n"/>
      <c r="G15" s="756" t="n"/>
      <c r="H15" s="756" t="n"/>
      <c r="I15" s="756" t="n"/>
      <c r="J15" s="756" t="n"/>
      <c r="K15" s="756" t="n"/>
      <c r="L15" s="172" t="n"/>
      <c r="M15" s="756" t="n"/>
      <c r="AG15" s="152" t="n"/>
      <c r="AH15" s="153" t="n"/>
      <c r="AN15" s="152" t="n"/>
      <c r="AQ15" s="153" t="n"/>
      <c r="AU15" s="152" t="n"/>
      <c r="AV15" s="153" t="n"/>
      <c r="AX15" s="152" t="n"/>
      <c r="AY15" s="153" t="n"/>
    </row>
    <row r="16">
      <c r="B16" s="357" t="inlineStr">
        <is>
          <t>Interest rate</t>
        </is>
      </c>
      <c r="C16" s="358" t="n">
        <v>0.08</v>
      </c>
      <c r="D16" s="347" t="n"/>
      <c r="E16" s="347" t="n"/>
      <c r="F16" s="347" t="n"/>
      <c r="G16" s="192" t="n">
        <v>45565</v>
      </c>
      <c r="H16" s="192" t="n">
        <v>45657</v>
      </c>
      <c r="I16" s="192" t="n">
        <v>45747</v>
      </c>
      <c r="J16" s="192" t="n">
        <v>45838</v>
      </c>
      <c r="K16" s="192" t="n">
        <v>45930</v>
      </c>
      <c r="L16" s="193" t="n">
        <v>46022</v>
      </c>
      <c r="M16" s="756" t="n"/>
      <c r="AG16" s="152" t="n"/>
      <c r="AH16" s="153" t="n"/>
      <c r="AN16" s="152" t="n"/>
      <c r="AQ16" s="153" t="n"/>
      <c r="AU16" s="152" t="n"/>
      <c r="AV16" s="153" t="n"/>
      <c r="AX16" s="152" t="n"/>
      <c r="AY16" s="153" t="n"/>
    </row>
    <row r="17">
      <c r="B17" s="353" t="inlineStr">
        <is>
          <t>Daily rate</t>
        </is>
      </c>
      <c r="C17" s="747">
        <f>C16/365</f>
        <v/>
      </c>
      <c r="D17" s="747" t="n"/>
      <c r="E17" s="350" t="n"/>
      <c r="F17" s="748" t="inlineStr">
        <is>
          <t>Days</t>
        </is>
      </c>
      <c r="G17" s="218">
        <f>'Closing Interest'!$C$6-'Management Fees - New Investor'!G16</f>
        <v/>
      </c>
      <c r="H17" s="218">
        <f>'Closing Interest'!$C$6-'Management Fees - New Investor'!H16</f>
        <v/>
      </c>
      <c r="I17" s="218">
        <f>'Closing Interest'!$C$6-'Management Fees - New Investor'!I16</f>
        <v/>
      </c>
      <c r="J17" s="218">
        <f>'Closing Interest'!$C$6-'Management Fees - New Investor'!J16</f>
        <v/>
      </c>
      <c r="K17" s="218">
        <f>'Closing Interest'!$C$6-'Management Fees - New Investor'!K16</f>
        <v/>
      </c>
      <c r="L17" s="219">
        <f>'Closing Interest'!$C$6-'Management Fees - New Investor'!L16</f>
        <v/>
      </c>
      <c r="M17" s="169" t="inlineStr">
        <is>
          <t>Total</t>
        </is>
      </c>
      <c r="AG17" s="152" t="n"/>
      <c r="AH17" s="153" t="n"/>
      <c r="AN17" s="152" t="n"/>
      <c r="AQ17" s="153" t="n"/>
      <c r="AU17" s="152" t="n"/>
      <c r="AV17" s="153" t="n"/>
      <c r="AX17" s="152" t="n"/>
      <c r="AY17" s="153" t="n"/>
    </row>
    <row r="18">
      <c r="B18" s="353" t="n"/>
      <c r="C18" s="747" t="n"/>
      <c r="D18" s="747" t="n"/>
      <c r="E18" s="350" t="n"/>
      <c r="F18" s="748" t="n"/>
      <c r="G18" s="749" t="n"/>
      <c r="H18" s="750" t="n"/>
      <c r="I18" s="750" t="n"/>
      <c r="J18" s="750" t="n"/>
      <c r="K18" s="750" t="n"/>
      <c r="L18" s="214" t="n"/>
      <c r="M18" s="756" t="n"/>
      <c r="N18" s="25" t="n"/>
      <c r="AG18" s="152" t="n"/>
      <c r="AH18" s="153" t="n"/>
      <c r="AN18" s="152" t="n"/>
      <c r="AQ18" s="153" t="n"/>
      <c r="AU18" s="152" t="n"/>
      <c r="AV18" s="153" t="n"/>
      <c r="AX18" s="152" t="n"/>
      <c r="AY18" s="153" t="n"/>
    </row>
    <row r="19">
      <c r="B19" s="353" t="n"/>
      <c r="C19" s="745" t="inlineStr">
        <is>
          <t>New commitment</t>
        </is>
      </c>
      <c r="D19" s="745" t="n"/>
      <c r="E19" s="748" t="n"/>
      <c r="F19" s="748" t="n"/>
      <c r="G19" s="756" t="n"/>
      <c r="H19" s="756" t="n"/>
      <c r="I19" s="756" t="n"/>
      <c r="J19" s="756" t="n"/>
      <c r="K19" s="756" t="n"/>
      <c r="L19" s="172" t="n"/>
      <c r="M19" s="169" t="n"/>
      <c r="N19" s="25" t="n"/>
      <c r="AG19" s="152" t="n"/>
      <c r="AH19" s="153" t="n"/>
      <c r="AN19" s="152" t="n"/>
      <c r="AQ19" s="153" t="n"/>
      <c r="AU19" s="152" t="n"/>
      <c r="AV19" s="153" t="n"/>
      <c r="AX19" s="152" t="n"/>
      <c r="AY19" s="153" t="n"/>
    </row>
    <row r="20" ht="15.75" customHeight="1" s="759" thickBot="1">
      <c r="B20" s="354">
        <f>+B12</f>
        <v/>
      </c>
      <c r="C20" s="355">
        <f>_xlfn.XLOOKUP(B20,'Subsequent Close - OLD B4 25k'!A:A,'Subsequent Close - OLD B4 25k'!G:G,0,FALSE)</f>
        <v/>
      </c>
      <c r="D20" s="355" t="n"/>
      <c r="E20" s="355" t="n"/>
      <c r="F20" s="355" t="n"/>
      <c r="G20" s="183" t="n">
        <v>0</v>
      </c>
      <c r="H20" s="183" t="n">
        <v>0</v>
      </c>
      <c r="I20" s="183">
        <f>I$17*(G13+H13+I13)*$C$17</f>
        <v/>
      </c>
      <c r="J20" s="183">
        <f>J$17*(J13)*$C$17</f>
        <v/>
      </c>
      <c r="K20" s="183">
        <f>K$17*(K13)*$C$17</f>
        <v/>
      </c>
      <c r="L20" s="189">
        <f>L$17*(L13)*$C$17</f>
        <v/>
      </c>
      <c r="M20" s="756">
        <f>SUM(G20:L20)</f>
        <v/>
      </c>
      <c r="AG20" s="152" t="n"/>
      <c r="AH20" s="153" t="n"/>
      <c r="AN20" s="152" t="n"/>
      <c r="AQ20" s="153" t="n"/>
      <c r="AU20" s="152" t="n"/>
      <c r="AV20" s="153" t="n"/>
      <c r="AX20" s="152" t="n"/>
      <c r="AY20" s="153" t="n"/>
    </row>
    <row r="21">
      <c r="C21" s="824" t="n"/>
      <c r="D21" s="824" t="n"/>
      <c r="E21" s="824" t="n"/>
      <c r="F21" s="824" t="n"/>
      <c r="G21" s="756" t="n"/>
      <c r="H21" s="756" t="n"/>
      <c r="I21" s="756" t="n"/>
      <c r="J21" s="756" t="n"/>
      <c r="K21" s="756" t="n"/>
      <c r="L21" s="756" t="n"/>
      <c r="M21" s="763">
        <f>SUM(M20:M20)</f>
        <v/>
      </c>
      <c r="AG21" s="152" t="n"/>
      <c r="AH21" s="153" t="n"/>
      <c r="AN21" s="152" t="n"/>
      <c r="AQ21" s="153" t="n"/>
      <c r="AU21" s="152" t="n"/>
      <c r="AV21" s="153" t="n"/>
      <c r="AX21" s="152" t="n"/>
      <c r="AY21" s="153" t="n"/>
    </row>
    <row r="22" ht="15.75" customHeight="1" s="759" thickBot="1">
      <c r="B22" s="103" t="inlineStr">
        <is>
          <t>MANAGEMENT FEES EARNED - FIRST TIER</t>
        </is>
      </c>
      <c r="C22" s="265" t="n"/>
      <c r="D22" s="265" t="n"/>
      <c r="E22" s="265" t="n"/>
      <c r="F22" s="265" t="n"/>
      <c r="G22" s="266" t="n"/>
      <c r="H22" s="266" t="n"/>
      <c r="I22" s="266" t="n"/>
      <c r="J22" s="266" t="n"/>
      <c r="K22" s="266" t="n"/>
      <c r="L22" s="266" t="n"/>
      <c r="M22" s="756" t="n"/>
      <c r="AG22" s="152" t="n"/>
      <c r="AH22" s="153" t="n"/>
      <c r="AN22" s="152" t="n"/>
      <c r="AQ22" s="153" t="n"/>
      <c r="AU22" s="152" t="n"/>
      <c r="AV22" s="153" t="n"/>
      <c r="AX22" s="152" t="n"/>
      <c r="AY22" s="153" t="n"/>
    </row>
    <row r="23" ht="30" customHeight="1" s="759">
      <c r="B23" s="346" t="n"/>
      <c r="C23" s="347" t="n"/>
      <c r="D23" s="348" t="inlineStr">
        <is>
          <t>Commitment charged at standard rate</t>
        </is>
      </c>
      <c r="E23" s="348" t="inlineStr">
        <is>
          <t>Annual Management Fee</t>
        </is>
      </c>
      <c r="F23" s="348" t="inlineStr">
        <is>
          <t>Quarterly Management Fee</t>
        </is>
      </c>
      <c r="G23" s="192" t="n">
        <v>45565</v>
      </c>
      <c r="H23" s="192" t="n">
        <v>45657</v>
      </c>
      <c r="I23" s="192" t="n">
        <v>45747</v>
      </c>
      <c r="J23" s="192" t="n">
        <v>45838</v>
      </c>
      <c r="K23" s="192" t="n">
        <v>45930</v>
      </c>
      <c r="L23" s="193" t="n">
        <v>46022</v>
      </c>
      <c r="M23" s="756" t="n"/>
      <c r="AG23" s="152" t="n"/>
      <c r="AH23" s="153" t="n"/>
      <c r="AN23" s="152" t="n"/>
      <c r="AQ23" s="153" t="n"/>
      <c r="AU23" s="152" t="n"/>
      <c r="AV23" s="153" t="n"/>
      <c r="AX23" s="152" t="n"/>
      <c r="AY23" s="153" t="n"/>
    </row>
    <row r="24">
      <c r="B24" s="349" t="n"/>
      <c r="C24" s="350" t="n"/>
      <c r="D24" s="351" t="n">
        <v>25000</v>
      </c>
      <c r="E24" s="742" t="n"/>
      <c r="F24" s="742" t="n"/>
      <c r="G24" s="151" t="n"/>
      <c r="H24" s="151" t="n"/>
      <c r="I24" s="151" t="n"/>
      <c r="J24" s="151" t="n"/>
      <c r="K24" s="151" t="n"/>
      <c r="L24" s="345" t="n"/>
      <c r="M24" s="756" t="n"/>
      <c r="AG24" s="152" t="n"/>
      <c r="AH24" s="153" t="n"/>
      <c r="AN24" s="152" t="n"/>
      <c r="AQ24" s="153" t="n"/>
      <c r="AU24" s="152" t="n"/>
      <c r="AV24" s="153" t="n"/>
      <c r="AX24" s="152" t="n"/>
      <c r="AY24" s="153" t="n"/>
    </row>
    <row r="25" ht="30" customHeight="1" s="759">
      <c r="B25" s="352" t="n"/>
      <c r="C25" s="743" t="inlineStr">
        <is>
          <t>New commitment</t>
        </is>
      </c>
      <c r="D25" s="744" t="inlineStr">
        <is>
          <t>Commitment allocated to tier</t>
        </is>
      </c>
      <c r="E25" s="745" t="n"/>
      <c r="F25" s="745" t="n"/>
      <c r="J25" s="756" t="n"/>
      <c r="K25" s="756" t="n"/>
      <c r="L25" s="172" t="n"/>
      <c r="M25" s="169" t="inlineStr">
        <is>
          <t>Total</t>
        </is>
      </c>
      <c r="AG25" s="152" t="n"/>
      <c r="AH25" s="153" t="n"/>
      <c r="AN25" s="152" t="n"/>
      <c r="AQ25" s="153" t="n"/>
      <c r="AU25" s="152" t="n"/>
      <c r="AV25" s="153" t="n"/>
      <c r="AX25" s="152" t="n"/>
      <c r="AY25" s="153" t="n"/>
    </row>
    <row r="26" ht="15.75" customHeight="1" s="759" thickBot="1">
      <c r="B26" s="354" t="inlineStr">
        <is>
          <t>James Bloomingdale</t>
        </is>
      </c>
      <c r="C26" s="355" t="n">
        <v>25000</v>
      </c>
      <c r="D26" s="355">
        <f>(C26/$C$27)*$D$24</f>
        <v/>
      </c>
      <c r="E26" s="355">
        <f>D26*$C$2</f>
        <v/>
      </c>
      <c r="F26" s="356">
        <f>E26/4</f>
        <v/>
      </c>
      <c r="G26" s="200">
        <f>F26*$C$6</f>
        <v/>
      </c>
      <c r="H26" s="200">
        <f>F26</f>
        <v/>
      </c>
      <c r="I26" s="200">
        <f>F26</f>
        <v/>
      </c>
      <c r="J26" s="200">
        <f>F26</f>
        <v/>
      </c>
      <c r="K26" s="200">
        <f>F26</f>
        <v/>
      </c>
      <c r="L26" s="201">
        <f>K26</f>
        <v/>
      </c>
      <c r="M26" s="756">
        <f>SUM(G26:L26)</f>
        <v/>
      </c>
      <c r="AG26" s="152" t="n"/>
      <c r="AH26" s="153" t="n"/>
      <c r="AN26" s="152" t="n"/>
      <c r="AQ26" s="153" t="n"/>
      <c r="AU26" s="152" t="n"/>
      <c r="AV26" s="153" t="n"/>
      <c r="AX26" s="152" t="n"/>
      <c r="AY26" s="153" t="n"/>
    </row>
    <row r="27">
      <c r="B27" s="353" t="n"/>
      <c r="C27" s="746">
        <f>SUM(C26:C26)</f>
        <v/>
      </c>
      <c r="D27" s="746">
        <f>SUM(D26:D26)</f>
        <v/>
      </c>
      <c r="E27" s="746">
        <f>SUM(E26:E26)</f>
        <v/>
      </c>
      <c r="F27" s="746">
        <f>E27/4</f>
        <v/>
      </c>
      <c r="G27" s="756">
        <f>F27*$C$6</f>
        <v/>
      </c>
      <c r="H27" s="756">
        <f>F27</f>
        <v/>
      </c>
      <c r="I27" s="756">
        <f>F27</f>
        <v/>
      </c>
      <c r="J27" s="756">
        <f>F27</f>
        <v/>
      </c>
      <c r="K27" s="756">
        <f>F27</f>
        <v/>
      </c>
      <c r="L27" s="172">
        <f>K27</f>
        <v/>
      </c>
      <c r="M27" s="763">
        <f>SUM(M26:M26)</f>
        <v/>
      </c>
      <c r="AG27" s="152" t="n"/>
      <c r="AH27" s="153" t="n"/>
      <c r="AN27" s="152" t="n"/>
      <c r="AQ27" s="153" t="n"/>
      <c r="AU27" s="152" t="n"/>
      <c r="AV27" s="153" t="n"/>
      <c r="AX27" s="152" t="n"/>
      <c r="AY27" s="153" t="n"/>
    </row>
    <row r="28">
      <c r="B28" s="171" t="n"/>
      <c r="C28" s="824" t="n"/>
      <c r="D28" s="824" t="n"/>
      <c r="E28" s="824" t="n"/>
      <c r="F28" s="824" t="n"/>
      <c r="G28" s="756" t="n"/>
      <c r="H28" s="756" t="n"/>
      <c r="I28" s="756" t="n"/>
      <c r="J28" s="756" t="n"/>
      <c r="K28" s="756" t="n"/>
      <c r="L28" s="172" t="n"/>
      <c r="M28" s="756" t="n"/>
      <c r="AG28" s="152" t="n"/>
      <c r="AH28" s="153" t="n"/>
      <c r="AN28" s="152" t="n"/>
      <c r="AQ28" s="153" t="n"/>
      <c r="AU28" s="152" t="n"/>
      <c r="AV28" s="153" t="n"/>
      <c r="AX28" s="152" t="n"/>
      <c r="AY28" s="153" t="n"/>
    </row>
    <row r="29" ht="15.75" customHeight="1" s="759" thickBot="1">
      <c r="B29" s="181" t="inlineStr">
        <is>
          <t>Interest</t>
        </is>
      </c>
      <c r="C29" s="824" t="n"/>
      <c r="D29" s="824" t="n"/>
      <c r="E29" s="824" t="n"/>
      <c r="F29" s="824" t="n"/>
      <c r="G29" s="756" t="n"/>
      <c r="H29" s="756" t="n"/>
      <c r="I29" s="756" t="n"/>
      <c r="J29" s="756" t="n"/>
      <c r="K29" s="756" t="n"/>
      <c r="L29" s="172" t="n"/>
      <c r="M29" s="756" t="n"/>
      <c r="AG29" s="152" t="n"/>
      <c r="AH29" s="153" t="n"/>
      <c r="AN29" s="152" t="n"/>
      <c r="AQ29" s="153" t="n"/>
      <c r="AU29" s="152" t="n"/>
      <c r="AV29" s="153" t="n"/>
      <c r="AX29" s="152" t="n"/>
      <c r="AY29" s="153" t="n"/>
    </row>
    <row r="30">
      <c r="B30" s="357" t="inlineStr">
        <is>
          <t>Interest rate</t>
        </is>
      </c>
      <c r="C30" s="358" t="n">
        <v>0.08</v>
      </c>
      <c r="D30" s="347" t="n"/>
      <c r="E30" s="347" t="n"/>
      <c r="F30" s="347" t="n"/>
      <c r="G30" s="192" t="n">
        <v>45565</v>
      </c>
      <c r="H30" s="192" t="n">
        <v>45657</v>
      </c>
      <c r="I30" s="192" t="n">
        <v>45747</v>
      </c>
      <c r="J30" s="192" t="n">
        <v>45838</v>
      </c>
      <c r="K30" s="192" t="n">
        <v>45930</v>
      </c>
      <c r="L30" s="193" t="n">
        <v>46022</v>
      </c>
      <c r="M30" s="756" t="n"/>
      <c r="AG30" s="152" t="n"/>
      <c r="AH30" s="153" t="n"/>
      <c r="AN30" s="152" t="n"/>
      <c r="AQ30" s="153" t="n"/>
      <c r="AU30" s="152" t="n"/>
      <c r="AV30" s="153" t="n"/>
      <c r="AX30" s="152" t="n"/>
      <c r="AY30" s="153" t="n"/>
    </row>
    <row r="31">
      <c r="B31" s="353" t="inlineStr">
        <is>
          <t>Daily rate</t>
        </is>
      </c>
      <c r="C31" s="747">
        <f>C30/365</f>
        <v/>
      </c>
      <c r="D31" s="747" t="n"/>
      <c r="E31" s="350" t="n"/>
      <c r="F31" s="748" t="inlineStr">
        <is>
          <t>Days</t>
        </is>
      </c>
      <c r="G31" s="218">
        <f>'Closing Interest'!$C$6-'Management Fees - New Investor'!G30</f>
        <v/>
      </c>
      <c r="H31" s="218">
        <f>'Closing Interest'!$C$6-'Management Fees - New Investor'!H30</f>
        <v/>
      </c>
      <c r="I31" s="218">
        <f>'Closing Interest'!$C$6-'Management Fees - New Investor'!I30</f>
        <v/>
      </c>
      <c r="J31" s="218">
        <f>'Closing Interest'!$C$6-'Management Fees - New Investor'!J30</f>
        <v/>
      </c>
      <c r="K31" s="218">
        <f>'Closing Interest'!$C$6-'Management Fees - New Investor'!K30</f>
        <v/>
      </c>
      <c r="L31" s="219">
        <f>'Closing Interest'!$C$6-'Management Fees - New Investor'!L30</f>
        <v/>
      </c>
      <c r="M31" s="169" t="inlineStr">
        <is>
          <t>Total</t>
        </is>
      </c>
      <c r="AG31" s="152" t="n"/>
      <c r="AH31" s="153" t="n"/>
      <c r="AN31" s="152" t="n"/>
      <c r="AQ31" s="153" t="n"/>
      <c r="AU31" s="152" t="n"/>
      <c r="AV31" s="153" t="n"/>
      <c r="AX31" s="152" t="n"/>
      <c r="AY31" s="153" t="n"/>
    </row>
    <row r="32">
      <c r="B32" s="353" t="n"/>
      <c r="C32" s="747" t="n"/>
      <c r="D32" s="747" t="n"/>
      <c r="E32" s="350" t="n"/>
      <c r="F32" s="748" t="n"/>
      <c r="G32" s="749" t="n"/>
      <c r="H32" s="750" t="n"/>
      <c r="I32" s="750" t="n"/>
      <c r="J32" s="750" t="n"/>
      <c r="K32" s="750" t="n"/>
      <c r="L32" s="214" t="n"/>
      <c r="M32" s="756" t="n"/>
      <c r="AG32" s="152" t="n"/>
      <c r="AH32" s="153" t="n"/>
      <c r="AN32" s="152" t="n"/>
      <c r="AQ32" s="153" t="n"/>
      <c r="AU32" s="152" t="n"/>
      <c r="AV32" s="153" t="n"/>
      <c r="AX32" s="152" t="n"/>
      <c r="AY32" s="153" t="n"/>
    </row>
    <row r="33">
      <c r="B33" s="353" t="n"/>
      <c r="C33" s="745" t="inlineStr">
        <is>
          <t>New commitment</t>
        </is>
      </c>
      <c r="D33" s="745" t="n"/>
      <c r="E33" s="748" t="n"/>
      <c r="F33" s="748" t="n"/>
      <c r="G33" s="756" t="n"/>
      <c r="H33" s="756" t="n"/>
      <c r="I33" s="756" t="n"/>
      <c r="J33" s="756" t="n"/>
      <c r="K33" s="756" t="n"/>
      <c r="L33" s="172" t="n"/>
      <c r="M33" s="169" t="n"/>
      <c r="AG33" s="152" t="n"/>
      <c r="AH33" s="153" t="n"/>
      <c r="AN33" s="152" t="n"/>
      <c r="AQ33" s="153" t="n"/>
      <c r="AU33" s="152" t="n"/>
      <c r="AV33" s="153" t="n"/>
      <c r="AX33" s="152" t="n"/>
      <c r="AY33" s="153" t="n"/>
    </row>
    <row r="34" ht="15.75" customHeight="1" s="759" thickBot="1">
      <c r="B34" s="354">
        <f>+B26</f>
        <v/>
      </c>
      <c r="C34" s="355" t="n">
        <v>25000</v>
      </c>
      <c r="D34" s="355" t="n"/>
      <c r="E34" s="355" t="n"/>
      <c r="F34" s="355" t="n"/>
      <c r="G34" s="183" t="n">
        <v>0</v>
      </c>
      <c r="H34" s="183" t="n">
        <v>0</v>
      </c>
      <c r="I34" s="183">
        <f>I$17*(G27+H27+I27)*$C$17</f>
        <v/>
      </c>
      <c r="J34" s="183">
        <f>J$17*(J27)*$C$17</f>
        <v/>
      </c>
      <c r="K34" s="183">
        <f>K$17*(K27)*$C$17</f>
        <v/>
      </c>
      <c r="L34" s="189">
        <f>L$17*(L27)*$C$17</f>
        <v/>
      </c>
      <c r="M34" s="756">
        <f>SUM(G34:L34)</f>
        <v/>
      </c>
      <c r="AG34" s="152" t="n"/>
      <c r="AH34" s="153" t="n"/>
      <c r="AN34" s="152" t="n"/>
      <c r="AQ34" s="153" t="n"/>
      <c r="AU34" s="152" t="n"/>
      <c r="AV34" s="153" t="n"/>
      <c r="AX34" s="152" t="n"/>
      <c r="AY34" s="153" t="n"/>
    </row>
    <row r="35">
      <c r="M35" s="763">
        <f>SUM(M34:M34)</f>
        <v/>
      </c>
      <c r="AG35" s="152" t="n"/>
      <c r="AH35" s="153" t="n"/>
      <c r="AN35" s="152" t="n"/>
      <c r="AQ35" s="153" t="n"/>
      <c r="AU35" s="152" t="n"/>
      <c r="AV35" s="153" t="n"/>
      <c r="AX35" s="152" t="n"/>
      <c r="AY35" s="153" t="n"/>
    </row>
    <row r="36">
      <c r="AG36" s="152" t="n"/>
      <c r="AH36" s="153" t="n"/>
      <c r="AN36" s="152" t="n"/>
      <c r="AQ36" s="153" t="n"/>
      <c r="AU36" s="152" t="n"/>
      <c r="AV36" s="153" t="n"/>
      <c r="AX36" s="152" t="n"/>
      <c r="AY36" s="153" t="n"/>
    </row>
    <row r="37">
      <c r="AG37" s="152" t="n"/>
      <c r="AH37" s="153" t="n"/>
      <c r="AN37" s="152" t="n"/>
      <c r="AQ37" s="153" t="n"/>
      <c r="AU37" s="152" t="n"/>
      <c r="AV37" s="153" t="n"/>
      <c r="AX37" s="152" t="n"/>
      <c r="AY37" s="153" t="n"/>
    </row>
    <row r="38">
      <c r="AG38" s="152" t="n"/>
      <c r="AH38" s="153" t="n"/>
      <c r="AN38" s="152" t="n"/>
      <c r="AQ38" s="153" t="n"/>
      <c r="AU38" s="152" t="n"/>
      <c r="AV38" s="153" t="n"/>
      <c r="AX38" s="152" t="n"/>
      <c r="AY38" s="153" t="n"/>
    </row>
    <row r="39">
      <c r="AG39" s="152" t="n"/>
      <c r="AH39" s="153" t="n"/>
      <c r="AN39" s="152" t="n"/>
      <c r="AQ39" s="153" t="n"/>
      <c r="AU39" s="152" t="n"/>
      <c r="AV39" s="153" t="n"/>
      <c r="AX39" s="152" t="n"/>
      <c r="AY39" s="153" t="n"/>
    </row>
    <row r="40">
      <c r="AG40" s="152" t="n"/>
      <c r="AH40" s="153" t="n"/>
      <c r="AN40" s="152" t="n"/>
      <c r="AQ40" s="153" t="n"/>
      <c r="AU40" s="152" t="n"/>
      <c r="AV40" s="153" t="n"/>
      <c r="AX40" s="152" t="n"/>
      <c r="AY40" s="153" t="n"/>
    </row>
    <row r="41">
      <c r="AG41" s="152" t="n"/>
      <c r="AH41" s="153" t="n"/>
      <c r="AN41" s="152" t="n"/>
      <c r="AQ41" s="153" t="n"/>
      <c r="AU41" s="152" t="n"/>
      <c r="AV41" s="153" t="n"/>
      <c r="AX41" s="152" t="n"/>
      <c r="AY41" s="153" t="n"/>
    </row>
    <row r="42">
      <c r="AG42" s="152" t="n"/>
      <c r="AH42" s="153" t="n"/>
      <c r="AN42" s="152" t="n"/>
      <c r="AQ42" s="153" t="n"/>
      <c r="AU42" s="152" t="n"/>
      <c r="AV42" s="153" t="n"/>
      <c r="AX42" s="152" t="n"/>
      <c r="AY42" s="153" t="n"/>
    </row>
    <row r="43">
      <c r="AG43" s="152" t="n"/>
      <c r="AH43" s="153" t="n"/>
      <c r="AN43" s="152" t="n"/>
      <c r="AQ43" s="153" t="n"/>
      <c r="AU43" s="152" t="n"/>
      <c r="AV43" s="153" t="n"/>
      <c r="AX43" s="152" t="n"/>
      <c r="AY43" s="153" t="n"/>
    </row>
    <row r="44">
      <c r="AG44" s="152" t="n"/>
      <c r="AH44" s="153" t="n"/>
      <c r="AN44" s="152" t="n"/>
      <c r="AQ44" s="153" t="n"/>
      <c r="AU44" s="152" t="n"/>
      <c r="AV44" s="153" t="n"/>
      <c r="AX44" s="152" t="n"/>
      <c r="AY44" s="153" t="n"/>
    </row>
    <row r="45">
      <c r="AG45" s="152" t="n"/>
      <c r="AH45" s="153" t="n"/>
      <c r="AN45" s="152" t="n"/>
      <c r="AQ45" s="153" t="n"/>
      <c r="AU45" s="152" t="n"/>
      <c r="AV45" s="153" t="n"/>
      <c r="AX45" s="152" t="n"/>
      <c r="AY45" s="153" t="n"/>
    </row>
    <row r="46">
      <c r="AG46" s="152" t="n"/>
      <c r="AH46" s="153" t="n"/>
      <c r="AN46" s="152" t="n"/>
      <c r="AQ46" s="153" t="n"/>
      <c r="AU46" s="152" t="n"/>
      <c r="AV46" s="153" t="n"/>
      <c r="AX46" s="152" t="n"/>
      <c r="AY46" s="153" t="n"/>
    </row>
    <row r="47">
      <c r="AG47" s="152" t="n"/>
      <c r="AH47" s="153" t="n"/>
      <c r="AN47" s="152" t="n"/>
      <c r="AQ47" s="153" t="n"/>
      <c r="AU47" s="152" t="n"/>
      <c r="AV47" s="153" t="n"/>
      <c r="AX47" s="152" t="n"/>
      <c r="AY47" s="153" t="n"/>
    </row>
    <row r="48">
      <c r="AG48" s="152" t="n"/>
      <c r="AH48" s="153" t="n"/>
      <c r="AN48" s="152" t="n"/>
      <c r="AQ48" s="153" t="n"/>
      <c r="AU48" s="152" t="n"/>
      <c r="AV48" s="153" t="n"/>
      <c r="AX48" s="152" t="n"/>
      <c r="AY48" s="153" t="n"/>
    </row>
    <row r="49">
      <c r="AG49" s="152" t="n"/>
      <c r="AH49" s="153" t="n"/>
      <c r="AN49" s="152" t="n"/>
      <c r="AQ49" s="153" t="n"/>
      <c r="AU49" s="152" t="n"/>
      <c r="AV49" s="153" t="n"/>
      <c r="AX49" s="152" t="n"/>
      <c r="AY49" s="153" t="n"/>
    </row>
    <row r="50">
      <c r="AG50" s="152" t="n"/>
      <c r="AH50" s="153" t="n"/>
      <c r="AN50" s="152" t="n"/>
      <c r="AQ50" s="153" t="n"/>
      <c r="AU50" s="152" t="n"/>
      <c r="AV50" s="153" t="n"/>
      <c r="AX50" s="152" t="n"/>
      <c r="AY50" s="153" t="n"/>
    </row>
    <row r="51">
      <c r="AG51" s="152" t="n"/>
      <c r="AH51" s="153" t="n"/>
      <c r="AN51" s="152" t="n"/>
      <c r="AQ51" s="153" t="n"/>
      <c r="AU51" s="152" t="n"/>
      <c r="AV51" s="153" t="n"/>
      <c r="AX51" s="152" t="n"/>
      <c r="AY51" s="153" t="n"/>
    </row>
    <row r="52">
      <c r="AG52" s="152" t="n"/>
      <c r="AH52" s="153" t="n"/>
      <c r="AN52" s="152" t="n"/>
      <c r="AQ52" s="153" t="n"/>
      <c r="AU52" s="152" t="n"/>
      <c r="AV52" s="153" t="n"/>
      <c r="AX52" s="152" t="n"/>
      <c r="AY52" s="153" t="n"/>
    </row>
    <row r="53">
      <c r="AG53" s="152" t="n"/>
      <c r="AH53" s="153" t="n"/>
      <c r="AN53" s="152" t="n"/>
      <c r="AQ53" s="153" t="n"/>
      <c r="AU53" s="152" t="n"/>
      <c r="AV53" s="153" t="n"/>
      <c r="AX53" s="152" t="n"/>
      <c r="AY53" s="153" t="n"/>
    </row>
    <row r="54">
      <c r="AG54" s="152" t="n"/>
      <c r="AH54" s="153" t="n"/>
      <c r="AN54" s="152" t="n"/>
      <c r="AQ54" s="153" t="n"/>
      <c r="AU54" s="152" t="n"/>
      <c r="AV54" s="153" t="n"/>
      <c r="AX54" s="152" t="n"/>
      <c r="AY54" s="153" t="n"/>
    </row>
    <row r="55">
      <c r="AG55" s="152" t="n"/>
      <c r="AH55" s="153" t="n"/>
      <c r="AN55" s="152" t="n"/>
      <c r="AQ55" s="153" t="n"/>
      <c r="AU55" s="152" t="n"/>
      <c r="AV55" s="153" t="n"/>
      <c r="AX55" s="152" t="n"/>
      <c r="AY55" s="153" t="n"/>
    </row>
    <row r="56">
      <c r="AG56" s="152" t="n"/>
      <c r="AH56" s="153" t="n"/>
      <c r="AN56" s="152" t="n"/>
      <c r="AQ56" s="153" t="n"/>
      <c r="AU56" s="152" t="n"/>
      <c r="AV56" s="153" t="n"/>
      <c r="AX56" s="152" t="n"/>
      <c r="AY56" s="153" t="n"/>
    </row>
    <row r="57">
      <c r="AG57" s="152" t="n"/>
      <c r="AH57" s="153" t="n"/>
      <c r="AN57" s="152" t="n"/>
      <c r="AQ57" s="153" t="n"/>
      <c r="AU57" s="152" t="n"/>
      <c r="AV57" s="153" t="n"/>
      <c r="AX57" s="152" t="n"/>
      <c r="AY57" s="153" t="n"/>
      <c r="BB57">
        <f>-BA86</f>
        <v/>
      </c>
    </row>
    <row r="58">
      <c r="AG58" s="152" t="n"/>
      <c r="AH58" s="153" t="n"/>
      <c r="AN58" s="152" t="n"/>
      <c r="AQ58" s="153" t="n"/>
      <c r="AU58" s="152" t="n"/>
      <c r="AV58" s="153" t="n"/>
      <c r="AX58" s="152" t="n"/>
      <c r="AY58" s="153" t="n"/>
    </row>
    <row r="59">
      <c r="AG59" s="152" t="n"/>
      <c r="AH59" s="153" t="n"/>
      <c r="AN59" s="152" t="n"/>
      <c r="AQ59" s="153" t="n"/>
      <c r="AU59" s="152" t="n"/>
      <c r="AV59" s="153" t="n"/>
      <c r="AX59" s="152" t="n"/>
      <c r="AY59" s="153" t="n"/>
    </row>
    <row r="60">
      <c r="AG60" s="152" t="n"/>
      <c r="AH60" s="153" t="n"/>
      <c r="AN60" s="152" t="n"/>
      <c r="AQ60" s="153" t="n"/>
      <c r="AU60" s="152" t="n"/>
      <c r="AV60" s="153" t="n"/>
      <c r="AX60" s="152" t="n"/>
      <c r="AY60" s="153" t="n"/>
    </row>
    <row r="61">
      <c r="AG61" s="152" t="n"/>
      <c r="AH61" s="153" t="n"/>
      <c r="AN61" s="152" t="n"/>
      <c r="AQ61" s="153" t="n"/>
      <c r="AU61" s="152" t="n"/>
      <c r="AV61" s="153" t="n"/>
      <c r="AX61" s="152" t="n"/>
      <c r="AY61" s="153" t="n"/>
    </row>
    <row r="62">
      <c r="AG62" s="152" t="n"/>
      <c r="AH62" s="153" t="n"/>
      <c r="AN62" s="152" t="n"/>
      <c r="AQ62" s="153" t="n"/>
      <c r="AU62" s="152" t="n"/>
      <c r="AV62" s="153" t="n"/>
      <c r="AX62" s="152" t="n"/>
      <c r="AY62" s="153" t="n"/>
    </row>
    <row r="63">
      <c r="AG63" s="152" t="n"/>
      <c r="AH63" s="153" t="n"/>
      <c r="AN63" s="152" t="n"/>
      <c r="AQ63" s="153" t="n"/>
      <c r="AU63" s="152" t="n"/>
      <c r="AV63" s="153" t="n"/>
      <c r="AX63" s="152" t="n"/>
      <c r="AY63" s="153" t="n"/>
    </row>
    <row r="64">
      <c r="AG64" s="152" t="n"/>
      <c r="AH64" s="153" t="n"/>
      <c r="AN64" s="152" t="n"/>
      <c r="AQ64" s="153" t="n"/>
      <c r="AU64" s="152" t="n"/>
      <c r="AV64" s="153" t="n"/>
      <c r="AX64" s="152" t="n"/>
      <c r="AY64" s="153" t="n"/>
    </row>
    <row r="65">
      <c r="AG65" s="152" t="n"/>
      <c r="AH65" s="153" t="n"/>
      <c r="AN65" s="152" t="n"/>
      <c r="AQ65" s="153" t="n"/>
      <c r="AU65" s="152" t="n"/>
      <c r="AV65" s="153" t="n"/>
      <c r="AX65" s="152" t="n"/>
      <c r="AY65" s="153" t="n"/>
    </row>
    <row r="66">
      <c r="AG66" s="152" t="n"/>
      <c r="AH66" s="153" t="n"/>
      <c r="AN66" s="152" t="n"/>
      <c r="AQ66" s="153" t="n"/>
      <c r="AU66" s="152" t="n"/>
      <c r="AV66" s="153" t="n"/>
      <c r="AX66" s="152" t="n"/>
      <c r="AY66" s="153" t="n"/>
    </row>
    <row r="67">
      <c r="AG67" s="152" t="n"/>
      <c r="AH67" s="153" t="n"/>
      <c r="AN67" s="152" t="n"/>
      <c r="AQ67" s="153" t="n"/>
      <c r="AU67" s="152" t="n"/>
      <c r="AV67" s="153" t="n"/>
      <c r="AX67" s="152" t="n"/>
      <c r="AY67" s="153" t="n"/>
    </row>
    <row r="68">
      <c r="AG68" s="152" t="n"/>
      <c r="AH68" s="153" t="n"/>
      <c r="AN68" s="152" t="n"/>
      <c r="AQ68" s="153" t="n"/>
      <c r="AU68" s="152" t="n"/>
      <c r="AV68" s="153" t="n"/>
      <c r="AX68" s="152" t="n"/>
      <c r="AY68" s="153" t="n"/>
    </row>
    <row r="69">
      <c r="AG69" s="152" t="n"/>
      <c r="AH69" s="153" t="n"/>
      <c r="AN69" s="152" t="n"/>
      <c r="AQ69" s="153" t="n"/>
      <c r="AU69" s="152" t="n"/>
      <c r="AV69" s="153" t="n"/>
      <c r="AX69" s="152" t="n"/>
      <c r="AY69" s="153" t="n"/>
    </row>
    <row r="70">
      <c r="AG70" s="152" t="n"/>
      <c r="AH70" s="153" t="n"/>
      <c r="AN70" s="152" t="n"/>
      <c r="AQ70" s="153" t="n"/>
      <c r="AU70" s="152" t="n"/>
      <c r="AV70" s="153" t="n"/>
      <c r="AX70" s="152" t="n"/>
      <c r="AY70" s="153" t="n"/>
    </row>
    <row r="71">
      <c r="AG71" s="152" t="n"/>
      <c r="AH71" s="153" t="n"/>
      <c r="AN71" s="152" t="n"/>
      <c r="AQ71" s="153" t="n"/>
      <c r="AU71" s="152" t="n"/>
      <c r="AV71" s="153" t="n"/>
      <c r="AX71" s="152" t="n"/>
      <c r="AY71" s="153" t="n"/>
    </row>
    <row r="72">
      <c r="AG72" s="152" t="n"/>
      <c r="AH72" s="153" t="n"/>
      <c r="AN72" s="152" t="n"/>
      <c r="AQ72" s="153" t="n"/>
      <c r="AU72" s="152" t="n"/>
      <c r="AV72" s="153" t="n"/>
      <c r="AX72" s="152" t="n"/>
      <c r="AY72" s="153" t="n"/>
    </row>
    <row r="73">
      <c r="AG73" s="152" t="n"/>
      <c r="AH73" s="153" t="n"/>
      <c r="AN73" s="152" t="n"/>
      <c r="AQ73" s="153" t="n"/>
      <c r="AU73" s="152" t="n"/>
      <c r="AV73" s="153" t="n"/>
      <c r="AX73" s="152" t="n"/>
      <c r="AY73" s="153" t="n"/>
    </row>
    <row r="74">
      <c r="AG74" s="152" t="n"/>
      <c r="AH74" s="153" t="n"/>
      <c r="AN74" s="152" t="n"/>
      <c r="AQ74" s="153" t="n"/>
      <c r="AU74" s="152" t="n"/>
      <c r="AV74" s="153" t="n"/>
      <c r="AX74" s="152" t="n"/>
      <c r="AY74" s="153" t="n"/>
    </row>
    <row r="75">
      <c r="AG75" s="152" t="n"/>
      <c r="AH75" s="153" t="n"/>
      <c r="AN75" s="152" t="n"/>
      <c r="AQ75" s="153" t="n"/>
      <c r="AU75" s="152" t="n"/>
      <c r="AV75" s="153" t="n"/>
      <c r="AX75" s="152" t="n"/>
      <c r="AY75" s="153" t="n"/>
    </row>
    <row r="76">
      <c r="AG76" s="152" t="n"/>
      <c r="AH76" s="153" t="n"/>
      <c r="AN76" s="152" t="n"/>
      <c r="AQ76" s="153" t="n"/>
      <c r="AU76" s="152" t="n"/>
      <c r="AV76" s="153" t="n"/>
      <c r="AX76" s="152" t="n"/>
      <c r="AY76" s="153" t="n"/>
    </row>
    <row r="77">
      <c r="AG77" s="152" t="n"/>
      <c r="AH77" s="153" t="n"/>
      <c r="AN77" s="152" t="n"/>
      <c r="AQ77" s="153" t="n"/>
      <c r="AU77" s="152" t="n"/>
      <c r="AV77" s="153" t="n"/>
      <c r="AX77" s="152" t="n"/>
      <c r="AY77" s="153" t="n"/>
    </row>
    <row r="78">
      <c r="AG78" s="152" t="n"/>
      <c r="AH78" s="153" t="n"/>
      <c r="AN78" s="152" t="n"/>
      <c r="AQ78" s="153" t="n"/>
      <c r="AU78" s="152" t="n"/>
      <c r="AV78" s="153" t="n"/>
      <c r="AX78" s="152" t="n"/>
      <c r="AY78" s="153" t="n"/>
    </row>
    <row r="79">
      <c r="AG79" s="152" t="n"/>
      <c r="AH79" s="153" t="n"/>
      <c r="AN79" s="152" t="n"/>
      <c r="AQ79" s="153" t="n"/>
      <c r="AU79" s="152" t="n"/>
      <c r="AV79" s="153" t="n"/>
      <c r="AX79" s="152" t="n"/>
      <c r="AY79" s="153" t="n"/>
    </row>
    <row r="80">
      <c r="AG80" s="152" t="n"/>
      <c r="AH80" s="153" t="n"/>
      <c r="AN80" s="152" t="n"/>
      <c r="AQ80" s="153" t="n"/>
      <c r="AU80" s="152" t="n"/>
      <c r="AV80" s="153" t="n"/>
      <c r="AX80" s="152" t="n"/>
      <c r="AY80" s="153" t="n"/>
    </row>
    <row r="81">
      <c r="AG81" s="152" t="n"/>
      <c r="AH81" s="153" t="n"/>
      <c r="AN81" s="152" t="n"/>
      <c r="AQ81" s="153" t="n"/>
      <c r="AU81" s="152" t="n"/>
      <c r="AV81" s="153" t="n"/>
      <c r="AX81" s="152" t="n"/>
      <c r="AY81" s="153" t="n"/>
    </row>
    <row r="82">
      <c r="AB82">
        <f>(V82+U82)/G82</f>
        <v/>
      </c>
      <c r="AG82" s="152" t="n"/>
      <c r="AH82" s="153" t="n"/>
      <c r="AN82" s="152" t="n"/>
      <c r="AP82">
        <f>AB82</f>
        <v/>
      </c>
      <c r="AQ82" s="153">
        <f>+AO82-AP82</f>
        <v/>
      </c>
      <c r="AU82" s="152" t="n"/>
      <c r="AV82" s="153" t="n"/>
      <c r="AX82" s="152" t="n"/>
      <c r="AY82" s="153" t="n"/>
      <c r="BA82" s="756">
        <f>'Management Fees - New Investor'!M20</f>
        <v/>
      </c>
    </row>
    <row r="83">
      <c r="AG83" s="152" t="n"/>
      <c r="AH83" s="153" t="n"/>
      <c r="AN83" s="152" t="n"/>
      <c r="AQ83" s="153" t="n"/>
      <c r="AU83" s="152" t="n"/>
      <c r="AV83" s="153" t="n"/>
      <c r="AX83" s="152" t="n"/>
      <c r="AY83" s="153" t="n"/>
    </row>
    <row r="84">
      <c r="AG84" s="152" t="n"/>
      <c r="AH84" s="153" t="n"/>
      <c r="AN84" s="152" t="n"/>
      <c r="AQ84" s="153" t="n"/>
      <c r="AU84" s="152" t="n"/>
      <c r="AV84" s="153" t="n"/>
      <c r="AX84" s="152" t="n"/>
      <c r="AY84" s="153" t="n"/>
    </row>
    <row r="85">
      <c r="AB85">
        <f>V85+U85/G85</f>
        <v/>
      </c>
      <c r="AG85" s="154" t="n"/>
      <c r="AH85" s="155" t="n">
        <v>0</v>
      </c>
      <c r="AN85" s="154">
        <f>+Y85</f>
        <v/>
      </c>
      <c r="AO85" s="122">
        <f>AN85/G85</f>
        <v/>
      </c>
      <c r="AP85" s="122">
        <f>AB85</f>
        <v/>
      </c>
      <c r="AQ85" s="155" t="n"/>
      <c r="AU85" s="154" t="n"/>
      <c r="AV85" s="155" t="n"/>
      <c r="AX85" s="154">
        <f>AG85+AS85</f>
        <v/>
      </c>
      <c r="AY85" s="155" t="n"/>
      <c r="BA85" s="756">
        <f>'Management Fees - New Investor'!M34</f>
        <v/>
      </c>
    </row>
    <row r="86">
      <c r="AN86">
        <f>SUM(AN4:AN85)</f>
        <v/>
      </c>
      <c r="AS86">
        <f>SUM(AS4:AS85)</f>
        <v/>
      </c>
      <c r="AT86">
        <f>SUM(AT4:AT85)</f>
        <v/>
      </c>
      <c r="AU86">
        <f>SUM(AU4:AU85)</f>
        <v/>
      </c>
      <c r="AX86">
        <f>SUM(AX4:AX85)</f>
        <v/>
      </c>
      <c r="BA86">
        <f>SUM(BA4:BA85)</f>
        <v/>
      </c>
      <c r="BB86">
        <f>SUM(BB4:BB85)</f>
        <v/>
      </c>
    </row>
    <row r="96">
      <c r="AX96" s="25">
        <f>Summary!F6</f>
        <v/>
      </c>
    </row>
  </sheetData>
  <pageMargins left="0.7" right="0.7" top="0.75" bottom="0.75" header="0.3" footer="0.3"/>
  <pageSetup orientation="portrait" horizontalDpi="1200" verticalDpi="1200"/>
</worksheet>
</file>

<file path=xl/worksheets/sheet7.xml><?xml version="1.0" encoding="utf-8"?>
<worksheet xmlns="http://schemas.openxmlformats.org/spreadsheetml/2006/main">
  <sheetPr>
    <tabColor rgb="FFFF0000"/>
    <outlinePr summaryBelow="1" summaryRight="1"/>
    <pageSetUpPr/>
  </sheetPr>
  <dimension ref="A1:V85"/>
  <sheetViews>
    <sheetView tabSelected="0" workbookViewId="0">
      <selection activeCell="A1" sqref="A1"/>
    </sheetView>
  </sheetViews>
  <sheetFormatPr baseColWidth="8" defaultRowHeight="14.4"/>
  <cols>
    <col width="77.88671875" bestFit="1" customWidth="1" style="759" min="1" max="1"/>
    <col width="13.5546875" bestFit="1" customWidth="1" style="759" min="2" max="2"/>
    <col width="9.88671875" bestFit="1" customWidth="1" style="759" min="3" max="3"/>
    <col width="11.44140625" bestFit="1" customWidth="1" style="759" min="4" max="4"/>
    <col width="12.44140625" bestFit="1" customWidth="1" style="759" min="6" max="6"/>
    <col width="11.33203125" bestFit="1" customWidth="1" style="759" min="7" max="7"/>
    <col width="13.5546875" bestFit="1" customWidth="1" style="759" min="8" max="8"/>
    <col width="12.33203125" bestFit="1" customWidth="1" style="759" min="9" max="9"/>
    <col width="9.6640625" bestFit="1" customWidth="1" style="759" min="10" max="10"/>
  </cols>
  <sheetData>
    <row r="1" ht="28.8" customHeight="1" s="759">
      <c r="B1" s="935" t="inlineStr">
        <is>
          <t>Rebalance</t>
        </is>
      </c>
      <c r="C1" s="935" t="n"/>
      <c r="D1" s="935" t="n"/>
      <c r="E1" s="935" t="n"/>
      <c r="F1" s="935" t="n"/>
      <c r="G1" s="935" t="n"/>
      <c r="H1" s="936" t="inlineStr">
        <is>
          <t>Correct Balance</t>
        </is>
      </c>
      <c r="I1" s="937" t="inlineStr">
        <is>
          <t>Incorrect Balance</t>
        </is>
      </c>
      <c r="S1" t="inlineStr">
        <is>
          <t>Correction</t>
        </is>
      </c>
    </row>
    <row r="2" ht="86.40000000000001" customHeight="1" s="759">
      <c r="A2" s="938" t="inlineStr">
        <is>
          <t>Investor Name</t>
        </is>
      </c>
      <c r="B2" s="939" t="inlineStr">
        <is>
          <t>Contribution - Investment (Rebalanced)</t>
        </is>
      </c>
      <c r="C2" s="939" t="inlineStr">
        <is>
          <t>Management Fee Contributions (new investors)</t>
        </is>
      </c>
      <c r="D2" s="939" t="inlineStr">
        <is>
          <t>Contribution - Managmeent Fees (Rebalanced)</t>
        </is>
      </c>
      <c r="E2" s="939" t="inlineStr">
        <is>
          <t>Contribution - Org Exp (Rebalanced)</t>
        </is>
      </c>
      <c r="F2" s="939" t="inlineStr">
        <is>
          <t>Contribution - General (Rebalanced)</t>
        </is>
      </c>
      <c r="G2" s="939" t="inlineStr">
        <is>
          <t>Change in capital account</t>
        </is>
      </c>
      <c r="H2" s="940" t="inlineStr">
        <is>
          <t>Total After Subsequent Close</t>
        </is>
      </c>
      <c r="I2" s="941" t="inlineStr">
        <is>
          <t>Total After Subsequent Close</t>
        </is>
      </c>
      <c r="J2" s="942" t="inlineStr">
        <is>
          <t>True-up</t>
        </is>
      </c>
      <c r="S2" t="inlineStr">
        <is>
          <t>Contribution - Investment (Rebalanced)</t>
        </is>
      </c>
      <c r="U2" t="inlineStr">
        <is>
          <t>Contribution - Org Exp (Rebalanced)</t>
        </is>
      </c>
      <c r="V2" t="inlineStr">
        <is>
          <t>Contribution - General (Rebalanced)</t>
        </is>
      </c>
    </row>
    <row r="3">
      <c r="B3" s="943" t="n">
        <v>-125602254.41</v>
      </c>
      <c r="C3" s="943" t="n">
        <v>-698301.6304347827</v>
      </c>
      <c r="D3" s="943" t="n">
        <v>-2653283.885991576</v>
      </c>
      <c r="E3" s="943" t="n">
        <v>-55914.34</v>
      </c>
      <c r="F3" s="943" t="n">
        <v>-13952542.02</v>
      </c>
      <c r="G3" s="943" t="n">
        <v>-11620.07574544707</v>
      </c>
      <c r="H3" s="944" t="inlineStr">
        <is>
          <t>Total</t>
        </is>
      </c>
      <c r="I3" s="945" t="inlineStr">
        <is>
          <t>Total</t>
        </is>
      </c>
    </row>
    <row r="4">
      <c r="A4" s="946" t="inlineStr">
        <is>
          <t>1999 Britta Biesecker Declaration of Trust DTD 5/12/99</t>
        </is>
      </c>
      <c r="B4" s="947" t="n">
        <v>-332165.6408711798</v>
      </c>
      <c r="C4" s="947" t="n">
        <v>0</v>
      </c>
      <c r="D4" s="947" t="n">
        <v>-7350.54</v>
      </c>
      <c r="E4" s="947" t="n">
        <v>-147.8701371024941</v>
      </c>
      <c r="F4" s="947" t="n">
        <v>-36898.66144222948</v>
      </c>
      <c r="G4" s="947" t="n">
        <v>13453.05670958071</v>
      </c>
      <c r="H4" s="948" t="n">
        <v>-376562.7124505117</v>
      </c>
      <c r="I4" s="949" t="n">
        <v>-376898.1039059958</v>
      </c>
      <c r="J4" s="947" t="n">
        <v>-335.3914554840885</v>
      </c>
      <c r="S4" t="n">
        <v>851.801104462822</v>
      </c>
      <c r="U4" t="n">
        <v>0.3791961919078233</v>
      </c>
      <c r="V4" t="n">
        <v>-1187.571756138816</v>
      </c>
    </row>
    <row r="5">
      <c r="A5" s="946" t="inlineStr">
        <is>
          <t>1999 Frederick N Biesecker II Declaration of Trust DTD 5/12/99</t>
        </is>
      </c>
      <c r="B5" s="947" t="n">
        <v>-465031.8972196516</v>
      </c>
      <c r="C5" s="947" t="n">
        <v>0</v>
      </c>
      <c r="D5" s="947" t="n">
        <v>-10290.76</v>
      </c>
      <c r="E5" s="947" t="n">
        <v>-207.0181919434917</v>
      </c>
      <c r="F5" s="947" t="n">
        <v>-51658.12601912127</v>
      </c>
      <c r="G5" s="947" t="n">
        <v>18834.27539341286</v>
      </c>
      <c r="H5" s="948" t="n">
        <v>-527187.8014307163</v>
      </c>
      <c r="I5" s="949" t="n">
        <v>-527657.3494683942</v>
      </c>
      <c r="J5" s="947" t="n">
        <v>-469.5480376778869</v>
      </c>
      <c r="S5" t="n">
        <v>1192.521546247881</v>
      </c>
      <c r="U5" t="n">
        <v>0.5308746686709185</v>
      </c>
      <c r="V5" t="n">
        <v>-1662.600458594352</v>
      </c>
    </row>
    <row r="6">
      <c r="A6" s="946" t="inlineStr">
        <is>
          <t>1999 Lissa Biesecker Longacre Declaration of Trust DTD 5/12/99</t>
        </is>
      </c>
      <c r="B6" s="947" t="n">
        <v>-398598.7690454157</v>
      </c>
      <c r="C6" s="947" t="n">
        <v>0</v>
      </c>
      <c r="D6" s="947" t="n">
        <v>-8820.65</v>
      </c>
      <c r="E6" s="947" t="n">
        <v>-177.4441645229929</v>
      </c>
      <c r="F6" s="947" t="n">
        <v>-44278.39373067537</v>
      </c>
      <c r="G6" s="947" t="n">
        <v>16143.66605149688</v>
      </c>
      <c r="H6" s="948" t="n">
        <v>-451875.2569406141</v>
      </c>
      <c r="I6" s="949" t="n">
        <v>-452277.726687195</v>
      </c>
      <c r="J6" s="947" t="n">
        <v>-402.4697465809295</v>
      </c>
      <c r="S6" t="n">
        <v>1022.161325355351</v>
      </c>
      <c r="U6" t="n">
        <v>0.4550354302893709</v>
      </c>
      <c r="V6" t="n">
        <v>-1425.086107366595</v>
      </c>
    </row>
    <row r="7">
      <c r="A7" s="946" t="inlineStr">
        <is>
          <t>Abigail Levy</t>
        </is>
      </c>
      <c r="B7" s="947" t="n">
        <v>-498248.4613067696</v>
      </c>
      <c r="C7" s="947" t="n">
        <v>0</v>
      </c>
      <c r="D7" s="947" t="n">
        <v>-11025.82</v>
      </c>
      <c r="E7" s="947" t="n">
        <v>-221.8052056537411</v>
      </c>
      <c r="F7" s="947" t="n">
        <v>-55347.99216334422</v>
      </c>
      <c r="G7" s="947" t="n">
        <v>20179.57506437091</v>
      </c>
      <c r="H7" s="948" t="n">
        <v>-564844.0786757675</v>
      </c>
      <c r="I7" s="949" t="n">
        <v>-565347.1658589938</v>
      </c>
      <c r="J7" s="947" t="n">
        <v>-503.0871832262492</v>
      </c>
      <c r="S7" t="n">
        <v>1277.701656694175</v>
      </c>
      <c r="U7" t="n">
        <v>0.5687942878617207</v>
      </c>
      <c r="V7" t="n">
        <v>-1781.357634208238</v>
      </c>
    </row>
    <row r="8">
      <c r="A8" s="946" t="inlineStr">
        <is>
          <t>AKWT LLC</t>
        </is>
      </c>
      <c r="B8" s="947" t="n">
        <v>-52017.35194643691</v>
      </c>
      <c r="C8" s="947" t="n">
        <v>0</v>
      </c>
      <c r="D8" s="947" t="n">
        <v>-933.86</v>
      </c>
      <c r="E8" s="947" t="n">
        <v>-23.15655810713832</v>
      </c>
      <c r="F8" s="947" t="n">
        <v>-5778.35399699646</v>
      </c>
      <c r="G8" s="947" t="n">
        <v>2323.996559022226</v>
      </c>
      <c r="H8" s="948" t="n">
        <v>-58752.72250154051</v>
      </c>
      <c r="I8" s="949" t="n">
        <v>-58805.24501811985</v>
      </c>
      <c r="J8" s="947" t="n">
        <v>-52.52251657933812</v>
      </c>
      <c r="S8" t="n">
        <v>133.3925981115826</v>
      </c>
      <c r="U8" t="n">
        <v>0.05938236633832616</v>
      </c>
      <c r="V8" t="n">
        <v>-185.9744970572638</v>
      </c>
    </row>
    <row r="9">
      <c r="A9" s="946" t="inlineStr">
        <is>
          <t>Alexander S. Bloomingdale</t>
        </is>
      </c>
      <c r="B9" s="947" t="n">
        <v>-95795.21559143349</v>
      </c>
      <c r="C9" s="947" t="n">
        <v>0</v>
      </c>
      <c r="D9" s="947" t="n">
        <v>-1594.206582065217</v>
      </c>
      <c r="E9" s="947" t="n">
        <v>-42.64514423019991</v>
      </c>
      <c r="F9" s="947" t="n">
        <v>-10641.4234134003</v>
      </c>
      <c r="G9" s="947" t="n">
        <v>4405.465830303265</v>
      </c>
      <c r="H9" s="948" t="n">
        <v>-108073.4907311292</v>
      </c>
      <c r="I9" s="949" t="n">
        <v>-108170.2162584937</v>
      </c>
      <c r="J9" s="947" t="n">
        <v>-96.7255273644696</v>
      </c>
      <c r="S9" t="n">
        <v>245.6559631785785</v>
      </c>
      <c r="U9" t="n">
        <v>0.1093586346257567</v>
      </c>
      <c r="V9" t="n">
        <v>-342.4908491776696</v>
      </c>
    </row>
    <row r="10">
      <c r="A10" s="946" t="inlineStr">
        <is>
          <t>Alexander Sharpe Moore</t>
        </is>
      </c>
      <c r="B10" s="947" t="n">
        <v>-104034.697249561</v>
      </c>
      <c r="C10" s="947" t="n">
        <v>0</v>
      </c>
      <c r="D10" s="947" t="n">
        <v>-1867.7</v>
      </c>
      <c r="E10" s="947" t="n">
        <v>-46.31311325687389</v>
      </c>
      <c r="F10" s="947" t="n">
        <v>-11556.70725601969</v>
      </c>
      <c r="G10" s="947" t="n">
        <v>4648.012701972515</v>
      </c>
      <c r="H10" s="948" t="n">
        <v>-117505.4176188375</v>
      </c>
      <c r="I10" s="949" t="n">
        <v>-117610.4626452884</v>
      </c>
      <c r="J10" s="947" t="n">
        <v>-105.0450264508545</v>
      </c>
      <c r="S10" t="n">
        <v>266.7851791871508</v>
      </c>
      <c r="U10" t="n">
        <v>0.1187647250927313</v>
      </c>
      <c r="V10" t="n">
        <v>-371.9489703630916</v>
      </c>
    </row>
    <row r="11">
      <c r="A11" s="946" t="inlineStr">
        <is>
          <t>All Dogs Go To Heaven, LLC</t>
        </is>
      </c>
      <c r="B11" s="947" t="n">
        <v>-347642.473735552</v>
      </c>
      <c r="C11" s="947" t="n">
        <v>0</v>
      </c>
      <c r="D11" s="947" t="n">
        <v>-5989.953164130435</v>
      </c>
      <c r="E11" s="947" t="n">
        <v>-154.7599568670093</v>
      </c>
      <c r="F11" s="947" t="n">
        <v>-38617.90734184351</v>
      </c>
      <c r="G11" s="947" t="n">
        <v>15782.96050552925</v>
      </c>
      <c r="H11" s="948" t="n">
        <v>-392405.0941983931</v>
      </c>
      <c r="I11" s="949" t="n">
        <v>-392756.1127894444</v>
      </c>
      <c r="J11" s="947" t="n">
        <v>-351.0185910513392</v>
      </c>
      <c r="S11" t="n">
        <v>891.4896866198396</v>
      </c>
      <c r="U11" t="n">
        <v>0.3968643530986071</v>
      </c>
      <c r="V11" t="n">
        <v>-1242.905142024269</v>
      </c>
    </row>
    <row r="12">
      <c r="A12" s="946" t="inlineStr">
        <is>
          <t>Alten Investments LLC</t>
        </is>
      </c>
      <c r="B12" s="947" t="n">
        <v>-664331.2817423595</v>
      </c>
      <c r="C12" s="947" t="n">
        <v>0</v>
      </c>
      <c r="D12" s="947" t="n">
        <v>-14701.09</v>
      </c>
      <c r="E12" s="947" t="n">
        <v>-295.7402742049881</v>
      </c>
      <c r="F12" s="947" t="n">
        <v>-73797.32288445896</v>
      </c>
      <c r="G12" s="947" t="n">
        <v>26906.1034191614</v>
      </c>
      <c r="H12" s="948" t="n">
        <v>-753125.4349010234</v>
      </c>
      <c r="I12" s="949" t="n">
        <v>-753796.2178119916</v>
      </c>
      <c r="J12" s="947" t="n">
        <v>-670.782910968177</v>
      </c>
      <c r="S12" t="n">
        <v>1703.602208925644</v>
      </c>
      <c r="U12" t="n">
        <v>0.7583923838156466</v>
      </c>
      <c r="V12" t="n">
        <v>-2375.143512277631</v>
      </c>
    </row>
    <row r="13">
      <c r="A13" s="946" t="inlineStr">
        <is>
          <t>Avery Ryan Klann</t>
        </is>
      </c>
      <c r="B13" s="947" t="n">
        <v>-260086.7464455589</v>
      </c>
      <c r="C13" s="947" t="n">
        <v>0</v>
      </c>
      <c r="D13" s="947" t="n">
        <v>-4669.25</v>
      </c>
      <c r="E13" s="947" t="n">
        <v>-115.7827846208861</v>
      </c>
      <c r="F13" s="947" t="n">
        <v>-28891.76850903584</v>
      </c>
      <c r="G13" s="947" t="n">
        <v>11620.0319629673</v>
      </c>
      <c r="H13" s="948" t="n">
        <v>-293763.5477392156</v>
      </c>
      <c r="I13" s="949" t="n">
        <v>-294026.1603086967</v>
      </c>
      <c r="J13" s="947" t="n">
        <v>-262.6125694810762</v>
      </c>
      <c r="S13" t="n">
        <v>666.9629564858624</v>
      </c>
      <c r="U13" t="n">
        <v>0.2969118165237745</v>
      </c>
      <c r="V13" t="n">
        <v>-929.8724377834478</v>
      </c>
    </row>
    <row r="14">
      <c r="A14" s="946" t="inlineStr">
        <is>
          <t>BBR Real Assets Fund 2024 LLC</t>
        </is>
      </c>
      <c r="B14" s="947" t="n">
        <v>-6643312.817423595</v>
      </c>
      <c r="C14" s="947" t="n">
        <v>0</v>
      </c>
      <c r="D14" s="947" t="n">
        <v>-147010.85</v>
      </c>
      <c r="E14" s="947" t="n">
        <v>-2957.402742049881</v>
      </c>
      <c r="F14" s="947" t="n">
        <v>-737973.2288445896</v>
      </c>
      <c r="G14" s="947" t="n">
        <v>269061.0841916137</v>
      </c>
      <c r="H14" s="948" t="n">
        <v>-7531254.299010234</v>
      </c>
      <c r="I14" s="949" t="n">
        <v>-7537962.128119916</v>
      </c>
      <c r="J14" s="947" t="n">
        <v>-6707.82910968177</v>
      </c>
      <c r="S14" t="n">
        <v>17036.02208925691</v>
      </c>
      <c r="U14" t="n">
        <v>7.583923838156807</v>
      </c>
      <c r="V14" t="n">
        <v>-23751.43512277643</v>
      </c>
    </row>
    <row r="15">
      <c r="A15" s="946" t="inlineStr">
        <is>
          <t>Belclaire Asset Management, LLC</t>
        </is>
      </c>
      <c r="B15" s="947" t="n">
        <v>-607729.2201811108</v>
      </c>
      <c r="C15" s="947" t="n">
        <v>0</v>
      </c>
      <c r="D15" s="947" t="n">
        <v>-10659.21316413043</v>
      </c>
      <c r="E15" s="947" t="n">
        <v>-270.5427414878953</v>
      </c>
      <c r="F15" s="947" t="n">
        <v>-67509.67585087934</v>
      </c>
      <c r="G15" s="947" t="n">
        <v>27402.98246849662</v>
      </c>
      <c r="H15" s="948" t="n">
        <v>-686168.6519376084</v>
      </c>
      <c r="I15" s="949" t="n">
        <v>-686782.2830981411</v>
      </c>
      <c r="J15" s="947" t="n">
        <v>-613.6311605327064</v>
      </c>
      <c r="S15" t="n">
        <v>1558.452643105527</v>
      </c>
      <c r="U15" t="n">
        <v>0.6937761696223674</v>
      </c>
      <c r="V15" t="n">
        <v>-2172.77757980772</v>
      </c>
    </row>
    <row r="16">
      <c r="A16" s="946" t="inlineStr">
        <is>
          <t>Benaiah Inc.</t>
        </is>
      </c>
      <c r="B16" s="947" t="n">
        <v>-607729.2201811108</v>
      </c>
      <c r="C16" s="947" t="n">
        <v>0</v>
      </c>
      <c r="D16" s="947" t="n">
        <v>-10659.21316413043</v>
      </c>
      <c r="E16" s="947" t="n">
        <v>-270.5427414878953</v>
      </c>
      <c r="F16" s="947" t="n">
        <v>-67509.67585087934</v>
      </c>
      <c r="G16" s="947" t="n">
        <v>27402.98246849662</v>
      </c>
      <c r="H16" s="948" t="n">
        <v>-686168.6519376084</v>
      </c>
      <c r="I16" s="949" t="n">
        <v>-686782.2830981411</v>
      </c>
      <c r="J16" s="947" t="n">
        <v>-613.6311605327064</v>
      </c>
      <c r="S16" t="n">
        <v>1558.452643105527</v>
      </c>
      <c r="U16" t="n">
        <v>0.6937761696223674</v>
      </c>
      <c r="V16" t="n">
        <v>-2172.77757980772</v>
      </c>
    </row>
    <row r="17">
      <c r="A17" s="946" t="inlineStr">
        <is>
          <t>Benjamin Johnson</t>
        </is>
      </c>
      <c r="B17" s="947" t="n">
        <v>-52017.35194643691</v>
      </c>
      <c r="C17" s="947" t="n">
        <v>0</v>
      </c>
      <c r="D17" s="947" t="n">
        <v>-933.86</v>
      </c>
      <c r="E17" s="947" t="n">
        <v>-23.15655810713832</v>
      </c>
      <c r="F17" s="947" t="n">
        <v>-5778.35399699646</v>
      </c>
      <c r="G17" s="947" t="n">
        <v>2323.996559022226</v>
      </c>
      <c r="H17" s="948" t="n">
        <v>-58752.72250154051</v>
      </c>
      <c r="I17" s="949" t="n">
        <v>-58805.24501811985</v>
      </c>
      <c r="J17" s="947" t="n">
        <v>-52.52251657933812</v>
      </c>
      <c r="S17" t="n">
        <v>133.3925981115826</v>
      </c>
      <c r="U17" t="n">
        <v>0.05938236633832616</v>
      </c>
      <c r="V17" t="n">
        <v>-185.9744970572638</v>
      </c>
    </row>
    <row r="18">
      <c r="A18" s="946" t="inlineStr">
        <is>
          <t>Bloomingdale Family Trust Share #3</t>
        </is>
      </c>
      <c r="B18" s="947" t="n">
        <v>-156052.0491959979</v>
      </c>
      <c r="C18" s="947" t="n">
        <v>0</v>
      </c>
      <c r="D18" s="947" t="n">
        <v>-2801.56</v>
      </c>
      <c r="E18" s="947" t="n">
        <v>-69.4696713640122</v>
      </c>
      <c r="F18" s="947" t="n">
        <v>-17335.06125301615</v>
      </c>
      <c r="G18" s="947" t="n">
        <v>6972.009260994717</v>
      </c>
      <c r="H18" s="948" t="n">
        <v>-176258.140120378</v>
      </c>
      <c r="I18" s="949" t="n">
        <v>-176415.7076634083</v>
      </c>
      <c r="J18" s="947" t="n">
        <v>-157.5675430302508</v>
      </c>
      <c r="S18" t="n">
        <v>400.177777298697</v>
      </c>
      <c r="U18" t="n">
        <v>0.1781470914310574</v>
      </c>
      <c r="V18" t="n">
        <v>-557.9234674203581</v>
      </c>
    </row>
    <row r="19">
      <c r="A19" s="946" t="inlineStr">
        <is>
          <t>Brian Carroll 2011 Long-Term Trust</t>
        </is>
      </c>
      <c r="B19" s="947" t="n">
        <v>-332165.6408711798</v>
      </c>
      <c r="C19" s="947" t="n">
        <v>0</v>
      </c>
      <c r="D19" s="947" t="n">
        <v>-7350.54</v>
      </c>
      <c r="E19" s="947" t="n">
        <v>-147.8701371024941</v>
      </c>
      <c r="F19" s="947" t="n">
        <v>-36898.66144222948</v>
      </c>
      <c r="G19" s="947" t="n">
        <v>13453.05670958071</v>
      </c>
      <c r="H19" s="948" t="n">
        <v>-376562.7124505117</v>
      </c>
      <c r="I19" s="949" t="n">
        <v>-376898.1039059958</v>
      </c>
      <c r="J19" s="947" t="n">
        <v>-335.3914554840885</v>
      </c>
      <c r="S19" t="n">
        <v>851.801104462822</v>
      </c>
      <c r="U19" t="n">
        <v>0.3791961919078233</v>
      </c>
      <c r="V19" t="n">
        <v>-1187.571756138816</v>
      </c>
    </row>
    <row r="20">
      <c r="A20" s="946" t="inlineStr">
        <is>
          <t>Bryan C. White LLC</t>
        </is>
      </c>
      <c r="B20" s="947" t="n">
        <v>-130043.3732227794</v>
      </c>
      <c r="C20" s="947" t="n">
        <v>0</v>
      </c>
      <c r="D20" s="947" t="n">
        <v>-2334.64</v>
      </c>
      <c r="E20" s="947" t="n">
        <v>-57.89139231044305</v>
      </c>
      <c r="F20" s="947" t="n">
        <v>-14445.88425451792</v>
      </c>
      <c r="G20" s="947" t="n">
        <v>5810.000981483618</v>
      </c>
      <c r="H20" s="948" t="n">
        <v>-146881.7888696078</v>
      </c>
      <c r="I20" s="949" t="n">
        <v>-147013.0951543484</v>
      </c>
      <c r="J20" s="947" t="n">
        <v>-131.3062847405381</v>
      </c>
      <c r="S20" t="n">
        <v>333.4814782429312</v>
      </c>
      <c r="U20" t="n">
        <v>0.1484559082618873</v>
      </c>
      <c r="V20" t="n">
        <v>-464.9362188917239</v>
      </c>
    </row>
    <row r="21">
      <c r="A21" s="946" t="inlineStr">
        <is>
          <t>Cameron J. Tringale</t>
        </is>
      </c>
      <c r="B21" s="947" t="n">
        <v>-332165.6408711798</v>
      </c>
      <c r="C21" s="947" t="n">
        <v>0</v>
      </c>
      <c r="D21" s="947" t="n">
        <v>-11025.82</v>
      </c>
      <c r="E21" s="947" t="n">
        <v>-147.8701371024941</v>
      </c>
      <c r="F21" s="947" t="n">
        <v>-36898.66144222948</v>
      </c>
      <c r="G21" s="947" t="n">
        <v>9777.776709580648</v>
      </c>
      <c r="H21" s="948" t="n">
        <v>-380237.9924505117</v>
      </c>
      <c r="I21" s="949" t="n">
        <v>-380573.3839059958</v>
      </c>
      <c r="J21" s="947" t="n">
        <v>-335.3914554840885</v>
      </c>
      <c r="S21" t="n">
        <v>851.801104462822</v>
      </c>
      <c r="U21" t="n">
        <v>0.3791961919078233</v>
      </c>
      <c r="V21" t="n">
        <v>-1187.571756138816</v>
      </c>
    </row>
    <row r="22">
      <c r="A22" s="946" t="inlineStr">
        <is>
          <t>Charing Hatcherville LLC</t>
        </is>
      </c>
      <c r="B22" s="947" t="n">
        <v>-33857076.04312928</v>
      </c>
      <c r="C22" s="947" t="n">
        <v>0</v>
      </c>
      <c r="D22" s="947" t="n">
        <v>-607825.1799999999</v>
      </c>
      <c r="E22" s="947" t="n">
        <v>-15072.15033817629</v>
      </c>
      <c r="F22" s="947" t="n">
        <v>-3761017.494352286</v>
      </c>
      <c r="G22" s="947" t="n">
        <v>1512649.875516129</v>
      </c>
      <c r="H22" s="948" t="n">
        <v>-38240990.86781974</v>
      </c>
      <c r="I22" s="949" t="n">
        <v>-38275176.74563286</v>
      </c>
      <c r="J22" s="947" t="n">
        <v>-34185.87781312317</v>
      </c>
      <c r="S22" t="n">
        <v>86822.63069648296</v>
      </c>
      <c r="U22" t="n">
        <v>38.65081972661756</v>
      </c>
      <c r="V22" t="n">
        <v>-121047.1593293361</v>
      </c>
    </row>
    <row r="23">
      <c r="A23" s="946" t="inlineStr">
        <is>
          <t>Charing Silsbee, LLC</t>
        </is>
      </c>
      <c r="B23" s="947" t="n">
        <v>-4202674.870059795</v>
      </c>
      <c r="C23" s="947" t="n">
        <v>0</v>
      </c>
      <c r="D23" s="947" t="n">
        <v>-63393.74100516304</v>
      </c>
      <c r="E23" s="947" t="n">
        <v>-1870.904250069496</v>
      </c>
      <c r="F23" s="947" t="n">
        <v>-466854.6595469291</v>
      </c>
      <c r="G23" s="947" t="n">
        <v>199820.578419646</v>
      </c>
      <c r="H23" s="948" t="n">
        <v>-4734794.174861956</v>
      </c>
      <c r="I23" s="949" t="n">
        <v>-4739037.663857082</v>
      </c>
      <c r="J23" s="947" t="n">
        <v>-4243.488995125517</v>
      </c>
      <c r="S23" t="n">
        <v>10777.28294421453</v>
      </c>
      <c r="U23" t="n">
        <v>4.797721710089036</v>
      </c>
      <c r="V23" t="n">
        <v>-15025.56966105057</v>
      </c>
    </row>
    <row r="24">
      <c r="A24" s="946" t="inlineStr">
        <is>
          <t>Chase F. Monroe</t>
        </is>
      </c>
      <c r="B24" s="947" t="n">
        <v>-130043.3732227794</v>
      </c>
      <c r="C24" s="947" t="n">
        <v>0</v>
      </c>
      <c r="D24" s="947" t="n">
        <v>-2334.64</v>
      </c>
      <c r="E24" s="947" t="n">
        <v>-57.89139231044305</v>
      </c>
      <c r="F24" s="947" t="n">
        <v>-14445.88425451792</v>
      </c>
      <c r="G24" s="947" t="n">
        <v>5810.000981483618</v>
      </c>
      <c r="H24" s="948" t="n">
        <v>-146881.7888696078</v>
      </c>
      <c r="I24" s="949" t="n">
        <v>-147013.0951543484</v>
      </c>
      <c r="J24" s="947" t="n">
        <v>-131.3062847405381</v>
      </c>
      <c r="S24" t="n">
        <v>333.4814782429312</v>
      </c>
      <c r="U24" t="n">
        <v>0.1484559082618873</v>
      </c>
      <c r="V24" t="n">
        <v>-464.9362188917239</v>
      </c>
    </row>
    <row r="25">
      <c r="A25" s="946" t="inlineStr">
        <is>
          <t>Chase The Lion, Inc.</t>
        </is>
      </c>
      <c r="B25" s="947" t="n">
        <v>-805495.9392903367</v>
      </c>
      <c r="C25" s="947" t="n">
        <v>0</v>
      </c>
      <c r="D25" s="947" t="n">
        <v>-14845.42291032609</v>
      </c>
      <c r="E25" s="947" t="n">
        <v>-358.582527277579</v>
      </c>
      <c r="F25" s="947" t="n">
        <v>-89478.61638853677</v>
      </c>
      <c r="G25" s="947" t="n">
        <v>35602.93962425583</v>
      </c>
      <c r="H25" s="948" t="n">
        <v>-910178.561116477</v>
      </c>
      <c r="I25" s="949" t="n">
        <v>-910991.8796004616</v>
      </c>
      <c r="J25" s="947" t="n">
        <v>-813.3184839845635</v>
      </c>
      <c r="S25" t="n">
        <v>2065.602959199226</v>
      </c>
      <c r="U25" t="n">
        <v>0.9195442128662989</v>
      </c>
      <c r="V25" t="n">
        <v>-2879.840987396688</v>
      </c>
    </row>
    <row r="26">
      <c r="A26" s="946" t="inlineStr">
        <is>
          <t>Chris Schaaf</t>
        </is>
      </c>
      <c r="B26" s="947" t="n">
        <v>-130043.3732227794</v>
      </c>
      <c r="C26" s="947" t="n">
        <v>0</v>
      </c>
      <c r="D26" s="947" t="n">
        <v>-2334.64</v>
      </c>
      <c r="E26" s="947" t="n">
        <v>-57.89139231044305</v>
      </c>
      <c r="F26" s="947" t="n">
        <v>-14445.88425451792</v>
      </c>
      <c r="G26" s="947" t="n">
        <v>5810.000981483618</v>
      </c>
      <c r="H26" s="948" t="n">
        <v>-146881.7888696078</v>
      </c>
      <c r="I26" s="949" t="n">
        <v>-147013.0951543484</v>
      </c>
      <c r="J26" s="947" t="n">
        <v>-131.3062847405381</v>
      </c>
      <c r="S26" t="n">
        <v>333.4814782429312</v>
      </c>
      <c r="U26" t="n">
        <v>0.1484559082618873</v>
      </c>
      <c r="V26" t="n">
        <v>-464.9362188917239</v>
      </c>
    </row>
    <row r="27">
      <c r="A27" s="946" t="inlineStr">
        <is>
          <t>Christopher J. Campbell</t>
        </is>
      </c>
      <c r="B27" s="947" t="n">
        <v>-332165.6408711798</v>
      </c>
      <c r="C27" s="947" t="n">
        <v>0</v>
      </c>
      <c r="D27" s="947" t="n">
        <v>-7350.54</v>
      </c>
      <c r="E27" s="947" t="n">
        <v>-147.8701371024941</v>
      </c>
      <c r="F27" s="947" t="n">
        <v>-36898.66144222948</v>
      </c>
      <c r="G27" s="947" t="n">
        <v>13453.05670958071</v>
      </c>
      <c r="H27" s="948" t="n">
        <v>-376562.7124505117</v>
      </c>
      <c r="I27" s="949" t="n">
        <v>-376898.1039059958</v>
      </c>
      <c r="J27" s="947" t="n">
        <v>-335.3914554840885</v>
      </c>
      <c r="S27" t="n">
        <v>851.801104462822</v>
      </c>
      <c r="U27" t="n">
        <v>0.3791961919078233</v>
      </c>
      <c r="V27" t="n">
        <v>-1187.571756138816</v>
      </c>
    </row>
    <row r="28">
      <c r="A28" s="946" t="inlineStr">
        <is>
          <t>Christopher Johnson</t>
        </is>
      </c>
      <c r="B28" s="947" t="n">
        <v>-110210.9918192325</v>
      </c>
      <c r="C28" s="947" t="n">
        <v>0</v>
      </c>
      <c r="D28" s="947" t="n">
        <v>-2865.516582065217</v>
      </c>
      <c r="E28" s="947" t="n">
        <v>-49.06261354356041</v>
      </c>
      <c r="F28" s="947" t="n">
        <v>-12242.80170484973</v>
      </c>
      <c r="G28" s="947" t="n">
        <v>4037.018613197191</v>
      </c>
      <c r="H28" s="948" t="n">
        <v>-125368.372719691</v>
      </c>
      <c r="I28" s="949" t="n">
        <v>-125479.654021573</v>
      </c>
      <c r="J28" s="947" t="n">
        <v>-111.2813018819579</v>
      </c>
      <c r="S28" t="n">
        <v>282.6235859595472</v>
      </c>
      <c r="U28" t="n">
        <v>0.1258155066689923</v>
      </c>
      <c r="V28" t="n">
        <v>-394.0307033481713</v>
      </c>
    </row>
    <row r="29">
      <c r="A29" s="946" t="inlineStr">
        <is>
          <t>CLIP Sponsor LLC</t>
        </is>
      </c>
      <c r="B29" s="947" t="n">
        <v>-3190487.186622536</v>
      </c>
      <c r="C29" s="947" t="n">
        <v>0</v>
      </c>
      <c r="D29" s="947" t="n">
        <v>0</v>
      </c>
      <c r="E29" s="947" t="n">
        <v>-1420.3087847144</v>
      </c>
      <c r="F29" s="947" t="n">
        <v>-354415.6651067114</v>
      </c>
      <c r="G29" s="947" t="n">
        <v>199820.8139875632</v>
      </c>
      <c r="H29" s="948" t="n">
        <v>-3546323.160513962</v>
      </c>
      <c r="I29" s="949" t="n">
        <v>-3549544.632001556</v>
      </c>
      <c r="J29" s="947" t="n">
        <v>-3221.471487593371</v>
      </c>
      <c r="S29" t="n">
        <v>8181.642454685643</v>
      </c>
      <c r="U29" t="n">
        <v>3.642220755659537</v>
      </c>
      <c r="V29" t="n">
        <v>-11406.75616303476</v>
      </c>
    </row>
    <row r="30">
      <c r="A30" s="946" t="inlineStr">
        <is>
          <t>CLR Silsbee Sponsor LLC</t>
        </is>
      </c>
      <c r="B30" s="947" t="n">
        <v>-245521.3295965474</v>
      </c>
      <c r="C30" s="947" t="n">
        <v>0</v>
      </c>
      <c r="D30" s="947" t="n">
        <v>0</v>
      </c>
      <c r="E30" s="947" t="n">
        <v>-109.2986998107609</v>
      </c>
      <c r="F30" s="947" t="n">
        <v>-27273.76737060668</v>
      </c>
      <c r="G30" s="947" t="n">
        <v>15377.04715975566</v>
      </c>
      <c r="H30" s="948" t="n">
        <v>-272904.3956669648</v>
      </c>
      <c r="I30" s="949" t="n">
        <v>-273152.3013680777</v>
      </c>
      <c r="J30" s="947" t="n">
        <v>-247.9057011128752</v>
      </c>
      <c r="S30" t="n">
        <v>629.6115973073174</v>
      </c>
      <c r="U30" t="n">
        <v>0.2802841165960928</v>
      </c>
      <c r="V30" t="n">
        <v>-877.7975825368048</v>
      </c>
    </row>
    <row r="31">
      <c r="A31" s="946" t="inlineStr">
        <is>
          <t>Daniel Ross</t>
        </is>
      </c>
      <c r="B31" s="947" t="n">
        <v>-104034.697249561</v>
      </c>
      <c r="C31" s="947" t="n">
        <v>0</v>
      </c>
      <c r="D31" s="947" t="n">
        <v>-1867.7</v>
      </c>
      <c r="E31" s="947" t="n">
        <v>-46.31311325687389</v>
      </c>
      <c r="F31" s="947" t="n">
        <v>-11556.70725601969</v>
      </c>
      <c r="G31" s="947" t="n">
        <v>4648.012701972515</v>
      </c>
      <c r="H31" s="948" t="n">
        <v>-117505.4176188375</v>
      </c>
      <c r="I31" s="949" t="n">
        <v>-117610.4626452884</v>
      </c>
      <c r="J31" s="947" t="n">
        <v>-105.0450264508545</v>
      </c>
      <c r="S31" t="n">
        <v>266.7851791871508</v>
      </c>
      <c r="U31" t="n">
        <v>0.1187647250927313</v>
      </c>
      <c r="V31" t="n">
        <v>-371.9489703630916</v>
      </c>
    </row>
    <row r="32">
      <c r="A32" s="946" t="inlineStr">
        <is>
          <t>Endurance Companies LLC</t>
        </is>
      </c>
      <c r="B32" s="947" t="n">
        <v>-564681.5894810054</v>
      </c>
      <c r="C32" s="947" t="n">
        <v>0</v>
      </c>
      <c r="D32" s="947" t="n">
        <v>-18743.89</v>
      </c>
      <c r="E32" s="947" t="n">
        <v>-251.3792330742399</v>
      </c>
      <c r="F32" s="947" t="n">
        <v>-62727.72445179011</v>
      </c>
      <c r="G32" s="947" t="n">
        <v>16622.22440628703</v>
      </c>
      <c r="H32" s="948" t="n">
        <v>-646404.5831658698</v>
      </c>
      <c r="I32" s="949" t="n">
        <v>-646974.748640193</v>
      </c>
      <c r="J32" s="947" t="n">
        <v>-570.1654743232066</v>
      </c>
      <c r="S32" t="n">
        <v>1448.061877586646</v>
      </c>
      <c r="U32" t="n">
        <v>0.6446335262432683</v>
      </c>
      <c r="V32" t="n">
        <v>-2018.871985436002</v>
      </c>
    </row>
    <row r="33">
      <c r="A33" s="946" t="inlineStr">
        <is>
          <t>Forem Capital, LLC</t>
        </is>
      </c>
      <c r="B33" s="947" t="n">
        <v>-996496.9226135393</v>
      </c>
      <c r="C33" s="947" t="n">
        <v>0</v>
      </c>
      <c r="D33" s="947" t="n">
        <v>-22051.63</v>
      </c>
      <c r="E33" s="947" t="n">
        <v>-443.6104113074822</v>
      </c>
      <c r="F33" s="947" t="n">
        <v>-110695.9843266884</v>
      </c>
      <c r="G33" s="947" t="n">
        <v>40359.16012874183</v>
      </c>
      <c r="H33" s="948" t="n">
        <v>-1129688.147351535</v>
      </c>
      <c r="I33" s="949" t="n">
        <v>-1130694.321717988</v>
      </c>
      <c r="J33" s="947" t="n">
        <v>-1006.174366452498</v>
      </c>
      <c r="S33" t="n">
        <v>2555.403313388349</v>
      </c>
      <c r="U33" t="n">
        <v>1.137588575723441</v>
      </c>
      <c r="V33" t="n">
        <v>-3562.715268416476</v>
      </c>
    </row>
    <row r="34">
      <c r="A34" s="946" t="inlineStr">
        <is>
          <t>Francis Brawley</t>
        </is>
      </c>
      <c r="B34" s="947" t="n">
        <v>-208069.394499122</v>
      </c>
      <c r="C34" s="947" t="n">
        <v>0</v>
      </c>
      <c r="D34" s="947" t="n">
        <v>-3735.39</v>
      </c>
      <c r="E34" s="947" t="n">
        <v>-92.62622651374778</v>
      </c>
      <c r="F34" s="947" t="n">
        <v>-23113.41451203938</v>
      </c>
      <c r="G34" s="947" t="n">
        <v>9296.035403945039</v>
      </c>
      <c r="H34" s="948" t="n">
        <v>-235010.8252376751</v>
      </c>
      <c r="I34" s="949" t="n">
        <v>-235220.9152905768</v>
      </c>
      <c r="J34" s="947" t="n">
        <v>-210.090052901709</v>
      </c>
      <c r="S34" t="n">
        <v>533.5703583743016</v>
      </c>
      <c r="U34" t="n">
        <v>0.2375294501854626</v>
      </c>
      <c r="V34" t="n">
        <v>-743.8979407261832</v>
      </c>
    </row>
    <row r="35">
      <c r="A35" s="946" t="inlineStr">
        <is>
          <t>Geoffrey and Elizabeth Bloomingdale Living Trust</t>
        </is>
      </c>
      <c r="B35" s="947" t="n">
        <v>-156052.0491959979</v>
      </c>
      <c r="C35" s="947" t="n">
        <v>0</v>
      </c>
      <c r="D35" s="947" t="n">
        <v>-2801.56</v>
      </c>
      <c r="E35" s="947" t="n">
        <v>-69.4696713640122</v>
      </c>
      <c r="F35" s="947" t="n">
        <v>-17335.06125301615</v>
      </c>
      <c r="G35" s="947" t="n">
        <v>6972.009260994717</v>
      </c>
      <c r="H35" s="948" t="n">
        <v>-176258.140120378</v>
      </c>
      <c r="I35" s="949" t="n">
        <v>-176415.7076634083</v>
      </c>
      <c r="J35" s="947" t="n">
        <v>-157.5675430302508</v>
      </c>
      <c r="S35" t="n">
        <v>400.177777298697</v>
      </c>
      <c r="U35" t="n">
        <v>0.1781470914310574</v>
      </c>
      <c r="V35" t="n">
        <v>-557.9234674203581</v>
      </c>
    </row>
    <row r="36">
      <c r="A36" s="946" t="inlineStr">
        <is>
          <t>Greene 2000 Family Trust</t>
        </is>
      </c>
      <c r="B36" s="947" t="n">
        <v>-664331.2817423595</v>
      </c>
      <c r="C36" s="947" t="n">
        <v>0</v>
      </c>
      <c r="D36" s="947" t="n">
        <v>-14701.09</v>
      </c>
      <c r="E36" s="947" t="n">
        <v>-295.7402742049881</v>
      </c>
      <c r="F36" s="947" t="n">
        <v>-73797.32288445896</v>
      </c>
      <c r="G36" s="947" t="n">
        <v>26906.10341916142</v>
      </c>
      <c r="H36" s="948" t="n">
        <v>-753125.4349010234</v>
      </c>
      <c r="I36" s="949" t="n">
        <v>-753796.2178119916</v>
      </c>
      <c r="J36" s="947" t="n">
        <v>-670.782910968177</v>
      </c>
      <c r="S36" t="n">
        <v>1703.602208925644</v>
      </c>
      <c r="U36" t="n">
        <v>0.7583923838156466</v>
      </c>
      <c r="V36" t="n">
        <v>-2375.143512277631</v>
      </c>
    </row>
    <row r="37">
      <c r="A37" s="946" t="inlineStr">
        <is>
          <t>Greene Marital Trust</t>
        </is>
      </c>
      <c r="B37" s="947" t="n">
        <v>-664331.2817423595</v>
      </c>
      <c r="C37" s="947" t="n">
        <v>0</v>
      </c>
      <c r="D37" s="947" t="n">
        <v>-14701.09</v>
      </c>
      <c r="E37" s="947" t="n">
        <v>-295.7402742049881</v>
      </c>
      <c r="F37" s="947" t="n">
        <v>-73797.32288445896</v>
      </c>
      <c r="G37" s="947" t="n">
        <v>26906.10341916142</v>
      </c>
      <c r="H37" s="948" t="n">
        <v>-753125.4349010234</v>
      </c>
      <c r="I37" s="949" t="n">
        <v>-753796.2178119916</v>
      </c>
      <c r="J37" s="947" t="n">
        <v>-670.782910968177</v>
      </c>
      <c r="S37" t="n">
        <v>1703.602208925644</v>
      </c>
      <c r="U37" t="n">
        <v>0.7583923838156466</v>
      </c>
      <c r="V37" t="n">
        <v>-2375.143512277631</v>
      </c>
    </row>
    <row r="38">
      <c r="A38" s="946" t="inlineStr">
        <is>
          <t>Gregory Brent Wood</t>
        </is>
      </c>
      <c r="B38" s="947" t="n">
        <v>-104034.697249561</v>
      </c>
      <c r="C38" s="947" t="n">
        <v>0</v>
      </c>
      <c r="D38" s="947" t="n">
        <v>-1867.7</v>
      </c>
      <c r="E38" s="947" t="n">
        <v>-46.31311325687389</v>
      </c>
      <c r="F38" s="947" t="n">
        <v>-11556.70725601969</v>
      </c>
      <c r="G38" s="947" t="n">
        <v>4648.012701972515</v>
      </c>
      <c r="H38" s="948" t="n">
        <v>-117505.4176188375</v>
      </c>
      <c r="I38" s="949" t="n">
        <v>-117610.4626452884</v>
      </c>
      <c r="J38" s="947" t="n">
        <v>-105.0450264508545</v>
      </c>
      <c r="S38" t="n">
        <v>266.7851791871508</v>
      </c>
      <c r="U38" t="n">
        <v>0.1187647250927313</v>
      </c>
      <c r="V38" t="n">
        <v>-371.9489703630916</v>
      </c>
    </row>
    <row r="39">
      <c r="A39" s="946" t="inlineStr">
        <is>
          <t>Hundley Family Trust</t>
        </is>
      </c>
      <c r="B39" s="947" t="n">
        <v>-132866.2563484719</v>
      </c>
      <c r="C39" s="947" t="n">
        <v>0</v>
      </c>
      <c r="D39" s="947" t="n">
        <v>-4410.33</v>
      </c>
      <c r="E39" s="947" t="n">
        <v>-59.14805484099763</v>
      </c>
      <c r="F39" s="947" t="n">
        <v>-14759.46457689179</v>
      </c>
      <c r="G39" s="947" t="n">
        <v>3911.108683832268</v>
      </c>
      <c r="H39" s="948" t="n">
        <v>-152095.1989802047</v>
      </c>
      <c r="I39" s="949" t="n">
        <v>-152229.3555623983</v>
      </c>
      <c r="J39" s="947" t="n">
        <v>-134.1565821935947</v>
      </c>
      <c r="S39" t="n">
        <v>340.7204417851462</v>
      </c>
      <c r="U39" t="n">
        <v>0.1516784767631307</v>
      </c>
      <c r="V39" t="n">
        <v>-475.0287024555273</v>
      </c>
    </row>
    <row r="40">
      <c r="A40" s="946" t="inlineStr">
        <is>
          <t>In God We Trust 2017 Living Trust</t>
        </is>
      </c>
      <c r="B40" s="947" t="n">
        <v>-66433.12817423596</v>
      </c>
      <c r="C40" s="947" t="n">
        <v>0</v>
      </c>
      <c r="D40" s="947" t="n">
        <v>-2205.16</v>
      </c>
      <c r="E40" s="947" t="n">
        <v>-29.57402742049882</v>
      </c>
      <c r="F40" s="947" t="n">
        <v>-7379.732288445896</v>
      </c>
      <c r="G40" s="947" t="n">
        <v>1955.559341916119</v>
      </c>
      <c r="H40" s="948" t="n">
        <v>-76047.59449010236</v>
      </c>
      <c r="I40" s="949" t="n">
        <v>-76114.67278119916</v>
      </c>
      <c r="J40" s="947" t="n">
        <v>-67.07829109679733</v>
      </c>
      <c r="S40" t="n">
        <v>170.3602208925731</v>
      </c>
      <c r="U40" t="n">
        <v>0.07583923838156537</v>
      </c>
      <c r="V40" t="n">
        <v>-237.5143512277637</v>
      </c>
    </row>
    <row r="41">
      <c r="A41" s="946" t="inlineStr">
        <is>
          <t>James and Natelie Bloomingdale</t>
        </is>
      </c>
      <c r="B41" s="950" t="n"/>
      <c r="C41" s="951" t="n"/>
      <c r="D41" s="950" t="n"/>
      <c r="E41" s="950" t="n"/>
      <c r="F41" s="950" t="n"/>
      <c r="G41" s="952" t="n"/>
      <c r="H41" s="948" t="n"/>
      <c r="I41" s="949" t="n">
        <v>0</v>
      </c>
      <c r="J41" s="947" t="n">
        <v>0</v>
      </c>
      <c r="S41" t="n">
        <v>0</v>
      </c>
      <c r="U41" t="n">
        <v>0</v>
      </c>
      <c r="V41" t="n">
        <v>0</v>
      </c>
    </row>
    <row r="42">
      <c r="A42" s="946" t="inlineStr">
        <is>
          <t>James Campbell and Patricia Campbell</t>
        </is>
      </c>
      <c r="B42" s="950" t="n">
        <v>-104034.697249561</v>
      </c>
      <c r="C42" s="951" t="n">
        <v>0</v>
      </c>
      <c r="D42" s="950" t="n">
        <v>-1867.7</v>
      </c>
      <c r="E42" s="950" t="n">
        <v>-46.31311325687389</v>
      </c>
      <c r="F42" s="950" t="n">
        <v>-11556.70725601969</v>
      </c>
      <c r="G42" s="952" t="n">
        <v>4648.012701972515</v>
      </c>
      <c r="H42" s="948" t="n">
        <v>-117505.4176188375</v>
      </c>
      <c r="I42" s="949" t="n">
        <v>-117610.4626452884</v>
      </c>
      <c r="J42" s="947" t="n">
        <v>-105.0450264508545</v>
      </c>
      <c r="S42" t="n">
        <v>266.7851791871508</v>
      </c>
      <c r="U42" t="n">
        <v>0.1187647250927313</v>
      </c>
      <c r="V42" t="n">
        <v>-371.9489703630916</v>
      </c>
    </row>
    <row r="43">
      <c r="A43" s="946" t="inlineStr">
        <is>
          <t>James Kane</t>
        </is>
      </c>
      <c r="B43" s="950" t="n">
        <v>-104034.697249561</v>
      </c>
      <c r="C43" s="951" t="n">
        <v>0</v>
      </c>
      <c r="D43" s="950" t="n">
        <v>-1867.7</v>
      </c>
      <c r="E43" s="950" t="n">
        <v>-46.31311325687389</v>
      </c>
      <c r="F43" s="950" t="n">
        <v>-11556.70725601969</v>
      </c>
      <c r="G43" s="952" t="n">
        <v>4648.012701972515</v>
      </c>
      <c r="H43" s="948" t="n">
        <v>-117505.4176188375</v>
      </c>
      <c r="I43" s="949" t="n">
        <v>-117610.4626452884</v>
      </c>
      <c r="J43" s="947" t="n">
        <v>-105.0450264508545</v>
      </c>
      <c r="S43" t="n">
        <v>266.7851791871508</v>
      </c>
      <c r="U43" t="n">
        <v>0.1187647250927313</v>
      </c>
      <c r="V43" t="n">
        <v>-371.9489703630916</v>
      </c>
    </row>
    <row r="44">
      <c r="A44" s="946" t="inlineStr">
        <is>
          <t>James Thorp</t>
        </is>
      </c>
      <c r="B44" s="950" t="n">
        <v>-130043.3732227794</v>
      </c>
      <c r="C44" s="951" t="n">
        <v>0</v>
      </c>
      <c r="D44" s="950" t="n">
        <v>-2334.64</v>
      </c>
      <c r="E44" s="950" t="n">
        <v>-57.89139231044305</v>
      </c>
      <c r="F44" s="950" t="n">
        <v>-14445.88425451792</v>
      </c>
      <c r="G44" s="952" t="n">
        <v>5810.000981483618</v>
      </c>
      <c r="H44" s="948" t="n">
        <v>-146881.7888696078</v>
      </c>
      <c r="I44" s="949" t="n">
        <v>-147013.0951543484</v>
      </c>
      <c r="J44" s="947" t="n">
        <v>-131.3062847405381</v>
      </c>
      <c r="S44" t="n">
        <v>333.4814782429312</v>
      </c>
      <c r="U44" t="n">
        <v>0.1484559082618873</v>
      </c>
      <c r="V44" t="n">
        <v>-464.9362188917239</v>
      </c>
    </row>
    <row r="45">
      <c r="A45" s="946" t="inlineStr">
        <is>
          <t>Jeffrey A. Lipsitz Revocable Trust</t>
        </is>
      </c>
      <c r="B45" s="950" t="n">
        <v>-664331.2817423595</v>
      </c>
      <c r="C45" s="951" t="n">
        <v>0</v>
      </c>
      <c r="D45" s="950" t="n">
        <v>-14701.09</v>
      </c>
      <c r="E45" s="950" t="n">
        <v>-295.7402742049881</v>
      </c>
      <c r="F45" s="950" t="n">
        <v>-73797.32288445896</v>
      </c>
      <c r="G45" s="952" t="n">
        <v>26906.1034191614</v>
      </c>
      <c r="H45" s="948" t="n">
        <v>-753125.4349010234</v>
      </c>
      <c r="I45" s="949" t="n">
        <v>-753796.2178119916</v>
      </c>
      <c r="J45" s="947" t="n">
        <v>-670.782910968177</v>
      </c>
      <c r="S45" t="n">
        <v>1703.602208925644</v>
      </c>
      <c r="U45" t="n">
        <v>0.7583923838156466</v>
      </c>
      <c r="V45" t="n">
        <v>-2375.143512277631</v>
      </c>
    </row>
    <row r="46">
      <c r="A46" s="946" t="inlineStr">
        <is>
          <t>Jeffrey D Furber Revocable Trust</t>
        </is>
      </c>
      <c r="B46" s="950" t="n">
        <v>-332165.6408711798</v>
      </c>
      <c r="C46" s="951" t="n">
        <v>0</v>
      </c>
      <c r="D46" s="950" t="n">
        <v>-7350.54</v>
      </c>
      <c r="E46" s="950" t="n">
        <v>-147.8701371024941</v>
      </c>
      <c r="F46" s="950" t="n">
        <v>-36898.66144222948</v>
      </c>
      <c r="G46" s="952" t="n">
        <v>13453.05670958071</v>
      </c>
      <c r="H46" s="948" t="n">
        <v>-376562.7124505117</v>
      </c>
      <c r="I46" s="949" t="n">
        <v>-376898.1039059958</v>
      </c>
      <c r="J46" s="947" t="n">
        <v>-335.3914554840885</v>
      </c>
      <c r="S46" t="n">
        <v>851.801104462822</v>
      </c>
      <c r="U46" t="n">
        <v>0.3791961919078233</v>
      </c>
      <c r="V46" t="n">
        <v>-1187.571756138816</v>
      </c>
    </row>
    <row r="47">
      <c r="A47" s="946" t="inlineStr">
        <is>
          <t>Jeremy M. Jacobs Trust U/A/D April 1, 1973 fbo Margaret L. Reichenback</t>
        </is>
      </c>
      <c r="B47" s="950" t="n">
        <v>-996496.9226135393</v>
      </c>
      <c r="C47" s="951" t="n">
        <v>0</v>
      </c>
      <c r="D47" s="950" t="n">
        <v>-22051.63</v>
      </c>
      <c r="E47" s="950" t="n">
        <v>-443.6104113074822</v>
      </c>
      <c r="F47" s="950" t="n">
        <v>-110695.9843266884</v>
      </c>
      <c r="G47" s="952" t="n">
        <v>40359.16012874183</v>
      </c>
      <c r="H47" s="948" t="n">
        <v>-1129688.147351535</v>
      </c>
      <c r="I47" s="949" t="n">
        <v>-1130694.321717988</v>
      </c>
      <c r="J47" s="947" t="n">
        <v>-1006.174366452498</v>
      </c>
      <c r="S47" t="n">
        <v>2555.403313388349</v>
      </c>
      <c r="U47" t="n">
        <v>1.137588575723441</v>
      </c>
      <c r="V47" t="n">
        <v>-3562.715268416476</v>
      </c>
    </row>
    <row r="48">
      <c r="A48" s="946" t="inlineStr">
        <is>
          <t>John Mark Comer</t>
        </is>
      </c>
      <c r="B48" s="950" t="n">
        <v>-66433.12817423596</v>
      </c>
      <c r="C48" s="951" t="n">
        <v>0</v>
      </c>
      <c r="D48" s="950" t="n">
        <v>-2205.16</v>
      </c>
      <c r="E48" s="950" t="n">
        <v>-29.57402742049882</v>
      </c>
      <c r="F48" s="950" t="n">
        <v>-7379.732288445896</v>
      </c>
      <c r="G48" s="952" t="n">
        <v>1955.559341916119</v>
      </c>
      <c r="H48" s="948" t="n">
        <v>-76047.59449010236</v>
      </c>
      <c r="I48" s="949" t="n">
        <v>-76114.67278119916</v>
      </c>
      <c r="J48" s="947" t="n">
        <v>-67.07829109679733</v>
      </c>
      <c r="S48" t="n">
        <v>170.3602208925731</v>
      </c>
      <c r="U48" t="n">
        <v>0.07583923838156537</v>
      </c>
      <c r="V48" t="n">
        <v>-237.5143512277637</v>
      </c>
    </row>
    <row r="49">
      <c r="A49" s="946" t="inlineStr">
        <is>
          <t>Landscape I, LP</t>
        </is>
      </c>
      <c r="B49" s="950" t="n">
        <v>-498248.4613067696</v>
      </c>
      <c r="C49" s="951" t="n">
        <v>0</v>
      </c>
      <c r="D49" s="950" t="n">
        <v>-11025.82</v>
      </c>
      <c r="E49" s="950" t="n">
        <v>-221.8052056537411</v>
      </c>
      <c r="F49" s="950" t="n">
        <v>-55347.99216334422</v>
      </c>
      <c r="G49" s="952" t="n">
        <v>20179.57506437091</v>
      </c>
      <c r="H49" s="948" t="n">
        <v>-564844.0786757675</v>
      </c>
      <c r="I49" s="949" t="n">
        <v>-565347.1658589938</v>
      </c>
      <c r="J49" s="947" t="n">
        <v>-503.0871832262492</v>
      </c>
      <c r="S49" t="n">
        <v>1277.701656694175</v>
      </c>
      <c r="U49" t="n">
        <v>0.5687942878617207</v>
      </c>
      <c r="V49" t="n">
        <v>-1781.357634208238</v>
      </c>
    </row>
    <row r="50">
      <c r="A50" s="946" t="inlineStr">
        <is>
          <t>Lisa Bell Trust, Elisabeth B. Bell, Trustee</t>
        </is>
      </c>
      <c r="B50" s="950" t="n">
        <v>-156052.0491959979</v>
      </c>
      <c r="C50" s="951" t="n">
        <v>0</v>
      </c>
      <c r="D50" s="950" t="n">
        <v>-2801.56</v>
      </c>
      <c r="E50" s="950" t="n">
        <v>-69.4696713640122</v>
      </c>
      <c r="F50" s="950" t="n">
        <v>-17335.06125301615</v>
      </c>
      <c r="G50" s="952" t="n">
        <v>6972.009260994717</v>
      </c>
      <c r="H50" s="948" t="n">
        <v>-176258.140120378</v>
      </c>
      <c r="I50" s="949" t="n">
        <v>-176415.7076634083</v>
      </c>
      <c r="J50" s="947" t="n">
        <v>-157.5675430302508</v>
      </c>
      <c r="S50" t="n">
        <v>400.177777298697</v>
      </c>
      <c r="U50" t="n">
        <v>0.1781470914310574</v>
      </c>
      <c r="V50" t="n">
        <v>-557.9234674203581</v>
      </c>
    </row>
    <row r="51">
      <c r="A51" s="946" t="inlineStr">
        <is>
          <t>Madten Investments LLC</t>
        </is>
      </c>
      <c r="B51" s="950" t="n">
        <v>-664331.2817423595</v>
      </c>
      <c r="C51" s="951" t="n">
        <v>0</v>
      </c>
      <c r="D51" s="950" t="n">
        <v>-14701.09</v>
      </c>
      <c r="E51" s="950" t="n">
        <v>-295.7402742049881</v>
      </c>
      <c r="F51" s="950" t="n">
        <v>-73797.32288445896</v>
      </c>
      <c r="G51" s="952" t="n">
        <v>26906.1034191614</v>
      </c>
      <c r="H51" s="948" t="n">
        <v>-753125.4349010234</v>
      </c>
      <c r="I51" s="949" t="n">
        <v>-753796.2178119916</v>
      </c>
      <c r="J51" s="947" t="n">
        <v>-670.782910968177</v>
      </c>
      <c r="S51" t="n">
        <v>1703.602208925644</v>
      </c>
      <c r="U51" t="n">
        <v>0.7583923838156466</v>
      </c>
      <c r="V51" t="n">
        <v>-2375.143512277631</v>
      </c>
    </row>
    <row r="52">
      <c r="A52" s="946" t="inlineStr">
        <is>
          <t>Matt McCoy</t>
        </is>
      </c>
      <c r="B52" s="950" t="n">
        <v>-78026.02127634254</v>
      </c>
      <c r="C52" s="951" t="n">
        <v>0</v>
      </c>
      <c r="D52" s="950" t="n">
        <v>-1400.77</v>
      </c>
      <c r="E52" s="950" t="n">
        <v>-34.73483420330473</v>
      </c>
      <c r="F52" s="950" t="n">
        <v>-8667.530257521459</v>
      </c>
      <c r="G52" s="952" t="n">
        <v>3486.014422461398</v>
      </c>
      <c r="H52" s="948" t="n">
        <v>-88129.05636806731</v>
      </c>
      <c r="I52" s="949" t="n">
        <v>-88207.84013622851</v>
      </c>
      <c r="J52" s="947" t="n">
        <v>-78.78376816119999</v>
      </c>
      <c r="S52" t="n">
        <v>200.0888801313413</v>
      </c>
      <c r="U52" t="n">
        <v>0.08907354192356109</v>
      </c>
      <c r="V52" t="n">
        <v>-278.9617218344611</v>
      </c>
    </row>
    <row r="53">
      <c r="A53" s="946" t="inlineStr">
        <is>
          <t>Matterhorn Holdings, LLC</t>
        </is>
      </c>
      <c r="B53" s="950" t="n">
        <v>-66433.12817423596</v>
      </c>
      <c r="C53" s="951" t="n">
        <v>0</v>
      </c>
      <c r="D53" s="950" t="n">
        <v>-2205.16</v>
      </c>
      <c r="E53" s="950" t="n">
        <v>-29.57402742049882</v>
      </c>
      <c r="F53" s="950" t="n">
        <v>-7379.732288445896</v>
      </c>
      <c r="G53" s="952" t="n">
        <v>1955.559341916119</v>
      </c>
      <c r="H53" s="948" t="n">
        <v>-76047.59449010236</v>
      </c>
      <c r="I53" s="949" t="n">
        <v>-76114.67278119916</v>
      </c>
      <c r="J53" s="947" t="n">
        <v>-67.07829109679733</v>
      </c>
      <c r="S53" t="n">
        <v>170.3602208925731</v>
      </c>
      <c r="U53" t="n">
        <v>0.07583923838156537</v>
      </c>
      <c r="V53" t="n">
        <v>-237.5143512277637</v>
      </c>
    </row>
    <row r="54">
      <c r="A54" s="946" t="inlineStr">
        <is>
          <t>Max O. Reinbach III</t>
        </is>
      </c>
      <c r="B54" s="950" t="n">
        <v>-52017.35194643691</v>
      </c>
      <c r="C54" s="951" t="n">
        <v>0</v>
      </c>
      <c r="D54" s="950" t="n">
        <v>-933.86</v>
      </c>
      <c r="E54" s="950" t="n">
        <v>-23.15655810713832</v>
      </c>
      <c r="F54" s="950" t="n">
        <v>-5778.35399699646</v>
      </c>
      <c r="G54" s="952" t="n">
        <v>2323.996559022226</v>
      </c>
      <c r="H54" s="948" t="n">
        <v>-58752.72250154051</v>
      </c>
      <c r="I54" s="949" t="n">
        <v>-58805.24501811985</v>
      </c>
      <c r="J54" s="947" t="n">
        <v>-52.52251657933812</v>
      </c>
      <c r="S54" t="n">
        <v>133.3925981115826</v>
      </c>
      <c r="U54" t="n">
        <v>0.05938236633832616</v>
      </c>
      <c r="V54" t="n">
        <v>-185.9744970572638</v>
      </c>
    </row>
    <row r="55">
      <c r="A55" s="946" t="inlineStr">
        <is>
          <t>Meghann C. Robinson</t>
        </is>
      </c>
      <c r="B55" s="950" t="n">
        <v>-520173.4928911178</v>
      </c>
      <c r="C55" s="951" t="n">
        <v>0</v>
      </c>
      <c r="D55" s="950" t="n">
        <v>-9338.51</v>
      </c>
      <c r="E55" s="950" t="n">
        <v>-231.5655692417722</v>
      </c>
      <c r="F55" s="950" t="n">
        <v>-57783.53701807168</v>
      </c>
      <c r="G55" s="952" t="n">
        <v>23240.0539259346</v>
      </c>
      <c r="H55" s="948" t="n">
        <v>-587527.1054784312</v>
      </c>
      <c r="I55" s="949" t="n">
        <v>-588052.3306173934</v>
      </c>
      <c r="J55" s="947" t="n">
        <v>-525.2251389621524</v>
      </c>
      <c r="S55" t="n">
        <v>1333.925912971725</v>
      </c>
      <c r="U55" t="n">
        <v>0.593823633047549</v>
      </c>
      <c r="V55" t="n">
        <v>-1859.744875566896</v>
      </c>
    </row>
    <row r="56">
      <c r="A56" s="946" t="inlineStr">
        <is>
          <t>Nahas Investments II LLC</t>
        </is>
      </c>
      <c r="B56" s="950" t="n">
        <v>-260086.7464455589</v>
      </c>
      <c r="C56" s="951" t="n">
        <v>0</v>
      </c>
      <c r="D56" s="950" t="n">
        <v>-4669.25</v>
      </c>
      <c r="E56" s="950" t="n">
        <v>-115.7827846208861</v>
      </c>
      <c r="F56" s="950" t="n">
        <v>-28891.76850903584</v>
      </c>
      <c r="G56" s="952" t="n">
        <v>11620.0319629673</v>
      </c>
      <c r="H56" s="948" t="n">
        <v>-293763.5477392156</v>
      </c>
      <c r="I56" s="949" t="n">
        <v>-294026.1603086967</v>
      </c>
      <c r="J56" s="947" t="n">
        <v>-262.6125694810762</v>
      </c>
      <c r="S56" t="n">
        <v>666.9629564858624</v>
      </c>
      <c r="U56" t="n">
        <v>0.2969118165237745</v>
      </c>
      <c r="V56" t="n">
        <v>-929.8724377834478</v>
      </c>
    </row>
    <row r="57">
      <c r="A57" s="953" t="inlineStr">
        <is>
          <t>Odyssey Holdings, LLC</t>
        </is>
      </c>
      <c r="B57" s="954" t="n">
        <v>-467133.7616753306</v>
      </c>
      <c r="C57" s="954" t="n">
        <v>0</v>
      </c>
      <c r="D57" s="954" t="n">
        <v>0</v>
      </c>
      <c r="E57" s="954" t="n">
        <v>-207.9538786822433</v>
      </c>
      <c r="F57" s="954" t="n">
        <v>-51891.61189304895</v>
      </c>
      <c r="G57" s="954" t="n">
        <v>-400539.4612166309</v>
      </c>
      <c r="H57" s="948" t="n">
        <v>-519233.3274470618</v>
      </c>
      <c r="I57" s="949" t="n">
        <v>-878967.3360415939</v>
      </c>
      <c r="J57" s="947" t="n">
        <v>-359734.0085945321</v>
      </c>
      <c r="S57" t="n">
        <v>-320894.8213179554</v>
      </c>
      <c r="U57" t="n">
        <v>-142.852707761453</v>
      </c>
      <c r="V57" t="n">
        <v>-38696.33456881528</v>
      </c>
    </row>
    <row r="58">
      <c r="A58" s="946" t="inlineStr">
        <is>
          <t>Pease River Holdings LLC</t>
        </is>
      </c>
      <c r="B58" s="950" t="n">
        <v>-52017.35194643691</v>
      </c>
      <c r="C58" s="951" t="n">
        <v>0</v>
      </c>
      <c r="D58" s="950" t="n">
        <v>-933.86</v>
      </c>
      <c r="E58" s="950" t="n">
        <v>-23.15655810713832</v>
      </c>
      <c r="F58" s="950" t="n">
        <v>-5778.35399699646</v>
      </c>
      <c r="G58" s="952" t="n">
        <v>2323.996559022226</v>
      </c>
      <c r="H58" s="948" t="n">
        <v>-58752.72250154051</v>
      </c>
      <c r="I58" s="949" t="n">
        <v>-58805.24501811985</v>
      </c>
      <c r="J58" s="947" t="n">
        <v>-52.52251657933812</v>
      </c>
      <c r="S58" t="n">
        <v>133.3925981115826</v>
      </c>
      <c r="U58" t="n">
        <v>0.05938236633832616</v>
      </c>
      <c r="V58" t="n">
        <v>-185.9744970572638</v>
      </c>
    </row>
    <row r="59">
      <c r="A59" s="946" t="inlineStr">
        <is>
          <t>PT Burros, LLC</t>
        </is>
      </c>
      <c r="B59" s="950" t="n">
        <v>-218889.3182249829</v>
      </c>
      <c r="C59" s="951" t="n">
        <v>0</v>
      </c>
      <c r="D59" s="950" t="n">
        <v>-3301.752910326087</v>
      </c>
      <c r="E59" s="950" t="n">
        <v>-97.44293061530797</v>
      </c>
      <c r="F59" s="950" t="n">
        <v>-24315.34708201919</v>
      </c>
      <c r="G59" s="952" t="n">
        <v>10407.32635640523</v>
      </c>
      <c r="H59" s="948" t="n">
        <v>-246603.8611479435</v>
      </c>
      <c r="I59" s="949" t="n">
        <v>-246824.8762018691</v>
      </c>
      <c r="J59" s="947" t="n">
        <v>-221.0150539256574</v>
      </c>
      <c r="S59" t="n">
        <v>561.316825334914</v>
      </c>
      <c r="U59" t="n">
        <v>0.2498813414371313</v>
      </c>
      <c r="V59" t="n">
        <v>-782.5817606020391</v>
      </c>
    </row>
    <row r="60">
      <c r="A60" s="946" t="inlineStr">
        <is>
          <t>Robert D. Falese III</t>
        </is>
      </c>
      <c r="B60" s="950" t="n">
        <v>-583010.7619201028</v>
      </c>
      <c r="C60" s="951" t="n">
        <v>0</v>
      </c>
      <c r="D60" s="950" t="n">
        <v>-9838.702910326087</v>
      </c>
      <c r="E60" s="950" t="n">
        <v>-259.538828493068</v>
      </c>
      <c r="F60" s="950" t="n">
        <v>-64763.82284707472</v>
      </c>
      <c r="G60" s="952" t="n">
        <v>26675.37102134506</v>
      </c>
      <c r="H60" s="948" t="n">
        <v>-657872.8265059966</v>
      </c>
      <c r="I60" s="949" t="n">
        <v>-658461.4991558542</v>
      </c>
      <c r="J60" s="947" t="n">
        <v>-588.6726498575881</v>
      </c>
      <c r="S60" t="n">
        <v>1495.064961007913</v>
      </c>
      <c r="U60" t="n">
        <v>0.6655578830536797</v>
      </c>
      <c r="V60" t="n">
        <v>-2084.403168748577</v>
      </c>
    </row>
    <row r="61">
      <c r="A61" s="946" t="inlineStr">
        <is>
          <t>Robert Parker Yates</t>
        </is>
      </c>
      <c r="B61" s="950" t="n">
        <v>-26008.67597321845</v>
      </c>
      <c r="C61" s="951" t="n">
        <v>0</v>
      </c>
      <c r="D61" s="950" t="n">
        <v>-466.92</v>
      </c>
      <c r="E61" s="950" t="n">
        <v>-11.57827905356916</v>
      </c>
      <c r="F61" s="950" t="n">
        <v>-2889.17699849823</v>
      </c>
      <c r="G61" s="952" t="n">
        <v>1162.008279511113</v>
      </c>
      <c r="H61" s="948" t="n">
        <v>-29376.35125077025</v>
      </c>
      <c r="I61" s="949" t="n">
        <v>-29402.61250905992</v>
      </c>
      <c r="J61" s="947" t="n">
        <v>-26.26125828966906</v>
      </c>
      <c r="S61" t="n">
        <v>66.69629905579131</v>
      </c>
      <c r="U61" t="n">
        <v>0.02969118316916308</v>
      </c>
      <c r="V61" t="n">
        <v>-92.98724852863188</v>
      </c>
    </row>
    <row r="62">
      <c r="A62" s="946" t="inlineStr">
        <is>
          <t>Robert S. Shafir &amp; Donna R. Shafir TEN/COM</t>
        </is>
      </c>
      <c r="B62" s="950" t="n">
        <v>-996496.9226135393</v>
      </c>
      <c r="C62" s="951" t="n">
        <v>0</v>
      </c>
      <c r="D62" s="950" t="n">
        <v>-22051.63</v>
      </c>
      <c r="E62" s="950" t="n">
        <v>-443.6104113074822</v>
      </c>
      <c r="F62" s="950" t="n">
        <v>-110695.9843266884</v>
      </c>
      <c r="G62" s="952" t="n">
        <v>40359.16012874183</v>
      </c>
      <c r="H62" s="948" t="n">
        <v>-1129688.147351535</v>
      </c>
      <c r="I62" s="949" t="n">
        <v>-1130694.321717988</v>
      </c>
      <c r="J62" s="947" t="n">
        <v>-1006.174366452498</v>
      </c>
      <c r="S62" t="n">
        <v>2555.403313388349</v>
      </c>
      <c r="U62" t="n">
        <v>1.137588575723441</v>
      </c>
      <c r="V62" t="n">
        <v>-3562.715268416476</v>
      </c>
    </row>
    <row r="63">
      <c r="A63" s="946" t="inlineStr">
        <is>
          <t>Robert S. Shafir 2011 Children's Trust</t>
        </is>
      </c>
      <c r="B63" s="950" t="n">
        <v>-664331.2817423595</v>
      </c>
      <c r="C63" s="951" t="n">
        <v>0</v>
      </c>
      <c r="D63" s="950" t="n">
        <v>-14701.09</v>
      </c>
      <c r="E63" s="950" t="n">
        <v>-295.7402742049881</v>
      </c>
      <c r="F63" s="950" t="n">
        <v>-73797.32288445896</v>
      </c>
      <c r="G63" s="952" t="n">
        <v>26906.1034191614</v>
      </c>
      <c r="H63" s="948" t="n">
        <v>-753125.4349010234</v>
      </c>
      <c r="I63" s="949" t="n">
        <v>-753796.2178119916</v>
      </c>
      <c r="J63" s="947" t="n">
        <v>-670.782910968177</v>
      </c>
      <c r="S63" t="n">
        <v>1703.602208925644</v>
      </c>
      <c r="U63" t="n">
        <v>0.7583923838156466</v>
      </c>
      <c r="V63" t="n">
        <v>-2375.143512277631</v>
      </c>
    </row>
    <row r="64">
      <c r="A64" s="946" t="inlineStr">
        <is>
          <t>Romar Partners, LP</t>
        </is>
      </c>
      <c r="B64" s="950" t="n">
        <v>-664331.2817423595</v>
      </c>
      <c r="C64" s="951" t="n">
        <v>0</v>
      </c>
      <c r="D64" s="950" t="n">
        <v>-14701.09</v>
      </c>
      <c r="E64" s="950" t="n">
        <v>-295.7402742049881</v>
      </c>
      <c r="F64" s="950" t="n">
        <v>-73797.32288445896</v>
      </c>
      <c r="G64" s="952" t="n">
        <v>26906.10341916142</v>
      </c>
      <c r="H64" s="948" t="n">
        <v>-753125.4349010234</v>
      </c>
      <c r="I64" s="949" t="n">
        <v>-753796.2178119916</v>
      </c>
      <c r="J64" s="947" t="n">
        <v>-670.782910968177</v>
      </c>
      <c r="S64" t="n">
        <v>1703.602208925644</v>
      </c>
      <c r="U64" t="n">
        <v>0.7583923838156466</v>
      </c>
      <c r="V64" t="n">
        <v>-2375.143512277631</v>
      </c>
    </row>
    <row r="65">
      <c r="A65" s="946" t="inlineStr">
        <is>
          <t>Steven and Chani Laufer 2012 Dynasty Trust</t>
        </is>
      </c>
      <c r="B65" s="950" t="n">
        <v>-1328662.563484719</v>
      </c>
      <c r="C65" s="951" t="n">
        <v>0</v>
      </c>
      <c r="D65" s="950" t="n">
        <v>-29402.17</v>
      </c>
      <c r="E65" s="950" t="n">
        <v>-591.4805484099762</v>
      </c>
      <c r="F65" s="950" t="n">
        <v>-147594.6457689179</v>
      </c>
      <c r="G65" s="952" t="n">
        <v>53812.21683832281</v>
      </c>
      <c r="H65" s="948" t="n">
        <v>-1506250.859802047</v>
      </c>
      <c r="I65" s="949" t="n">
        <v>-1507592.425623983</v>
      </c>
      <c r="J65" s="947" t="n">
        <v>-1341.565821936354</v>
      </c>
      <c r="S65" t="n">
        <v>3407.204417851288</v>
      </c>
      <c r="U65" t="n">
        <v>1.516784767631293</v>
      </c>
      <c r="V65" t="n">
        <v>-4750.287024555262</v>
      </c>
    </row>
    <row r="66">
      <c r="A66" s="946" t="inlineStr">
        <is>
          <t>Steven M. Laufer 2012 Trust</t>
        </is>
      </c>
      <c r="B66" s="950" t="n">
        <v>-664331.2817423595</v>
      </c>
      <c r="C66" s="951" t="n">
        <v>0</v>
      </c>
      <c r="D66" s="950" t="n">
        <v>-14701.09</v>
      </c>
      <c r="E66" s="950" t="n">
        <v>-295.7402742049881</v>
      </c>
      <c r="F66" s="950" t="n">
        <v>-73797.32288445896</v>
      </c>
      <c r="G66" s="952" t="n">
        <v>26906.1034191614</v>
      </c>
      <c r="H66" s="948" t="n">
        <v>-753125.4349010234</v>
      </c>
      <c r="I66" s="949" t="n">
        <v>-753796.2178119916</v>
      </c>
      <c r="J66" s="947" t="n">
        <v>-670.782910968177</v>
      </c>
      <c r="S66" t="n">
        <v>1703.602208925644</v>
      </c>
      <c r="U66" t="n">
        <v>0.7583923838156466</v>
      </c>
      <c r="V66" t="n">
        <v>-2375.143512277631</v>
      </c>
    </row>
    <row r="67">
      <c r="A67" s="946" t="inlineStr">
        <is>
          <t>Stewart Tate</t>
        </is>
      </c>
      <c r="B67" s="950" t="n">
        <v>-347642.473735552</v>
      </c>
      <c r="C67" s="951" t="n">
        <v>0</v>
      </c>
      <c r="D67" s="950" t="n">
        <v>-5989.953164130435</v>
      </c>
      <c r="E67" s="950" t="n">
        <v>-154.7599568670093</v>
      </c>
      <c r="F67" s="950" t="n">
        <v>-38617.90734184351</v>
      </c>
      <c r="G67" s="952" t="n">
        <v>15782.96050552925</v>
      </c>
      <c r="H67" s="948" t="n">
        <v>-392405.0941983931</v>
      </c>
      <c r="I67" s="949" t="n">
        <v>-392756.1127894444</v>
      </c>
      <c r="J67" s="947" t="n">
        <v>-351.0185910513392</v>
      </c>
      <c r="S67" t="n">
        <v>891.4896866198396</v>
      </c>
      <c r="U67" t="n">
        <v>0.3968643530986071</v>
      </c>
      <c r="V67" t="n">
        <v>-1242.905142024269</v>
      </c>
    </row>
    <row r="68">
      <c r="A68" s="946" t="inlineStr">
        <is>
          <t>TC Wilson Family Trust</t>
        </is>
      </c>
      <c r="B68" s="950" t="n">
        <v>-104034.697249561</v>
      </c>
      <c r="C68" s="951" t="n">
        <v>0</v>
      </c>
      <c r="D68" s="950" t="n">
        <v>-1867.7</v>
      </c>
      <c r="E68" s="950" t="n">
        <v>-46.31311325687389</v>
      </c>
      <c r="F68" s="950" t="n">
        <v>-11556.70725601969</v>
      </c>
      <c r="G68" s="952" t="n">
        <v>4648.012701972515</v>
      </c>
      <c r="H68" s="948" t="n">
        <v>-117505.4176188375</v>
      </c>
      <c r="I68" s="949" t="n">
        <v>-117610.4626452884</v>
      </c>
      <c r="J68" s="947" t="n">
        <v>-105.0450264508545</v>
      </c>
      <c r="S68" t="n">
        <v>266.7851791871508</v>
      </c>
      <c r="U68" t="n">
        <v>0.1187647250927313</v>
      </c>
      <c r="V68" t="n">
        <v>-371.9489703630916</v>
      </c>
    </row>
    <row r="69">
      <c r="A69" s="946" t="inlineStr">
        <is>
          <t>Terminal Refrigerating &amp; Warehousing Corp.</t>
        </is>
      </c>
      <c r="B69" s="950" t="n">
        <v>-1328662.563484719</v>
      </c>
      <c r="C69" s="951" t="n">
        <v>0</v>
      </c>
      <c r="D69" s="950" t="n">
        <v>-29402.17</v>
      </c>
      <c r="E69" s="950" t="n">
        <v>-591.4805484099762</v>
      </c>
      <c r="F69" s="950" t="n">
        <v>-147594.6457689179</v>
      </c>
      <c r="G69" s="952" t="n">
        <v>53812.21683832281</v>
      </c>
      <c r="H69" s="948" t="n">
        <v>-1506250.859802047</v>
      </c>
      <c r="I69" s="949" t="n">
        <v>-1507592.425623983</v>
      </c>
      <c r="J69" s="947" t="n">
        <v>-1341.565821936354</v>
      </c>
      <c r="S69" t="n">
        <v>3407.204417851288</v>
      </c>
      <c r="U69" t="n">
        <v>1.516784767631293</v>
      </c>
      <c r="V69" t="n">
        <v>-4750.287024555262</v>
      </c>
    </row>
    <row r="70">
      <c r="A70" s="946" t="inlineStr">
        <is>
          <t>The 2015 Pipe Reality Delaware Trust</t>
        </is>
      </c>
      <c r="B70" s="950" t="n">
        <v>-664331.2817423595</v>
      </c>
      <c r="C70" s="951" t="n">
        <v>0</v>
      </c>
      <c r="D70" s="950" t="n">
        <v>-14701.09</v>
      </c>
      <c r="E70" s="950" t="n">
        <v>-295.7402742049881</v>
      </c>
      <c r="F70" s="950" t="n">
        <v>-73797.32288445896</v>
      </c>
      <c r="G70" s="952" t="n">
        <v>26906.1034191614</v>
      </c>
      <c r="H70" s="948" t="n">
        <v>-753125.4349010234</v>
      </c>
      <c r="I70" s="949" t="n">
        <v>-753796.2178119916</v>
      </c>
      <c r="J70" s="947" t="n">
        <v>-670.782910968177</v>
      </c>
      <c r="S70" t="n">
        <v>1703.602208925644</v>
      </c>
      <c r="U70" t="n">
        <v>0.7583923838156466</v>
      </c>
      <c r="V70" t="n">
        <v>-2375.143512277631</v>
      </c>
    </row>
    <row r="71">
      <c r="A71" s="946" t="inlineStr">
        <is>
          <t>The David L. Schnadig 2017 Trust</t>
        </is>
      </c>
      <c r="B71" s="950" t="n">
        <v>-664331.2817423595</v>
      </c>
      <c r="C71" s="951" t="n">
        <v>0</v>
      </c>
      <c r="D71" s="950" t="n">
        <v>-14701.09</v>
      </c>
      <c r="E71" s="950" t="n">
        <v>-295.7402742049881</v>
      </c>
      <c r="F71" s="950" t="n">
        <v>-73797.32288445896</v>
      </c>
      <c r="G71" s="952" t="n">
        <v>26906.1034191614</v>
      </c>
      <c r="H71" s="948" t="n">
        <v>-753125.4349010234</v>
      </c>
      <c r="I71" s="949" t="n">
        <v>-753796.2178119916</v>
      </c>
      <c r="J71" s="947" t="n">
        <v>-670.782910968177</v>
      </c>
      <c r="S71" t="n">
        <v>1703.602208925644</v>
      </c>
      <c r="U71" t="n">
        <v>0.7583923838156466</v>
      </c>
      <c r="V71" t="n">
        <v>-2375.143512277631</v>
      </c>
    </row>
    <row r="72">
      <c r="A72" s="946" t="inlineStr">
        <is>
          <t>The Diane Rosen 2021 Irrevocable Family Trust</t>
        </is>
      </c>
      <c r="B72" s="950" t="n">
        <v>-398598.7690454157</v>
      </c>
      <c r="C72" s="951" t="n">
        <v>0</v>
      </c>
      <c r="D72" s="950" t="n">
        <v>-8820.65</v>
      </c>
      <c r="E72" s="950" t="n">
        <v>-177.4441645229929</v>
      </c>
      <c r="F72" s="950" t="n">
        <v>-44278.39373067537</v>
      </c>
      <c r="G72" s="952" t="n">
        <v>16143.66605149688</v>
      </c>
      <c r="H72" s="948" t="n">
        <v>-451875.2569406141</v>
      </c>
      <c r="I72" s="949" t="n">
        <v>-452277.726687195</v>
      </c>
      <c r="J72" s="947" t="n">
        <v>-402.4697465809295</v>
      </c>
      <c r="S72" t="n">
        <v>1022.161325355351</v>
      </c>
      <c r="U72" t="n">
        <v>0.4550354302893709</v>
      </c>
      <c r="V72" t="n">
        <v>-1425.086107366595</v>
      </c>
    </row>
    <row r="73">
      <c r="A73" s="946" t="inlineStr">
        <is>
          <t>The Mark T. Kirchdorfer 2015 Family Delaware Dynasty Trust</t>
        </is>
      </c>
      <c r="B73" s="950" t="n">
        <v>-664331.2817423595</v>
      </c>
      <c r="C73" s="951" t="n">
        <v>0</v>
      </c>
      <c r="D73" s="950" t="n">
        <v>-14701.09</v>
      </c>
      <c r="E73" s="950" t="n">
        <v>-295.7402742049881</v>
      </c>
      <c r="F73" s="950" t="n">
        <v>-73797.32288445896</v>
      </c>
      <c r="G73" s="952" t="n">
        <v>26906.1034191614</v>
      </c>
      <c r="H73" s="948" t="n">
        <v>-753125.4349010234</v>
      </c>
      <c r="I73" s="949" t="n">
        <v>-753796.2178119916</v>
      </c>
      <c r="J73" s="947" t="n">
        <v>-670.782910968177</v>
      </c>
      <c r="S73" t="n">
        <v>1703.602208925644</v>
      </c>
      <c r="U73" t="n">
        <v>0.7583923838156466</v>
      </c>
      <c r="V73" t="n">
        <v>-2375.143512277631</v>
      </c>
    </row>
    <row r="74">
      <c r="A74" s="946" t="inlineStr">
        <is>
          <t>University of Southern California</t>
        </is>
      </c>
      <c r="B74" s="950" t="n">
        <v>-13286625.63484719</v>
      </c>
      <c r="C74" s="951" t="n">
        <v>0</v>
      </c>
      <c r="D74" s="950" t="n">
        <v>-369021.74</v>
      </c>
      <c r="E74" s="950" t="n">
        <v>-5914.805484099763</v>
      </c>
      <c r="F74" s="950" t="n">
        <v>-1475946.457689179</v>
      </c>
      <c r="G74" s="952" t="n">
        <v>463122.1283832286</v>
      </c>
      <c r="H74" s="948" t="n">
        <v>-15137508.63802047</v>
      </c>
      <c r="I74" s="949" t="n">
        <v>-15150924.29623983</v>
      </c>
      <c r="J74" s="947" t="n">
        <v>-13415.65821936354</v>
      </c>
      <c r="S74" t="n">
        <v>34072.04417851381</v>
      </c>
      <c r="U74" t="n">
        <v>15.16784767631361</v>
      </c>
      <c r="V74" t="n">
        <v>-47502.87024555285</v>
      </c>
    </row>
    <row r="75">
      <c r="A75" s="946" t="inlineStr">
        <is>
          <t>Walker D. Zimmerman</t>
        </is>
      </c>
      <c r="B75" s="950" t="n">
        <v>-166082.8204355899</v>
      </c>
      <c r="C75" s="951" t="n">
        <v>0</v>
      </c>
      <c r="D75" s="950" t="n">
        <v>-5512.91</v>
      </c>
      <c r="E75" s="950" t="n">
        <v>-73.93506855124703</v>
      </c>
      <c r="F75" s="950" t="n">
        <v>-18449.33072111474</v>
      </c>
      <c r="G75" s="952" t="n">
        <v>4888.888354790317</v>
      </c>
      <c r="H75" s="948" t="n">
        <v>-190118.9962252559</v>
      </c>
      <c r="I75" s="949" t="n">
        <v>-190286.6919529979</v>
      </c>
      <c r="J75" s="947" t="n">
        <v>-167.6957277420443</v>
      </c>
      <c r="S75" t="n">
        <v>425.900552231411</v>
      </c>
      <c r="U75" t="n">
        <v>0.1895980959539116</v>
      </c>
      <c r="V75" t="n">
        <v>-593.7858780694078</v>
      </c>
    </row>
    <row r="76">
      <c r="A76" s="946" t="inlineStr">
        <is>
          <t>Wilson Family Trust DTD 3-6-1987</t>
        </is>
      </c>
      <c r="B76" s="950" t="n">
        <v>-208069.394499122</v>
      </c>
      <c r="C76" s="951" t="n">
        <v>0</v>
      </c>
      <c r="D76" s="950" t="n">
        <v>-3735.39</v>
      </c>
      <c r="E76" s="950" t="n">
        <v>-92.62622651374778</v>
      </c>
      <c r="F76" s="950" t="n">
        <v>-23113.41451203938</v>
      </c>
      <c r="G76" s="952" t="n">
        <v>9296.035403945039</v>
      </c>
      <c r="H76" s="948" t="n">
        <v>-235010.8252376751</v>
      </c>
      <c r="I76" s="949" t="n">
        <v>-235220.9152905768</v>
      </c>
      <c r="J76" s="947" t="n">
        <v>-210.090052901709</v>
      </c>
      <c r="S76" t="n">
        <v>533.5703583743016</v>
      </c>
      <c r="U76" t="n">
        <v>0.2375294501854626</v>
      </c>
      <c r="V76" t="n">
        <v>-743.8979407261832</v>
      </c>
    </row>
    <row r="77">
      <c r="A77" s="946" t="inlineStr">
        <is>
          <t>Wilson GST Exempt Trust</t>
        </is>
      </c>
      <c r="B77" s="950" t="n">
        <v>-208069.394499122</v>
      </c>
      <c r="C77" s="951" t="n">
        <v>0</v>
      </c>
      <c r="D77" s="950" t="n">
        <v>-3735.39</v>
      </c>
      <c r="E77" s="950" t="n">
        <v>-92.62622651374778</v>
      </c>
      <c r="F77" s="950" t="n">
        <v>-23113.41451203938</v>
      </c>
      <c r="G77" s="952" t="n">
        <v>9296.035403945039</v>
      </c>
      <c r="H77" s="948" t="n">
        <v>-235010.8252376751</v>
      </c>
      <c r="I77" s="949" t="n">
        <v>-235220.9152905768</v>
      </c>
      <c r="J77" s="947" t="n">
        <v>-210.090052901709</v>
      </c>
      <c r="S77" t="n">
        <v>533.5703583743016</v>
      </c>
      <c r="U77" t="n">
        <v>0.2375294501854626</v>
      </c>
      <c r="V77" t="n">
        <v>-743.8979407261832</v>
      </c>
    </row>
    <row r="78">
      <c r="A78" s="955" t="inlineStr">
        <is>
          <t>Texas Emerging Managers Private Markets Program, L.P. (2025-1 RE Investment Series)</t>
        </is>
      </c>
      <c r="B78" s="948" t="n">
        <v>-3321656.408711798</v>
      </c>
      <c r="C78" s="948" t="n">
        <v>-73505.43478260869</v>
      </c>
      <c r="D78" s="948" t="n">
        <v>-73505.43478260869</v>
      </c>
      <c r="E78" s="948" t="n">
        <v>-1478.701371024941</v>
      </c>
      <c r="F78" s="948" t="n">
        <v>-368986.6144222948</v>
      </c>
      <c r="G78" s="948" t="n">
        <v>-368986.6144222948</v>
      </c>
      <c r="H78" s="948" t="n">
        <v>-3765627.159287726</v>
      </c>
      <c r="I78" s="949" t="n">
        <v>-3768981.073842567</v>
      </c>
      <c r="J78" s="947" t="n">
        <v>-3353.914554840885</v>
      </c>
      <c r="S78" t="n">
        <v>8518.011044628453</v>
      </c>
      <c r="U78" t="n">
        <v>3.791961919078403</v>
      </c>
      <c r="V78" t="n">
        <v>-11875.71756138821</v>
      </c>
    </row>
    <row r="79">
      <c r="A79" s="955" t="inlineStr">
        <is>
          <t>GCM Grosvenor NJ RE Emerging Managers Program, LP (2023-1 Investment Series)</t>
        </is>
      </c>
      <c r="B79" s="948" t="n">
        <v>-4982484.613067696</v>
      </c>
      <c r="C79" s="948" t="n">
        <v>-110258.1521739131</v>
      </c>
      <c r="D79" s="948" t="n">
        <v>-110258.1521739131</v>
      </c>
      <c r="E79" s="948" t="n">
        <v>-2218.052056537411</v>
      </c>
      <c r="F79" s="948" t="n">
        <v>-553479.9216334422</v>
      </c>
      <c r="G79" s="948" t="n">
        <v>-553479.9216334422</v>
      </c>
      <c r="H79" s="948" t="n">
        <v>-5648440.738931588</v>
      </c>
      <c r="I79" s="949" t="n">
        <v>-5653471.61076385</v>
      </c>
      <c r="J79" s="947" t="n">
        <v>-5030.871832261793</v>
      </c>
      <c r="S79" t="n">
        <v>12777.01656694245</v>
      </c>
      <c r="U79" t="n">
        <v>5.687942878617378</v>
      </c>
      <c r="V79" t="n">
        <v>-17813.57634208235</v>
      </c>
    </row>
    <row r="80">
      <c r="A80" s="955" t="inlineStr">
        <is>
          <t>GCM Grosvenor - NYSTRS Real Estate Investment Partners, L.P. (2024-1 Series)</t>
        </is>
      </c>
      <c r="B80" s="948" t="n">
        <v>-3321656.408711798</v>
      </c>
      <c r="C80" s="948" t="n">
        <v>-73505.43478260869</v>
      </c>
      <c r="D80" s="948" t="n">
        <v>-73505.43478260869</v>
      </c>
      <c r="E80" s="948" t="n">
        <v>-1478.701371024941</v>
      </c>
      <c r="F80" s="948" t="n">
        <v>-368986.6144222948</v>
      </c>
      <c r="G80" s="948" t="n">
        <v>-368986.6144222948</v>
      </c>
      <c r="H80" s="948" t="n">
        <v>-3765627.159287726</v>
      </c>
      <c r="I80" s="949" t="n">
        <v>-3768981.073842567</v>
      </c>
      <c r="J80" s="947" t="n">
        <v>-3353.914554840885</v>
      </c>
      <c r="S80" t="n">
        <v>8518.011044628453</v>
      </c>
      <c r="U80" t="n">
        <v>3.791961919078403</v>
      </c>
      <c r="V80" t="n">
        <v>-11875.71756138821</v>
      </c>
    </row>
    <row r="81">
      <c r="A81" s="955" t="inlineStr">
        <is>
          <t>CRPTF-GCM Middle-Market RE Partnership, L.P. (2025-01 Investment Series)</t>
        </is>
      </c>
      <c r="B81" s="948" t="n">
        <v>-19929938.45227078</v>
      </c>
      <c r="C81" s="948" t="n">
        <v>-441032.6086956522</v>
      </c>
      <c r="D81" s="948" t="n">
        <v>-441032.6086956522</v>
      </c>
      <c r="E81" s="948" t="n">
        <v>-8872.208226149643</v>
      </c>
      <c r="F81" s="948" t="n">
        <v>-2213919.686533769</v>
      </c>
      <c r="G81" s="948" t="n">
        <v>-2213919.686533769</v>
      </c>
      <c r="H81" s="948" t="n">
        <v>-22593762.95572635</v>
      </c>
      <c r="I81" s="949" t="n">
        <v>-22613886.4430554</v>
      </c>
      <c r="J81" s="947" t="n">
        <v>-20123.48732904717</v>
      </c>
      <c r="S81" t="n">
        <v>51108.06626776978</v>
      </c>
      <c r="U81" t="n">
        <v>22.75177151446951</v>
      </c>
      <c r="V81" t="n">
        <v>-71254.3053683294</v>
      </c>
    </row>
    <row r="82">
      <c r="A82" s="946" t="inlineStr">
        <is>
          <t>Legacy Knight Strategic Opportunities Fund LLC - CL Rail Series</t>
        </is>
      </c>
      <c r="B82" s="950" t="n">
        <v>-6643312.817423595</v>
      </c>
      <c r="C82" s="951" t="n">
        <v>0</v>
      </c>
      <c r="D82" s="950" t="n">
        <v>-220516.3</v>
      </c>
      <c r="E82" s="950" t="n">
        <v>-2957.402742049881</v>
      </c>
      <c r="F82" s="950" t="n">
        <v>-737973.2288445896</v>
      </c>
      <c r="G82" s="952" t="n">
        <v>195555.6341916127</v>
      </c>
      <c r="H82" s="948" t="n">
        <v>-7604759.749010234</v>
      </c>
      <c r="I82" s="949" t="n">
        <v>-7611467.578119916</v>
      </c>
      <c r="J82" s="947" t="n">
        <v>-6707.82910968177</v>
      </c>
      <c r="S82" t="n">
        <v>17036.02208925691</v>
      </c>
      <c r="U82" t="n">
        <v>7.583923838156807</v>
      </c>
      <c r="V82" t="n">
        <v>-23751.43512277643</v>
      </c>
    </row>
    <row r="83">
      <c r="A83" s="946" t="inlineStr">
        <is>
          <t>Argos Holdings, LLC</t>
        </is>
      </c>
      <c r="B83" s="950" t="n">
        <v>-260086.7464455589</v>
      </c>
      <c r="C83" s="951" t="n">
        <v>0</v>
      </c>
      <c r="D83" s="950" t="n">
        <v>-4669.25</v>
      </c>
      <c r="E83" s="950" t="n">
        <v>-115.7827846208861</v>
      </c>
      <c r="F83" s="950" t="n">
        <v>-28891.76850903584</v>
      </c>
      <c r="G83" s="952" t="n">
        <v>11620.0319629673</v>
      </c>
      <c r="H83" s="948" t="n">
        <v>-293763.5477392156</v>
      </c>
      <c r="I83" s="949" t="n">
        <v>-294026.1603086967</v>
      </c>
      <c r="J83" s="947" t="n">
        <v>-262.6125694810762</v>
      </c>
      <c r="S83" t="n">
        <v>666.9629564858624</v>
      </c>
      <c r="U83" t="n">
        <v>0.2969118165237745</v>
      </c>
      <c r="V83" t="n">
        <v>-929.8724377834478</v>
      </c>
    </row>
    <row r="84">
      <c r="A84" s="956" t="n"/>
      <c r="B84" s="957" t="n"/>
      <c r="C84" s="958" t="n"/>
      <c r="D84" s="957" t="n"/>
      <c r="E84" s="957" t="n"/>
      <c r="F84" s="957" t="n"/>
      <c r="G84" s="959" t="n"/>
      <c r="H84" s="960" t="n"/>
    </row>
    <row r="85">
      <c r="B85" s="961" t="n">
        <v>-125602254.41</v>
      </c>
      <c r="C85" s="961" t="n">
        <v>-698301.6304347827</v>
      </c>
      <c r="D85" s="961" t="n">
        <v>-2653283.885991576</v>
      </c>
      <c r="E85" s="961" t="n">
        <v>-55914.34000000003</v>
      </c>
      <c r="F85" s="961" t="n">
        <v>-13952542.02000001</v>
      </c>
      <c r="G85" s="961" t="n">
        <v>-0.0437824797736539</v>
      </c>
      <c r="H85" s="962" t="n">
        <v>-142263994.6559916</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F99"/>
  <sheetViews>
    <sheetView tabSelected="0" workbookViewId="0">
      <pane xSplit="1" ySplit="36" topLeftCell="B37" activePane="bottomRight" state="frozen"/>
      <selection pane="topRight"/>
      <selection pane="bottomLeft"/>
      <selection pane="bottomRight" activeCell="A1" sqref="A1"/>
    </sheetView>
  </sheetViews>
  <sheetFormatPr baseColWidth="8" defaultRowHeight="14.4"/>
  <cols>
    <col width="75.6640625" bestFit="1" customWidth="1" style="759" min="1" max="1"/>
    <col width="20.44140625" customWidth="1" style="759" min="2" max="2"/>
    <col width="17.33203125" customWidth="1" style="759" min="3" max="3"/>
    <col width="22.44140625" customWidth="1" style="759" min="4" max="4"/>
    <col width="16.5546875" customWidth="1" style="759" min="5" max="5"/>
    <col width="14.6640625" customWidth="1" style="759" min="7" max="7"/>
    <col width="1.88671875" customWidth="1" style="759" min="8" max="8"/>
    <col width="15" bestFit="1" customWidth="1" style="759" min="9" max="9"/>
    <col width="11.88671875" bestFit="1" customWidth="1" style="759" min="10" max="10"/>
    <col width="2.6640625" customWidth="1" style="759" min="11" max="11"/>
    <col width="14" customWidth="1" style="759" min="12" max="12"/>
    <col width="14" customWidth="1" style="759" min="21" max="21"/>
    <col width="14" customWidth="1" style="759" min="25" max="25"/>
    <col width="11.33203125" bestFit="1" customWidth="1" style="759" min="28" max="28"/>
  </cols>
  <sheetData>
    <row r="1" ht="15" customHeight="1" s="759">
      <c r="A1" s="963" t="inlineStr">
        <is>
          <t>Totals</t>
        </is>
      </c>
      <c r="B1" s="951" t="n">
        <v>189065693.37</v>
      </c>
      <c r="C1" s="951" t="n">
        <v>698301.6304347429</v>
      </c>
      <c r="D1" s="951" t="n">
        <v>8.731149137020111e-11</v>
      </c>
      <c r="E1" s="951" t="n">
        <v>148297.2146739266</v>
      </c>
      <c r="F1" s="951" t="n"/>
      <c r="G1" s="951" t="n">
        <v>142412292.2151086</v>
      </c>
      <c r="I1" s="951" t="n">
        <v>-142412291.8706655</v>
      </c>
    </row>
    <row r="2" ht="28.8" customHeight="1" s="759">
      <c r="C2" s="964" t="inlineStr">
        <is>
          <t>Tied to GCM close WB</t>
        </is>
      </c>
      <c r="D2" s="964" t="inlineStr">
        <is>
          <t>Based on recalculated GCM close</t>
        </is>
      </c>
      <c r="E2" s="964" t="inlineStr">
        <is>
          <t>Tied to LK Close WB</t>
        </is>
      </c>
      <c r="F2" s="964" t="n"/>
      <c r="L2" s="965" t="inlineStr">
        <is>
          <t>DISTRIBUTION - Subsequent Close</t>
        </is>
      </c>
      <c r="M2" s="966" t="n"/>
      <c r="N2" s="966" t="n"/>
      <c r="O2" s="966" t="n"/>
      <c r="P2" s="967" t="n"/>
      <c r="Q2" s="967" t="n"/>
      <c r="R2" s="967" t="n"/>
      <c r="S2" s="968" t="n"/>
      <c r="U2" s="969" t="inlineStr">
        <is>
          <t>MAY 2026 - Capital Call</t>
        </is>
      </c>
      <c r="V2" s="970" t="n"/>
      <c r="W2" s="971" t="n"/>
      <c r="Y2" s="972" t="n"/>
    </row>
    <row r="3" ht="57.6" customHeight="1" s="759">
      <c r="A3" s="973" t="inlineStr">
        <is>
          <t>Investor Name</t>
        </is>
      </c>
      <c r="B3" s="974" t="inlineStr">
        <is>
          <t>Total Commitment / Contributed Capital @ GCM Close</t>
        </is>
      </c>
      <c r="C3" s="974" t="inlineStr">
        <is>
          <t>Distribution - GCM Equalization</t>
        </is>
      </c>
      <c r="D3" s="974" t="inlineStr">
        <is>
          <t>Correcting Distribution (Odyssey commitment overstatement)</t>
        </is>
      </c>
      <c r="E3" s="974" t="inlineStr">
        <is>
          <t>Distribution - Legacy Knight Equalization</t>
        </is>
      </c>
      <c r="F3" s="974" t="inlineStr">
        <is>
          <t>Distribution - James &amp; Natalie Bloomingdale Equalization</t>
        </is>
      </c>
      <c r="G3" s="975" t="inlineStr">
        <is>
          <t>Ending Capital (Recalculated)</t>
        </is>
      </c>
      <c r="H3" s="975" t="n"/>
      <c r="I3" s="976" t="inlineStr">
        <is>
          <t>Ending Capital Per Sub Close WB</t>
        </is>
      </c>
      <c r="J3" s="975" t="inlineStr">
        <is>
          <t>Diff</t>
        </is>
      </c>
      <c r="L3" s="977" t="inlineStr">
        <is>
          <t>Call From Subsequent Close Investor</t>
        </is>
      </c>
      <c r="M3" s="975" t="inlineStr">
        <is>
          <t>Total GCM True-Up to Investor</t>
        </is>
      </c>
      <c r="N3" s="975" t="inlineStr">
        <is>
          <t>Total Investment Distribution to Investors</t>
        </is>
      </c>
      <c r="O3" s="975" t="inlineStr">
        <is>
          <t>Total Interest Distribution to Investors</t>
        </is>
      </c>
      <c r="P3" s="975" t="inlineStr">
        <is>
          <t>Total Distribution to Investor</t>
        </is>
      </c>
      <c r="Q3" s="975" t="inlineStr">
        <is>
          <t>Management Fee Interest Distribution</t>
        </is>
      </c>
      <c r="R3" s="975" t="inlineStr">
        <is>
          <t>Call received as of 5.18.26</t>
        </is>
      </c>
      <c r="S3" s="978" t="inlineStr">
        <is>
          <t>Net to Investor</t>
        </is>
      </c>
      <c r="U3" s="977" t="inlineStr">
        <is>
          <t>Call - Investments</t>
        </is>
      </c>
      <c r="V3" s="975" t="inlineStr">
        <is>
          <t>Call - Management Fees</t>
        </is>
      </c>
      <c r="W3" s="978" t="inlineStr">
        <is>
          <t>Total Capital Call</t>
        </is>
      </c>
      <c r="Y3" s="979" t="inlineStr">
        <is>
          <t>Net cash from/(to) investor</t>
        </is>
      </c>
    </row>
    <row r="4">
      <c r="A4" s="946" t="inlineStr">
        <is>
          <t>1999 Britta Biesecker Declaration of Trust DTD 5/12/99</t>
        </is>
      </c>
      <c r="B4" s="947" t="n">
        <v>500000</v>
      </c>
      <c r="C4" s="947" t="n">
        <v>-123101.892170701</v>
      </c>
      <c r="D4" s="947" t="n">
        <v>-335.3914554840885</v>
      </c>
      <c r="E4" s="947" t="n">
        <v>-12681.6643681703</v>
      </c>
      <c r="F4" s="947" t="n"/>
      <c r="G4" s="947" t="n">
        <v>363881.0520056446</v>
      </c>
      <c r="H4" s="947" t="n"/>
      <c r="I4" s="980" t="n">
        <v>-363881.048082341</v>
      </c>
      <c r="J4" s="947" t="n">
        <v>0.003923303622286767</v>
      </c>
      <c r="L4" s="981" t="n"/>
      <c r="M4" s="947" t="n">
        <v>-335.3914554840885</v>
      </c>
      <c r="N4" s="947" t="n">
        <v>-12681.66436817031</v>
      </c>
      <c r="O4" s="947" t="n">
        <v>-868.3349846001933</v>
      </c>
      <c r="P4" s="947" t="n">
        <v>-13885.39080825459</v>
      </c>
      <c r="Q4" s="947" t="n"/>
      <c r="R4" s="947" t="n"/>
      <c r="S4" s="982" t="n">
        <v>-13885.39080825459</v>
      </c>
      <c r="U4" s="981" t="n">
        <v>5107.495064181762</v>
      </c>
      <c r="V4" s="947" t="n">
        <v>0</v>
      </c>
      <c r="W4" s="982" t="n">
        <v>5107.495064181762</v>
      </c>
      <c r="Y4" s="983" t="n">
        <v>-8777.895744072834</v>
      </c>
    </row>
    <row r="5">
      <c r="A5" s="946" t="inlineStr">
        <is>
          <t>1999 Frederick N Biesecker II Declaration of Trust DTD 5/12/99</t>
        </is>
      </c>
      <c r="B5" s="947" t="n">
        <v>700000</v>
      </c>
      <c r="C5" s="947" t="n">
        <v>-172342.6530389813</v>
      </c>
      <c r="D5" s="947" t="n">
        <v>-469.5480376778869</v>
      </c>
      <c r="E5" s="947" t="n">
        <v>-17754.33011543844</v>
      </c>
      <c r="F5" s="947" t="n"/>
      <c r="G5" s="947" t="n">
        <v>509433.4688079024</v>
      </c>
      <c r="H5" s="947" t="n"/>
      <c r="I5" s="980" t="n">
        <v>-509433.471315278</v>
      </c>
      <c r="J5" s="947" t="n">
        <v>-0.002507375553250313</v>
      </c>
      <c r="L5" s="981" t="n"/>
      <c r="M5" s="947" t="n">
        <v>-469.5480376778869</v>
      </c>
      <c r="N5" s="947" t="n">
        <v>-17754.33011543844</v>
      </c>
      <c r="O5" s="947" t="n">
        <v>-1215.66897844027</v>
      </c>
      <c r="P5" s="947" t="n">
        <v>-19439.5471315566</v>
      </c>
      <c r="Q5" s="947" t="n"/>
      <c r="R5" s="947" t="n"/>
      <c r="S5" s="982" t="n">
        <v>-19439.5471315566</v>
      </c>
      <c r="U5" s="981" t="n">
        <v>7150.493089854467</v>
      </c>
      <c r="V5" s="947" t="n">
        <v>0</v>
      </c>
      <c r="W5" s="982" t="n">
        <v>7150.493089854467</v>
      </c>
      <c r="Y5" s="983" t="n">
        <v>-12289.05404170213</v>
      </c>
    </row>
    <row r="6">
      <c r="A6" s="946" t="inlineStr">
        <is>
          <t>1999 Lissa Biesecker Longacre Declaration of Trust DTD 5/12/99</t>
        </is>
      </c>
      <c r="B6" s="947" t="n">
        <v>600000</v>
      </c>
      <c r="C6" s="947" t="n">
        <v>-147722.2726048408</v>
      </c>
      <c r="D6" s="947" t="n">
        <v>-402.4697465809295</v>
      </c>
      <c r="E6" s="947" t="n">
        <v>-15217.99724180432</v>
      </c>
      <c r="F6" s="947" t="n"/>
      <c r="G6" s="947" t="n">
        <v>436657.2604067739</v>
      </c>
      <c r="H6" s="947" t="n"/>
      <c r="I6" s="980" t="n">
        <v>-436657.2596988098</v>
      </c>
      <c r="J6" s="947" t="n">
        <v>0.0007079641800373793</v>
      </c>
      <c r="L6" s="981" t="n"/>
      <c r="M6" s="947" t="n">
        <v>-402.4697465809295</v>
      </c>
      <c r="N6" s="947" t="n">
        <v>-15217.99724180432</v>
      </c>
      <c r="O6" s="947" t="n">
        <v>-1042.001981520232</v>
      </c>
      <c r="P6" s="947" t="n">
        <v>-16662.46896990548</v>
      </c>
      <c r="Q6" s="947" t="n"/>
      <c r="R6" s="947" t="n"/>
      <c r="S6" s="982" t="n">
        <v>-16662.46896990548</v>
      </c>
      <c r="U6" s="981" t="n">
        <v>6128.994077018116</v>
      </c>
      <c r="V6" s="947" t="n">
        <v>0</v>
      </c>
      <c r="W6" s="982" t="n">
        <v>6128.994077018116</v>
      </c>
      <c r="Y6" s="983" t="n">
        <v>-10533.47489288736</v>
      </c>
    </row>
    <row r="7">
      <c r="A7" s="946" t="inlineStr">
        <is>
          <t>Abigail Levy</t>
        </is>
      </c>
      <c r="B7" s="947" t="n">
        <v>750000</v>
      </c>
      <c r="C7" s="947" t="n">
        <v>-184652.8432560511</v>
      </c>
      <c r="D7" s="947" t="n">
        <v>-503.0871832262492</v>
      </c>
      <c r="E7" s="947" t="n">
        <v>-19022.49655225547</v>
      </c>
      <c r="F7" s="947" t="n"/>
      <c r="G7" s="947" t="n">
        <v>545821.5730084672</v>
      </c>
      <c r="H7" s="947" t="n"/>
      <c r="I7" s="980" t="n">
        <v>-545821.5821235121</v>
      </c>
      <c r="J7" s="947" t="n">
        <v>-0.009115044842474163</v>
      </c>
      <c r="L7" s="981" t="n"/>
      <c r="M7" s="947" t="n">
        <v>-503.0871832262492</v>
      </c>
      <c r="N7" s="947" t="n">
        <v>-19022.49655225547</v>
      </c>
      <c r="O7" s="947" t="n">
        <v>-1302.50247690029</v>
      </c>
      <c r="P7" s="947" t="n">
        <v>-20828.08621238201</v>
      </c>
      <c r="Q7" s="947" t="n"/>
      <c r="R7" s="947" t="n"/>
      <c r="S7" s="982" t="n">
        <v>-20828.08621238201</v>
      </c>
      <c r="U7" s="981" t="n">
        <v>7661.242596272645</v>
      </c>
      <c r="V7" s="947" t="n">
        <v>0</v>
      </c>
      <c r="W7" s="982" t="n">
        <v>7661.242596272645</v>
      </c>
      <c r="Y7" s="983" t="n">
        <v>-13166.84361610936</v>
      </c>
    </row>
    <row r="8">
      <c r="A8" s="946" t="inlineStr">
        <is>
          <t>AKWT LLC</t>
        </is>
      </c>
      <c r="B8" s="947" t="n">
        <v>78300.32000000001</v>
      </c>
      <c r="C8" s="947" t="n">
        <v>-19495.07859961313</v>
      </c>
      <c r="D8" s="947" t="n">
        <v>-52.52251657933812</v>
      </c>
      <c r="E8" s="947" t="n">
        <v>-1985.956756320666</v>
      </c>
      <c r="F8" s="947" t="n"/>
      <c r="G8" s="947" t="n">
        <v>56766.76212748687</v>
      </c>
      <c r="H8" s="947" t="n"/>
      <c r="I8" s="980" t="n">
        <v>-56766.76574521985</v>
      </c>
      <c r="J8" s="947" t="n">
        <v>-0.003617732974817045</v>
      </c>
      <c r="L8" s="981" t="n"/>
      <c r="M8" s="947" t="n">
        <v>-52.52251657933812</v>
      </c>
      <c r="N8" s="947" t="n">
        <v>-1985.956756320666</v>
      </c>
      <c r="O8" s="947" t="n">
        <v>-135.9818143227804</v>
      </c>
      <c r="P8" s="947" t="n">
        <v>-2174.461087222784</v>
      </c>
      <c r="Q8" s="947" t="n"/>
      <c r="R8" s="947" t="n"/>
      <c r="S8" s="982" t="n">
        <v>-2174.461087222784</v>
      </c>
      <c r="U8" s="981" t="n">
        <v>799.8369958477051</v>
      </c>
      <c r="V8" s="947" t="n">
        <v>0</v>
      </c>
      <c r="W8" s="982" t="n">
        <v>799.8369958477051</v>
      </c>
      <c r="Y8" s="983" t="n">
        <v>-1374.624091375079</v>
      </c>
    </row>
    <row r="9">
      <c r="A9" s="946" t="inlineStr">
        <is>
          <t>Alexander S. Bloomingdale</t>
        </is>
      </c>
      <c r="B9" s="947" t="n">
        <v>144197.96</v>
      </c>
      <c r="C9" s="947" t="n">
        <v>-36027.74302599599</v>
      </c>
      <c r="D9" s="947" t="n">
        <v>-96.7255273644696</v>
      </c>
      <c r="E9" s="947" t="n">
        <v>-3657.340262589714</v>
      </c>
      <c r="F9" s="947" t="n"/>
      <c r="G9" s="947" t="n">
        <v>104416.1511840498</v>
      </c>
      <c r="H9" s="947" t="n"/>
      <c r="I9" s="980" t="n">
        <v>-104416.1504685395</v>
      </c>
      <c r="J9" s="947" t="n">
        <v>0.0007155103085096925</v>
      </c>
      <c r="L9" s="981" t="n"/>
      <c r="M9" s="947" t="n">
        <v>-96.7255273644696</v>
      </c>
      <c r="N9" s="947" t="n">
        <v>-3657.340262589714</v>
      </c>
      <c r="O9" s="947" t="n">
        <v>-250.4242667519586</v>
      </c>
      <c r="P9" s="947" t="n">
        <v>-4004.490056706142</v>
      </c>
      <c r="Q9" s="947" t="n"/>
      <c r="R9" s="947" t="n"/>
      <c r="S9" s="982" t="n">
        <v>-4004.490056706142</v>
      </c>
      <c r="U9" s="981" t="n">
        <v>1472.980737930159</v>
      </c>
      <c r="V9" s="947" t="n">
        <v>0</v>
      </c>
      <c r="W9" s="982" t="n">
        <v>1472.980737930159</v>
      </c>
      <c r="Y9" s="983" t="n">
        <v>-2531.509318775984</v>
      </c>
    </row>
    <row r="10">
      <c r="A10" s="946" t="inlineStr">
        <is>
          <t>Alexander Sharpe Moore</t>
        </is>
      </c>
      <c r="B10" s="947" t="n">
        <v>156600.63</v>
      </c>
      <c r="C10" s="947" t="n">
        <v>-38990.16574423623</v>
      </c>
      <c r="D10" s="947" t="n">
        <v>-105.0450264508545</v>
      </c>
      <c r="E10" s="947" t="n">
        <v>-3971.913259008041</v>
      </c>
      <c r="F10" s="947" t="n"/>
      <c r="G10" s="947" t="n">
        <v>113533.5059703049</v>
      </c>
      <c r="H10" s="947" t="n"/>
      <c r="I10" s="980" t="n">
        <v>-113533.5043598295</v>
      </c>
      <c r="J10" s="947" t="n">
        <v>0.001610475359484553</v>
      </c>
      <c r="L10" s="981" t="n"/>
      <c r="M10" s="947" t="n">
        <v>-105.0450264508545</v>
      </c>
      <c r="N10" s="947" t="n">
        <v>-3971.913259008041</v>
      </c>
      <c r="O10" s="947" t="n">
        <v>-271.9636112788611</v>
      </c>
      <c r="P10" s="947" t="n">
        <v>-4348.921896737756</v>
      </c>
      <c r="Q10" s="947" t="n"/>
      <c r="R10" s="947" t="n"/>
      <c r="S10" s="982" t="n">
        <v>-4348.921896737756</v>
      </c>
      <c r="U10" s="981" t="n">
        <v>1599.673889545509</v>
      </c>
      <c r="V10" s="947" t="n">
        <v>0</v>
      </c>
      <c r="W10" s="982" t="n">
        <v>1599.673889545509</v>
      </c>
      <c r="Y10" s="983" t="n">
        <v>-2749.248007192247</v>
      </c>
    </row>
    <row r="11">
      <c r="A11" s="946" t="inlineStr">
        <is>
          <t>All Dogs Go To Heaven, LLC</t>
        </is>
      </c>
      <c r="B11" s="947" t="n">
        <v>523296.86</v>
      </c>
      <c r="C11" s="947" t="n">
        <v>-130540.7489408514</v>
      </c>
      <c r="D11" s="947" t="n">
        <v>-351.0185910513392</v>
      </c>
      <c r="E11" s="947" t="n">
        <v>-13272.55028687487</v>
      </c>
      <c r="F11" s="947" t="n"/>
      <c r="G11" s="947" t="n">
        <v>379132.5421812224</v>
      </c>
      <c r="H11" s="947" t="n"/>
      <c r="I11" s="980" t="n">
        <v>-379132.5439115182</v>
      </c>
      <c r="J11" s="947" t="n">
        <v>-0.001730295771267265</v>
      </c>
      <c r="L11" s="981" t="n"/>
      <c r="M11" s="947" t="n">
        <v>-351.0185910513392</v>
      </c>
      <c r="N11" s="947" t="n">
        <v>-13272.55028687487</v>
      </c>
      <c r="O11" s="947" t="n">
        <v>-908.7939417388588</v>
      </c>
      <c r="P11" s="947" t="n">
        <v>-14532.36281966507</v>
      </c>
      <c r="Q11" s="947" t="n"/>
      <c r="R11" s="947" t="n"/>
      <c r="S11" s="982" t="n">
        <v>-14532.36281966507</v>
      </c>
      <c r="U11" s="981" t="n">
        <v>5345.47225910363</v>
      </c>
      <c r="V11" s="947" t="n">
        <v>0</v>
      </c>
      <c r="W11" s="982" t="n">
        <v>5345.47225910363</v>
      </c>
      <c r="Y11" s="983" t="n">
        <v>-9186.890560561442</v>
      </c>
    </row>
    <row r="12">
      <c r="A12" s="946" t="inlineStr">
        <is>
          <t>Alten Investments LLC</t>
        </is>
      </c>
      <c r="B12" s="947" t="n">
        <v>1000000</v>
      </c>
      <c r="C12" s="947" t="n">
        <v>-246203.7843414015</v>
      </c>
      <c r="D12" s="947" t="n">
        <v>-670.782910968177</v>
      </c>
      <c r="E12" s="947" t="n">
        <v>-25363.32873634063</v>
      </c>
      <c r="F12" s="947" t="n"/>
      <c r="G12" s="947" t="n">
        <v>727762.1040112897</v>
      </c>
      <c r="H12" s="947" t="n"/>
      <c r="I12" s="980" t="n">
        <v>-727762.1061646828</v>
      </c>
      <c r="J12" s="947" t="n">
        <v>-0.002153393113985658</v>
      </c>
      <c r="L12" s="981" t="n"/>
      <c r="M12" s="947" t="n">
        <v>-670.782910968177</v>
      </c>
      <c r="N12" s="947" t="n">
        <v>-25363.32873634063</v>
      </c>
      <c r="O12" s="947" t="n">
        <v>-1736.669969200387</v>
      </c>
      <c r="P12" s="947" t="n">
        <v>-27770.78161650919</v>
      </c>
      <c r="Q12" s="947" t="n"/>
      <c r="R12" s="947" t="n"/>
      <c r="S12" s="982" t="n">
        <v>-27770.78161650919</v>
      </c>
      <c r="U12" s="981" t="n">
        <v>10214.99012836352</v>
      </c>
      <c r="V12" s="947" t="n">
        <v>0</v>
      </c>
      <c r="W12" s="982" t="n">
        <v>10214.99012836352</v>
      </c>
      <c r="Y12" s="983" t="n">
        <v>-17555.79148814567</v>
      </c>
    </row>
    <row r="13">
      <c r="A13" s="946" t="inlineStr">
        <is>
          <t>Avery Ryan Klann</t>
        </is>
      </c>
      <c r="B13" s="947" t="n">
        <v>391501.58</v>
      </c>
      <c r="C13" s="947" t="n">
        <v>-97475.42008808552</v>
      </c>
      <c r="D13" s="947" t="n">
        <v>-262.6125694810762</v>
      </c>
      <c r="E13" s="947" t="n">
        <v>-9929.78327433666</v>
      </c>
      <c r="F13" s="947" t="n"/>
      <c r="G13" s="947" t="n">
        <v>283833.7640680968</v>
      </c>
      <c r="H13" s="947" t="n"/>
      <c r="I13" s="980" t="n">
        <v>-283833.7644648789</v>
      </c>
      <c r="J13" s="947" t="n">
        <v>-0.0003967821248807013</v>
      </c>
      <c r="L13" s="981" t="n"/>
      <c r="M13" s="947" t="n">
        <v>-262.6125694810762</v>
      </c>
      <c r="N13" s="947" t="n">
        <v>-9929.78327433666</v>
      </c>
      <c r="O13" s="947" t="n">
        <v>-679.9090368805026</v>
      </c>
      <c r="P13" s="947" t="n">
        <v>-10872.30488069824</v>
      </c>
      <c r="Q13" s="947" t="n"/>
      <c r="R13" s="947" t="n"/>
      <c r="S13" s="982" t="n">
        <v>-10872.30488069824</v>
      </c>
      <c r="U13" s="981" t="n">
        <v>3999.184774938723</v>
      </c>
      <c r="V13" s="947" t="n">
        <v>0</v>
      </c>
      <c r="W13" s="982" t="n">
        <v>3999.184774938723</v>
      </c>
      <c r="Y13" s="983" t="n">
        <v>-6873.120105759515</v>
      </c>
    </row>
    <row r="14">
      <c r="A14" s="946" t="inlineStr">
        <is>
          <t>BBR Real Assets Fund 2024 LLC</t>
        </is>
      </c>
      <c r="B14" s="947" t="n">
        <v>10000000</v>
      </c>
      <c r="C14" s="947" t="n">
        <v>-2462037.873414014</v>
      </c>
      <c r="D14" s="947" t="n">
        <v>-6707.82910968177</v>
      </c>
      <c r="E14" s="947" t="n">
        <v>-253633.2873634063</v>
      </c>
      <c r="F14" s="947" t="n"/>
      <c r="G14" s="947" t="n">
        <v>7277621.010112898</v>
      </c>
      <c r="H14" s="947" t="n"/>
      <c r="I14" s="980" t="n">
        <v>-7277621.011646828</v>
      </c>
      <c r="J14" s="947" t="n">
        <v>-0.001533929258584976</v>
      </c>
      <c r="L14" s="981" t="n"/>
      <c r="M14" s="947" t="n">
        <v>-6707.82910968177</v>
      </c>
      <c r="N14" s="947" t="n">
        <v>-253633.2873634063</v>
      </c>
      <c r="O14" s="947" t="n">
        <v>-17366.69969200387</v>
      </c>
      <c r="P14" s="947" t="n">
        <v>-277707.8161650919</v>
      </c>
      <c r="Q14" s="947" t="n"/>
      <c r="R14" s="947" t="n"/>
      <c r="S14" s="982" t="n">
        <v>-277707.8161650919</v>
      </c>
      <c r="U14" s="981" t="n">
        <v>102149.9012836352</v>
      </c>
      <c r="V14" s="947" t="n">
        <v>0</v>
      </c>
      <c r="W14" s="982" t="n">
        <v>102149.9012836352</v>
      </c>
      <c r="Y14" s="983" t="n">
        <v>-175557.9148814567</v>
      </c>
    </row>
    <row r="15">
      <c r="A15" s="946" t="inlineStr">
        <is>
          <t>Belclaire Asset Management, LLC</t>
        </is>
      </c>
      <c r="B15" s="947" t="n">
        <v>914798.4399999999</v>
      </c>
      <c r="C15" s="947" t="n">
        <v>-228016.1590289368</v>
      </c>
      <c r="D15" s="947" t="n">
        <v>-613.6311605327064</v>
      </c>
      <c r="E15" s="947" t="n">
        <v>-23202.33356121148</v>
      </c>
      <c r="F15" s="947" t="n"/>
      <c r="G15" s="947" t="n">
        <v>662966.316249319</v>
      </c>
      <c r="H15" s="947" t="n"/>
      <c r="I15" s="980" t="n">
        <v>-662966.3183763969</v>
      </c>
      <c r="J15" s="947" t="n">
        <v>-0.002127077896147966</v>
      </c>
      <c r="L15" s="981" t="n"/>
      <c r="M15" s="947" t="n">
        <v>-613.6311605327064</v>
      </c>
      <c r="N15" s="947" t="n">
        <v>-23202.33356121148</v>
      </c>
      <c r="O15" s="947" t="n">
        <v>-1588.702978619361</v>
      </c>
      <c r="P15" s="947" t="n">
        <v>-25404.66770036354</v>
      </c>
      <c r="Q15" s="947" t="n"/>
      <c r="R15" s="947" t="n"/>
      <c r="S15" s="982" t="n">
        <v>-25404.66770036354</v>
      </c>
      <c r="U15" s="981" t="n">
        <v>9344.657034042351</v>
      </c>
      <c r="V15" s="947" t="n">
        <v>0</v>
      </c>
      <c r="W15" s="982" t="n">
        <v>9344.657034042351</v>
      </c>
      <c r="Y15" s="983" t="n">
        <v>-16060.01066632119</v>
      </c>
    </row>
    <row r="16">
      <c r="A16" s="946" t="inlineStr">
        <is>
          <t>Benaiah Inc.</t>
        </is>
      </c>
      <c r="B16" s="947" t="n">
        <v>914798.4399999999</v>
      </c>
      <c r="C16" s="947" t="n">
        <v>-228016.1590289368</v>
      </c>
      <c r="D16" s="947" t="n">
        <v>-613.6311605327064</v>
      </c>
      <c r="E16" s="947" t="n">
        <v>-23202.33356121148</v>
      </c>
      <c r="F16" s="947" t="n"/>
      <c r="G16" s="947" t="n">
        <v>662966.316249319</v>
      </c>
      <c r="H16" s="947" t="n"/>
      <c r="I16" s="980" t="n">
        <v>-662966.3183763969</v>
      </c>
      <c r="J16" s="947" t="n">
        <v>-0.002127077896147966</v>
      </c>
      <c r="L16" s="981" t="n"/>
      <c r="M16" s="947" t="n">
        <v>-613.6311605327064</v>
      </c>
      <c r="N16" s="947" t="n">
        <v>-23202.33356121148</v>
      </c>
      <c r="O16" s="947" t="n">
        <v>-1588.702978619361</v>
      </c>
      <c r="P16" s="947" t="n">
        <v>-25404.66770036354</v>
      </c>
      <c r="Q16" s="947" t="n"/>
      <c r="R16" s="947" t="n"/>
      <c r="S16" s="982" t="n">
        <v>-25404.66770036354</v>
      </c>
      <c r="U16" s="981" t="n">
        <v>9344.657034042351</v>
      </c>
      <c r="V16" s="947" t="n">
        <v>0</v>
      </c>
      <c r="W16" s="982" t="n">
        <v>9344.657034042351</v>
      </c>
      <c r="Y16" s="983" t="n">
        <v>-16060.01066632119</v>
      </c>
    </row>
    <row r="17">
      <c r="A17" s="946" t="inlineStr">
        <is>
          <t>Benjamin Johnson</t>
        </is>
      </c>
      <c r="B17" s="947" t="n">
        <v>78300.32000000001</v>
      </c>
      <c r="C17" s="947" t="n">
        <v>-19495.07859961313</v>
      </c>
      <c r="D17" s="947" t="n">
        <v>-52.52251657933812</v>
      </c>
      <c r="E17" s="947" t="n">
        <v>-1985.956756320666</v>
      </c>
      <c r="F17" s="947" t="n"/>
      <c r="G17" s="947" t="n">
        <v>56766.76212748687</v>
      </c>
      <c r="H17" s="947" t="n"/>
      <c r="I17" s="980" t="n">
        <v>-56766.76574521985</v>
      </c>
      <c r="J17" s="947" t="n">
        <v>-0.003617732974817045</v>
      </c>
      <c r="L17" s="981" t="n"/>
      <c r="M17" s="947" t="n">
        <v>-52.52251657933812</v>
      </c>
      <c r="N17" s="947" t="n">
        <v>-1985.956756320666</v>
      </c>
      <c r="O17" s="947" t="n">
        <v>-135.9818143227804</v>
      </c>
      <c r="P17" s="947" t="n">
        <v>-2174.461087222784</v>
      </c>
      <c r="Q17" s="947" t="n"/>
      <c r="R17" s="947" t="n"/>
      <c r="S17" s="982" t="n">
        <v>-2174.461087222784</v>
      </c>
      <c r="U17" s="981" t="n">
        <v>799.8369958477051</v>
      </c>
      <c r="V17" s="947" t="n">
        <v>0</v>
      </c>
      <c r="W17" s="982" t="n">
        <v>799.8369958477051</v>
      </c>
      <c r="Y17" s="983" t="n">
        <v>-1374.624091375079</v>
      </c>
    </row>
    <row r="18">
      <c r="A18" s="946" t="inlineStr">
        <is>
          <t>Bloomingdale Family Trust Share #3</t>
        </is>
      </c>
      <c r="B18" s="947" t="n">
        <v>234900.95</v>
      </c>
      <c r="C18" s="947" t="n">
        <v>-58485.24434384934</v>
      </c>
      <c r="D18" s="947" t="n">
        <v>-157.5675430302508</v>
      </c>
      <c r="E18" s="947" t="n">
        <v>-5957.870015328663</v>
      </c>
      <c r="F18" s="947" t="n"/>
      <c r="G18" s="947" t="n">
        <v>170300.2680977918</v>
      </c>
      <c r="H18" s="947" t="n"/>
      <c r="I18" s="980" t="n">
        <v>-170300.2701050494</v>
      </c>
      <c r="J18" s="947" t="n">
        <v>-0.002007257600780576</v>
      </c>
      <c r="L18" s="981" t="n"/>
      <c r="M18" s="947" t="n">
        <v>-157.5675430302508</v>
      </c>
      <c r="N18" s="947" t="n">
        <v>-5957.870015328663</v>
      </c>
      <c r="O18" s="947" t="n">
        <v>-407.9454256016415</v>
      </c>
      <c r="P18" s="947" t="n">
        <v>-6523.382983960555</v>
      </c>
      <c r="Q18" s="947" t="n"/>
      <c r="R18" s="947" t="n"/>
      <c r="S18" s="982" t="n">
        <v>-6523.382983960555</v>
      </c>
      <c r="U18" s="981" t="n">
        <v>2399.510885393214</v>
      </c>
      <c r="V18" s="947" t="n">
        <v>0</v>
      </c>
      <c r="W18" s="982" t="n">
        <v>2399.510885393214</v>
      </c>
      <c r="Y18" s="983" t="n">
        <v>-4123.872098567341</v>
      </c>
    </row>
    <row r="19">
      <c r="A19" s="946" t="inlineStr">
        <is>
          <t>Brian Carroll 2011 Long-Term Trust</t>
        </is>
      </c>
      <c r="B19" s="947" t="n">
        <v>500000</v>
      </c>
      <c r="C19" s="947" t="n">
        <v>-123101.8921707008</v>
      </c>
      <c r="D19" s="947" t="n">
        <v>-335.3914554840885</v>
      </c>
      <c r="E19" s="947" t="n">
        <v>-12681.66436817031</v>
      </c>
      <c r="F19" s="947" t="n"/>
      <c r="G19" s="947" t="n">
        <v>363881.0520056448</v>
      </c>
      <c r="H19" s="947" t="n"/>
      <c r="I19" s="980" t="n">
        <v>-363881.0480823414</v>
      </c>
      <c r="J19" s="947" t="n">
        <v>0.003923303447663784</v>
      </c>
      <c r="L19" s="981" t="n"/>
      <c r="M19" s="947" t="n">
        <v>-335.3914554840885</v>
      </c>
      <c r="N19" s="947" t="n">
        <v>-12681.66436817031</v>
      </c>
      <c r="O19" s="947" t="n">
        <v>-868.3349846001933</v>
      </c>
      <c r="P19" s="947" t="n">
        <v>-13885.39080825459</v>
      </c>
      <c r="Q19" s="947" t="n"/>
      <c r="R19" s="947" t="n"/>
      <c r="S19" s="982" t="n">
        <v>-13885.39080825459</v>
      </c>
      <c r="U19" s="981" t="n">
        <v>5107.495064181762</v>
      </c>
      <c r="V19" s="947" t="n">
        <v>0</v>
      </c>
      <c r="W19" s="982" t="n">
        <v>5107.495064181762</v>
      </c>
      <c r="Y19" s="983" t="n">
        <v>-8777.895744072834</v>
      </c>
    </row>
    <row r="20">
      <c r="A20" s="946" t="inlineStr">
        <is>
          <t>Bryan C. White LLC</t>
        </is>
      </c>
      <c r="B20" s="947" t="n">
        <v>195750.79</v>
      </c>
      <c r="C20" s="947" t="n">
        <v>-48737.69504404278</v>
      </c>
      <c r="D20" s="947" t="n">
        <v>-131.3062847405381</v>
      </c>
      <c r="E20" s="947" t="n">
        <v>-4964.89163716833</v>
      </c>
      <c r="F20" s="947" t="n"/>
      <c r="G20" s="947" t="n">
        <v>141916.8970340484</v>
      </c>
      <c r="H20" s="947" t="n"/>
      <c r="I20" s="980" t="n">
        <v>-141916.8972324395</v>
      </c>
      <c r="J20" s="947" t="n">
        <v>-0.0001983910915441811</v>
      </c>
      <c r="L20" s="981" t="n"/>
      <c r="M20" s="947" t="n">
        <v>-131.3062847405381</v>
      </c>
      <c r="N20" s="947" t="n">
        <v>-4964.89163716833</v>
      </c>
      <c r="O20" s="947" t="n">
        <v>-339.9545184402513</v>
      </c>
      <c r="P20" s="947" t="n">
        <v>-5436.152440349119</v>
      </c>
      <c r="Q20" s="947" t="n"/>
      <c r="R20" s="947" t="n"/>
      <c r="S20" s="982" t="n">
        <v>-5436.152440349119</v>
      </c>
      <c r="U20" s="981" t="n">
        <v>1999.592387469361</v>
      </c>
      <c r="V20" s="947" t="n">
        <v>0</v>
      </c>
      <c r="W20" s="982" t="n">
        <v>1999.592387469361</v>
      </c>
      <c r="Y20" s="983" t="n">
        <v>-3436.560052879758</v>
      </c>
    </row>
    <row r="21">
      <c r="A21" s="946" t="inlineStr">
        <is>
          <t>Cameron J. Tringale</t>
        </is>
      </c>
      <c r="B21" s="947" t="n">
        <v>500000</v>
      </c>
      <c r="C21" s="947" t="n">
        <v>-119426.6121707008</v>
      </c>
      <c r="D21" s="947" t="n">
        <v>-335.3914554840885</v>
      </c>
      <c r="E21" s="947" t="n">
        <v>-12681.66436817031</v>
      </c>
      <c r="F21" s="947" t="n"/>
      <c r="G21" s="947" t="n">
        <v>367556.3320056448</v>
      </c>
      <c r="H21" s="947" t="n"/>
      <c r="I21" s="980" t="n">
        <v>-367556.3280823414</v>
      </c>
      <c r="J21" s="947" t="n">
        <v>0.003923303389456123</v>
      </c>
      <c r="L21" s="981" t="n"/>
      <c r="M21" s="947" t="n">
        <v>-335.3914554840885</v>
      </c>
      <c r="N21" s="947" t="n">
        <v>-12681.66436817031</v>
      </c>
      <c r="O21" s="947" t="n">
        <v>-868.3349846001933</v>
      </c>
      <c r="P21" s="947" t="n">
        <v>-13885.39080825459</v>
      </c>
      <c r="Q21" s="947" t="n"/>
      <c r="R21" s="947" t="n"/>
      <c r="S21" s="982" t="n">
        <v>-13885.39080825459</v>
      </c>
      <c r="U21" s="981" t="n">
        <v>5107.495064181762</v>
      </c>
      <c r="V21" s="947" t="n">
        <v>0</v>
      </c>
      <c r="W21" s="982" t="n">
        <v>5107.495064181762</v>
      </c>
      <c r="Y21" s="983" t="n">
        <v>-8777.895744072834</v>
      </c>
    </row>
    <row r="22">
      <c r="A22" s="946" t="inlineStr">
        <is>
          <t>Charing Hatcherville LLC</t>
        </is>
      </c>
      <c r="B22" s="947" t="n">
        <v>50964145.41</v>
      </c>
      <c r="C22" s="947" t="n">
        <v>-12688968.60426542</v>
      </c>
      <c r="D22" s="947" t="n">
        <v>-34185.87781312317</v>
      </c>
      <c r="E22" s="947" t="n">
        <v>-1292620.373800494</v>
      </c>
      <c r="F22" s="947" t="n"/>
      <c r="G22" s="947" t="n">
        <v>36948370.55412096</v>
      </c>
      <c r="H22" s="947" t="n"/>
      <c r="I22" s="980" t="n">
        <v>-36948370.49401925</v>
      </c>
      <c r="J22" s="947" t="n">
        <v>0.0601017102599144</v>
      </c>
      <c r="L22" s="981" t="n"/>
      <c r="M22" s="947" t="n">
        <v>-34185.87781312317</v>
      </c>
      <c r="N22" s="947" t="n">
        <v>-1292620.373800494</v>
      </c>
      <c r="O22" s="947" t="n">
        <v>-88507.9008395087</v>
      </c>
      <c r="P22" s="947" t="n">
        <v>-1415314.152453126</v>
      </c>
      <c r="Q22" s="947" t="n"/>
      <c r="R22" s="947" t="n"/>
      <c r="S22" s="982" t="n">
        <v>-1415314.152453126</v>
      </c>
      <c r="U22" s="981" t="n">
        <v>520598.2422636333</v>
      </c>
      <c r="V22" s="947" t="n">
        <v>0</v>
      </c>
      <c r="W22" s="982" t="n">
        <v>520598.2422636333</v>
      </c>
      <c r="Y22" s="983" t="n">
        <v>-894715.9101894924</v>
      </c>
    </row>
    <row r="23">
      <c r="A23" s="946" t="inlineStr">
        <is>
          <t>Charing Silsbee, LLC</t>
        </is>
      </c>
      <c r="B23" s="947" t="n">
        <v>6326173.38</v>
      </c>
      <c r="C23" s="947" t="n">
        <v>-1587135.717075915</v>
      </c>
      <c r="D23" s="947" t="n">
        <v>-4243.488995125517</v>
      </c>
      <c r="E23" s="947" t="n">
        <v>-160452.8150800271</v>
      </c>
      <c r="F23" s="947" t="n"/>
      <c r="G23" s="947" t="n">
        <v>4574341.358848932</v>
      </c>
      <c r="H23" s="947" t="n"/>
      <c r="I23" s="980" t="n">
        <v>-4574341.359781929</v>
      </c>
      <c r="J23" s="947" t="n">
        <v>-0.0009329970926046371</v>
      </c>
      <c r="L23" s="981" t="n"/>
      <c r="M23" s="947" t="n">
        <v>-4243.488995125517</v>
      </c>
      <c r="N23" s="947" t="n">
        <v>-160452.8150800271</v>
      </c>
      <c r="O23" s="947" t="n">
        <v>-10986.4753290009</v>
      </c>
      <c r="P23" s="947" t="n">
        <v>-175682.7794041535</v>
      </c>
      <c r="Q23" s="947" t="n"/>
      <c r="R23" s="947" t="n"/>
      <c r="S23" s="982" t="n">
        <v>-175682.7794041535</v>
      </c>
      <c r="U23" s="981" t="n">
        <v>64621.79862701611</v>
      </c>
      <c r="V23" s="947" t="n">
        <v>0</v>
      </c>
      <c r="W23" s="982" t="n">
        <v>64621.79862701611</v>
      </c>
      <c r="Y23" s="983" t="n">
        <v>-111060.9807771374</v>
      </c>
    </row>
    <row r="24">
      <c r="A24" s="946" t="inlineStr">
        <is>
          <t>Chase F. Monroe</t>
        </is>
      </c>
      <c r="B24" s="947" t="n">
        <v>195750.79</v>
      </c>
      <c r="C24" s="947" t="n">
        <v>-48737.69504404278</v>
      </c>
      <c r="D24" s="947" t="n">
        <v>-131.3062847405381</v>
      </c>
      <c r="E24" s="947" t="n">
        <v>-4964.89163716833</v>
      </c>
      <c r="F24" s="947" t="n"/>
      <c r="G24" s="947" t="n">
        <v>141916.8970340484</v>
      </c>
      <c r="H24" s="947" t="n"/>
      <c r="I24" s="980" t="n">
        <v>-141916.8972324395</v>
      </c>
      <c r="J24" s="947" t="n">
        <v>-0.0001983910915441811</v>
      </c>
      <c r="L24" s="981" t="n"/>
      <c r="M24" s="947" t="n">
        <v>-131.3062847405381</v>
      </c>
      <c r="N24" s="947" t="n">
        <v>-4964.89163716833</v>
      </c>
      <c r="O24" s="947" t="n">
        <v>-339.9545184402513</v>
      </c>
      <c r="P24" s="947" t="n">
        <v>-5436.152440349119</v>
      </c>
      <c r="Q24" s="947" t="n"/>
      <c r="R24" s="947" t="n"/>
      <c r="S24" s="982" t="n">
        <v>-5436.152440349119</v>
      </c>
      <c r="U24" s="981" t="n">
        <v>1999.592387469361</v>
      </c>
      <c r="V24" s="947" t="n">
        <v>0</v>
      </c>
      <c r="W24" s="982" t="n">
        <v>1999.592387469361</v>
      </c>
      <c r="Y24" s="983" t="n">
        <v>-3436.560052879758</v>
      </c>
    </row>
    <row r="25">
      <c r="A25" s="946" t="inlineStr">
        <is>
          <t>Chase The Lion, Inc.</t>
        </is>
      </c>
      <c r="B25" s="947" t="n">
        <v>1212491.36</v>
      </c>
      <c r="C25" s="947" t="n">
        <v>-301499.4827422256</v>
      </c>
      <c r="D25" s="947" t="n">
        <v>-813.3184839845635</v>
      </c>
      <c r="E25" s="947" t="n">
        <v>-30752.81695365265</v>
      </c>
      <c r="F25" s="947" t="n"/>
      <c r="G25" s="947" t="n">
        <v>879425.7418201372</v>
      </c>
      <c r="H25" s="947" t="n"/>
      <c r="I25" s="980" t="n">
        <v>-879425.7441628244</v>
      </c>
      <c r="J25" s="947" t="n">
        <v>-0.002342687104828656</v>
      </c>
      <c r="L25" s="981" t="n"/>
      <c r="M25" s="947" t="n">
        <v>-813.3184839845635</v>
      </c>
      <c r="N25" s="947" t="n">
        <v>-30752.81695365265</v>
      </c>
      <c r="O25" s="947" t="n">
        <v>-2105.697332826935</v>
      </c>
      <c r="P25" s="947" t="n">
        <v>-33671.83277046416</v>
      </c>
      <c r="Q25" s="947" t="n"/>
      <c r="R25" s="947" t="n"/>
      <c r="S25" s="982" t="n">
        <v>-33671.83277046416</v>
      </c>
      <c r="U25" s="981" t="n">
        <v>12385.58727312607</v>
      </c>
      <c r="V25" s="947" t="n">
        <v>0</v>
      </c>
      <c r="W25" s="982" t="n">
        <v>12385.58727312607</v>
      </c>
      <c r="Y25" s="983" t="n">
        <v>-21286.24549733809</v>
      </c>
    </row>
    <row r="26">
      <c r="A26" s="946" t="inlineStr">
        <is>
          <t>Chris Schaaf</t>
        </is>
      </c>
      <c r="B26" s="947" t="n">
        <v>195750.79</v>
      </c>
      <c r="C26" s="947" t="n">
        <v>-48737.69504404278</v>
      </c>
      <c r="D26" s="947" t="n">
        <v>-131.3062847405381</v>
      </c>
      <c r="E26" s="947" t="n">
        <v>-4964.89163716833</v>
      </c>
      <c r="F26" s="947" t="n"/>
      <c r="G26" s="947" t="n">
        <v>141916.8970340484</v>
      </c>
      <c r="H26" s="947" t="n"/>
      <c r="I26" s="980" t="n">
        <v>-141916.8972324395</v>
      </c>
      <c r="J26" s="947" t="n">
        <v>-0.0001983910915441811</v>
      </c>
      <c r="L26" s="981" t="n"/>
      <c r="M26" s="947" t="n">
        <v>-131.3062847405381</v>
      </c>
      <c r="N26" s="947" t="n">
        <v>-4964.89163716833</v>
      </c>
      <c r="O26" s="947" t="n">
        <v>-339.9545184402513</v>
      </c>
      <c r="P26" s="947" t="n">
        <v>-5436.152440349119</v>
      </c>
      <c r="Q26" s="947" t="n"/>
      <c r="R26" s="947" t="n"/>
      <c r="S26" s="982" t="n">
        <v>-5436.152440349119</v>
      </c>
      <c r="U26" s="981" t="n">
        <v>1999.592387469361</v>
      </c>
      <c r="V26" s="947" t="n">
        <v>0</v>
      </c>
      <c r="W26" s="982" t="n">
        <v>1999.592387469361</v>
      </c>
      <c r="Y26" s="983" t="n">
        <v>-3436.560052879758</v>
      </c>
    </row>
    <row r="27">
      <c r="A27" s="946" t="inlineStr">
        <is>
          <t>Christopher J. Campbell</t>
        </is>
      </c>
      <c r="B27" s="947" t="n">
        <v>500000</v>
      </c>
      <c r="C27" s="947" t="n">
        <v>-123101.8921707008</v>
      </c>
      <c r="D27" s="947" t="n">
        <v>-335.3914554840885</v>
      </c>
      <c r="E27" s="947" t="n">
        <v>-12681.66436817031</v>
      </c>
      <c r="F27" s="947" t="n"/>
      <c r="G27" s="947" t="n">
        <v>363881.0520056448</v>
      </c>
      <c r="H27" s="947" t="n"/>
      <c r="I27" s="980" t="n">
        <v>-363881.0480823414</v>
      </c>
      <c r="J27" s="947" t="n">
        <v>0.003923303447663784</v>
      </c>
      <c r="L27" s="981" t="n"/>
      <c r="M27" s="947" t="n">
        <v>-335.3914554840885</v>
      </c>
      <c r="N27" s="947" t="n">
        <v>-12681.66436817031</v>
      </c>
      <c r="O27" s="947" t="n">
        <v>-868.3349846001933</v>
      </c>
      <c r="P27" s="947" t="n">
        <v>-13885.39080825459</v>
      </c>
      <c r="Q27" s="947" t="n"/>
      <c r="R27" s="947" t="n"/>
      <c r="S27" s="982" t="n">
        <v>-13885.39080825459</v>
      </c>
      <c r="U27" s="981" t="n">
        <v>5107.495064181762</v>
      </c>
      <c r="V27" s="947" t="n">
        <v>0</v>
      </c>
      <c r="W27" s="982" t="n">
        <v>5107.495064181762</v>
      </c>
      <c r="Y27" s="983" t="n">
        <v>-8777.895744072834</v>
      </c>
    </row>
    <row r="28">
      <c r="A28" s="946" t="inlineStr">
        <is>
          <t>Christopher Johnson</t>
        </is>
      </c>
      <c r="B28" s="947" t="n">
        <v>165897.64</v>
      </c>
      <c r="C28" s="947" t="n">
        <v>-40417.98486052307</v>
      </c>
      <c r="D28" s="947" t="n">
        <v>-111.2813018819579</v>
      </c>
      <c r="E28" s="947" t="n">
        <v>-4207.716379903082</v>
      </c>
      <c r="F28" s="947" t="n"/>
      <c r="G28" s="947" t="n">
        <v>121160.6574576919</v>
      </c>
      <c r="H28" s="947" t="n"/>
      <c r="I28" s="980" t="n">
        <v>-121160.656339788</v>
      </c>
      <c r="J28" s="947" t="n">
        <v>0.001117903942940757</v>
      </c>
      <c r="L28" s="981" t="n"/>
      <c r="M28" s="947" t="n">
        <v>-111.2813018819579</v>
      </c>
      <c r="N28" s="947" t="n">
        <v>-4207.716379903082</v>
      </c>
      <c r="O28" s="947" t="n">
        <v>-288.1094493492168</v>
      </c>
      <c r="P28" s="947" t="n">
        <v>-4607.107131134257</v>
      </c>
      <c r="Q28" s="947" t="n"/>
      <c r="R28" s="947" t="n"/>
      <c r="S28" s="982" t="n">
        <v>-4607.107131134257</v>
      </c>
      <c r="U28" s="981" t="n">
        <v>1694.642754918806</v>
      </c>
      <c r="V28" s="947" t="n">
        <v>0</v>
      </c>
      <c r="W28" s="982" t="n">
        <v>1694.642754918806</v>
      </c>
      <c r="Y28" s="983" t="n">
        <v>-2912.464376215451</v>
      </c>
    </row>
    <row r="29">
      <c r="A29" s="984" t="inlineStr">
        <is>
          <t>CLIP Sponsor LLC</t>
        </is>
      </c>
      <c r="B29" s="947" t="n">
        <v>4802554.5</v>
      </c>
      <c r="C29" s="947" t="n">
        <v>-1253009.868045318</v>
      </c>
      <c r="D29" s="947" t="n">
        <v>-3221.471487593371</v>
      </c>
      <c r="E29" s="947" t="n">
        <v>-121808.7685576924</v>
      </c>
      <c r="F29" s="947" t="n"/>
      <c r="G29" s="947" t="n">
        <v>3424514.391909396</v>
      </c>
      <c r="H29" s="947" t="n"/>
      <c r="I29" s="980" t="n">
        <v>-3424514.39195627</v>
      </c>
      <c r="J29" s="947" t="n">
        <v>-4.687346518039703e-05</v>
      </c>
      <c r="L29" s="981" t="n"/>
      <c r="M29" s="947" t="n">
        <v>-3221.471487593371</v>
      </c>
      <c r="N29" s="947" t="n">
        <v>-121808.7685576924</v>
      </c>
      <c r="O29" s="947" t="n">
        <v>-8340.452175598177</v>
      </c>
      <c r="P29" s="947" t="n">
        <v>-133370.692220884</v>
      </c>
      <c r="Q29" s="947" t="n"/>
      <c r="R29" s="947" t="n"/>
      <c r="S29" s="982" t="n">
        <v>-133370.692220884</v>
      </c>
      <c r="U29" s="981" t="n">
        <v>49058.04680842783</v>
      </c>
      <c r="V29" s="947" t="n">
        <v>0</v>
      </c>
      <c r="W29" s="982" t="n">
        <v>49058.04680842783</v>
      </c>
      <c r="Y29" s="983" t="n">
        <v>-84312.64541245614</v>
      </c>
    </row>
    <row r="30">
      <c r="A30" s="984" t="inlineStr">
        <is>
          <t>CLR Silsbee Sponsor LLC</t>
        </is>
      </c>
      <c r="B30" s="947" t="n">
        <v>369576.65</v>
      </c>
      <c r="C30" s="947" t="n">
        <v>-96424.35460283066</v>
      </c>
      <c r="D30" s="947" t="n">
        <v>-247.9057011128752</v>
      </c>
      <c r="E30" s="947" t="n">
        <v>-9373.6940672255</v>
      </c>
      <c r="F30" s="947" t="n"/>
      <c r="G30" s="947" t="n">
        <v>263530.695628831</v>
      </c>
      <c r="H30" s="947" t="n"/>
      <c r="I30" s="980" t="n">
        <v>-263530.7015997393</v>
      </c>
      <c r="J30" s="947" t="n">
        <v>-0.0059709083288908</v>
      </c>
      <c r="L30" s="981" t="n"/>
      <c r="M30" s="947" t="n">
        <v>-247.9057011128752</v>
      </c>
      <c r="N30" s="947" t="n">
        <v>-9373.6940672255</v>
      </c>
      <c r="O30" s="947" t="n">
        <v>-641.8326693726821</v>
      </c>
      <c r="P30" s="947" t="n">
        <v>-10263.43243771106</v>
      </c>
      <c r="Q30" s="947" t="n"/>
      <c r="R30" s="947" t="n"/>
      <c r="S30" s="982" t="n">
        <v>-10263.43243771106</v>
      </c>
      <c r="U30" s="981" t="n">
        <v>3775.221831423662</v>
      </c>
      <c r="V30" s="947" t="n">
        <v>0</v>
      </c>
      <c r="W30" s="982" t="n">
        <v>3775.221831423662</v>
      </c>
      <c r="Y30" s="983" t="n">
        <v>-6488.210606287395</v>
      </c>
    </row>
    <row r="31">
      <c r="A31" s="946" t="inlineStr">
        <is>
          <t>Daniel Ross</t>
        </is>
      </c>
      <c r="B31" s="947" t="n">
        <v>156600.63</v>
      </c>
      <c r="C31" s="947" t="n">
        <v>-38990.16574423623</v>
      </c>
      <c r="D31" s="947" t="n">
        <v>-105.0450264508545</v>
      </c>
      <c r="E31" s="947" t="n">
        <v>-3971.913259008041</v>
      </c>
      <c r="F31" s="947" t="n"/>
      <c r="G31" s="947" t="n">
        <v>113533.5059703049</v>
      </c>
      <c r="H31" s="947" t="n"/>
      <c r="I31" s="980" t="n">
        <v>-113533.5043598295</v>
      </c>
      <c r="J31" s="947" t="n">
        <v>0.001610475359484553</v>
      </c>
      <c r="L31" s="981" t="n"/>
      <c r="M31" s="947" t="n">
        <v>-105.0450264508545</v>
      </c>
      <c r="N31" s="947" t="n">
        <v>-3971.913259008041</v>
      </c>
      <c r="O31" s="947" t="n">
        <v>-271.9636112788611</v>
      </c>
      <c r="P31" s="947" t="n">
        <v>-4348.921896737756</v>
      </c>
      <c r="Q31" s="947" t="n"/>
      <c r="R31" s="947" t="n"/>
      <c r="S31" s="982" t="n">
        <v>-4348.921896737756</v>
      </c>
      <c r="U31" s="981" t="n">
        <v>1599.673889545509</v>
      </c>
      <c r="V31" s="947" t="n">
        <v>0</v>
      </c>
      <c r="W31" s="982" t="n">
        <v>1599.673889545509</v>
      </c>
      <c r="Y31" s="983" t="n">
        <v>-2749.248007192247</v>
      </c>
    </row>
    <row r="32">
      <c r="A32" s="946" t="inlineStr">
        <is>
          <t>Endurance Companies LLC</t>
        </is>
      </c>
      <c r="B32" s="947" t="n">
        <v>850000</v>
      </c>
      <c r="C32" s="947" t="n">
        <v>-203025.2436901913</v>
      </c>
      <c r="D32" s="947" t="n">
        <v>-570.1654743232066</v>
      </c>
      <c r="E32" s="947" t="n">
        <v>-21558.82942588942</v>
      </c>
      <c r="F32" s="947" t="n"/>
      <c r="G32" s="947" t="n">
        <v>624845.7614095961</v>
      </c>
      <c r="H32" s="947" t="n"/>
      <c r="I32" s="980" t="n">
        <v>-624845.7537399804</v>
      </c>
      <c r="J32" s="947" t="n">
        <v>0.00766961567569524</v>
      </c>
      <c r="L32" s="981" t="n"/>
      <c r="M32" s="947" t="n">
        <v>-570.1654743232066</v>
      </c>
      <c r="N32" s="947" t="n">
        <v>-21558.82942588942</v>
      </c>
      <c r="O32" s="947" t="n">
        <v>-1476.169473820328</v>
      </c>
      <c r="P32" s="947" t="n">
        <v>-23605.16437403295</v>
      </c>
      <c r="Q32" s="947" t="n"/>
      <c r="R32" s="947" t="n"/>
      <c r="S32" s="982" t="n">
        <v>-23605.16437403295</v>
      </c>
      <c r="U32" s="981" t="n">
        <v>8682.741609108996</v>
      </c>
      <c r="V32" s="947" t="n">
        <v>0</v>
      </c>
      <c r="W32" s="982" t="n">
        <v>8682.741609108996</v>
      </c>
      <c r="Y32" s="983" t="n">
        <v>-14922.42276492396</v>
      </c>
    </row>
    <row r="33">
      <c r="A33" s="946" t="inlineStr">
        <is>
          <t>Forem Capital, LLC</t>
        </is>
      </c>
      <c r="B33" s="947" t="n">
        <v>1500000</v>
      </c>
      <c r="C33" s="947" t="n">
        <v>-369305.6765121024</v>
      </c>
      <c r="D33" s="947" t="n">
        <v>-1006.174366452498</v>
      </c>
      <c r="E33" s="947" t="n">
        <v>-38044.99310451094</v>
      </c>
      <c r="F33" s="947" t="n"/>
      <c r="G33" s="947" t="n">
        <v>1091643.156016934</v>
      </c>
      <c r="H33" s="947" t="n"/>
      <c r="I33" s="980" t="n">
        <v>-1091643.154247024</v>
      </c>
      <c r="J33" s="947" t="n">
        <v>0.001769910100847483</v>
      </c>
      <c r="L33" s="981" t="n"/>
      <c r="M33" s="947" t="n">
        <v>-1006.174366452498</v>
      </c>
      <c r="N33" s="947" t="n">
        <v>-38044.99310451094</v>
      </c>
      <c r="O33" s="947" t="n">
        <v>-2605.00495380058</v>
      </c>
      <c r="P33" s="947" t="n">
        <v>-41656.17242476402</v>
      </c>
      <c r="Q33" s="947" t="n"/>
      <c r="R33" s="947" t="n"/>
      <c r="S33" s="982" t="n">
        <v>-41656.17242476402</v>
      </c>
      <c r="U33" s="981" t="n">
        <v>15322.48519254529</v>
      </c>
      <c r="V33" s="947" t="n">
        <v>0</v>
      </c>
      <c r="W33" s="982" t="n">
        <v>15322.48519254529</v>
      </c>
      <c r="Y33" s="983" t="n">
        <v>-26333.68723221873</v>
      </c>
    </row>
    <row r="34">
      <c r="A34" s="946" t="inlineStr">
        <is>
          <t>Francis Brawley</t>
        </is>
      </c>
      <c r="B34" s="947" t="n">
        <v>313201.26</v>
      </c>
      <c r="C34" s="947" t="n">
        <v>-77980.35148847237</v>
      </c>
      <c r="D34" s="947" t="n">
        <v>-210.090052901709</v>
      </c>
      <c r="E34" s="947" t="n">
        <v>-7943.826518016052</v>
      </c>
      <c r="F34" s="947" t="n"/>
      <c r="G34" s="947" t="n">
        <v>227066.9919406099</v>
      </c>
      <c r="H34" s="947" t="n"/>
      <c r="I34" s="980" t="n">
        <v>-227066.9987196591</v>
      </c>
      <c r="J34" s="947" t="n">
        <v>-0.006779049173928797</v>
      </c>
      <c r="L34" s="981" t="n"/>
      <c r="M34" s="947" t="n">
        <v>-210.090052901709</v>
      </c>
      <c r="N34" s="947" t="n">
        <v>-7943.826518016052</v>
      </c>
      <c r="O34" s="947" t="n">
        <v>-543.9272225577222</v>
      </c>
      <c r="P34" s="947" t="n">
        <v>-8697.843793475484</v>
      </c>
      <c r="Q34" s="947" t="n"/>
      <c r="R34" s="947" t="n"/>
      <c r="S34" s="982" t="n">
        <v>-8697.843793475484</v>
      </c>
      <c r="U34" s="981" t="n">
        <v>3199.347779091018</v>
      </c>
      <c r="V34" s="947" t="n">
        <v>0</v>
      </c>
      <c r="W34" s="982" t="n">
        <v>3199.347779091018</v>
      </c>
      <c r="Y34" s="983" t="n">
        <v>-5498.496014384466</v>
      </c>
    </row>
    <row r="35">
      <c r="A35" s="946" t="inlineStr">
        <is>
          <t>Geoffrey and Elizabeth Bloomingdale Living Trust</t>
        </is>
      </c>
      <c r="B35" s="947" t="n">
        <v>234900.95</v>
      </c>
      <c r="C35" s="947" t="n">
        <v>-58485.24434384934</v>
      </c>
      <c r="D35" s="947" t="n">
        <v>-157.5675430302508</v>
      </c>
      <c r="E35" s="947" t="n">
        <v>-5957.870015328663</v>
      </c>
      <c r="F35" s="947" t="n"/>
      <c r="G35" s="947" t="n">
        <v>170300.2680977918</v>
      </c>
      <c r="H35" s="947" t="n"/>
      <c r="I35" s="980" t="n">
        <v>-170300.2701050494</v>
      </c>
      <c r="J35" s="947" t="n">
        <v>-0.002007257600780576</v>
      </c>
      <c r="L35" s="981" t="n"/>
      <c r="M35" s="947" t="n">
        <v>-157.5675430302508</v>
      </c>
      <c r="N35" s="947" t="n">
        <v>-5957.870015328663</v>
      </c>
      <c r="O35" s="947" t="n">
        <v>-407.9454256016415</v>
      </c>
      <c r="P35" s="947" t="n">
        <v>-6523.382983960555</v>
      </c>
      <c r="Q35" s="947" t="n"/>
      <c r="R35" s="947" t="n"/>
      <c r="S35" s="982" t="n">
        <v>-6523.382983960555</v>
      </c>
      <c r="U35" s="981" t="n">
        <v>2399.510885393214</v>
      </c>
      <c r="V35" s="947" t="n">
        <v>0</v>
      </c>
      <c r="W35" s="982" t="n">
        <v>2399.510885393214</v>
      </c>
      <c r="Y35" s="983" t="n">
        <v>-4123.872098567341</v>
      </c>
    </row>
    <row r="36">
      <c r="A36" s="946" t="inlineStr">
        <is>
          <t>Greene 2000 Family Trust</t>
        </is>
      </c>
      <c r="B36" s="947" t="n">
        <v>1000000</v>
      </c>
      <c r="C36" s="947" t="n">
        <v>-246203.7843414015</v>
      </c>
      <c r="D36" s="947" t="n">
        <v>-670.782910968177</v>
      </c>
      <c r="E36" s="947" t="n">
        <v>-25363.32873634063</v>
      </c>
      <c r="F36" s="947" t="n"/>
      <c r="G36" s="947" t="n">
        <v>727762.1040112897</v>
      </c>
      <c r="H36" s="947" t="n"/>
      <c r="I36" s="980" t="n">
        <v>-727762.1061646828</v>
      </c>
      <c r="J36" s="947" t="n">
        <v>-0.002153393113985658</v>
      </c>
      <c r="L36" s="981" t="n"/>
      <c r="M36" s="947" t="n">
        <v>-670.782910968177</v>
      </c>
      <c r="N36" s="947" t="n">
        <v>-25363.32873634063</v>
      </c>
      <c r="O36" s="947" t="n">
        <v>-1736.669969200387</v>
      </c>
      <c r="P36" s="947" t="n">
        <v>-27770.78161650919</v>
      </c>
      <c r="Q36" s="947" t="n"/>
      <c r="R36" s="947" t="n"/>
      <c r="S36" s="982" t="n">
        <v>-27770.78161650919</v>
      </c>
      <c r="U36" s="981" t="n">
        <v>10214.99012836352</v>
      </c>
      <c r="V36" s="947" t="n">
        <v>0</v>
      </c>
      <c r="W36" s="982" t="n">
        <v>10214.99012836352</v>
      </c>
      <c r="Y36" s="983" t="n">
        <v>-17555.79148814567</v>
      </c>
    </row>
    <row r="37">
      <c r="A37" s="946" t="inlineStr">
        <is>
          <t>Greene Marital Trust</t>
        </is>
      </c>
      <c r="B37" s="947" t="n">
        <v>1000000</v>
      </c>
      <c r="C37" s="947" t="n">
        <v>-246203.7843414015</v>
      </c>
      <c r="D37" s="947" t="n">
        <v>-670.782910968177</v>
      </c>
      <c r="E37" s="947" t="n">
        <v>-25363.32873634063</v>
      </c>
      <c r="F37" s="947" t="n"/>
      <c r="G37" s="947" t="n">
        <v>727762.1040112897</v>
      </c>
      <c r="H37" s="947" t="n"/>
      <c r="I37" s="980" t="n">
        <v>-727762.1061646828</v>
      </c>
      <c r="J37" s="947" t="n">
        <v>-0.002153393113985658</v>
      </c>
      <c r="L37" s="981" t="n"/>
      <c r="M37" s="947" t="n">
        <v>-670.782910968177</v>
      </c>
      <c r="N37" s="947" t="n">
        <v>-25363.32873634063</v>
      </c>
      <c r="O37" s="947" t="n">
        <v>-1736.669969200387</v>
      </c>
      <c r="P37" s="947" t="n">
        <v>-27770.78161650919</v>
      </c>
      <c r="Q37" s="947" t="n"/>
      <c r="R37" s="947" t="n"/>
      <c r="S37" s="982" t="n">
        <v>-27770.78161650919</v>
      </c>
      <c r="U37" s="981" t="n">
        <v>10214.99012836352</v>
      </c>
      <c r="V37" s="947" t="n">
        <v>0</v>
      </c>
      <c r="W37" s="982" t="n">
        <v>10214.99012836352</v>
      </c>
      <c r="Y37" s="983" t="n">
        <v>-17555.79148814567</v>
      </c>
    </row>
    <row r="38">
      <c r="A38" s="946" t="inlineStr">
        <is>
          <t>Gregory Brent Wood</t>
        </is>
      </c>
      <c r="B38" s="947" t="n">
        <v>156600.63</v>
      </c>
      <c r="C38" s="947" t="n">
        <v>-38990.16574423623</v>
      </c>
      <c r="D38" s="947" t="n">
        <v>-105.0450264508545</v>
      </c>
      <c r="E38" s="947" t="n">
        <v>-3971.913259008041</v>
      </c>
      <c r="F38" s="947" t="n"/>
      <c r="G38" s="947" t="n">
        <v>113533.5059703049</v>
      </c>
      <c r="H38" s="947" t="n"/>
      <c r="I38" s="980" t="n">
        <v>-113533.5043598295</v>
      </c>
      <c r="J38" s="947" t="n">
        <v>0.001610475359484553</v>
      </c>
      <c r="L38" s="981" t="n"/>
      <c r="M38" s="947" t="n">
        <v>-105.0450264508545</v>
      </c>
      <c r="N38" s="947" t="n">
        <v>-3971.913259008041</v>
      </c>
      <c r="O38" s="947" t="n">
        <v>-271.9636112788611</v>
      </c>
      <c r="P38" s="947" t="n">
        <v>-4348.921896737756</v>
      </c>
      <c r="Q38" s="947" t="n"/>
      <c r="R38" s="947" t="n"/>
      <c r="S38" s="982" t="n">
        <v>-4348.921896737756</v>
      </c>
      <c r="U38" s="981" t="n">
        <v>1599.673889545509</v>
      </c>
      <c r="V38" s="947" t="n">
        <v>0</v>
      </c>
      <c r="W38" s="982" t="n">
        <v>1599.673889545509</v>
      </c>
      <c r="Y38" s="983" t="n">
        <v>-2749.248007192247</v>
      </c>
    </row>
    <row r="39">
      <c r="A39" s="946" t="inlineStr">
        <is>
          <t>Hundley Family Trust</t>
        </is>
      </c>
      <c r="B39" s="947" t="n">
        <v>200000</v>
      </c>
      <c r="C39" s="947" t="n">
        <v>-47770.6508682803</v>
      </c>
      <c r="D39" s="947" t="n">
        <v>-134.1565821935947</v>
      </c>
      <c r="E39" s="947" t="n">
        <v>-5072.665747268155</v>
      </c>
      <c r="F39" s="947" t="n"/>
      <c r="G39" s="947" t="n">
        <v>147022.526802258</v>
      </c>
      <c r="H39" s="947" t="n"/>
      <c r="I39" s="980" t="n">
        <v>-147022.5332329365</v>
      </c>
      <c r="J39" s="947" t="n">
        <v>-0.00643067859346047</v>
      </c>
      <c r="L39" s="981" t="n"/>
      <c r="M39" s="947" t="n">
        <v>-134.1565821935947</v>
      </c>
      <c r="N39" s="947" t="n">
        <v>-5072.665747268155</v>
      </c>
      <c r="O39" s="947" t="n">
        <v>-347.3339938400773</v>
      </c>
      <c r="P39" s="947" t="n">
        <v>-5554.156323301827</v>
      </c>
      <c r="Q39" s="947" t="n"/>
      <c r="R39" s="947" t="n"/>
      <c r="S39" s="982" t="n">
        <v>-5554.156323301827</v>
      </c>
      <c r="U39" s="981" t="n">
        <v>2042.998025672705</v>
      </c>
      <c r="V39" s="947" t="n">
        <v>0</v>
      </c>
      <c r="W39" s="982" t="n">
        <v>2042.998025672705</v>
      </c>
      <c r="Y39" s="983" t="n">
        <v>-3511.158297629122</v>
      </c>
    </row>
    <row r="40">
      <c r="A40" s="946" t="inlineStr">
        <is>
          <t>In God We Trust 2017 Living Trust</t>
        </is>
      </c>
      <c r="B40" s="947" t="n">
        <v>100000</v>
      </c>
      <c r="C40" s="947" t="n">
        <v>-23885.33043414015</v>
      </c>
      <c r="D40" s="947" t="n">
        <v>-67.07829109679733</v>
      </c>
      <c r="E40" s="947" t="n">
        <v>-2536.332873634077</v>
      </c>
      <c r="F40" s="947" t="n"/>
      <c r="G40" s="947" t="n">
        <v>73511.25840112897</v>
      </c>
      <c r="H40" s="947" t="n"/>
      <c r="I40" s="980" t="n">
        <v>-73511.26161646828</v>
      </c>
      <c r="J40" s="947" t="n">
        <v>-0.00321533931128215</v>
      </c>
      <c r="L40" s="981" t="n"/>
      <c r="M40" s="947" t="n">
        <v>-67.07829109679733</v>
      </c>
      <c r="N40" s="947" t="n">
        <v>-2536.332873634077</v>
      </c>
      <c r="O40" s="947" t="n">
        <v>-173.6669969200387</v>
      </c>
      <c r="P40" s="947" t="n">
        <v>-2777.078161650913</v>
      </c>
      <c r="Q40" s="947" t="n"/>
      <c r="R40" s="947" t="n"/>
      <c r="S40" s="982" t="n">
        <v>-2777.078161650913</v>
      </c>
      <c r="U40" s="981" t="n">
        <v>1021.499012836353</v>
      </c>
      <c r="V40" s="947" t="n">
        <v>0</v>
      </c>
      <c r="W40" s="982" t="n">
        <v>1021.499012836353</v>
      </c>
      <c r="Y40" s="983" t="n">
        <v>-1755.579148814561</v>
      </c>
    </row>
    <row r="41">
      <c r="A41" s="946" t="inlineStr">
        <is>
          <t>James and Natelie Bloomingdale</t>
        </is>
      </c>
      <c r="B41" s="947" t="n">
        <v>0</v>
      </c>
      <c r="C41" s="947" t="n">
        <v>0</v>
      </c>
      <c r="D41" s="947" t="n">
        <v>0</v>
      </c>
      <c r="E41" s="947" t="n">
        <v>0</v>
      </c>
      <c r="F41" s="947" t="n"/>
      <c r="G41" s="947" t="n">
        <v>0</v>
      </c>
      <c r="H41" s="947" t="n"/>
      <c r="I41" s="980" t="n">
        <v>0</v>
      </c>
      <c r="J41" s="947" t="n">
        <v>0</v>
      </c>
      <c r="L41" s="981" t="n"/>
      <c r="M41" s="947" t="n">
        <v>0</v>
      </c>
      <c r="N41" s="947" t="n">
        <v>0</v>
      </c>
      <c r="O41" s="947" t="n">
        <v>0</v>
      </c>
      <c r="P41" s="947" t="n">
        <v>0</v>
      </c>
      <c r="Q41" s="947" t="n"/>
      <c r="R41" s="947" t="n"/>
      <c r="S41" s="982" t="n">
        <v>0</v>
      </c>
      <c r="U41" s="981" t="n">
        <v>0</v>
      </c>
      <c r="V41" s="947" t="n">
        <v>0</v>
      </c>
      <c r="W41" s="982" t="n">
        <v>0</v>
      </c>
      <c r="Y41" s="983" t="n">
        <v>0</v>
      </c>
    </row>
    <row r="42">
      <c r="A42" s="946" t="inlineStr">
        <is>
          <t>James Campbell and Patricia Campbell</t>
        </is>
      </c>
      <c r="B42" s="947" t="n">
        <v>156600.63</v>
      </c>
      <c r="C42" s="947" t="n">
        <v>-38990.16574423623</v>
      </c>
      <c r="D42" s="947" t="n">
        <v>-105.0450264508545</v>
      </c>
      <c r="E42" s="947" t="n">
        <v>-3971.913259008041</v>
      </c>
      <c r="F42" s="947" t="n"/>
      <c r="G42" s="947" t="n">
        <v>113533.5059703049</v>
      </c>
      <c r="H42" s="947" t="n"/>
      <c r="I42" s="980" t="n">
        <v>-113533.5043598295</v>
      </c>
      <c r="J42" s="947" t="n">
        <v>0.001610475359484553</v>
      </c>
      <c r="L42" s="981" t="n"/>
      <c r="M42" s="947" t="n">
        <v>-105.0450264508545</v>
      </c>
      <c r="N42" s="947" t="n">
        <v>-3971.913259008041</v>
      </c>
      <c r="O42" s="947" t="n">
        <v>-271.9636112788611</v>
      </c>
      <c r="P42" s="947" t="n">
        <v>-4348.921896737756</v>
      </c>
      <c r="Q42" s="947" t="n"/>
      <c r="R42" s="947" t="n"/>
      <c r="S42" s="982" t="n">
        <v>-4348.921896737756</v>
      </c>
      <c r="U42" s="981" t="n">
        <v>1599.673889545509</v>
      </c>
      <c r="V42" s="947" t="n">
        <v>0</v>
      </c>
      <c r="W42" s="982" t="n">
        <v>1599.673889545509</v>
      </c>
      <c r="Y42" s="983" t="n">
        <v>-2749.248007192247</v>
      </c>
    </row>
    <row r="43">
      <c r="A43" s="946" t="inlineStr">
        <is>
          <t>James Kane</t>
        </is>
      </c>
      <c r="B43" s="947" t="n">
        <v>156600.63</v>
      </c>
      <c r="C43" s="947" t="n">
        <v>-38990.16574423623</v>
      </c>
      <c r="D43" s="947" t="n">
        <v>-105.0450264508545</v>
      </c>
      <c r="E43" s="947" t="n">
        <v>-3971.913259008041</v>
      </c>
      <c r="F43" s="947" t="n"/>
      <c r="G43" s="947" t="n">
        <v>113533.5059703049</v>
      </c>
      <c r="H43" s="947" t="n"/>
      <c r="I43" s="980" t="n">
        <v>-113533.5043598295</v>
      </c>
      <c r="J43" s="947" t="n">
        <v>0.001610475359484553</v>
      </c>
      <c r="L43" s="981" t="n"/>
      <c r="M43" s="947" t="n">
        <v>-105.0450264508545</v>
      </c>
      <c r="N43" s="947" t="n">
        <v>-3971.913259008041</v>
      </c>
      <c r="O43" s="947" t="n">
        <v>-271.9636112788611</v>
      </c>
      <c r="P43" s="947" t="n">
        <v>-4348.921896737756</v>
      </c>
      <c r="Q43" s="947" t="n"/>
      <c r="R43" s="947" t="n"/>
      <c r="S43" s="982" t="n">
        <v>-4348.921896737756</v>
      </c>
      <c r="U43" s="981" t="n">
        <v>1599.673889545509</v>
      </c>
      <c r="V43" s="947" t="n">
        <v>0</v>
      </c>
      <c r="W43" s="982" t="n">
        <v>1599.673889545509</v>
      </c>
      <c r="Y43" s="983" t="n">
        <v>-2749.248007192247</v>
      </c>
    </row>
    <row r="44">
      <c r="A44" s="946" t="inlineStr">
        <is>
          <t>James Thorp</t>
        </is>
      </c>
      <c r="B44" s="947" t="n">
        <v>195750.79</v>
      </c>
      <c r="C44" s="947" t="n">
        <v>-48737.69504404278</v>
      </c>
      <c r="D44" s="947" t="n">
        <v>-131.3062847405381</v>
      </c>
      <c r="E44" s="947" t="n">
        <v>-4964.89163716833</v>
      </c>
      <c r="F44" s="947" t="n"/>
      <c r="G44" s="947" t="n">
        <v>141916.8970340484</v>
      </c>
      <c r="H44" s="947" t="n"/>
      <c r="I44" s="980" t="n">
        <v>-141916.8972324395</v>
      </c>
      <c r="J44" s="947" t="n">
        <v>-0.0001983910915441811</v>
      </c>
      <c r="L44" s="981" t="n"/>
      <c r="M44" s="947" t="n">
        <v>-131.3062847405381</v>
      </c>
      <c r="N44" s="947" t="n">
        <v>-4964.89163716833</v>
      </c>
      <c r="O44" s="947" t="n">
        <v>-339.9545184402513</v>
      </c>
      <c r="P44" s="947" t="n">
        <v>-5436.152440349119</v>
      </c>
      <c r="Q44" s="947" t="n"/>
      <c r="R44" s="947" t="n"/>
      <c r="S44" s="982" t="n">
        <v>-5436.152440349119</v>
      </c>
      <c r="U44" s="981" t="n">
        <v>1999.592387469361</v>
      </c>
      <c r="V44" s="947" t="n">
        <v>0</v>
      </c>
      <c r="W44" s="982" t="n">
        <v>1999.592387469361</v>
      </c>
      <c r="Y44" s="983" t="n">
        <v>-3436.560052879758</v>
      </c>
    </row>
    <row r="45">
      <c r="A45" s="946" t="inlineStr">
        <is>
          <t>Jeffrey A. Lipsitz Revocable Trust</t>
        </is>
      </c>
      <c r="B45" s="947" t="n">
        <v>1000000</v>
      </c>
      <c r="C45" s="947" t="n">
        <v>-246203.7843414015</v>
      </c>
      <c r="D45" s="947" t="n">
        <v>-670.782910968177</v>
      </c>
      <c r="E45" s="947" t="n">
        <v>-25363.32873634063</v>
      </c>
      <c r="F45" s="947" t="n"/>
      <c r="G45" s="947" t="n">
        <v>727762.1040112897</v>
      </c>
      <c r="H45" s="947" t="n"/>
      <c r="I45" s="980" t="n">
        <v>-727762.1061646828</v>
      </c>
      <c r="J45" s="947" t="n">
        <v>-0.002153393113985658</v>
      </c>
      <c r="L45" s="981" t="n"/>
      <c r="M45" s="947" t="n">
        <v>-670.782910968177</v>
      </c>
      <c r="N45" s="947" t="n">
        <v>-25363.32873634063</v>
      </c>
      <c r="O45" s="947" t="n">
        <v>-1736.669969200387</v>
      </c>
      <c r="P45" s="947" t="n">
        <v>-27770.78161650919</v>
      </c>
      <c r="Q45" s="947" t="n"/>
      <c r="R45" s="947" t="n"/>
      <c r="S45" s="982" t="n">
        <v>-27770.78161650919</v>
      </c>
      <c r="U45" s="981" t="n">
        <v>10214.99012836352</v>
      </c>
      <c r="V45" s="947" t="n">
        <v>0</v>
      </c>
      <c r="W45" s="982" t="n">
        <v>10214.99012836352</v>
      </c>
      <c r="Y45" s="983" t="n">
        <v>-17555.79148814567</v>
      </c>
    </row>
    <row r="46">
      <c r="A46" s="946" t="inlineStr">
        <is>
          <t>Jeffrey D Furber Revocable Trust</t>
        </is>
      </c>
      <c r="B46" s="947" t="n">
        <v>500000</v>
      </c>
      <c r="C46" s="947" t="n">
        <v>-123101.8921707008</v>
      </c>
      <c r="D46" s="947" t="n">
        <v>-335.3914554840885</v>
      </c>
      <c r="E46" s="947" t="n">
        <v>-12681.66436817031</v>
      </c>
      <c r="F46" s="947" t="n"/>
      <c r="G46" s="947" t="n">
        <v>363881.0520056448</v>
      </c>
      <c r="H46" s="947" t="n"/>
      <c r="I46" s="980" t="n">
        <v>-363881.0480823414</v>
      </c>
      <c r="J46" s="947" t="n">
        <v>0.003923303447663784</v>
      </c>
      <c r="L46" s="981" t="n"/>
      <c r="M46" s="947" t="n">
        <v>-335.3914554840885</v>
      </c>
      <c r="N46" s="947" t="n">
        <v>-12681.66436817031</v>
      </c>
      <c r="O46" s="947" t="n">
        <v>-868.3349846001933</v>
      </c>
      <c r="P46" s="947" t="n">
        <v>-13885.39080825459</v>
      </c>
      <c r="Q46" s="947" t="n"/>
      <c r="R46" s="947" t="n"/>
      <c r="S46" s="982" t="n">
        <v>-13885.39080825459</v>
      </c>
      <c r="U46" s="981" t="n">
        <v>5107.495064181762</v>
      </c>
      <c r="V46" s="947" t="n">
        <v>0</v>
      </c>
      <c r="W46" s="982" t="n">
        <v>5107.495064181762</v>
      </c>
      <c r="Y46" s="983" t="n">
        <v>-8777.895744072834</v>
      </c>
    </row>
    <row r="47">
      <c r="A47" s="946" t="inlineStr">
        <is>
          <t>Jeremy M. Jacobs Trust U/A/D April 1, 1973 fbo Margaret L. Reichenback</t>
        </is>
      </c>
      <c r="B47" s="947" t="n">
        <v>1500000</v>
      </c>
      <c r="C47" s="947" t="n">
        <v>-369305.6765121024</v>
      </c>
      <c r="D47" s="947" t="n">
        <v>-1006.174366452498</v>
      </c>
      <c r="E47" s="947" t="n">
        <v>-38044.99310451094</v>
      </c>
      <c r="F47" s="947" t="n"/>
      <c r="G47" s="947" t="n">
        <v>1091643.156016934</v>
      </c>
      <c r="H47" s="947" t="n"/>
      <c r="I47" s="980" t="n">
        <v>-1091643.154247024</v>
      </c>
      <c r="J47" s="947" t="n">
        <v>0.001769910100847483</v>
      </c>
      <c r="L47" s="981" t="n"/>
      <c r="M47" s="947" t="n">
        <v>-1006.174366452498</v>
      </c>
      <c r="N47" s="947" t="n">
        <v>-38044.99310451094</v>
      </c>
      <c r="O47" s="947" t="n">
        <v>-2605.00495380058</v>
      </c>
      <c r="P47" s="947" t="n">
        <v>-41656.17242476402</v>
      </c>
      <c r="Q47" s="947" t="n"/>
      <c r="R47" s="947" t="n"/>
      <c r="S47" s="982" t="n">
        <v>-41656.17242476402</v>
      </c>
      <c r="U47" s="981" t="n">
        <v>15322.48519254529</v>
      </c>
      <c r="V47" s="947" t="n">
        <v>0</v>
      </c>
      <c r="W47" s="982" t="n">
        <v>15322.48519254529</v>
      </c>
      <c r="Y47" s="983" t="n">
        <v>-26333.68723221873</v>
      </c>
    </row>
    <row r="48">
      <c r="A48" s="946" t="inlineStr">
        <is>
          <t>John Mark Comer</t>
        </is>
      </c>
      <c r="B48" s="947" t="n">
        <v>100000</v>
      </c>
      <c r="C48" s="947" t="n">
        <v>-23885.33043414015</v>
      </c>
      <c r="D48" s="947" t="n">
        <v>-67.07829109679733</v>
      </c>
      <c r="E48" s="947" t="n">
        <v>-2536.332873634077</v>
      </c>
      <c r="F48" s="947" t="n"/>
      <c r="G48" s="947" t="n">
        <v>73511.25840112897</v>
      </c>
      <c r="H48" s="947" t="n"/>
      <c r="I48" s="980" t="n">
        <v>-73511.26161646828</v>
      </c>
      <c r="J48" s="947" t="n">
        <v>-0.00321533931128215</v>
      </c>
      <c r="L48" s="981" t="n"/>
      <c r="M48" s="947" t="n">
        <v>-67.07829109679733</v>
      </c>
      <c r="N48" s="947" t="n">
        <v>-2536.332873634077</v>
      </c>
      <c r="O48" s="947" t="n">
        <v>-173.6669969200387</v>
      </c>
      <c r="P48" s="947" t="n">
        <v>-2777.078161650913</v>
      </c>
      <c r="Q48" s="947" t="n"/>
      <c r="R48" s="947" t="n"/>
      <c r="S48" s="982" t="n">
        <v>-2777.078161650913</v>
      </c>
      <c r="U48" s="981" t="n">
        <v>1021.499012836353</v>
      </c>
      <c r="V48" s="947" t="n">
        <v>0</v>
      </c>
      <c r="W48" s="982" t="n">
        <v>1021.499012836353</v>
      </c>
      <c r="Y48" s="983" t="n">
        <v>-1755.579148814561</v>
      </c>
    </row>
    <row r="49">
      <c r="A49" s="946" t="inlineStr">
        <is>
          <t>Landscape I, LP</t>
        </is>
      </c>
      <c r="B49" s="947" t="n">
        <v>750000</v>
      </c>
      <c r="C49" s="947" t="n">
        <v>-184652.8432560511</v>
      </c>
      <c r="D49" s="947" t="n">
        <v>-503.0871832262492</v>
      </c>
      <c r="E49" s="947" t="n">
        <v>-19022.49655225547</v>
      </c>
      <c r="F49" s="947" t="n"/>
      <c r="G49" s="947" t="n">
        <v>545821.5730084672</v>
      </c>
      <c r="H49" s="947" t="n"/>
      <c r="I49" s="980" t="n">
        <v>-545821.5821235121</v>
      </c>
      <c r="J49" s="947" t="n">
        <v>-0.009115044842474163</v>
      </c>
      <c r="L49" s="981" t="n"/>
      <c r="M49" s="947" t="n">
        <v>-503.0871832262492</v>
      </c>
      <c r="N49" s="947" t="n">
        <v>-19022.49655225547</v>
      </c>
      <c r="O49" s="947" t="n">
        <v>-1302.50247690029</v>
      </c>
      <c r="P49" s="947" t="n">
        <v>-20828.08621238201</v>
      </c>
      <c r="Q49" s="947" t="n"/>
      <c r="R49" s="947" t="n"/>
      <c r="S49" s="982" t="n">
        <v>-20828.08621238201</v>
      </c>
      <c r="U49" s="981" t="n">
        <v>7661.242596272645</v>
      </c>
      <c r="V49" s="947" t="n">
        <v>0</v>
      </c>
      <c r="W49" s="982" t="n">
        <v>7661.242596272645</v>
      </c>
      <c r="Y49" s="983" t="n">
        <v>-13166.84361610936</v>
      </c>
    </row>
    <row r="50">
      <c r="A50" s="946" t="inlineStr">
        <is>
          <t>Lisa Bell Trust, Elisabeth B. Bell, Trustee</t>
        </is>
      </c>
      <c r="B50" s="947" t="n">
        <v>234900.95</v>
      </c>
      <c r="C50" s="947" t="n">
        <v>-58485.24434384934</v>
      </c>
      <c r="D50" s="947" t="n">
        <v>-157.5675430302508</v>
      </c>
      <c r="E50" s="947" t="n">
        <v>-5957.870015328663</v>
      </c>
      <c r="F50" s="947" t="n"/>
      <c r="G50" s="947" t="n">
        <v>170300.2680977918</v>
      </c>
      <c r="H50" s="947" t="n"/>
      <c r="I50" s="980" t="n">
        <v>-170300.2701050494</v>
      </c>
      <c r="J50" s="947" t="n">
        <v>-0.002007257600780576</v>
      </c>
      <c r="L50" s="981" t="n"/>
      <c r="M50" s="947" t="n">
        <v>-157.5675430302508</v>
      </c>
      <c r="N50" s="947" t="n">
        <v>-5957.870015328663</v>
      </c>
      <c r="O50" s="947" t="n">
        <v>-407.9454256016415</v>
      </c>
      <c r="P50" s="947" t="n">
        <v>-6523.382983960555</v>
      </c>
      <c r="Q50" s="947" t="n"/>
      <c r="R50" s="947" t="n"/>
      <c r="S50" s="982" t="n">
        <v>-6523.382983960555</v>
      </c>
      <c r="U50" s="981" t="n">
        <v>2399.510885393214</v>
      </c>
      <c r="V50" s="947" t="n">
        <v>0</v>
      </c>
      <c r="W50" s="982" t="n">
        <v>2399.510885393214</v>
      </c>
      <c r="Y50" s="983" t="n">
        <v>-4123.872098567341</v>
      </c>
    </row>
    <row r="51">
      <c r="A51" s="946" t="inlineStr">
        <is>
          <t>Madten Investments LLC</t>
        </is>
      </c>
      <c r="B51" s="947" t="n">
        <v>1000000</v>
      </c>
      <c r="C51" s="947" t="n">
        <v>-246203.7843414015</v>
      </c>
      <c r="D51" s="947" t="n">
        <v>-670.782910968177</v>
      </c>
      <c r="E51" s="947" t="n">
        <v>-25363.32873634063</v>
      </c>
      <c r="F51" s="947" t="n"/>
      <c r="G51" s="947" t="n">
        <v>727762.1040112897</v>
      </c>
      <c r="H51" s="947" t="n"/>
      <c r="I51" s="980" t="n">
        <v>-727762.1061646828</v>
      </c>
      <c r="J51" s="947" t="n">
        <v>-0.002153393113985658</v>
      </c>
      <c r="L51" s="981" t="n"/>
      <c r="M51" s="947" t="n">
        <v>-670.782910968177</v>
      </c>
      <c r="N51" s="947" t="n">
        <v>-25363.32873634063</v>
      </c>
      <c r="O51" s="947" t="n">
        <v>-1736.669969200387</v>
      </c>
      <c r="P51" s="947" t="n">
        <v>-27770.78161650919</v>
      </c>
      <c r="Q51" s="947" t="n"/>
      <c r="R51" s="947" t="n"/>
      <c r="S51" s="982" t="n">
        <v>-27770.78161650919</v>
      </c>
      <c r="U51" s="981" t="n">
        <v>10214.99012836352</v>
      </c>
      <c r="V51" s="947" t="n">
        <v>0</v>
      </c>
      <c r="W51" s="982" t="n">
        <v>10214.99012836352</v>
      </c>
      <c r="Y51" s="983" t="n">
        <v>-17555.79148814567</v>
      </c>
    </row>
    <row r="52">
      <c r="A52" s="946" t="inlineStr">
        <is>
          <t>Matt McCoy</t>
        </is>
      </c>
      <c r="B52" s="947" t="n">
        <v>117450.47</v>
      </c>
      <c r="C52" s="947" t="n">
        <v>-29242.62644442964</v>
      </c>
      <c r="D52" s="947" t="n">
        <v>-78.78376816119999</v>
      </c>
      <c r="E52" s="947" t="n">
        <v>-2978.934880847708</v>
      </c>
      <c r="F52" s="947" t="n"/>
      <c r="G52" s="947" t="n">
        <v>85150.12490656145</v>
      </c>
      <c r="H52" s="947" t="n"/>
      <c r="I52" s="980" t="n">
        <v>-85150.1214872196</v>
      </c>
      <c r="J52" s="947" t="n">
        <v>0.003419341854169033</v>
      </c>
      <c r="L52" s="981" t="n"/>
      <c r="M52" s="947" t="n">
        <v>-78.78376816119999</v>
      </c>
      <c r="N52" s="947" t="n">
        <v>-2978.934880847708</v>
      </c>
      <c r="O52" s="947" t="n">
        <v>-203.9727041174709</v>
      </c>
      <c r="P52" s="947" t="n">
        <v>-3261.691353126379</v>
      </c>
      <c r="Q52" s="947" t="n"/>
      <c r="R52" s="947" t="n"/>
      <c r="S52" s="982" t="n">
        <v>-3261.691353126379</v>
      </c>
      <c r="U52" s="981" t="n">
        <v>1199.755391621656</v>
      </c>
      <c r="V52" s="947" t="n">
        <v>0</v>
      </c>
      <c r="W52" s="982" t="n">
        <v>1199.755391621656</v>
      </c>
      <c r="Y52" s="983" t="n">
        <v>-2061.935961504722</v>
      </c>
    </row>
    <row r="53">
      <c r="A53" s="946" t="inlineStr">
        <is>
          <t>Matterhorn Holdings, LLC</t>
        </is>
      </c>
      <c r="B53" s="947" t="n">
        <v>100000</v>
      </c>
      <c r="C53" s="947" t="n">
        <v>-23885.33043414015</v>
      </c>
      <c r="D53" s="947" t="n">
        <v>-67.07829109679733</v>
      </c>
      <c r="E53" s="947" t="n">
        <v>-2536.332873634077</v>
      </c>
      <c r="F53" s="947" t="n"/>
      <c r="G53" s="947" t="n">
        <v>73511.25840112897</v>
      </c>
      <c r="H53" s="947" t="n"/>
      <c r="I53" s="980" t="n">
        <v>-73511.26161646828</v>
      </c>
      <c r="J53" s="947" t="n">
        <v>-0.00321533931128215</v>
      </c>
      <c r="L53" s="981" t="n"/>
      <c r="M53" s="947" t="n">
        <v>-67.07829109679733</v>
      </c>
      <c r="N53" s="947" t="n">
        <v>-2536.332873634077</v>
      </c>
      <c r="O53" s="947" t="n">
        <v>-173.6669969200387</v>
      </c>
      <c r="P53" s="947" t="n">
        <v>-2777.078161650913</v>
      </c>
      <c r="Q53" s="947" t="n"/>
      <c r="R53" s="947" t="n"/>
      <c r="S53" s="982" t="n">
        <v>-2777.078161650913</v>
      </c>
      <c r="U53" s="981" t="n">
        <v>1021.499012836353</v>
      </c>
      <c r="V53" s="947" t="n">
        <v>0</v>
      </c>
      <c r="W53" s="982" t="n">
        <v>1021.499012836353</v>
      </c>
      <c r="Y53" s="983" t="n">
        <v>-1755.579148814561</v>
      </c>
    </row>
    <row r="54">
      <c r="A54" s="946" t="inlineStr">
        <is>
          <t>Max O. Reinbach III</t>
        </is>
      </c>
      <c r="B54" s="947" t="n">
        <v>78300.32000000001</v>
      </c>
      <c r="C54" s="947" t="n">
        <v>-19495.07859961313</v>
      </c>
      <c r="D54" s="947" t="n">
        <v>-52.52251657933812</v>
      </c>
      <c r="E54" s="947" t="n">
        <v>-1985.956756320666</v>
      </c>
      <c r="F54" s="947" t="n"/>
      <c r="G54" s="947" t="n">
        <v>56766.76212748687</v>
      </c>
      <c r="H54" s="947" t="n"/>
      <c r="I54" s="980" t="n">
        <v>-56766.76574521985</v>
      </c>
      <c r="J54" s="947" t="n">
        <v>-0.003617732974817045</v>
      </c>
      <c r="L54" s="981" t="n"/>
      <c r="M54" s="947" t="n">
        <v>-52.52251657933812</v>
      </c>
      <c r="N54" s="947" t="n">
        <v>-1985.956756320666</v>
      </c>
      <c r="O54" s="947" t="n">
        <v>-135.9818143227804</v>
      </c>
      <c r="P54" s="947" t="n">
        <v>-2174.461087222784</v>
      </c>
      <c r="Q54" s="947" t="n"/>
      <c r="R54" s="947" t="n"/>
      <c r="S54" s="982" t="n">
        <v>-2174.461087222784</v>
      </c>
      <c r="U54" s="981" t="n">
        <v>799.8369958477051</v>
      </c>
      <c r="V54" s="947" t="n">
        <v>0</v>
      </c>
      <c r="W54" s="982" t="n">
        <v>799.8369958477051</v>
      </c>
      <c r="Y54" s="983" t="n">
        <v>-1374.624091375079</v>
      </c>
    </row>
    <row r="55">
      <c r="A55" s="946" t="inlineStr">
        <is>
          <t>Meghann C. Robinson</t>
        </is>
      </c>
      <c r="B55" s="947" t="n">
        <v>783003.16</v>
      </c>
      <c r="C55" s="947" t="n">
        <v>-194950.8201761711</v>
      </c>
      <c r="D55" s="947" t="n">
        <v>-525.2251389621524</v>
      </c>
      <c r="E55" s="947" t="n">
        <v>-19859.56654867332</v>
      </c>
      <c r="F55" s="947" t="n"/>
      <c r="G55" s="947" t="n">
        <v>567667.5481361934</v>
      </c>
      <c r="H55" s="947" t="n"/>
      <c r="I55" s="980" t="n">
        <v>-567667.5389297578</v>
      </c>
      <c r="J55" s="947" t="n">
        <v>0.009206435643136501</v>
      </c>
      <c r="L55" s="981" t="n"/>
      <c r="M55" s="947" t="n">
        <v>-525.2251389621524</v>
      </c>
      <c r="N55" s="947" t="n">
        <v>-19859.56654867332</v>
      </c>
      <c r="O55" s="947" t="n">
        <v>-1359.818073761005</v>
      </c>
      <c r="P55" s="947" t="n">
        <v>-21744.60976139648</v>
      </c>
      <c r="Q55" s="947" t="n"/>
      <c r="R55" s="947" t="n"/>
      <c r="S55" s="982" t="n">
        <v>-21744.60976139648</v>
      </c>
      <c r="U55" s="981" t="n">
        <v>7998.369549877446</v>
      </c>
      <c r="V55" s="947" t="n">
        <v>0</v>
      </c>
      <c r="W55" s="982" t="n">
        <v>7998.369549877446</v>
      </c>
      <c r="Y55" s="983" t="n">
        <v>-13746.24021151903</v>
      </c>
    </row>
    <row r="56">
      <c r="A56" s="946" t="inlineStr">
        <is>
          <t>Nahas Investments II LLC</t>
        </is>
      </c>
      <c r="B56" s="947" t="n">
        <v>391501.58</v>
      </c>
      <c r="C56" s="947" t="n">
        <v>-97475.42008808552</v>
      </c>
      <c r="D56" s="947" t="n">
        <v>-262.6125694810762</v>
      </c>
      <c r="E56" s="947" t="n">
        <v>-9929.78327433666</v>
      </c>
      <c r="F56" s="947" t="n"/>
      <c r="G56" s="947" t="n">
        <v>283833.7640680968</v>
      </c>
      <c r="H56" s="947" t="n"/>
      <c r="I56" s="980" t="n">
        <v>-283833.7644648789</v>
      </c>
      <c r="J56" s="947" t="n">
        <v>-0.0003967821248807013</v>
      </c>
      <c r="L56" s="981" t="n"/>
      <c r="M56" s="947" t="n">
        <v>-262.6125694810762</v>
      </c>
      <c r="N56" s="947" t="n">
        <v>-9929.78327433666</v>
      </c>
      <c r="O56" s="947" t="n">
        <v>-679.9090368805026</v>
      </c>
      <c r="P56" s="947" t="n">
        <v>-10872.30488069824</v>
      </c>
      <c r="Q56" s="947" t="n"/>
      <c r="R56" s="947" t="n"/>
      <c r="S56" s="982" t="n">
        <v>-10872.30488069824</v>
      </c>
      <c r="U56" s="981" t="n">
        <v>3999.184774938723</v>
      </c>
      <c r="V56" s="947" t="n">
        <v>0</v>
      </c>
      <c r="W56" s="982" t="n">
        <v>3999.184774938723</v>
      </c>
      <c r="Y56" s="983" t="n">
        <v>-6873.120105759515</v>
      </c>
    </row>
    <row r="57">
      <c r="A57" s="953" t="inlineStr">
        <is>
          <t>Odyssey Holdings, LLC</t>
        </is>
      </c>
      <c r="B57" s="954" t="n">
        <v>703163.88</v>
      </c>
      <c r="C57" s="947" t="n">
        <v>-310280.5768200925</v>
      </c>
      <c r="D57" s="947" t="n">
        <v>126350.365848634</v>
      </c>
      <c r="E57" s="947" t="n">
        <v>-17834.5766439607</v>
      </c>
      <c r="F57" s="947" t="n"/>
      <c r="G57" s="947" t="n">
        <v>501399.0923845808</v>
      </c>
      <c r="H57" s="947" t="n"/>
      <c r="I57" s="980" t="n">
        <v>-501398.7508031011</v>
      </c>
      <c r="J57" s="947" t="n">
        <v>0.3415814796462655</v>
      </c>
      <c r="L57" s="981" t="n"/>
      <c r="M57" s="947" t="n">
        <v>126350.365848634</v>
      </c>
      <c r="N57" s="947" t="n">
        <v>-17834.57664396067</v>
      </c>
      <c r="O57" s="947" t="n">
        <v>-1221.163593822424</v>
      </c>
      <c r="P57" s="947" t="n">
        <v>107294.6256108509</v>
      </c>
      <c r="Q57" s="947" t="n">
        <v>-9544.31305836808</v>
      </c>
      <c r="R57" s="947" t="n">
        <v>-126350</v>
      </c>
      <c r="S57" s="982" t="n">
        <v>-28599.68744751716</v>
      </c>
      <c r="U57" s="981" t="n">
        <v>7182.812092821795</v>
      </c>
      <c r="V57" s="947" t="n">
        <v>0</v>
      </c>
      <c r="W57" s="982" t="n">
        <v>7182.812092821795</v>
      </c>
      <c r="Y57" s="985" t="n">
        <v>-21416.87535469537</v>
      </c>
    </row>
    <row r="58">
      <c r="A58" s="946" t="inlineStr">
        <is>
          <t>Pease River Holdings LLC</t>
        </is>
      </c>
      <c r="B58" s="947" t="n">
        <v>78300.32000000001</v>
      </c>
      <c r="C58" s="947" t="n">
        <v>-19495.07859961313</v>
      </c>
      <c r="D58" s="947" t="n">
        <v>-52.52251657933812</v>
      </c>
      <c r="E58" s="947" t="n">
        <v>-1985.956756320666</v>
      </c>
      <c r="F58" s="947" t="n"/>
      <c r="G58" s="947" t="n">
        <v>56766.76212748687</v>
      </c>
      <c r="H58" s="947" t="n"/>
      <c r="I58" s="980" t="n">
        <v>-56766.76574521985</v>
      </c>
      <c r="J58" s="947" t="n">
        <v>-0.003617732974817045</v>
      </c>
      <c r="L58" s="981" t="n"/>
      <c r="M58" s="947" t="n">
        <v>-52.52251657933812</v>
      </c>
      <c r="N58" s="947" t="n">
        <v>-1985.956756320666</v>
      </c>
      <c r="O58" s="947" t="n">
        <v>-135.9818143227804</v>
      </c>
      <c r="P58" s="947" t="n">
        <v>-2174.461087222784</v>
      </c>
      <c r="Q58" s="947" t="n"/>
      <c r="R58" s="947" t="n"/>
      <c r="S58" s="982" t="n">
        <v>-2174.461087222784</v>
      </c>
      <c r="U58" s="981" t="n">
        <v>799.8369958477051</v>
      </c>
      <c r="V58" s="947" t="n">
        <v>0</v>
      </c>
      <c r="W58" s="982" t="n">
        <v>799.8369958477051</v>
      </c>
      <c r="Y58" s="983" t="n">
        <v>-1374.624091375079</v>
      </c>
    </row>
    <row r="59">
      <c r="A59" s="946" t="inlineStr">
        <is>
          <t>PT Burros, LLC</t>
        </is>
      </c>
      <c r="B59" s="947" t="n">
        <v>329488.2</v>
      </c>
      <c r="C59" s="947" t="n">
        <v>-82663.32213191444</v>
      </c>
      <c r="D59" s="947" t="n">
        <v>-221.0150539256574</v>
      </c>
      <c r="E59" s="947" t="n">
        <v>-8356.917531345156</v>
      </c>
      <c r="F59" s="947" t="n"/>
      <c r="G59" s="947" t="n">
        <v>238246.9452828148</v>
      </c>
      <c r="H59" s="947" t="n"/>
      <c r="I59" s="980" t="n">
        <v>-238246.9436165983</v>
      </c>
      <c r="J59" s="947" t="n">
        <v>0.001666216441662982</v>
      </c>
      <c r="L59" s="981" t="n"/>
      <c r="M59" s="947" t="n">
        <v>-221.0150539256574</v>
      </c>
      <c r="N59" s="947" t="n">
        <v>-8356.917531345156</v>
      </c>
      <c r="O59" s="947" t="n">
        <v>-572.2122621458908</v>
      </c>
      <c r="P59" s="947" t="n">
        <v>-9150.144847416705</v>
      </c>
      <c r="Q59" s="947" t="n"/>
      <c r="R59" s="947" t="n"/>
      <c r="S59" s="982" t="n">
        <v>-9150.144847416705</v>
      </c>
      <c r="U59" s="981" t="n">
        <v>3365.718710412267</v>
      </c>
      <c r="V59" s="947" t="n">
        <v>0</v>
      </c>
      <c r="W59" s="982" t="n">
        <v>3365.718710412267</v>
      </c>
      <c r="Y59" s="983" t="n">
        <v>-5784.426137004438</v>
      </c>
    </row>
    <row r="60">
      <c r="A60" s="946" t="inlineStr">
        <is>
          <t>Robert D. Falese III</t>
        </is>
      </c>
      <c r="B60" s="947" t="n">
        <v>877590.41</v>
      </c>
      <c r="C60" s="947" t="n">
        <v>-219128.9079642362</v>
      </c>
      <c r="D60" s="947" t="n">
        <v>-588.6726498575881</v>
      </c>
      <c r="E60" s="947" t="n">
        <v>-22258.61406468996</v>
      </c>
      <c r="F60" s="947" t="n"/>
      <c r="G60" s="947" t="n">
        <v>635614.2153212163</v>
      </c>
      <c r="H60" s="947" t="n"/>
      <c r="I60" s="980" t="n">
        <v>-635614.2124413067</v>
      </c>
      <c r="J60" s="947" t="n">
        <v>0.002879909588955343</v>
      </c>
      <c r="L60" s="981" t="n"/>
      <c r="M60" s="947" t="n">
        <v>-588.6726498575881</v>
      </c>
      <c r="N60" s="947" t="n">
        <v>-22258.61406468996</v>
      </c>
      <c r="O60" s="947" t="n">
        <v>-1524.084910305254</v>
      </c>
      <c r="P60" s="947" t="n">
        <v>-24371.3716248528</v>
      </c>
      <c r="Q60" s="947" t="n"/>
      <c r="R60" s="947" t="n"/>
      <c r="S60" s="982" t="n">
        <v>-24371.3716248528</v>
      </c>
      <c r="U60" s="981" t="n">
        <v>8964.577374896498</v>
      </c>
      <c r="V60" s="947" t="n">
        <v>0</v>
      </c>
      <c r="W60" s="982" t="n">
        <v>8964.577374896498</v>
      </c>
      <c r="Y60" s="983" t="n">
        <v>-15406.7942499563</v>
      </c>
    </row>
    <row r="61">
      <c r="A61" s="946" t="inlineStr">
        <is>
          <t>Robert Parker Yates</t>
        </is>
      </c>
      <c r="B61" s="947" t="n">
        <v>39150.16</v>
      </c>
      <c r="C61" s="947" t="n">
        <v>-9747.549299806567</v>
      </c>
      <c r="D61" s="947" t="n">
        <v>-26.26125828966906</v>
      </c>
      <c r="E61" s="947" t="n">
        <v>-992.9783781603328</v>
      </c>
      <c r="F61" s="947" t="n"/>
      <c r="G61" s="947" t="n">
        <v>28383.37106374343</v>
      </c>
      <c r="H61" s="947" t="n"/>
      <c r="I61" s="980" t="n">
        <v>-28383.37287260992</v>
      </c>
      <c r="J61" s="947" t="n">
        <v>-0.001808866487408523</v>
      </c>
      <c r="L61" s="981" t="n"/>
      <c r="M61" s="947" t="n">
        <v>-26.26125828966906</v>
      </c>
      <c r="N61" s="947" t="n">
        <v>-992.9783781603328</v>
      </c>
      <c r="O61" s="947" t="n">
        <v>-67.99090716139021</v>
      </c>
      <c r="P61" s="947" t="n">
        <v>-1087.230543611392</v>
      </c>
      <c r="Q61" s="947" t="n"/>
      <c r="R61" s="947" t="n"/>
      <c r="S61" s="982" t="n">
        <v>-1087.230543611392</v>
      </c>
      <c r="U61" s="981" t="n">
        <v>399.9184979238526</v>
      </c>
      <c r="V61" s="947" t="n">
        <v>0</v>
      </c>
      <c r="W61" s="982" t="n">
        <v>399.9184979238526</v>
      </c>
      <c r="Y61" s="983" t="n">
        <v>-687.3120456875395</v>
      </c>
    </row>
    <row r="62">
      <c r="A62" s="946" t="inlineStr">
        <is>
          <t>Robert S. Shafir &amp; Donna R. Shafir TEN/COM</t>
        </is>
      </c>
      <c r="B62" s="947" t="n">
        <v>1500000</v>
      </c>
      <c r="C62" s="947" t="n">
        <v>-369305.6765121024</v>
      </c>
      <c r="D62" s="947" t="n">
        <v>-1006.174366452498</v>
      </c>
      <c r="E62" s="947" t="n">
        <v>-38044.99310451094</v>
      </c>
      <c r="F62" s="947" t="n"/>
      <c r="G62" s="947" t="n">
        <v>1091643.156016934</v>
      </c>
      <c r="H62" s="947" t="n"/>
      <c r="I62" s="980" t="n">
        <v>-1091643.154247024</v>
      </c>
      <c r="J62" s="947" t="n">
        <v>0.001769910100847483</v>
      </c>
      <c r="L62" s="981" t="n"/>
      <c r="M62" s="947" t="n">
        <v>-1006.174366452498</v>
      </c>
      <c r="N62" s="947" t="n">
        <v>-38044.99310451094</v>
      </c>
      <c r="O62" s="947" t="n">
        <v>-2605.00495380058</v>
      </c>
      <c r="P62" s="947" t="n">
        <v>-41656.17242476402</v>
      </c>
      <c r="Q62" s="947" t="n"/>
      <c r="R62" s="947" t="n"/>
      <c r="S62" s="982" t="n">
        <v>-41656.17242476402</v>
      </c>
      <c r="U62" s="981" t="n">
        <v>15322.48519254529</v>
      </c>
      <c r="V62" s="947" t="n">
        <v>0</v>
      </c>
      <c r="W62" s="982" t="n">
        <v>15322.48519254529</v>
      </c>
      <c r="Y62" s="983" t="n">
        <v>-26333.68723221873</v>
      </c>
    </row>
    <row r="63">
      <c r="A63" s="946" t="inlineStr">
        <is>
          <t>Robert S. Shafir 2011 Children's Trust</t>
        </is>
      </c>
      <c r="B63" s="947" t="n">
        <v>1000000</v>
      </c>
      <c r="C63" s="947" t="n">
        <v>-246203.7843414015</v>
      </c>
      <c r="D63" s="947" t="n">
        <v>-670.782910968177</v>
      </c>
      <c r="E63" s="947" t="n">
        <v>-25363.32873634063</v>
      </c>
      <c r="F63" s="947" t="n"/>
      <c r="G63" s="947" t="n">
        <v>727762.1040112897</v>
      </c>
      <c r="H63" s="947" t="n"/>
      <c r="I63" s="980" t="n">
        <v>-727762.1061646828</v>
      </c>
      <c r="J63" s="947" t="n">
        <v>-0.002153393113985658</v>
      </c>
      <c r="L63" s="981" t="n"/>
      <c r="M63" s="947" t="n">
        <v>-670.782910968177</v>
      </c>
      <c r="N63" s="947" t="n">
        <v>-25363.32873634063</v>
      </c>
      <c r="O63" s="947" t="n">
        <v>-1736.669969200387</v>
      </c>
      <c r="P63" s="947" t="n">
        <v>-27770.78161650919</v>
      </c>
      <c r="Q63" s="947" t="n"/>
      <c r="R63" s="947" t="n"/>
      <c r="S63" s="982" t="n">
        <v>-27770.78161650919</v>
      </c>
      <c r="U63" s="981" t="n">
        <v>10214.99012836352</v>
      </c>
      <c r="V63" s="947" t="n">
        <v>0</v>
      </c>
      <c r="W63" s="982" t="n">
        <v>10214.99012836352</v>
      </c>
      <c r="Y63" s="983" t="n">
        <v>-17555.79148814567</v>
      </c>
    </row>
    <row r="64">
      <c r="A64" s="946" t="inlineStr">
        <is>
          <t>Romar Partners, LP</t>
        </is>
      </c>
      <c r="B64" s="947" t="n">
        <v>1000000</v>
      </c>
      <c r="C64" s="947" t="n">
        <v>-246203.7843414015</v>
      </c>
      <c r="D64" s="947" t="n">
        <v>-670.782910968177</v>
      </c>
      <c r="E64" s="947" t="n">
        <v>-25363.32873634063</v>
      </c>
      <c r="F64" s="947" t="n"/>
      <c r="G64" s="947" t="n">
        <v>727762.1040112897</v>
      </c>
      <c r="H64" s="947" t="n"/>
      <c r="I64" s="980" t="n">
        <v>-727762.1061646828</v>
      </c>
      <c r="J64" s="947" t="n">
        <v>-0.002153393113985658</v>
      </c>
      <c r="L64" s="981" t="n"/>
      <c r="M64" s="947" t="n">
        <v>-670.782910968177</v>
      </c>
      <c r="N64" s="947" t="n">
        <v>-25363.32873634063</v>
      </c>
      <c r="O64" s="947" t="n">
        <v>-1736.669969200387</v>
      </c>
      <c r="P64" s="947" t="n">
        <v>-27770.78161650919</v>
      </c>
      <c r="Q64" s="947" t="n"/>
      <c r="R64" s="947" t="n"/>
      <c r="S64" s="982" t="n">
        <v>-27770.78161650919</v>
      </c>
      <c r="U64" s="981" t="n">
        <v>10214.99012836352</v>
      </c>
      <c r="V64" s="947" t="n">
        <v>0</v>
      </c>
      <c r="W64" s="982" t="n">
        <v>10214.99012836352</v>
      </c>
      <c r="Y64" s="983" t="n">
        <v>-17555.79148814567</v>
      </c>
    </row>
    <row r="65">
      <c r="A65" s="946" t="inlineStr">
        <is>
          <t>Steven and Chani Laufer 2012 Dynasty Trust</t>
        </is>
      </c>
      <c r="B65" s="947" t="n">
        <v>2000000</v>
      </c>
      <c r="C65" s="947" t="n">
        <v>-492407.5686828028</v>
      </c>
      <c r="D65" s="947" t="n">
        <v>-1341.565821936354</v>
      </c>
      <c r="E65" s="947" t="n">
        <v>-50726.65747268125</v>
      </c>
      <c r="F65" s="947" t="n"/>
      <c r="G65" s="947" t="n">
        <v>1455524.20802258</v>
      </c>
      <c r="H65" s="947" t="n"/>
      <c r="I65" s="980" t="n">
        <v>-1455524.202329366</v>
      </c>
      <c r="J65" s="947" t="n">
        <v>0.005693214014172554</v>
      </c>
      <c r="L65" s="981" t="n"/>
      <c r="M65" s="947" t="n">
        <v>-1341.565821936354</v>
      </c>
      <c r="N65" s="947" t="n">
        <v>-50726.65747268125</v>
      </c>
      <c r="O65" s="947" t="n">
        <v>-3473.339938400773</v>
      </c>
      <c r="P65" s="947" t="n">
        <v>-55541.56323301838</v>
      </c>
      <c r="Q65" s="947" t="n"/>
      <c r="R65" s="947" t="n"/>
      <c r="S65" s="982" t="n">
        <v>-55541.56323301838</v>
      </c>
      <c r="U65" s="981" t="n">
        <v>20429.98025672705</v>
      </c>
      <c r="V65" s="947" t="n">
        <v>0</v>
      </c>
      <c r="W65" s="982" t="n">
        <v>20429.98025672705</v>
      </c>
      <c r="Y65" s="983" t="n">
        <v>-35111.58297629133</v>
      </c>
    </row>
    <row r="66">
      <c r="A66" s="946" t="inlineStr">
        <is>
          <t>Steven M. Laufer 2012 Trust</t>
        </is>
      </c>
      <c r="B66" s="947" t="n">
        <v>1000000</v>
      </c>
      <c r="C66" s="947" t="n">
        <v>-246203.7843414015</v>
      </c>
      <c r="D66" s="947" t="n">
        <v>-670.782910968177</v>
      </c>
      <c r="E66" s="947" t="n">
        <v>-25363.32873634063</v>
      </c>
      <c r="F66" s="947" t="n"/>
      <c r="G66" s="947" t="n">
        <v>727762.1040112897</v>
      </c>
      <c r="H66" s="947" t="n"/>
      <c r="I66" s="980" t="n">
        <v>-727762.1061646828</v>
      </c>
      <c r="J66" s="947" t="n">
        <v>-0.002153393113985658</v>
      </c>
      <c r="L66" s="981" t="n"/>
      <c r="M66" s="947" t="n">
        <v>-670.782910968177</v>
      </c>
      <c r="N66" s="947" t="n">
        <v>-25363.32873634063</v>
      </c>
      <c r="O66" s="947" t="n">
        <v>-1736.669969200387</v>
      </c>
      <c r="P66" s="947" t="n">
        <v>-27770.78161650919</v>
      </c>
      <c r="Q66" s="947" t="n"/>
      <c r="R66" s="947" t="n"/>
      <c r="S66" s="982" t="n">
        <v>-27770.78161650919</v>
      </c>
      <c r="U66" s="981" t="n">
        <v>10214.99012836352</v>
      </c>
      <c r="V66" s="947" t="n">
        <v>0</v>
      </c>
      <c r="W66" s="982" t="n">
        <v>10214.99012836352</v>
      </c>
      <c r="Y66" s="983" t="n">
        <v>-17555.79148814567</v>
      </c>
    </row>
    <row r="67">
      <c r="A67" s="946" t="inlineStr">
        <is>
          <t>Stewart Tate</t>
        </is>
      </c>
      <c r="B67" s="947" t="n">
        <v>523296.86</v>
      </c>
      <c r="C67" s="947" t="n">
        <v>-130540.7489408514</v>
      </c>
      <c r="D67" s="947" t="n">
        <v>-351.0185910513392</v>
      </c>
      <c r="E67" s="947" t="n">
        <v>-13272.55028687487</v>
      </c>
      <c r="F67" s="947" t="n"/>
      <c r="G67" s="947" t="n">
        <v>379132.5421812224</v>
      </c>
      <c r="H67" s="947" t="n"/>
      <c r="I67" s="980" t="n">
        <v>-379132.5439115182</v>
      </c>
      <c r="J67" s="947" t="n">
        <v>-0.001730295771267265</v>
      </c>
      <c r="L67" s="981" t="n"/>
      <c r="M67" s="947" t="n">
        <v>-351.0185910513392</v>
      </c>
      <c r="N67" s="947" t="n">
        <v>-13272.55028687487</v>
      </c>
      <c r="O67" s="947" t="n">
        <v>-908.7939417388588</v>
      </c>
      <c r="P67" s="947" t="n">
        <v>-14532.36281966507</v>
      </c>
      <c r="Q67" s="947" t="n"/>
      <c r="R67" s="947" t="n"/>
      <c r="S67" s="982" t="n">
        <v>-14532.36281966507</v>
      </c>
      <c r="U67" s="981" t="n">
        <v>5345.47225910363</v>
      </c>
      <c r="V67" s="947" t="n">
        <v>0</v>
      </c>
      <c r="W67" s="982" t="n">
        <v>5345.47225910363</v>
      </c>
      <c r="Y67" s="983" t="n">
        <v>-9186.890560561442</v>
      </c>
    </row>
    <row r="68">
      <c r="A68" s="946" t="inlineStr">
        <is>
          <t>TC Wilson Family Trust</t>
        </is>
      </c>
      <c r="B68" s="947" t="n">
        <v>156600.63</v>
      </c>
      <c r="C68" s="947" t="n">
        <v>-38990.16574423623</v>
      </c>
      <c r="D68" s="947" t="n">
        <v>-105.0450264508545</v>
      </c>
      <c r="E68" s="947" t="n">
        <v>-3971.913259008041</v>
      </c>
      <c r="F68" s="947" t="n"/>
      <c r="G68" s="947" t="n">
        <v>113533.5059703049</v>
      </c>
      <c r="H68" s="947" t="n"/>
      <c r="I68" s="980" t="n">
        <v>-113533.5043598295</v>
      </c>
      <c r="J68" s="947" t="n">
        <v>0.001610475359484553</v>
      </c>
      <c r="L68" s="981" t="n"/>
      <c r="M68" s="947" t="n">
        <v>-105.0450264508545</v>
      </c>
      <c r="N68" s="947" t="n">
        <v>-3971.913259008041</v>
      </c>
      <c r="O68" s="947" t="n">
        <v>-271.9636112788611</v>
      </c>
      <c r="P68" s="947" t="n">
        <v>-4348.921896737756</v>
      </c>
      <c r="Q68" s="947" t="n"/>
      <c r="R68" s="947" t="n"/>
      <c r="S68" s="982" t="n">
        <v>-4348.921896737756</v>
      </c>
      <c r="U68" s="981" t="n">
        <v>1599.673889545509</v>
      </c>
      <c r="V68" s="947" t="n">
        <v>0</v>
      </c>
      <c r="W68" s="982" t="n">
        <v>1599.673889545509</v>
      </c>
      <c r="Y68" s="983" t="n">
        <v>-2749.248007192247</v>
      </c>
    </row>
    <row r="69">
      <c r="A69" s="946" t="inlineStr">
        <is>
          <t>Terminal Refrigerating &amp; Warehousing Corp.</t>
        </is>
      </c>
      <c r="B69" s="947" t="n">
        <v>0</v>
      </c>
      <c r="E69" s="947" t="n">
        <v>0</v>
      </c>
      <c r="F69" s="947" t="n"/>
      <c r="G69" s="947" t="n">
        <v>0</v>
      </c>
      <c r="H69" s="947" t="n"/>
      <c r="I69" s="980" t="n">
        <v>0</v>
      </c>
      <c r="J69" s="947" t="n">
        <v>0</v>
      </c>
      <c r="L69" s="981" t="n"/>
      <c r="M69" s="947" t="n">
        <v>0</v>
      </c>
      <c r="N69" s="947" t="n">
        <v>0</v>
      </c>
      <c r="O69" s="947" t="n">
        <v>0</v>
      </c>
      <c r="P69" s="947" t="n">
        <v>0</v>
      </c>
      <c r="Q69" s="947" t="n"/>
      <c r="R69" s="947" t="n"/>
      <c r="S69" s="982" t="n">
        <v>0</v>
      </c>
      <c r="U69" s="981" t="n">
        <v>0</v>
      </c>
      <c r="V69" s="947" t="n">
        <v>0</v>
      </c>
      <c r="W69" s="982" t="n">
        <v>0</v>
      </c>
      <c r="Y69" s="983" t="n">
        <v>0</v>
      </c>
    </row>
    <row r="70">
      <c r="A70" s="946" t="inlineStr">
        <is>
          <t>The 2015 Pipe Reality Delaware Trust</t>
        </is>
      </c>
      <c r="B70" s="947" t="n">
        <v>1000000</v>
      </c>
      <c r="C70" s="947" t="n">
        <v>-246203.7843414015</v>
      </c>
      <c r="D70" s="947" t="n">
        <v>-670.782910968177</v>
      </c>
      <c r="E70" s="947" t="n">
        <v>-25363.32873634063</v>
      </c>
      <c r="F70" s="947" t="n"/>
      <c r="G70" s="947" t="n">
        <v>727762.1040112897</v>
      </c>
      <c r="H70" s="947" t="n"/>
      <c r="I70" s="980" t="n">
        <v>-727762.1061646828</v>
      </c>
      <c r="J70" s="947" t="n">
        <v>-0.002153393113985658</v>
      </c>
      <c r="L70" s="981" t="n"/>
      <c r="M70" s="947" t="n">
        <v>-670.782910968177</v>
      </c>
      <c r="N70" s="947" t="n">
        <v>-25363.32873634063</v>
      </c>
      <c r="O70" s="947" t="n">
        <v>-1736.669969200387</v>
      </c>
      <c r="P70" s="947" t="n">
        <v>-27770.78161650919</v>
      </c>
      <c r="Q70" s="947" t="n"/>
      <c r="R70" s="947" t="n"/>
      <c r="S70" s="982" t="n">
        <v>-27770.78161650919</v>
      </c>
      <c r="U70" s="981" t="n">
        <v>10214.99012836352</v>
      </c>
      <c r="V70" s="947" t="n">
        <v>0</v>
      </c>
      <c r="W70" s="982" t="n">
        <v>10214.99012836352</v>
      </c>
      <c r="Y70" s="983" t="n">
        <v>-17555.79148814567</v>
      </c>
    </row>
    <row r="71">
      <c r="A71" s="946" t="inlineStr">
        <is>
          <t>The David L. Schnadig 2017 Trust</t>
        </is>
      </c>
      <c r="B71" s="947" t="n">
        <v>1000000</v>
      </c>
      <c r="C71" s="947" t="n">
        <v>-246203.7843414015</v>
      </c>
      <c r="D71" s="947" t="n">
        <v>-670.782910968177</v>
      </c>
      <c r="E71" s="947" t="n">
        <v>-25363.32873634063</v>
      </c>
      <c r="F71" s="947" t="n"/>
      <c r="G71" s="947" t="n">
        <v>727762.1040112897</v>
      </c>
      <c r="H71" s="947" t="n"/>
      <c r="I71" s="980" t="n">
        <v>-727762.1061646828</v>
      </c>
      <c r="J71" s="947" t="n">
        <v>-0.002153393113985658</v>
      </c>
      <c r="L71" s="981" t="n"/>
      <c r="M71" s="947" t="n">
        <v>-670.782910968177</v>
      </c>
      <c r="N71" s="947" t="n">
        <v>-25363.32873634063</v>
      </c>
      <c r="O71" s="947" t="n">
        <v>-1736.669969200387</v>
      </c>
      <c r="P71" s="947" t="n">
        <v>-27770.78161650919</v>
      </c>
      <c r="Q71" s="947" t="n"/>
      <c r="R71" s="947" t="n"/>
      <c r="S71" s="982" t="n">
        <v>-27770.78161650919</v>
      </c>
      <c r="U71" s="981" t="n">
        <v>10214.99012836352</v>
      </c>
      <c r="V71" s="947" t="n">
        <v>0</v>
      </c>
      <c r="W71" s="982" t="n">
        <v>10214.99012836352</v>
      </c>
      <c r="Y71" s="983" t="n">
        <v>-17555.79148814567</v>
      </c>
    </row>
    <row r="72">
      <c r="A72" s="946" t="inlineStr">
        <is>
          <t>The Diane Rosen 2021 Irrevocable Family Trust</t>
        </is>
      </c>
      <c r="B72" s="947" t="n">
        <v>600000</v>
      </c>
      <c r="C72" s="947" t="n">
        <v>-147722.2726048408</v>
      </c>
      <c r="D72" s="947" t="n">
        <v>-402.4697465809295</v>
      </c>
      <c r="E72" s="947" t="n">
        <v>-15217.99724180432</v>
      </c>
      <c r="F72" s="947" t="n"/>
      <c r="G72" s="947" t="n">
        <v>436657.2604067739</v>
      </c>
      <c r="H72" s="947" t="n"/>
      <c r="I72" s="980" t="n">
        <v>-436657.2596988098</v>
      </c>
      <c r="J72" s="947" t="n">
        <v>0.0007079641800373793</v>
      </c>
      <c r="L72" s="981" t="n"/>
      <c r="M72" s="947" t="n">
        <v>-402.4697465809295</v>
      </c>
      <c r="N72" s="947" t="n">
        <v>-15217.99724180432</v>
      </c>
      <c r="O72" s="947" t="n">
        <v>-1042.001981520232</v>
      </c>
      <c r="P72" s="947" t="n">
        <v>-16662.46896990548</v>
      </c>
      <c r="Q72" s="947" t="n"/>
      <c r="R72" s="947" t="n"/>
      <c r="S72" s="982" t="n">
        <v>-16662.46896990548</v>
      </c>
      <c r="U72" s="981" t="n">
        <v>6128.994077018116</v>
      </c>
      <c r="V72" s="947" t="n">
        <v>0</v>
      </c>
      <c r="W72" s="982" t="n">
        <v>6128.994077018116</v>
      </c>
      <c r="Y72" s="983" t="n">
        <v>-10533.47489288736</v>
      </c>
    </row>
    <row r="73">
      <c r="A73" s="946" t="inlineStr">
        <is>
          <t>The Mark T. Kirchdorfer 2015 Family Delaware Dynasty Trust</t>
        </is>
      </c>
      <c r="B73" s="947" t="n">
        <v>1000000</v>
      </c>
      <c r="C73" s="947" t="n">
        <v>-246203.7843414015</v>
      </c>
      <c r="D73" s="947" t="n">
        <v>-670.782910968177</v>
      </c>
      <c r="E73" s="947" t="n">
        <v>-25363.32873634063</v>
      </c>
      <c r="F73" s="947" t="n"/>
      <c r="G73" s="947" t="n">
        <v>727762.1040112897</v>
      </c>
      <c r="H73" s="947" t="n"/>
      <c r="I73" s="980" t="n">
        <v>-727762.1061646828</v>
      </c>
      <c r="J73" s="947" t="n">
        <v>-0.002153393113985658</v>
      </c>
      <c r="L73" s="981" t="n"/>
      <c r="M73" s="947" t="n">
        <v>-670.782910968177</v>
      </c>
      <c r="N73" s="947" t="n">
        <v>-25363.32873634063</v>
      </c>
      <c r="O73" s="947" t="n">
        <v>-1736.669969200387</v>
      </c>
      <c r="P73" s="947" t="n">
        <v>-27770.78161650919</v>
      </c>
      <c r="Q73" s="947" t="n"/>
      <c r="R73" s="947" t="n"/>
      <c r="S73" s="982" t="n">
        <v>-27770.78161650919</v>
      </c>
      <c r="U73" s="981" t="n">
        <v>10214.99012836352</v>
      </c>
      <c r="V73" s="947" t="n">
        <v>0</v>
      </c>
      <c r="W73" s="982" t="n">
        <v>10214.99012836352</v>
      </c>
      <c r="Y73" s="983" t="n">
        <v>-17555.79148814567</v>
      </c>
    </row>
    <row r="74">
      <c r="A74" s="946" t="inlineStr">
        <is>
          <t>University of Southern California</t>
        </is>
      </c>
      <c r="B74" s="947" t="n">
        <v>20000000</v>
      </c>
      <c r="C74" s="947" t="n">
        <v>-4849075.706828028</v>
      </c>
      <c r="D74" s="947" t="n">
        <v>-13415.65821936354</v>
      </c>
      <c r="E74" s="947" t="n">
        <v>-507266.5747268125</v>
      </c>
      <c r="F74" s="947" t="n"/>
      <c r="G74" s="947" t="n">
        <v>14630242.0602258</v>
      </c>
      <c r="H74" s="947" t="n"/>
      <c r="I74" s="980" t="n">
        <v>-14630242.06329366</v>
      </c>
      <c r="J74" s="947" t="n">
        <v>-0.003067860379815102</v>
      </c>
      <c r="L74" s="981" t="n"/>
      <c r="M74" s="947" t="n">
        <v>-13415.65821936354</v>
      </c>
      <c r="N74" s="947" t="n">
        <v>-507266.5747268125</v>
      </c>
      <c r="O74" s="947" t="n">
        <v>-34733.39938400773</v>
      </c>
      <c r="P74" s="947" t="n">
        <v>-555415.6323301839</v>
      </c>
      <c r="Q74" s="947" t="n"/>
      <c r="R74" s="947" t="n"/>
      <c r="S74" s="982" t="n">
        <v>-555415.6323301839</v>
      </c>
      <c r="U74" s="981" t="n">
        <v>204299.8025672705</v>
      </c>
      <c r="V74" s="947" t="n">
        <v>0</v>
      </c>
      <c r="W74" s="982" t="n">
        <v>204299.8025672705</v>
      </c>
      <c r="Y74" s="983" t="n">
        <v>-351115.8297629134</v>
      </c>
    </row>
    <row r="75">
      <c r="A75" s="946" t="inlineStr">
        <is>
          <t>Walker D. Zimmerman</t>
        </is>
      </c>
      <c r="B75" s="947" t="n">
        <v>250000</v>
      </c>
      <c r="C75" s="947" t="n">
        <v>-59713.3110853504</v>
      </c>
      <c r="D75" s="947" t="n">
        <v>-167.6957277420443</v>
      </c>
      <c r="E75" s="947" t="n">
        <v>-6340.832184085157</v>
      </c>
      <c r="F75" s="947" t="n"/>
      <c r="G75" s="947" t="n">
        <v>183778.1610028224</v>
      </c>
      <c r="H75" s="947" t="n"/>
      <c r="I75" s="980" t="n">
        <v>-183778.1640411707</v>
      </c>
      <c r="J75" s="947" t="n">
        <v>-0.003038348309928551</v>
      </c>
      <c r="L75" s="981" t="n"/>
      <c r="M75" s="947" t="n">
        <v>-167.6957277420443</v>
      </c>
      <c r="N75" s="947" t="n">
        <v>-6340.832184085157</v>
      </c>
      <c r="O75" s="947" t="n">
        <v>-434.1674923000966</v>
      </c>
      <c r="P75" s="947" t="n">
        <v>-6942.695404127297</v>
      </c>
      <c r="Q75" s="947" t="n"/>
      <c r="R75" s="947" t="n"/>
      <c r="S75" s="982" t="n">
        <v>-6942.695404127297</v>
      </c>
      <c r="U75" s="981" t="n">
        <v>2553.747532090881</v>
      </c>
      <c r="V75" s="947" t="n">
        <v>0</v>
      </c>
      <c r="W75" s="982" t="n">
        <v>2553.747532090881</v>
      </c>
      <c r="Y75" s="983" t="n">
        <v>-4388.947872036417</v>
      </c>
    </row>
    <row r="76">
      <c r="A76" s="946" t="inlineStr">
        <is>
          <t>Wilson Family Trust DTD 3-6-1987</t>
        </is>
      </c>
      <c r="B76" s="947" t="n">
        <v>313201.26</v>
      </c>
      <c r="C76" s="947" t="n">
        <v>-77980.35148847237</v>
      </c>
      <c r="D76" s="947" t="n">
        <v>-210.090052901709</v>
      </c>
      <c r="E76" s="947" t="n">
        <v>-7943.826518016052</v>
      </c>
      <c r="F76" s="947" t="n"/>
      <c r="G76" s="947" t="n">
        <v>227066.9919406099</v>
      </c>
      <c r="H76" s="947" t="n"/>
      <c r="I76" s="980" t="n">
        <v>-227066.9987196591</v>
      </c>
      <c r="J76" s="947" t="n">
        <v>-0.006779049173928797</v>
      </c>
      <c r="L76" s="981" t="n"/>
      <c r="M76" s="947" t="n">
        <v>-210.090052901709</v>
      </c>
      <c r="N76" s="947" t="n">
        <v>-7943.826518016052</v>
      </c>
      <c r="O76" s="947" t="n">
        <v>-543.9272225577222</v>
      </c>
      <c r="P76" s="947" t="n">
        <v>-8697.843793475484</v>
      </c>
      <c r="Q76" s="947" t="n"/>
      <c r="R76" s="947" t="n"/>
      <c r="S76" s="982" t="n">
        <v>-8697.843793475484</v>
      </c>
      <c r="U76" s="981" t="n">
        <v>3199.347779091018</v>
      </c>
      <c r="V76" s="947" t="n">
        <v>0</v>
      </c>
      <c r="W76" s="982" t="n">
        <v>3199.347779091018</v>
      </c>
      <c r="Y76" s="983" t="n">
        <v>-5498.496014384466</v>
      </c>
      <c r="AF76" s="894" t="n"/>
    </row>
    <row r="77">
      <c r="A77" s="946" t="inlineStr">
        <is>
          <t>Wilson GST Exempt Trust</t>
        </is>
      </c>
      <c r="B77" s="947" t="n">
        <v>313201.26</v>
      </c>
      <c r="C77" s="947" t="n">
        <v>-77980.35148847237</v>
      </c>
      <c r="D77" s="947" t="n">
        <v>-210.090052901709</v>
      </c>
      <c r="E77" s="947" t="n">
        <v>-7943.826518016052</v>
      </c>
      <c r="F77" s="947" t="n"/>
      <c r="G77" s="947" t="n">
        <v>227066.9919406099</v>
      </c>
      <c r="H77" s="947" t="n"/>
      <c r="I77" s="980" t="n">
        <v>-227066.9987196591</v>
      </c>
      <c r="J77" s="947" t="n">
        <v>-0.006779049173928797</v>
      </c>
      <c r="L77" s="981" t="n"/>
      <c r="M77" s="947" t="n">
        <v>-210.090052901709</v>
      </c>
      <c r="N77" s="947" t="n">
        <v>-7943.826518016052</v>
      </c>
      <c r="O77" s="947" t="n">
        <v>-543.9272225577222</v>
      </c>
      <c r="P77" s="947" t="n">
        <v>-8697.843793475484</v>
      </c>
      <c r="Q77" s="947" t="n"/>
      <c r="R77" s="947" t="n"/>
      <c r="S77" s="982" t="n">
        <v>-8697.843793475484</v>
      </c>
      <c r="U77" s="981" t="n">
        <v>3199.347779091018</v>
      </c>
      <c r="V77" s="947" t="n">
        <v>0</v>
      </c>
      <c r="W77" s="982" t="n">
        <v>3199.347779091018</v>
      </c>
      <c r="Y77" s="983" t="n">
        <v>-5498.496014384466</v>
      </c>
      <c r="AF77" s="894" t="n"/>
    </row>
    <row r="78">
      <c r="A78" s="946" t="inlineStr">
        <is>
          <t>Texas Emerging Managers Private Markets Program, L.P. (2025-1 RE Investment Series)</t>
        </is>
      </c>
      <c r="B78" s="947" t="n">
        <v>5000000</v>
      </c>
      <c r="C78" s="947" t="n">
        <v>3768981.07384257</v>
      </c>
      <c r="D78" s="947" t="n">
        <v>-3353.914554840885</v>
      </c>
      <c r="E78" s="947" t="n">
        <v>-126816.6436817031</v>
      </c>
      <c r="F78" s="947" t="n"/>
      <c r="G78" s="947" t="n">
        <v>3638810.515606026</v>
      </c>
      <c r="H78" s="947" t="n"/>
      <c r="I78" s="980" t="n">
        <v>-3638810.515606023</v>
      </c>
      <c r="J78" s="947" t="n">
        <v>0</v>
      </c>
      <c r="L78" s="981" t="n"/>
      <c r="M78" s="947" t="n">
        <v>-3353.914554840885</v>
      </c>
      <c r="N78" s="947" t="n">
        <v>-126816.6436817031</v>
      </c>
      <c r="O78" s="947" t="n">
        <v>-8683.349846001933</v>
      </c>
      <c r="P78" s="947" t="n">
        <v>-138853.908082546</v>
      </c>
      <c r="Q78" s="947" t="n"/>
      <c r="R78" s="947" t="n"/>
      <c r="S78" s="982" t="n">
        <v>-138853.908082546</v>
      </c>
      <c r="U78" s="981" t="n">
        <v>51074.95064181762</v>
      </c>
      <c r="V78" s="947" t="n">
        <v>0</v>
      </c>
      <c r="W78" s="982" t="n">
        <v>51074.95064181762</v>
      </c>
      <c r="Y78" s="983" t="n">
        <v>-87778.95744072835</v>
      </c>
      <c r="AF78" s="894" t="n"/>
    </row>
    <row r="79">
      <c r="A79" s="946" t="inlineStr">
        <is>
          <t>GCM Grosvenor NJ RE Emerging Managers Program, LP (2023-1 Investment Series)</t>
        </is>
      </c>
      <c r="B79" s="947" t="n">
        <v>7500000</v>
      </c>
      <c r="C79" s="947" t="n">
        <v>5653471.61076385</v>
      </c>
      <c r="D79" s="947" t="n">
        <v>-5030.871832261793</v>
      </c>
      <c r="E79" s="947" t="n">
        <v>-190224.9655225538</v>
      </c>
      <c r="F79" s="947" t="n"/>
      <c r="G79" s="947" t="n">
        <v>5458215.773409034</v>
      </c>
      <c r="H79" s="947" t="n"/>
      <c r="I79" s="980" t="n">
        <v>-5458215.773409034</v>
      </c>
      <c r="J79" s="947" t="n">
        <v>0</v>
      </c>
      <c r="L79" s="981" t="n"/>
      <c r="M79" s="947" t="n">
        <v>-5030.871832261793</v>
      </c>
      <c r="N79" s="947" t="n">
        <v>-190224.9655225538</v>
      </c>
      <c r="O79" s="947" t="n">
        <v>-13025.0247690029</v>
      </c>
      <c r="P79" s="947" t="n">
        <v>-208280.8621238185</v>
      </c>
      <c r="Q79" s="947" t="n"/>
      <c r="R79" s="947" t="n"/>
      <c r="S79" s="982" t="n">
        <v>-208280.8621238185</v>
      </c>
      <c r="U79" s="981" t="n">
        <v>76612.42596272644</v>
      </c>
      <c r="V79" s="947" t="n">
        <v>0</v>
      </c>
      <c r="W79" s="982" t="n">
        <v>76612.42596272644</v>
      </c>
      <c r="Y79" s="983" t="n">
        <v>-131668.436161092</v>
      </c>
      <c r="AF79" s="894" t="n"/>
    </row>
    <row r="80">
      <c r="A80" s="946" t="inlineStr">
        <is>
          <t>GCM Grosvenor - NYSTRS Real Estate Investment Partners, L.P. (2024-1 Series)</t>
        </is>
      </c>
      <c r="B80" s="947" t="n">
        <v>5000000</v>
      </c>
      <c r="C80" s="947" t="n">
        <v>3768981.07384257</v>
      </c>
      <c r="D80" s="947" t="n">
        <v>-3353.914554840885</v>
      </c>
      <c r="E80" s="947" t="n">
        <v>-126816.6436817031</v>
      </c>
      <c r="F80" s="947" t="n"/>
      <c r="G80" s="947" t="n">
        <v>3638810.515606026</v>
      </c>
      <c r="H80" s="947" t="n"/>
      <c r="I80" s="980" t="n">
        <v>-3638810.515606023</v>
      </c>
      <c r="J80" s="947" t="n">
        <v>0</v>
      </c>
      <c r="L80" s="981" t="n"/>
      <c r="M80" s="947" t="n">
        <v>-3353.914554840885</v>
      </c>
      <c r="N80" s="947" t="n">
        <v>-126816.6436817031</v>
      </c>
      <c r="O80" s="947" t="n">
        <v>-8683.349846001933</v>
      </c>
      <c r="P80" s="947" t="n">
        <v>-138853.908082546</v>
      </c>
      <c r="Q80" s="947" t="n"/>
      <c r="R80" s="947" t="n"/>
      <c r="S80" s="982" t="n">
        <v>-138853.908082546</v>
      </c>
      <c r="U80" s="981" t="n">
        <v>51074.95064181762</v>
      </c>
      <c r="V80" s="947" t="n">
        <v>0</v>
      </c>
      <c r="W80" s="982" t="n">
        <v>51074.95064181762</v>
      </c>
      <c r="Y80" s="983" t="n">
        <v>-87778.95744072835</v>
      </c>
    </row>
    <row r="81">
      <c r="A81" s="946" t="inlineStr">
        <is>
          <t>CRPTF-GCM Middle-Market RE Partnership, L.P. (2025-01 Investment Series)</t>
        </is>
      </c>
      <c r="B81" s="947" t="n">
        <v>30000000</v>
      </c>
      <c r="C81" s="947" t="n">
        <v>22613886.4430554</v>
      </c>
      <c r="D81" s="947" t="n">
        <v>-20123.48732904717</v>
      </c>
      <c r="E81" s="947" t="n">
        <v>-760899.8620902151</v>
      </c>
      <c r="F81" s="947" t="n"/>
      <c r="G81" s="947" t="n">
        <v>21832863.09363614</v>
      </c>
      <c r="H81" s="947" t="n"/>
      <c r="I81" s="980" t="n">
        <v>-21832863.09363614</v>
      </c>
      <c r="J81" s="947" t="n">
        <v>0</v>
      </c>
      <c r="L81" s="981" t="n"/>
      <c r="M81" s="947" t="n">
        <v>-20123.48732904717</v>
      </c>
      <c r="N81" s="947" t="n">
        <v>-760899.8620902151</v>
      </c>
      <c r="O81" s="947" t="n">
        <v>-52100.09907601159</v>
      </c>
      <c r="P81" s="947" t="n">
        <v>-833123.4484952738</v>
      </c>
      <c r="Q81" s="947" t="n"/>
      <c r="R81" s="947" t="n"/>
      <c r="S81" s="982" t="n">
        <v>-833123.4484952738</v>
      </c>
      <c r="U81" s="981" t="n">
        <v>306449.7038509058</v>
      </c>
      <c r="V81" s="947" t="n">
        <v>0</v>
      </c>
      <c r="W81" s="982" t="n">
        <v>306449.7038509058</v>
      </c>
      <c r="Y81" s="983" t="n">
        <v>-526673.7446443681</v>
      </c>
    </row>
    <row r="82">
      <c r="A82" s="986" t="inlineStr">
        <is>
          <t>Legacy Knight Strategic Opportunities Fund LLC - CL Rail Series</t>
        </is>
      </c>
      <c r="B82" s="987" t="n">
        <v>10000000</v>
      </c>
      <c r="C82" s="947" t="n">
        <v>-2388532.423414014</v>
      </c>
      <c r="D82" s="947" t="n">
        <v>-6707.82910968177</v>
      </c>
      <c r="E82" s="947" t="n">
        <v>4671621.444853012</v>
      </c>
      <c r="F82" s="947" t="n"/>
      <c r="G82" s="947" t="n">
        <v>12276381.19232932</v>
      </c>
      <c r="H82" s="947" t="n"/>
      <c r="I82" s="988" t="n">
        <v>-12276381.1938632</v>
      </c>
      <c r="J82" s="947" t="n">
        <v>-0.001533882692456245</v>
      </c>
      <c r="L82" s="981" t="n">
        <v>5008186.21114857</v>
      </c>
      <c r="M82" s="947" t="n">
        <v>-6707.82910968177</v>
      </c>
      <c r="N82" s="947" t="n">
        <v>0</v>
      </c>
      <c r="O82" s="947" t="n">
        <v>-17366.69969200387</v>
      </c>
      <c r="P82" s="947" t="n">
        <v>4984111.682346885</v>
      </c>
      <c r="Q82" s="947" t="n"/>
      <c r="R82" s="947" t="n">
        <v>-5161409.84</v>
      </c>
      <c r="S82" s="982" t="n">
        <v>-177298.1576531148</v>
      </c>
      <c r="U82" s="989" t="n">
        <v>170590.3351436709</v>
      </c>
      <c r="V82" s="947" t="n">
        <v>0</v>
      </c>
      <c r="W82" s="982" t="n">
        <v>170590.3351436709</v>
      </c>
      <c r="Y82" s="985" t="n">
        <v>-6707.822509443882</v>
      </c>
      <c r="AF82" s="894" t="n"/>
    </row>
    <row r="83">
      <c r="A83" s="946" t="inlineStr">
        <is>
          <t>Argos Holdings, LLC</t>
        </is>
      </c>
      <c r="B83" s="947" t="n">
        <v>391501.58</v>
      </c>
      <c r="C83" s="947" t="n">
        <v>-97475.42008808552</v>
      </c>
      <c r="D83" s="947" t="n">
        <v>-262.6125694810762</v>
      </c>
      <c r="E83" s="947" t="n">
        <v>-9929.78327433666</v>
      </c>
      <c r="F83" s="947" t="n"/>
      <c r="G83" s="947" t="n">
        <v>283833.7640680968</v>
      </c>
      <c r="H83" s="947" t="n"/>
      <c r="I83" s="980" t="n">
        <v>-283833.7644648789</v>
      </c>
      <c r="J83" s="947" t="n">
        <v>-0.0003967821248807013</v>
      </c>
      <c r="L83" s="981" t="n"/>
      <c r="M83" s="947" t="n">
        <v>-262.6125694810762</v>
      </c>
      <c r="N83" s="947" t="n">
        <v>-9929.78327433666</v>
      </c>
      <c r="O83" s="947" t="n">
        <v>-679.9090368805026</v>
      </c>
      <c r="P83" s="947" t="n">
        <v>-10872.30488069824</v>
      </c>
      <c r="Q83" s="947" t="n"/>
      <c r="R83" s="947" t="n"/>
      <c r="S83" s="982" t="n">
        <v>-10872.30488069824</v>
      </c>
      <c r="U83" s="981" t="n">
        <v>3999.184774938723</v>
      </c>
      <c r="V83" s="947" t="n">
        <v>0</v>
      </c>
      <c r="W83" s="982" t="n">
        <v>3999.184774938723</v>
      </c>
      <c r="Y83" s="983" t="n">
        <v>-6873.120105759515</v>
      </c>
      <c r="AF83" s="894" t="n"/>
    </row>
    <row r="84">
      <c r="A84" s="946" t="inlineStr">
        <is>
          <t>Palmatum HR Illiquid, LLC</t>
        </is>
      </c>
      <c r="B84" s="947" t="n">
        <v>2000000</v>
      </c>
      <c r="C84" s="947" t="n">
        <v>-492407.5686828028</v>
      </c>
      <c r="D84" s="947" t="n">
        <v>-1341.565821936354</v>
      </c>
      <c r="E84" s="947" t="n">
        <v>-50726.65747268125</v>
      </c>
      <c r="F84" s="947" t="n"/>
      <c r="G84" s="947" t="n">
        <v>1455524.20802258</v>
      </c>
      <c r="H84" s="947" t="n"/>
      <c r="I84" s="980" t="n">
        <v>-1455524.202329366</v>
      </c>
      <c r="J84" s="947" t="n">
        <v>0.005693214014172554</v>
      </c>
      <c r="L84" s="981" t="n"/>
      <c r="M84" s="947" t="n">
        <v>-1341.565821936354</v>
      </c>
      <c r="N84" s="947" t="n">
        <v>-50726.65747268125</v>
      </c>
      <c r="O84" s="947" t="n">
        <v>-3473.339938400773</v>
      </c>
      <c r="P84" s="947" t="n">
        <v>-55541.56323301838</v>
      </c>
      <c r="Q84" s="947" t="n"/>
      <c r="R84" s="947" t="n"/>
      <c r="S84" s="982" t="n">
        <v>-55541.56323301838</v>
      </c>
      <c r="U84" s="981" t="n">
        <v>20429.98025672705</v>
      </c>
      <c r="V84" s="947" t="n">
        <v>0</v>
      </c>
      <c r="W84" s="982" t="n">
        <v>20429.98025672705</v>
      </c>
      <c r="Y84" s="983" t="n">
        <v>-35111.58297629133</v>
      </c>
      <c r="AF84" s="894" t="n"/>
    </row>
    <row r="85" ht="15" customHeight="1" s="759">
      <c r="A85" s="946" t="inlineStr">
        <is>
          <t>James Bloomingdale</t>
        </is>
      </c>
      <c r="B85" s="947" t="n">
        <v>0</v>
      </c>
      <c r="C85" s="947" t="n">
        <v>0</v>
      </c>
      <c r="D85" s="947" t="n">
        <v>0</v>
      </c>
      <c r="E85" s="990" t="n">
        <v>18377.81616498663</v>
      </c>
      <c r="F85" s="990" t="n"/>
      <c r="G85" s="947" t="n">
        <v>18377.81616498663</v>
      </c>
      <c r="I85" s="980" t="n">
        <v>-18377.8161649866</v>
      </c>
      <c r="J85" s="947" t="n">
        <v>3.274180926382542e-11</v>
      </c>
      <c r="L85" s="991" t="n">
        <v>19702.0748095278</v>
      </c>
      <c r="M85" s="992" t="n">
        <v>0</v>
      </c>
      <c r="N85" s="993" t="n">
        <v>0</v>
      </c>
      <c r="O85" s="993" t="n">
        <v>0</v>
      </c>
      <c r="P85" s="992" t="n">
        <v>19702.0748095278</v>
      </c>
      <c r="Q85" s="992" t="n"/>
      <c r="R85" s="992" t="n"/>
      <c r="S85" s="994" t="n">
        <v>19702.0748095278</v>
      </c>
      <c r="U85" s="991" t="n">
        <v>255.3747532090881</v>
      </c>
      <c r="V85" s="992" t="n">
        <v>0</v>
      </c>
      <c r="W85" s="994" t="n">
        <v>255.3747532090881</v>
      </c>
      <c r="Y85" s="995" t="n">
        <v>19957.44956273689</v>
      </c>
    </row>
    <row r="86">
      <c r="L86" s="996" t="n">
        <v>5027888.285958098</v>
      </c>
      <c r="M86" s="996" t="n"/>
      <c r="N86" s="996" t="n">
        <v>-4541702.046344073</v>
      </c>
      <c r="O86" s="996" t="n">
        <v>-328344.7118817276</v>
      </c>
      <c r="P86" s="996" t="n">
        <v>157841.5277323018</v>
      </c>
      <c r="Q86" s="996" t="n">
        <v>-9544.31305836808</v>
      </c>
      <c r="R86" s="996" t="n">
        <v>-5287759.84</v>
      </c>
      <c r="S86" s="996" t="n">
        <v>-5139462.625326065</v>
      </c>
      <c r="U86" s="996" t="n">
        <v>2000000</v>
      </c>
      <c r="V86" s="996" t="n">
        <v>0</v>
      </c>
      <c r="W86" s="996" t="n">
        <v>2000000</v>
      </c>
      <c r="Y86" s="996" t="n">
        <v>-3139462.625326072</v>
      </c>
    </row>
    <row r="87">
      <c r="G87" s="997" t="n"/>
    </row>
    <row r="88">
      <c r="G88" s="997" t="n"/>
      <c r="I88" s="997" t="n"/>
      <c r="Q88" s="998" t="inlineStr">
        <is>
          <t>Management fees - Legacy Knight</t>
        </is>
      </c>
      <c r="R88" s="998" t="n"/>
      <c r="S88" s="947" t="n">
        <v>-147745.923913043</v>
      </c>
      <c r="V88" s="998" t="n"/>
      <c r="W88" s="947" t="n"/>
      <c r="X88" s="998" t="inlineStr">
        <is>
          <t>Cash to balance sheet</t>
        </is>
      </c>
      <c r="Y88" s="947" t="n">
        <v>2000000</v>
      </c>
    </row>
    <row r="89">
      <c r="I89" s="997" t="n"/>
      <c r="Q89" s="998" t="inlineStr">
        <is>
          <t>Management fees - James Bloomingdale</t>
        </is>
      </c>
      <c r="R89" s="998" t="n"/>
      <c r="S89" s="999" t="n">
        <v>-551.290760869565</v>
      </c>
      <c r="V89" s="998" t="n"/>
      <c r="X89" s="998" t="inlineStr">
        <is>
          <t>Management fees</t>
        </is>
      </c>
      <c r="Y89" s="999" t="n">
        <v>148297.2146739126</v>
      </c>
    </row>
    <row r="90">
      <c r="I90" s="997" t="n"/>
      <c r="Q90" s="1000" t="inlineStr">
        <is>
          <t>Total</t>
        </is>
      </c>
      <c r="R90" s="1000" t="n"/>
      <c r="S90" s="996" t="n">
        <v>-148297.2146739126</v>
      </c>
      <c r="V90" s="1000" t="n"/>
      <c r="W90" s="996" t="n"/>
      <c r="X90" s="1000" t="inlineStr">
        <is>
          <t>Total cash retained by CLRF</t>
        </is>
      </c>
      <c r="Y90" s="996" t="n">
        <v>2148297.214673913</v>
      </c>
    </row>
    <row r="91">
      <c r="W91" s="938" t="n"/>
    </row>
    <row r="92">
      <c r="A92" s="1001" t="n"/>
      <c r="B92" s="1001" t="n"/>
      <c r="C92" s="1001" t="n"/>
      <c r="D92" s="1001" t="n"/>
      <c r="E92" s="1001" t="n"/>
      <c r="F92" s="1001" t="n"/>
      <c r="G92" s="1001" t="n"/>
      <c r="H92" s="1001" t="n"/>
      <c r="I92" s="1001" t="n"/>
      <c r="J92" s="1001" t="n"/>
      <c r="K92" s="1001" t="n"/>
      <c r="L92" s="1001" t="n"/>
      <c r="M92" s="1001" t="n"/>
      <c r="N92" s="1001" t="n"/>
      <c r="O92" s="1001" t="n"/>
      <c r="P92" s="1001" t="n"/>
      <c r="Q92" s="1002" t="inlineStr">
        <is>
          <t>Difference</t>
        </is>
      </c>
      <c r="R92" s="1002" t="n"/>
      <c r="S92" s="988" t="n">
        <v>2.235174179077148e-08</v>
      </c>
      <c r="T92" s="1001" t="n"/>
      <c r="U92" s="1001" t="n"/>
      <c r="V92" s="1001" t="n"/>
      <c r="W92" s="1003" t="n"/>
      <c r="X92" s="1001" t="n"/>
      <c r="Y92" s="988" t="n"/>
      <c r="AB92" s="894" t="n"/>
    </row>
    <row r="93">
      <c r="AB93" s="911" t="n"/>
    </row>
    <row r="94">
      <c r="AB94" s="911" t="n"/>
    </row>
    <row r="95">
      <c r="Q95" s="894" t="n"/>
      <c r="R95" s="894" t="n"/>
      <c r="AB95" s="911" t="n"/>
    </row>
    <row r="96">
      <c r="I96" s="947" t="n"/>
      <c r="Q96" s="894" t="n"/>
      <c r="R96" s="894" t="n"/>
    </row>
    <row r="97">
      <c r="I97" s="997" t="n"/>
      <c r="Q97" s="894" t="n"/>
      <c r="R97" s="894" t="n"/>
    </row>
    <row r="98">
      <c r="Q98" s="915" t="n"/>
      <c r="R98" s="915" t="n"/>
    </row>
    <row r="99">
      <c r="Q99" s="894" t="n"/>
      <c r="R99" s="894" t="n"/>
    </row>
  </sheetData>
  <pageMargins left="0.7" right="0.7" top="0.75" bottom="0.75" header="0.3" footer="0.3"/>
</worksheet>
</file>

<file path=xl/worksheets/sheet9.xml><?xml version="1.0" encoding="utf-8"?>
<worksheet xmlns="http://schemas.openxmlformats.org/spreadsheetml/2006/main">
  <sheetPr>
    <tabColor theme="9" tint="0.3999755851924192"/>
    <outlinePr summaryBelow="1" summaryRight="1"/>
    <pageSetUpPr/>
  </sheetPr>
  <dimension ref="A1:F24"/>
  <sheetViews>
    <sheetView zoomScale="115" zoomScaleNormal="115" workbookViewId="0">
      <selection activeCell="F4" sqref="F4"/>
    </sheetView>
  </sheetViews>
  <sheetFormatPr baseColWidth="8" defaultRowHeight="15"/>
  <cols>
    <col width="78.85546875" bestFit="1" customWidth="1" style="759" min="1" max="1"/>
    <col width="26.5703125" customWidth="1" style="759" min="2" max="6"/>
  </cols>
  <sheetData>
    <row r="1">
      <c r="A1" s="31" t="inlineStr">
        <is>
          <t>Summary close details for Legacy Knight</t>
        </is>
      </c>
    </row>
    <row r="2">
      <c r="A2" s="31" t="n"/>
    </row>
    <row r="3" ht="45" customHeight="1" s="759">
      <c r="A3" s="267" t="inlineStr">
        <is>
          <t>Partner Name</t>
        </is>
      </c>
      <c r="B3" s="268" t="inlineStr">
        <is>
          <t>Total Contribution - Investments</t>
        </is>
      </c>
      <c r="C3" s="268" t="inlineStr">
        <is>
          <t>Total Contributions - Management Fees</t>
        </is>
      </c>
      <c r="D3" s="268" t="inlineStr">
        <is>
          <t>Total Interest - Contributions (Investment)</t>
        </is>
      </c>
      <c r="E3" s="268" t="inlineStr">
        <is>
          <t>Total Interest - Contributions (Management Fees)</t>
        </is>
      </c>
      <c r="F3" s="268" t="inlineStr">
        <is>
          <t>Total Call</t>
        </is>
      </c>
    </row>
    <row r="4">
      <c r="A4" t="inlineStr">
        <is>
          <t>Legacy Knight Strategic Opportunities Fund LLC - CL Rail Series</t>
        </is>
      </c>
      <c r="B4" s="562">
        <f>'Subsequent Close'!T82-'Subsequent Close'!M82+'Subsequent Close'!W82-'Subsequent Close'!P82+'Subsequent Close'!X82-'Subsequent Close'!Q82</f>
        <v/>
      </c>
      <c r="C4" s="562">
        <f>'Subsequent Close - OLD B4 25k'!U82</f>
        <v/>
      </c>
      <c r="D4" s="562">
        <f>-'Closing Interest'!O25</f>
        <v/>
      </c>
      <c r="E4" s="562">
        <f>-'Management Fees - New Investor'!M20</f>
        <v/>
      </c>
      <c r="F4" s="25">
        <f>SUM(B4:E4)</f>
        <v/>
      </c>
    </row>
    <row r="5">
      <c r="A5" t="inlineStr">
        <is>
          <t>James Bloomingdale</t>
        </is>
      </c>
      <c r="B5" s="562">
        <f>'Subsequent Close'!T85+'Subsequent Close'!W85+'Subsequent Close'!X85</f>
        <v/>
      </c>
      <c r="C5" s="562">
        <f>'Subsequent Close'!U85</f>
        <v/>
      </c>
      <c r="D5" s="562">
        <f>-'Closing Interest'!O26</f>
        <v/>
      </c>
      <c r="E5" s="562">
        <f>-'Management Fees - New Investor'!M34</f>
        <v/>
      </c>
      <c r="F5" s="25">
        <f>SUM(B5:E5)</f>
        <v/>
      </c>
    </row>
    <row r="6">
      <c r="A6" s="269" t="inlineStr">
        <is>
          <t>Total Call</t>
        </is>
      </c>
      <c r="B6" s="360">
        <f>SUM(B4:B5)</f>
        <v/>
      </c>
      <c r="C6" s="360">
        <f>SUM(C4:C5)</f>
        <v/>
      </c>
      <c r="D6" s="360">
        <f>SUM(D4:D5)</f>
        <v/>
      </c>
      <c r="E6" s="360">
        <f>SUM(E4:E5)</f>
        <v/>
      </c>
      <c r="F6" s="360">
        <f>SUM(F4:F5)</f>
        <v/>
      </c>
    </row>
    <row r="8">
      <c r="A8" s="272" t="inlineStr">
        <is>
          <t>Checking</t>
        </is>
      </c>
      <c r="B8" s="271" t="n"/>
      <c r="C8" s="271" t="n"/>
      <c r="D8" s="271" t="n"/>
      <c r="E8" s="271" t="n"/>
    </row>
    <row r="9">
      <c r="A9" s="270" t="inlineStr">
        <is>
          <t>Difference from supporting workpapers (closing interest and management fee tabs)</t>
        </is>
      </c>
      <c r="B9" s="359">
        <f>B6+'Closing Interest'!O18</f>
        <v/>
      </c>
      <c r="C9" s="359">
        <f>C6-'Subsequent Close'!U86</f>
        <v/>
      </c>
      <c r="D9" s="359">
        <f>D6+'Closing Interest'!O29</f>
        <v/>
      </c>
      <c r="E9" s="359">
        <f>E6+'Management Fees - New Investor'!M20+'Management Fees - New Investor'!M34</f>
        <v/>
      </c>
    </row>
    <row r="11" ht="15.75" customHeight="1" s="759" thickBot="1">
      <c r="A11" s="829" t="inlineStr">
        <is>
          <t>Legacy Knight</t>
        </is>
      </c>
      <c r="B11" s="350" t="n"/>
    </row>
    <row r="12">
      <c r="A12" s="190" t="inlineStr">
        <is>
          <t>Total contributed at rebalance date:</t>
        </is>
      </c>
      <c r="B12" s="559">
        <f>'Subsequent Close'!R86</f>
        <v/>
      </c>
    </row>
    <row r="13">
      <c r="A13" s="171" t="inlineStr">
        <is>
          <t>Total management fee contributions - other investors</t>
        </is>
      </c>
      <c r="B13" s="560">
        <f>-'Subsequent Close'!N86</f>
        <v/>
      </c>
    </row>
    <row r="14">
      <c r="A14" s="274" t="inlineStr">
        <is>
          <t>Total Investment Contributions for rebalance</t>
        </is>
      </c>
      <c r="B14" s="172">
        <f>SUM(B12:B13)</f>
        <v/>
      </c>
    </row>
    <row r="15">
      <c r="A15" s="171" t="n"/>
      <c r="B15" s="561">
        <f>'Subsequent Close'!I82-'Subsequent Close'!H82</f>
        <v/>
      </c>
    </row>
    <row r="16" ht="15.75" customHeight="1" s="759" thickBot="1">
      <c r="A16" s="173" t="inlineStr">
        <is>
          <t>Total Investment Contribution by Legacy Knight:</t>
        </is>
      </c>
      <c r="B16" s="189">
        <f>B15*B14</f>
        <v/>
      </c>
    </row>
    <row r="18" ht="15.75" customHeight="1" s="759" thickBot="1">
      <c r="A18" s="829" t="inlineStr">
        <is>
          <t>James Bloomingdale</t>
        </is>
      </c>
      <c r="B18" s="350" t="n"/>
    </row>
    <row r="19">
      <c r="A19" s="190" t="inlineStr">
        <is>
          <t>Total contributed at rebalance date:</t>
        </is>
      </c>
      <c r="B19" s="559">
        <f>B12</f>
        <v/>
      </c>
    </row>
    <row r="20">
      <c r="A20" s="171" t="inlineStr">
        <is>
          <t>Total management fee contributions - other investors</t>
        </is>
      </c>
      <c r="B20" s="560">
        <f>B13</f>
        <v/>
      </c>
    </row>
    <row r="21">
      <c r="A21" s="274" t="inlineStr">
        <is>
          <t>Total Investment Contributions for rebalance</t>
        </is>
      </c>
      <c r="B21" s="172">
        <f>SUM(B19:B20)</f>
        <v/>
      </c>
    </row>
    <row r="22">
      <c r="A22" s="171" t="n"/>
      <c r="B22" s="561">
        <f>'Subsequent Close'!I85</f>
        <v/>
      </c>
    </row>
    <row r="23" ht="15.75" customHeight="1" s="759" thickBot="1">
      <c r="A23" s="173" t="inlineStr">
        <is>
          <t>Total Investment Contribution by James Bloomingdale</t>
        </is>
      </c>
      <c r="B23" s="189">
        <f>B22*B21</f>
        <v/>
      </c>
      <c r="C23" s="211" t="n"/>
    </row>
    <row r="24">
      <c r="B24" s="25" t="n"/>
    </row>
  </sheetData>
  <pageMargins left="0.7" right="0.7" top="0.75" bottom="0.75" header="0.3" footer="0.3"/>
  <pageSetup orientation="portrait" horizontalDpi="1200" verticalDpi="1200"/>
</worksheet>
</file>

<file path=xl/worksheets/sheet10.xml><?xml version="1.0" encoding="utf-8"?>
<worksheet xmlns="http://schemas.openxmlformats.org/spreadsheetml/2006/main">
  <sheetPr>
    <outlinePr summaryBelow="1" summaryRight="1"/>
    <pageSetUpPr/>
  </sheetPr>
  <dimension ref="A1:BB107"/>
  <sheetViews>
    <sheetView topLeftCell="S17" workbookViewId="0">
      <selection activeCell="AK57" sqref="AK57"/>
    </sheetView>
  </sheetViews>
  <sheetFormatPr baseColWidth="8" defaultRowHeight="15"/>
  <cols>
    <col width="78.85546875" bestFit="1" customWidth="1" style="759" min="1" max="1"/>
    <col hidden="1" outlineLevel="1" width="18.28515625" customWidth="1" style="759" min="2" max="4"/>
    <col collapsed="1" width="18.28515625" customWidth="1" style="759" min="5" max="5"/>
    <col width="16.28515625" customWidth="1" style="759" min="6" max="6"/>
    <col width="18.28515625" customWidth="1" style="759" min="7" max="8"/>
    <col width="16.28515625" customWidth="1" style="759" min="9" max="11"/>
    <col width="17.7109375" customWidth="1" style="759" min="13" max="18"/>
    <col width="3.28515625" customWidth="1" style="759" min="19" max="19"/>
    <col width="17.7109375" customWidth="1" style="759" min="20" max="20"/>
    <col hidden="1" outlineLevel="1" width="17" customWidth="1" style="759" min="21" max="21"/>
    <col collapsed="1" width="17.7109375" customWidth="1" style="759" min="22" max="22"/>
    <col width="17.7109375" customWidth="1" style="759" min="23" max="23"/>
    <col hidden="1" outlineLevel="1" width="17.7109375" customWidth="1" style="759" min="24" max="24"/>
    <col collapsed="1" width="17.7109375" customWidth="1" style="759" min="25" max="25"/>
    <col hidden="1" outlineLevel="1" width="17.7109375" customWidth="1" style="759" min="26" max="26"/>
    <col collapsed="1" width="17" bestFit="1" customWidth="1" style="759" min="27" max="27"/>
    <col hidden="1" outlineLevel="1" width="3.28515625" customWidth="1" style="759" min="28" max="28"/>
    <col hidden="1" outlineLevel="1" width="19" customWidth="1" style="759" min="29" max="29"/>
    <col hidden="1" outlineLevel="1" width="17.7109375" customWidth="1" style="759" min="30" max="32"/>
    <col hidden="1" outlineLevel="1" width="12.140625" customWidth="1" style="759" min="33" max="33"/>
    <col collapsed="1" width="3.28515625" customWidth="1" style="759" min="34" max="34"/>
    <col width="17.140625" customWidth="1" style="759" min="35" max="35"/>
    <col hidden="1" width="17.140625" customWidth="1" style="759" min="36" max="36"/>
    <col width="17.140625" bestFit="1" customWidth="1" style="759" min="37" max="37"/>
    <col outlineLevel="1" width="1.7109375" customWidth="1" style="759" min="38" max="38"/>
    <col outlineLevel="1" width="17.140625" customWidth="1" style="759" min="39" max="39"/>
    <col outlineLevel="1" width="15.5703125" customWidth="1" style="759" min="40" max="42"/>
    <col width="1.7109375" customWidth="1" style="759" min="43" max="43"/>
    <col width="17.140625" customWidth="1" style="759" min="44" max="44"/>
    <col width="17.140625" bestFit="1" customWidth="1" style="759" min="45" max="45"/>
    <col outlineLevel="1" width="17.140625" customWidth="1" style="759" min="46" max="46"/>
    <col outlineLevel="1" width="15.5703125" customWidth="1" style="759" min="47" max="47"/>
    <col width="1.7109375" customWidth="1" style="759" min="48" max="48"/>
    <col width="17.140625" bestFit="1" customWidth="1" style="759" min="49" max="49"/>
    <col width="17.140625" customWidth="1" style="759" min="50" max="50"/>
    <col width="1.7109375" customWidth="1" style="759" min="51" max="51"/>
    <col width="17.140625" customWidth="1" style="759" min="52" max="52"/>
    <col width="17.140625" bestFit="1" customWidth="1" style="759" min="53" max="53"/>
    <col collapsed="1" width="1.7109375" customWidth="1" style="759" min="54" max="54"/>
  </cols>
  <sheetData>
    <row r="1">
      <c r="A1" s="222" t="inlineStr">
        <is>
          <t>County Line Rail Subsequent Close Workbook - GCM Grosevnor</t>
        </is>
      </c>
      <c r="B1" s="107" t="n"/>
      <c r="C1" s="107" t="n"/>
      <c r="D1" s="107" t="n"/>
      <c r="E1" s="107" t="n"/>
      <c r="F1" s="107" t="n"/>
      <c r="G1" s="107" t="n"/>
      <c r="H1" s="107" t="n"/>
      <c r="I1" s="107" t="n"/>
      <c r="J1" s="107" t="n"/>
      <c r="K1" s="107" t="n"/>
      <c r="M1" s="108" t="inlineStr">
        <is>
          <t>Amount before Rebalance</t>
        </is>
      </c>
      <c r="N1" s="109" t="n"/>
      <c r="O1" s="109" t="n"/>
      <c r="P1" s="109" t="n"/>
      <c r="Q1" s="109" t="n"/>
      <c r="R1" s="109" t="n"/>
      <c r="S1" s="196" t="n"/>
      <c r="T1" s="103" t="inlineStr">
        <is>
          <t>Rebalance</t>
        </is>
      </c>
      <c r="U1" s="103" t="n"/>
      <c r="V1" s="103" t="n"/>
      <c r="W1" s="103" t="n"/>
      <c r="X1" s="103" t="n"/>
      <c r="Y1" s="103" t="n"/>
      <c r="Z1" s="103" t="n"/>
      <c r="AA1" s="103" t="n"/>
      <c r="AB1" s="103" t="n"/>
      <c r="AC1" s="103" t="n"/>
      <c r="AD1" s="103" t="n"/>
      <c r="AE1" s="103" t="n"/>
      <c r="AF1" s="103" t="n"/>
      <c r="AG1" s="103" t="n"/>
      <c r="AH1" s="103" t="n"/>
      <c r="AI1" s="319" t="inlineStr">
        <is>
          <t>RETURN OF CAPITAL</t>
        </is>
      </c>
      <c r="AJ1" s="320" t="n"/>
      <c r="AK1" s="320" t="n"/>
      <c r="AL1" s="320" t="n"/>
      <c r="AM1" s="320" t="n"/>
      <c r="AN1" s="321" t="n"/>
      <c r="AO1" s="321" t="n"/>
      <c r="AP1" s="322" t="n"/>
      <c r="AQ1" s="342" t="n"/>
      <c r="AR1" s="319" t="inlineStr">
        <is>
          <t>INTEREST DISTRIBUTION</t>
        </is>
      </c>
      <c r="AS1" s="320" t="n"/>
      <c r="AT1" s="320" t="n"/>
      <c r="AU1" s="322" t="n"/>
      <c r="AV1" s="342" t="n"/>
      <c r="AW1" s="339" t="inlineStr">
        <is>
          <t>TOTAL LP DISTRIBUTION</t>
        </is>
      </c>
      <c r="AX1" s="320" t="n"/>
      <c r="AY1" s="342" t="n"/>
      <c r="AZ1" s="319" t="inlineStr">
        <is>
          <t>MANAGEMENT FEE INTEREST</t>
        </is>
      </c>
      <c r="BA1" s="339" t="n"/>
      <c r="BB1" s="343" t="n"/>
    </row>
    <row r="2" ht="60" customHeight="1" s="759">
      <c r="A2" s="225" t="inlineStr">
        <is>
          <t xml:space="preserve"> </t>
        </is>
      </c>
      <c r="B2" s="225" t="n"/>
      <c r="C2" s="225" t="n"/>
      <c r="D2" s="225" t="n"/>
      <c r="E2" s="225" t="n"/>
      <c r="F2" s="225" t="n"/>
      <c r="G2" s="225" t="n"/>
      <c r="H2" s="225" t="n"/>
      <c r="I2" s="225" t="n"/>
      <c r="J2" s="225" t="n"/>
      <c r="K2" s="225" t="n"/>
      <c r="M2" s="221" t="inlineStr">
        <is>
          <t>Contribution - Investment</t>
        </is>
      </c>
      <c r="N2" s="221" t="inlineStr">
        <is>
          <t>Contribution - Mgmt Fees</t>
        </is>
      </c>
      <c r="O2" s="221" t="inlineStr">
        <is>
          <t>Q4 Management Fee Contributions (existing investors)</t>
        </is>
      </c>
      <c r="P2" s="221" t="inlineStr">
        <is>
          <t>Contribution - Org Exp</t>
        </is>
      </c>
      <c r="Q2" s="221" t="inlineStr">
        <is>
          <t>Contribution - General</t>
        </is>
      </c>
      <c r="R2" s="221" t="inlineStr">
        <is>
          <t>Total Before Subsequent Close</t>
        </is>
      </c>
      <c r="S2" s="250" t="n"/>
      <c r="T2" s="221" t="inlineStr">
        <is>
          <t>Contribution - Investment (Rebalanced)</t>
        </is>
      </c>
      <c r="U2" s="221" t="inlineStr">
        <is>
          <t>Management Fee Contributions (new investors)</t>
        </is>
      </c>
      <c r="V2" s="221" t="inlineStr">
        <is>
          <t>Contribution - Managmeent Fees (Rebalanced)</t>
        </is>
      </c>
      <c r="W2" s="221" t="inlineStr">
        <is>
          <t>Contribution - Org Exp (Rebalanced)</t>
        </is>
      </c>
      <c r="X2" s="221" t="inlineStr">
        <is>
          <t>Change in capital account</t>
        </is>
      </c>
      <c r="Y2" s="221" t="inlineStr">
        <is>
          <t>Contribution - General (Rebalanced)</t>
        </is>
      </c>
      <c r="Z2" s="221" t="inlineStr">
        <is>
          <t>Change in capital account</t>
        </is>
      </c>
      <c r="AA2" s="221" t="inlineStr">
        <is>
          <t>Total After Subsequent Close</t>
        </is>
      </c>
      <c r="AB2" s="250" t="n"/>
      <c r="AC2" s="221" t="inlineStr">
        <is>
          <t>Contribution - Investment</t>
        </is>
      </c>
      <c r="AD2" s="221" t="inlineStr">
        <is>
          <t>Contribution - Mgmt Fees</t>
        </is>
      </c>
      <c r="AE2" s="221" t="inlineStr">
        <is>
          <t>Contribution - Org Exp</t>
        </is>
      </c>
      <c r="AF2" s="221" t="inlineStr">
        <is>
          <t>Contribution - General</t>
        </is>
      </c>
      <c r="AG2" s="221" t="inlineStr">
        <is>
          <t>Total</t>
        </is>
      </c>
      <c r="AH2" s="250" t="n"/>
      <c r="AI2" s="323" t="inlineStr">
        <is>
          <t>New Investor Contribution</t>
        </is>
      </c>
      <c r="AJ2" s="221" t="inlineStr">
        <is>
          <t>Transfer - Natalie Bloomingdale to Odyssey</t>
        </is>
      </c>
      <c r="AK2" s="221" t="inlineStr">
        <is>
          <t xml:space="preserve">Distribution to LPs </t>
        </is>
      </c>
      <c r="AL2" s="250" t="n"/>
      <c r="AM2" s="289" t="inlineStr">
        <is>
          <t>Unreturned Capital Contributions</t>
        </is>
      </c>
      <c r="AN2" s="290" t="inlineStr">
        <is>
          <t>Equalization Percentage (unadjusted)</t>
        </is>
      </c>
      <c r="AO2" s="290" t="inlineStr">
        <is>
          <t>Adjustments: Management Fee</t>
        </is>
      </c>
      <c r="AP2" s="291" t="inlineStr">
        <is>
          <t xml:space="preserve">Equalization Percentage </t>
        </is>
      </c>
      <c r="AQ2" s="250" t="n"/>
      <c r="AR2" s="323" t="inlineStr">
        <is>
          <t>New Investor Contribution</t>
        </is>
      </c>
      <c r="AS2" s="221" t="inlineStr">
        <is>
          <t xml:space="preserve">Distribution to LPs </t>
        </is>
      </c>
      <c r="AT2" s="289" t="inlineStr">
        <is>
          <t>Distribution</t>
        </is>
      </c>
      <c r="AU2" s="291" t="inlineStr">
        <is>
          <t>Pref Distribution %</t>
        </is>
      </c>
      <c r="AV2" s="250" t="n"/>
      <c r="AW2" s="323" t="inlineStr">
        <is>
          <t>New Investor Contribution</t>
        </is>
      </c>
      <c r="AX2" s="221" t="inlineStr">
        <is>
          <t xml:space="preserve">Distribution to LPs </t>
        </is>
      </c>
      <c r="AY2" s="250" t="n"/>
      <c r="AZ2" s="323" t="inlineStr">
        <is>
          <t>New Investor Contribution</t>
        </is>
      </c>
      <c r="BA2" s="341" t="inlineStr">
        <is>
          <t>Distribution to GP</t>
        </is>
      </c>
      <c r="BB2" s="344" t="n"/>
    </row>
    <row r="3" ht="60" customHeight="1" s="759">
      <c r="A3" s="206" t="inlineStr">
        <is>
          <t>Investor Name</t>
        </is>
      </c>
      <c r="B3" s="144" t="inlineStr">
        <is>
          <t>CLIP Rollover Contribution</t>
        </is>
      </c>
      <c r="C3" s="144" t="inlineStr">
        <is>
          <t>Silsbee Rollover Contribution</t>
        </is>
      </c>
      <c r="D3" s="144" t="inlineStr">
        <is>
          <t>Management Fee Rate</t>
        </is>
      </c>
      <c r="E3" s="106" t="inlineStr">
        <is>
          <t>Total Commitment Before Call</t>
        </is>
      </c>
      <c r="F3" s="106" t="inlineStr">
        <is>
          <t>LP Commitment % (before transfer)</t>
        </is>
      </c>
      <c r="G3" s="106" t="inlineStr">
        <is>
          <t>Total Commitment After Call</t>
        </is>
      </c>
      <c r="H3" s="106" t="inlineStr">
        <is>
          <t>Total commitment after bloomingdale transfer</t>
        </is>
      </c>
      <c r="I3" s="106" t="inlineStr">
        <is>
          <t>Commitment % Before call</t>
        </is>
      </c>
      <c r="J3" s="106" t="inlineStr">
        <is>
          <t>Commitment % after call</t>
        </is>
      </c>
      <c r="K3" s="106" t="inlineStr">
        <is>
          <t>Commitment % after Bloomingdale Transfer</t>
        </is>
      </c>
      <c r="M3" s="220" t="n">
        <v>-125602254.41</v>
      </c>
      <c r="N3" s="220" t="n">
        <v>-1486567.155556793</v>
      </c>
      <c r="O3" s="220" t="n">
        <v>-463745.8500000001</v>
      </c>
      <c r="P3" s="220" t="n">
        <v>-55914.34</v>
      </c>
      <c r="Q3" s="220" t="n">
        <v>-14438626.3944432</v>
      </c>
      <c r="R3" s="220" t="inlineStr">
        <is>
          <t>Total</t>
        </is>
      </c>
      <c r="S3" s="223" t="n"/>
      <c r="T3" s="241" t="n">
        <v>-125602254.41</v>
      </c>
      <c r="U3" s="245" t="n">
        <v>-698301.6304347827</v>
      </c>
      <c r="V3" s="241" t="n">
        <v>-2648614.635991576</v>
      </c>
      <c r="W3" s="241" t="n">
        <v>-55914.34</v>
      </c>
      <c r="X3" s="224" t="n"/>
      <c r="Y3" s="241" t="n">
        <v>-14438626.3944432</v>
      </c>
      <c r="Z3" s="224" t="n">
        <v>29821.64094682073</v>
      </c>
      <c r="AA3" s="241" t="inlineStr">
        <is>
          <t>Total</t>
        </is>
      </c>
      <c r="AB3" s="223" t="n"/>
      <c r="AC3" s="280" t="inlineStr">
        <is>
          <t>A</t>
        </is>
      </c>
      <c r="AD3" s="280" t="n"/>
      <c r="AE3" s="280" t="inlineStr">
        <is>
          <t>B</t>
        </is>
      </c>
      <c r="AF3" s="280" t="inlineStr">
        <is>
          <t>C</t>
        </is>
      </c>
      <c r="AG3" s="280" t="inlineStr">
        <is>
          <t>A + B +C</t>
        </is>
      </c>
      <c r="AH3" s="223" t="n"/>
      <c r="AI3" s="324" t="n">
        <v>35107018.5710696</v>
      </c>
      <c r="AJ3" s="241" t="n">
        <v>0</v>
      </c>
      <c r="AK3" s="241" t="n">
        <v>-4.394678398966789e-08</v>
      </c>
      <c r="AL3" s="314" t="n"/>
      <c r="AM3" s="315" t="inlineStr">
        <is>
          <t>CHECKING</t>
        </is>
      </c>
      <c r="AN3" s="315" t="n"/>
      <c r="AO3" s="315" t="n"/>
      <c r="AP3" s="325" t="n"/>
      <c r="AQ3" s="314" t="n"/>
      <c r="AR3" s="336" t="n">
        <v>1969299.997604219</v>
      </c>
      <c r="AS3" s="465" t="n">
        <v>-1963618.062331069</v>
      </c>
      <c r="AT3" s="315" t="inlineStr">
        <is>
          <t>CHECKING</t>
        </is>
      </c>
      <c r="AU3" s="329" t="n"/>
      <c r="AV3" s="314" t="n"/>
      <c r="AW3" s="336" t="n">
        <v>37076318.56867382</v>
      </c>
      <c r="AX3" s="340" t="n">
        <v>-37076318.56867386</v>
      </c>
      <c r="AY3" s="314" t="n"/>
      <c r="AZ3" s="324" t="n">
        <v>35146.88802858845</v>
      </c>
      <c r="BA3" s="338" t="n">
        <v>-35146.88802858845</v>
      </c>
      <c r="BB3" s="314" t="n"/>
    </row>
    <row r="4">
      <c r="A4" s="752" t="inlineStr">
        <is>
          <t>1999 Britta Biesecker Declaration of Trust DTD 5/12/99</t>
        </is>
      </c>
      <c r="B4" s="351" t="n">
        <v>0</v>
      </c>
      <c r="C4" s="351" t="n">
        <v>0</v>
      </c>
      <c r="D4" s="351" t="inlineStr">
        <is>
          <t>BBR</t>
        </is>
      </c>
      <c r="E4" s="761" t="n">
        <v>500000</v>
      </c>
      <c r="F4" s="760" t="n">
        <v>0.003684859106590195</v>
      </c>
      <c r="G4" s="761" t="n">
        <v>500000</v>
      </c>
      <c r="H4" s="761" t="n">
        <v>500000</v>
      </c>
      <c r="I4" s="760" t="n">
        <v>0.00351984332158029</v>
      </c>
      <c r="J4" s="760" t="n">
        <v>0.002637801696498362</v>
      </c>
      <c r="K4" s="760" t="n">
        <v>0.002637801696498362</v>
      </c>
      <c r="M4" s="351" t="n">
        <v>-442100.256360467</v>
      </c>
      <c r="N4" s="351" t="n">
        <v>-6100.54</v>
      </c>
      <c r="O4" s="351" t="n">
        <v>-1250</v>
      </c>
      <c r="P4" s="351" t="n">
        <v>-196.8097162295697</v>
      </c>
      <c r="Q4" s="351" t="n">
        <v>-50352.39000000003</v>
      </c>
      <c r="R4" s="351" t="n">
        <v>-499999.9960766966</v>
      </c>
      <c r="S4" s="761" t="n"/>
      <c r="T4" s="249" t="n">
        <v>-331313.8397667169</v>
      </c>
      <c r="U4" s="754" t="n">
        <v>0</v>
      </c>
      <c r="V4" s="249" t="n">
        <v>-7350.54</v>
      </c>
      <c r="W4" s="249" t="n">
        <v>-147.4909409105862</v>
      </c>
      <c r="X4" s="212" t="n">
        <v>49.31877531898343</v>
      </c>
      <c r="Y4" s="249" t="n">
        <v>-38086.2331983683</v>
      </c>
      <c r="Z4" s="212" t="n">
        <v>12266.15680163173</v>
      </c>
      <c r="AA4" s="249" t="n">
        <v>-376898.1039059958</v>
      </c>
      <c r="AB4" s="761" t="n"/>
      <c r="AC4" s="299" t="n">
        <v>-0.6626276795334338</v>
      </c>
      <c r="AD4" s="300" t="n">
        <v>-0.01470108</v>
      </c>
      <c r="AE4" s="300" t="n">
        <v>-0.0002949818818211724</v>
      </c>
      <c r="AF4" s="300" t="n">
        <v>-0.0761724663967366</v>
      </c>
      <c r="AG4" s="918" t="n">
        <v>-0.7390951278119916</v>
      </c>
      <c r="AH4" s="761" t="n"/>
      <c r="AI4" s="326" t="n"/>
      <c r="AJ4" s="249" t="n"/>
      <c r="AK4" s="249" t="n">
        <v>-123101.8921707008</v>
      </c>
      <c r="AL4" s="756" t="n"/>
      <c r="AM4" s="308" t="n">
        <v>-123101.8921707008</v>
      </c>
      <c r="AN4" s="758" t="n">
        <v>-0.2462037843414015</v>
      </c>
      <c r="AO4" s="758" t="n">
        <v>-0.01470108</v>
      </c>
      <c r="AP4" s="310" t="n">
        <v>-0.2609048643414015</v>
      </c>
      <c r="AQ4" s="756" t="n"/>
      <c r="AR4" s="330" t="n"/>
      <c r="AS4" s="331" t="n">
        <v>-7256.593029779959</v>
      </c>
      <c r="AT4" s="466" t="n">
        <v>-7256.593029779959</v>
      </c>
      <c r="AU4" s="467" t="n">
        <v>0.01451318617343918</v>
      </c>
      <c r="AV4" s="756" t="n"/>
      <c r="AW4" s="326" t="n"/>
      <c r="AX4" s="332" t="n">
        <v>-130358.4852004807</v>
      </c>
      <c r="AY4" s="756" t="n"/>
      <c r="AZ4" s="330" t="n"/>
      <c r="BA4" s="331" t="n"/>
      <c r="BB4" s="756" t="n"/>
    </row>
    <row r="5">
      <c r="A5" s="752" t="inlineStr">
        <is>
          <t>1999 Frederick N Biesecker II Declaration of Trust DTD 5/12/99</t>
        </is>
      </c>
      <c r="B5" s="351" t="n">
        <v>0</v>
      </c>
      <c r="C5" s="351" t="n">
        <v>0</v>
      </c>
      <c r="D5" s="351" t="inlineStr">
        <is>
          <t>BBR</t>
        </is>
      </c>
      <c r="E5" s="761" t="n">
        <v>700000</v>
      </c>
      <c r="F5" s="760" t="n">
        <v>0.005158802749226272</v>
      </c>
      <c r="G5" s="761" t="n">
        <v>700000</v>
      </c>
      <c r="H5" s="761" t="n">
        <v>700000</v>
      </c>
      <c r="I5" s="760" t="n">
        <v>0.004927780650212406</v>
      </c>
      <c r="J5" s="760" t="n">
        <v>0.003692922375097708</v>
      </c>
      <c r="K5" s="760" t="n">
        <v>0.003692922375097708</v>
      </c>
      <c r="M5" s="351" t="n">
        <v>-618940.3589046538</v>
      </c>
      <c r="N5" s="351" t="n">
        <v>-8540.76</v>
      </c>
      <c r="O5" s="351" t="n">
        <v>-1750</v>
      </c>
      <c r="P5" s="351" t="n">
        <v>-275.5336027213975</v>
      </c>
      <c r="Q5" s="351" t="n">
        <v>-70493.35000000017</v>
      </c>
      <c r="R5" s="351" t="n">
        <v>-700000.0025073754</v>
      </c>
      <c r="S5" s="761" t="n"/>
      <c r="T5" s="249" t="n">
        <v>-463839.3756734037</v>
      </c>
      <c r="U5" s="754" t="n">
        <v>0</v>
      </c>
      <c r="V5" s="249" t="n">
        <v>-10290.76</v>
      </c>
      <c r="W5" s="249" t="n">
        <v>-206.4873172748208</v>
      </c>
      <c r="X5" s="212" t="n">
        <v>69.04628544657677</v>
      </c>
      <c r="Y5" s="249" t="n">
        <v>-53320.72647771562</v>
      </c>
      <c r="Z5" s="212" t="n">
        <v>17172.62352228454</v>
      </c>
      <c r="AA5" s="249" t="n">
        <v>-527657.3494683942</v>
      </c>
      <c r="AB5" s="761" t="n"/>
      <c r="AC5" s="302" t="n">
        <v>-0.6626276795334339</v>
      </c>
      <c r="AD5" s="303" t="n">
        <v>-0.01470108571428571</v>
      </c>
      <c r="AE5" s="303" t="n">
        <v>-0.0002949818818211725</v>
      </c>
      <c r="AF5" s="303" t="n">
        <v>-0.07617246639673661</v>
      </c>
      <c r="AG5" s="919" t="n">
        <v>-0.7390951278119917</v>
      </c>
      <c r="AH5" s="761" t="n"/>
      <c r="AI5" s="326" t="n"/>
      <c r="AJ5" s="249" t="n"/>
      <c r="AK5" s="249" t="n">
        <v>-172342.6530389813</v>
      </c>
      <c r="AL5" s="756" t="n"/>
      <c r="AM5" s="308" t="n">
        <v>-172342.6530389813</v>
      </c>
      <c r="AN5" s="758" t="n">
        <v>-0.2462037900556875</v>
      </c>
      <c r="AO5" s="758" t="n">
        <v>-0.01470108571428571</v>
      </c>
      <c r="AP5" s="310" t="n">
        <v>-0.2609048757699732</v>
      </c>
      <c r="AQ5" s="756" t="n"/>
      <c r="AR5" s="326" t="n"/>
      <c r="AS5" s="332" t="n">
        <v>-10159.23024169194</v>
      </c>
      <c r="AT5" s="308" t="n">
        <v>-10159.23024169194</v>
      </c>
      <c r="AU5" s="310" t="n">
        <v>0.0145131860075742</v>
      </c>
      <c r="AV5" s="756" t="n"/>
      <c r="AW5" s="326" t="n"/>
      <c r="AX5" s="332" t="n">
        <v>-182501.8832806732</v>
      </c>
      <c r="AY5" s="756" t="n"/>
      <c r="AZ5" s="326" t="n"/>
      <c r="BA5" s="332" t="n"/>
      <c r="BB5" s="756" t="n"/>
    </row>
    <row r="6">
      <c r="A6" s="752" t="inlineStr">
        <is>
          <t>1999 Lissa Biesecker Longacre Declaration of Trust DTD 5/12/99</t>
        </is>
      </c>
      <c r="B6" s="351" t="n">
        <v>0</v>
      </c>
      <c r="C6" s="351" t="n">
        <v>0</v>
      </c>
      <c r="D6" s="351" t="inlineStr">
        <is>
          <t>BBR</t>
        </is>
      </c>
      <c r="E6" s="761" t="n">
        <v>600000</v>
      </c>
      <c r="F6" s="760" t="n">
        <v>0.004421830927908234</v>
      </c>
      <c r="G6" s="761" t="n">
        <v>600000</v>
      </c>
      <c r="H6" s="761" t="n">
        <v>600000</v>
      </c>
      <c r="I6" s="760" t="n">
        <v>0.004223811985896348</v>
      </c>
      <c r="J6" s="760" t="n">
        <v>0.003165362035798035</v>
      </c>
      <c r="K6" s="760" t="n">
        <v>0.003165362035798035</v>
      </c>
      <c r="M6" s="351" t="n">
        <v>-530520.3076325604</v>
      </c>
      <c r="N6" s="351" t="n">
        <v>-7320.65</v>
      </c>
      <c r="O6" s="351" t="n">
        <v>-1500</v>
      </c>
      <c r="P6" s="351" t="n">
        <v>-236.1716594754836</v>
      </c>
      <c r="Q6" s="351" t="n">
        <v>-60422.86999999992</v>
      </c>
      <c r="R6" s="351" t="n">
        <v>-599999.9992920358</v>
      </c>
      <c r="S6" s="761" t="n"/>
      <c r="T6" s="249" t="n">
        <v>-397576.6077200603</v>
      </c>
      <c r="U6" s="754" t="n">
        <v>0</v>
      </c>
      <c r="V6" s="249" t="n">
        <v>-8820.65</v>
      </c>
      <c r="W6" s="249" t="n">
        <v>-176.9891290927035</v>
      </c>
      <c r="X6" s="212" t="n">
        <v>59.1825303827801</v>
      </c>
      <c r="Y6" s="249" t="n">
        <v>-45703.47983804197</v>
      </c>
      <c r="Z6" s="212" t="n">
        <v>14719.39016195796</v>
      </c>
      <c r="AA6" s="249" t="n">
        <v>-452277.726687195</v>
      </c>
      <c r="AB6" s="761" t="n"/>
      <c r="AC6" s="302" t="n">
        <v>-0.6626276795334339</v>
      </c>
      <c r="AD6" s="303" t="n">
        <v>-0.01470108333333333</v>
      </c>
      <c r="AE6" s="303" t="n">
        <v>-0.0002949818818211725</v>
      </c>
      <c r="AF6" s="303" t="n">
        <v>-0.07617246639673661</v>
      </c>
      <c r="AG6" s="919" t="n">
        <v>-0.7390951278119917</v>
      </c>
      <c r="AH6" s="761" t="n"/>
      <c r="AI6" s="326" t="n"/>
      <c r="AJ6" s="249" t="n"/>
      <c r="AK6" s="249" t="n">
        <v>-147722.2726048408</v>
      </c>
      <c r="AL6" s="756" t="n"/>
      <c r="AM6" s="308" t="n">
        <v>-147722.2726048408</v>
      </c>
      <c r="AN6" s="758" t="n">
        <v>-0.2462037876747347</v>
      </c>
      <c r="AO6" s="758" t="n">
        <v>-0.01470108333333333</v>
      </c>
      <c r="AP6" s="310" t="n">
        <v>-0.260904871008068</v>
      </c>
      <c r="AQ6" s="756" t="n"/>
      <c r="AR6" s="326" t="n"/>
      <c r="AS6" s="332" t="n">
        <v>-8707.911635735951</v>
      </c>
      <c r="AT6" s="308" t="n">
        <v>-8707.911635735951</v>
      </c>
      <c r="AU6" s="310" t="n">
        <v>0.01451318607668461</v>
      </c>
      <c r="AV6" s="756" t="n"/>
      <c r="AW6" s="326" t="n"/>
      <c r="AX6" s="332" t="n">
        <v>-156430.1842405768</v>
      </c>
      <c r="AY6" s="756" t="n"/>
      <c r="AZ6" s="326" t="n"/>
      <c r="BA6" s="332" t="n"/>
      <c r="BB6" s="756" t="n"/>
    </row>
    <row r="7">
      <c r="A7" s="752" t="inlineStr">
        <is>
          <t>Abigail Levy</t>
        </is>
      </c>
      <c r="B7" s="351" t="n">
        <v>0</v>
      </c>
      <c r="C7" s="351" t="n">
        <v>0</v>
      </c>
      <c r="D7" s="351" t="inlineStr">
        <is>
          <t>BBR</t>
        </is>
      </c>
      <c r="E7" s="761" t="n">
        <v>750000</v>
      </c>
      <c r="F7" s="760" t="n">
        <v>0.005527288659885291</v>
      </c>
      <c r="G7" s="761" t="n">
        <v>750000</v>
      </c>
      <c r="H7" s="761" t="n">
        <v>750000</v>
      </c>
      <c r="I7" s="760" t="n">
        <v>0.005279764982370435</v>
      </c>
      <c r="J7" s="760" t="n">
        <v>0.003956702544747544</v>
      </c>
      <c r="K7" s="760" t="n">
        <v>0.003956702544747544</v>
      </c>
      <c r="M7" s="351" t="n">
        <v>-663150.3845407006</v>
      </c>
      <c r="N7" s="351" t="n">
        <v>-9150.82</v>
      </c>
      <c r="O7" s="351" t="n">
        <v>-1875</v>
      </c>
      <c r="P7" s="351" t="n">
        <v>-295.2145743443545</v>
      </c>
      <c r="Q7" s="351" t="n">
        <v>-75528.58999999994</v>
      </c>
      <c r="R7" s="351" t="n">
        <v>-750000.0091150448</v>
      </c>
      <c r="S7" s="761" t="n"/>
      <c r="T7" s="249" t="n">
        <v>-496970.7596500755</v>
      </c>
      <c r="U7" s="754" t="n">
        <v>0</v>
      </c>
      <c r="V7" s="249" t="n">
        <v>-11025.82</v>
      </c>
      <c r="W7" s="249" t="n">
        <v>-221.2364113658794</v>
      </c>
      <c r="X7" s="212" t="n">
        <v>73.97816297847513</v>
      </c>
      <c r="Y7" s="249" t="n">
        <v>-57129.34979755246</v>
      </c>
      <c r="Z7" s="212" t="n">
        <v>18399.24020244748</v>
      </c>
      <c r="AA7" s="249" t="n">
        <v>-565347.1658589938</v>
      </c>
      <c r="AB7" s="761" t="n"/>
      <c r="AC7" s="302" t="n">
        <v>-0.6626276795334339</v>
      </c>
      <c r="AD7" s="303" t="n">
        <v>-0.01470109333333333</v>
      </c>
      <c r="AE7" s="303" t="n">
        <v>-0.0002949818818211725</v>
      </c>
      <c r="AF7" s="303" t="n">
        <v>-0.07617246639673661</v>
      </c>
      <c r="AG7" s="919" t="n">
        <v>-0.7390951278119917</v>
      </c>
      <c r="AH7" s="761" t="n"/>
      <c r="AI7" s="326" t="n"/>
      <c r="AJ7" s="249" t="n"/>
      <c r="AK7" s="249" t="n">
        <v>-184652.8432560511</v>
      </c>
      <c r="AL7" s="756" t="n"/>
      <c r="AM7" s="308" t="n">
        <v>-184652.8432560511</v>
      </c>
      <c r="AN7" s="758" t="n">
        <v>-0.2462037910080681</v>
      </c>
      <c r="AO7" s="758" t="n">
        <v>-0.01470109333333333</v>
      </c>
      <c r="AP7" s="310" t="n">
        <v>-0.2609048843414015</v>
      </c>
      <c r="AQ7" s="756" t="n"/>
      <c r="AR7" s="326" t="n"/>
      <c r="AS7" s="332" t="n">
        <v>-10884.88954466994</v>
      </c>
      <c r="AT7" s="308" t="n">
        <v>-10884.88954466994</v>
      </c>
      <c r="AU7" s="310" t="n">
        <v>0.01451318588317546</v>
      </c>
      <c r="AV7" s="756" t="n"/>
      <c r="AW7" s="326" t="n"/>
      <c r="AX7" s="332" t="n">
        <v>-195537.732800721</v>
      </c>
      <c r="AY7" s="756" t="n"/>
      <c r="AZ7" s="326" t="n"/>
      <c r="BA7" s="332" t="n"/>
      <c r="BB7" s="756" t="n"/>
    </row>
    <row r="8">
      <c r="A8" s="752" t="inlineStr">
        <is>
          <t>AKWT LLC</t>
        </is>
      </c>
      <c r="B8" s="351" t="n">
        <v>78300.31555408845</v>
      </c>
      <c r="C8" s="351" t="n">
        <v>0</v>
      </c>
      <c r="D8" s="351" t="inlineStr">
        <is>
          <t>Standard</t>
        </is>
      </c>
      <c r="E8" s="761" t="n">
        <v>78300.32000000001</v>
      </c>
      <c r="F8" s="760" t="n">
        <v>0.0005770512944018527</v>
      </c>
      <c r="G8" s="761" t="n">
        <v>78300.32000000001</v>
      </c>
      <c r="H8" s="761" t="n">
        <v>78300.32000000001</v>
      </c>
      <c r="I8" s="760" t="n">
        <v>0.0005512097168591993</v>
      </c>
      <c r="J8" s="760" t="n">
        <v>0.0004130814338647294</v>
      </c>
      <c r="K8" s="760" t="n">
        <v>0.0004130814338647294</v>
      </c>
      <c r="M8" s="351" t="n">
        <v>-69233.18309021321</v>
      </c>
      <c r="N8" s="351" t="n">
        <v>-640.23</v>
      </c>
      <c r="O8" s="351" t="n">
        <v>-293.63</v>
      </c>
      <c r="P8" s="351" t="n">
        <v>-30.820527519769</v>
      </c>
      <c r="Q8" s="351" t="n">
        <v>-8102.460000000004</v>
      </c>
      <c r="R8" s="351" t="n">
        <v>-78300.32361773298</v>
      </c>
      <c r="S8" s="761" t="n"/>
      <c r="T8" s="249" t="n">
        <v>-51883.95934832533</v>
      </c>
      <c r="U8" s="754" t="n">
        <v>0</v>
      </c>
      <c r="V8" s="249" t="n">
        <v>-933.86</v>
      </c>
      <c r="W8" s="249" t="n">
        <v>-23.09717574079999</v>
      </c>
      <c r="X8" s="212" t="n">
        <v>7.723351778969008</v>
      </c>
      <c r="Y8" s="249" t="n">
        <v>-5964.328494053724</v>
      </c>
      <c r="Z8" s="212" t="n">
        <v>2138.13150594628</v>
      </c>
      <c r="AA8" s="249" t="n">
        <v>-58805.24501811985</v>
      </c>
      <c r="AB8" s="761" t="n"/>
      <c r="AC8" s="302" t="n">
        <v>-0.6626276795334338</v>
      </c>
      <c r="AD8" s="303" t="n">
        <v>-0.01192664346710205</v>
      </c>
      <c r="AE8" s="303" t="n">
        <v>-0.0002949818818211725</v>
      </c>
      <c r="AF8" s="303" t="n">
        <v>-0.07617246639673661</v>
      </c>
      <c r="AG8" s="919" t="n">
        <v>-0.7390951278119916</v>
      </c>
      <c r="AH8" s="761" t="n"/>
      <c r="AI8" s="326" t="n"/>
      <c r="AJ8" s="249" t="n"/>
      <c r="AK8" s="249" t="n">
        <v>-19495.07859961313</v>
      </c>
      <c r="AL8" s="756" t="n"/>
      <c r="AM8" s="308" t="n">
        <v>-19495.07859961313</v>
      </c>
      <c r="AN8" s="758" t="n">
        <v>-0.2489782749242037</v>
      </c>
      <c r="AO8" s="758" t="n">
        <v>-0.01192664346710205</v>
      </c>
      <c r="AP8" s="310" t="n">
        <v>-0.2609049183913058</v>
      </c>
      <c r="AQ8" s="756" t="n"/>
      <c r="AR8" s="326" t="n"/>
      <c r="AS8" s="332" t="n">
        <v>-1136.387112683081</v>
      </c>
      <c r="AT8" s="308" t="n">
        <v>-1136.387112683081</v>
      </c>
      <c r="AU8" s="310" t="n">
        <v>0.0145131853890029</v>
      </c>
      <c r="AV8" s="756" t="n"/>
      <c r="AW8" s="326" t="n"/>
      <c r="AX8" s="332" t="n">
        <v>-20631.46571229621</v>
      </c>
      <c r="AY8" s="756" t="n"/>
      <c r="AZ8" s="326" t="n"/>
      <c r="BA8" s="332" t="n"/>
      <c r="BB8" s="756" t="n"/>
    </row>
    <row r="9">
      <c r="A9" s="752" t="inlineStr">
        <is>
          <t>Alexander S. Bloomingdale</t>
        </is>
      </c>
      <c r="B9" s="351" t="n">
        <v>78300.31555408845</v>
      </c>
      <c r="C9" s="351" t="n">
        <v>65897.63932500752</v>
      </c>
      <c r="D9" s="351" t="inlineStr">
        <is>
          <t>Standard</t>
        </is>
      </c>
      <c r="E9" s="761" t="n">
        <v>144197.96</v>
      </c>
      <c r="F9" s="760" t="n">
        <v>0.001062698332115457</v>
      </c>
      <c r="G9" s="761" t="n">
        <v>144197.96</v>
      </c>
      <c r="H9" s="761" t="n">
        <v>144197.96</v>
      </c>
      <c r="I9" s="760" t="n">
        <v>0.001015108452983004</v>
      </c>
      <c r="J9" s="760" t="n">
        <v>0.000760731247039206</v>
      </c>
      <c r="K9" s="760" t="n">
        <v>0.000760731247039206</v>
      </c>
      <c r="M9" s="351" t="n">
        <v>-127499.9101653127</v>
      </c>
      <c r="N9" s="351" t="n">
        <v>-1053.466582065217</v>
      </c>
      <c r="O9" s="351" t="n">
        <v>-540.74</v>
      </c>
      <c r="P9" s="351" t="n">
        <v>-56.75911917696567</v>
      </c>
      <c r="Q9" s="351" t="n">
        <v>-15047.08341793477</v>
      </c>
      <c r="R9" s="351" t="n">
        <v>-144197.9592844897</v>
      </c>
      <c r="S9" s="761" t="n"/>
      <c r="T9" s="249" t="n">
        <v>-95549.55962825491</v>
      </c>
      <c r="U9" s="754" t="n">
        <v>0</v>
      </c>
      <c r="V9" s="249" t="n">
        <v>-1594.206582065217</v>
      </c>
      <c r="W9" s="249" t="n">
        <v>-42.53578559557415</v>
      </c>
      <c r="X9" s="212" t="n">
        <v>14.22333358139151</v>
      </c>
      <c r="Y9" s="249" t="n">
        <v>-10983.91426257797</v>
      </c>
      <c r="Z9" s="212" t="n">
        <v>4063.1691553568</v>
      </c>
      <c r="AA9" s="249" t="n">
        <v>-108170.2162584937</v>
      </c>
      <c r="AB9" s="761" t="n"/>
      <c r="AC9" s="302" t="n">
        <v>-0.6626276795334338</v>
      </c>
      <c r="AD9" s="303" t="n">
        <v>-0.01105568055238242</v>
      </c>
      <c r="AE9" s="303" t="n">
        <v>-0.0002949818818211725</v>
      </c>
      <c r="AF9" s="303" t="n">
        <v>-0.0761724663967366</v>
      </c>
      <c r="AG9" s="919" t="n">
        <v>-0.7390951278119916</v>
      </c>
      <c r="AH9" s="761" t="n"/>
      <c r="AI9" s="326" t="n"/>
      <c r="AJ9" s="249" t="n"/>
      <c r="AK9" s="249" t="n">
        <v>-36027.74302599599</v>
      </c>
      <c r="AL9" s="756" t="n"/>
      <c r="AM9" s="308" t="n">
        <v>-36027.74302599599</v>
      </c>
      <c r="AN9" s="758" t="n">
        <v>-0.2498491866736256</v>
      </c>
      <c r="AO9" s="758" t="n">
        <v>-0.01105568055238242</v>
      </c>
      <c r="AP9" s="310" t="n">
        <v>-0.260904867226008</v>
      </c>
      <c r="AQ9" s="756" t="n"/>
      <c r="AR9" s="326" t="n"/>
      <c r="AS9" s="332" t="n">
        <v>-2092.771822888978</v>
      </c>
      <c r="AT9" s="308" t="n">
        <v>-2092.771822888978</v>
      </c>
      <c r="AU9" s="310" t="n">
        <v>0.01451318613157435</v>
      </c>
      <c r="AV9" s="756" t="n"/>
      <c r="AW9" s="326" t="n"/>
      <c r="AX9" s="332" t="n">
        <v>-38120.51484888497</v>
      </c>
      <c r="AY9" s="756" t="n"/>
      <c r="AZ9" s="326" t="n"/>
      <c r="BA9" s="332" t="n"/>
      <c r="BB9" s="756" t="n"/>
    </row>
    <row r="10">
      <c r="A10" s="752" t="inlineStr">
        <is>
          <t>Alexander Sharpe Moore</t>
        </is>
      </c>
      <c r="B10" s="351" t="n">
        <v>156600.6311081769</v>
      </c>
      <c r="C10" s="351" t="n">
        <v>0</v>
      </c>
      <c r="D10" s="351" t="inlineStr">
        <is>
          <t>Standard</t>
        </is>
      </c>
      <c r="E10" s="761" t="n">
        <v>156600.63</v>
      </c>
      <c r="F10" s="760" t="n">
        <v>0.001154102515106523</v>
      </c>
      <c r="G10" s="761" t="n">
        <v>156600.63</v>
      </c>
      <c r="H10" s="761" t="n">
        <v>156600.63</v>
      </c>
      <c r="I10" s="760" t="n">
        <v>0.001102419363321532</v>
      </c>
      <c r="J10" s="760" t="n">
        <v>0.0008261628149734248</v>
      </c>
      <c r="K10" s="760" t="n">
        <v>0.0008261628149734248</v>
      </c>
      <c r="M10" s="351" t="n">
        <v>-138466.3573384213</v>
      </c>
      <c r="N10" s="351" t="n">
        <v>-1280.45</v>
      </c>
      <c r="O10" s="351" t="n">
        <v>-587.25</v>
      </c>
      <c r="P10" s="351" t="n">
        <v>-61.64105110334367</v>
      </c>
      <c r="Q10" s="351" t="n">
        <v>-16204.93000000003</v>
      </c>
      <c r="R10" s="351" t="n">
        <v>-156600.6283895246</v>
      </c>
      <c r="S10" s="761" t="n"/>
      <c r="T10" s="249" t="n">
        <v>-103767.9120703738</v>
      </c>
      <c r="U10" s="754" t="n">
        <v>0</v>
      </c>
      <c r="V10" s="249" t="n">
        <v>-1867.7</v>
      </c>
      <c r="W10" s="249" t="n">
        <v>-46.19434853178116</v>
      </c>
      <c r="X10" s="212" t="n">
        <v>15.44670257156251</v>
      </c>
      <c r="Y10" s="249" t="n">
        <v>-11928.65622638278</v>
      </c>
      <c r="Z10" s="212" t="n">
        <v>4276.273773617244</v>
      </c>
      <c r="AA10" s="249" t="n">
        <v>-117610.4626452884</v>
      </c>
      <c r="AB10" s="761" t="n"/>
      <c r="AC10" s="302" t="n">
        <v>-0.6626276795334338</v>
      </c>
      <c r="AD10" s="303" t="n">
        <v>-0.01192651651529116</v>
      </c>
      <c r="AE10" s="303" t="n">
        <v>-0.0002949818818211725</v>
      </c>
      <c r="AF10" s="303" t="n">
        <v>-0.0761724663967366</v>
      </c>
      <c r="AG10" s="919" t="n">
        <v>-0.7390951278119916</v>
      </c>
      <c r="AH10" s="761" t="n"/>
      <c r="AI10" s="326" t="n"/>
      <c r="AJ10" s="249" t="n"/>
      <c r="AK10" s="249" t="n">
        <v>-38990.16574423623</v>
      </c>
      <c r="AL10" s="756" t="n"/>
      <c r="AM10" s="308" t="n">
        <v>-38990.16574423623</v>
      </c>
      <c r="AN10" s="758" t="n">
        <v>-0.2489783453887525</v>
      </c>
      <c r="AO10" s="758" t="n">
        <v>-0.01192651651529116</v>
      </c>
      <c r="AP10" s="310" t="n">
        <v>-0.2609048619040436</v>
      </c>
      <c r="AQ10" s="756" t="n"/>
      <c r="AR10" s="326" t="n"/>
      <c r="AS10" s="332" t="n">
        <v>-2272.7740802343</v>
      </c>
      <c r="AT10" s="308" t="n">
        <v>-2272.7740802343</v>
      </c>
      <c r="AU10" s="310" t="n">
        <v>0.01451318620881301</v>
      </c>
      <c r="AV10" s="756" t="n"/>
      <c r="AW10" s="326" t="n"/>
      <c r="AX10" s="332" t="n">
        <v>-41262.93982447054</v>
      </c>
      <c r="AY10" s="756" t="n"/>
      <c r="AZ10" s="326" t="n"/>
      <c r="BA10" s="332" t="n"/>
      <c r="BB10" s="756" t="n"/>
    </row>
    <row r="11">
      <c r="A11" s="752" t="inlineStr">
        <is>
          <t>All Dogs Go To Heaven, LLC</t>
        </is>
      </c>
      <c r="B11" s="351" t="n">
        <v>391501.5777704422</v>
      </c>
      <c r="C11" s="351" t="n">
        <v>131795.278650015</v>
      </c>
      <c r="D11" s="351" t="inlineStr">
        <is>
          <t>Standard</t>
        </is>
      </c>
      <c r="E11" s="761" t="n">
        <v>523296.86</v>
      </c>
      <c r="F11" s="760" t="n">
        <v>0.003856550400042108</v>
      </c>
      <c r="G11" s="761" t="n">
        <v>523296.86</v>
      </c>
      <c r="H11" s="761" t="n">
        <v>523296.86</v>
      </c>
      <c r="I11" s="760" t="n">
        <v>0.003683845915749872</v>
      </c>
      <c r="J11" s="760" t="n">
        <v>0.002760706690160532</v>
      </c>
      <c r="K11" s="760" t="n">
        <v>0.002760706690160532</v>
      </c>
      <c r="M11" s="351" t="n">
        <v>-462699.3519172549</v>
      </c>
      <c r="N11" s="351" t="n">
        <v>-4027.593164130435</v>
      </c>
      <c r="O11" s="351" t="n">
        <v>-1962.36</v>
      </c>
      <c r="P11" s="351" t="n">
        <v>-205.9798130408497</v>
      </c>
      <c r="Q11" s="351" t="n">
        <v>-54401.57683586956</v>
      </c>
      <c r="R11" s="351" t="n">
        <v>-523296.8617302958</v>
      </c>
      <c r="S11" s="761" t="n"/>
      <c r="T11" s="249" t="n">
        <v>-346750.9840489322</v>
      </c>
      <c r="U11" s="754" t="n">
        <v>0</v>
      </c>
      <c r="V11" s="249" t="n">
        <v>-5989.953164130435</v>
      </c>
      <c r="W11" s="249" t="n">
        <v>-154.3630925139107</v>
      </c>
      <c r="X11" s="212" t="n">
        <v>51.61672052693902</v>
      </c>
      <c r="Y11" s="249" t="n">
        <v>-39860.81248386778</v>
      </c>
      <c r="Z11" s="212" t="n">
        <v>14540.76435200178</v>
      </c>
      <c r="AA11" s="249" t="n">
        <v>-392756.1127894444</v>
      </c>
      <c r="AB11" s="761" t="n"/>
      <c r="AC11" s="302" t="n">
        <v>-0.6626276795334339</v>
      </c>
      <c r="AD11" s="303" t="n">
        <v>-0.01144656813750122</v>
      </c>
      <c r="AE11" s="303" t="n">
        <v>-0.0002949818818211725</v>
      </c>
      <c r="AF11" s="303" t="n">
        <v>-0.07617246639673661</v>
      </c>
      <c r="AG11" s="919" t="n">
        <v>-0.7390951278119917</v>
      </c>
      <c r="AH11" s="761" t="n"/>
      <c r="AI11" s="326" t="n"/>
      <c r="AJ11" s="249" t="n"/>
      <c r="AK11" s="249" t="n">
        <v>-130540.7489408514</v>
      </c>
      <c r="AL11" s="756" t="n"/>
      <c r="AM11" s="308" t="n">
        <v>-130540.7489408514</v>
      </c>
      <c r="AN11" s="758" t="n">
        <v>-0.2494583073570351</v>
      </c>
      <c r="AO11" s="758" t="n">
        <v>-0.01144656813750122</v>
      </c>
      <c r="AP11" s="310" t="n">
        <v>-0.2609048754945363</v>
      </c>
      <c r="AQ11" s="756" t="n"/>
      <c r="AR11" s="326" t="n"/>
      <c r="AS11" s="332" t="n">
        <v>-7594.704693563479</v>
      </c>
      <c r="AT11" s="308" t="n">
        <v>-7594.704693563479</v>
      </c>
      <c r="AU11" s="310" t="n">
        <v>0.01451318601157166</v>
      </c>
      <c r="AV11" s="756" t="n"/>
      <c r="AW11" s="326" t="n"/>
      <c r="AX11" s="332" t="n">
        <v>-138135.4536344149</v>
      </c>
      <c r="AY11" s="756" t="n"/>
      <c r="AZ11" s="326" t="n"/>
      <c r="BA11" s="332" t="n"/>
      <c r="BB11" s="756" t="n"/>
    </row>
    <row r="12">
      <c r="A12" s="752" t="inlineStr">
        <is>
          <t>Alten Investments LLC</t>
        </is>
      </c>
      <c r="B12" s="351" t="n">
        <v>0</v>
      </c>
      <c r="C12" s="351" t="n">
        <v>0</v>
      </c>
      <c r="D12" s="351" t="inlineStr">
        <is>
          <t>BBR</t>
        </is>
      </c>
      <c r="E12" s="761" t="n">
        <v>1000000</v>
      </c>
      <c r="F12" s="760" t="n">
        <v>0.007369718213180389</v>
      </c>
      <c r="G12" s="761" t="n">
        <v>1000000</v>
      </c>
      <c r="H12" s="761" t="n">
        <v>1000000</v>
      </c>
      <c r="I12" s="760" t="n">
        <v>0.00703968664316058</v>
      </c>
      <c r="J12" s="760" t="n">
        <v>0.005275603392996725</v>
      </c>
      <c r="K12" s="760" t="n">
        <v>0.005275603392996725</v>
      </c>
      <c r="M12" s="351" t="n">
        <v>-884200.512720934</v>
      </c>
      <c r="N12" s="351" t="n">
        <v>-12201.09</v>
      </c>
      <c r="O12" s="351" t="n">
        <v>-2500</v>
      </c>
      <c r="P12" s="351" t="n">
        <v>-393.6194324591393</v>
      </c>
      <c r="Q12" s="351" t="n">
        <v>-100704.7800000001</v>
      </c>
      <c r="R12" s="351" t="n">
        <v>-1000000.002153393</v>
      </c>
      <c r="S12" s="761" t="n"/>
      <c r="T12" s="249" t="n">
        <v>-662627.6795334339</v>
      </c>
      <c r="U12" s="754" t="n">
        <v>0</v>
      </c>
      <c r="V12" s="249" t="n">
        <v>-14701.09</v>
      </c>
      <c r="W12" s="249" t="n">
        <v>-294.9818818211725</v>
      </c>
      <c r="X12" s="212" t="n">
        <v>98.63755063796685</v>
      </c>
      <c r="Y12" s="249" t="n">
        <v>-76172.46639673659</v>
      </c>
      <c r="Z12" s="212" t="n">
        <v>24532.31360326346</v>
      </c>
      <c r="AA12" s="249" t="n">
        <v>-753796.2178119916</v>
      </c>
      <c r="AB12" s="761" t="n"/>
      <c r="AC12" s="302" t="n">
        <v>-0.6626276795334338</v>
      </c>
      <c r="AD12" s="303" t="n">
        <v>-0.01470109</v>
      </c>
      <c r="AE12" s="303" t="n">
        <v>-0.0002949818818211724</v>
      </c>
      <c r="AF12" s="303" t="n">
        <v>-0.0761724663967366</v>
      </c>
      <c r="AG12" s="919" t="n">
        <v>-0.7390951278119916</v>
      </c>
      <c r="AH12" s="761" t="n"/>
      <c r="AI12" s="326" t="n"/>
      <c r="AJ12" s="249" t="n"/>
      <c r="AK12" s="249" t="n">
        <v>-246203.7843414015</v>
      </c>
      <c r="AL12" s="756" t="n"/>
      <c r="AM12" s="308" t="n">
        <v>-246203.7843414015</v>
      </c>
      <c r="AN12" s="758" t="n">
        <v>-0.2462037843414015</v>
      </c>
      <c r="AO12" s="758" t="n">
        <v>-0.01470109</v>
      </c>
      <c r="AP12" s="310" t="n">
        <v>-0.2609048743414015</v>
      </c>
      <c r="AQ12" s="756" t="n"/>
      <c r="AR12" s="326" t="n"/>
      <c r="AS12" s="332" t="n">
        <v>-14513.18605955992</v>
      </c>
      <c r="AT12" s="308" t="n">
        <v>-14513.18605955992</v>
      </c>
      <c r="AU12" s="310" t="n">
        <v>0.01451318602830732</v>
      </c>
      <c r="AV12" s="756" t="n"/>
      <c r="AW12" s="326" t="n"/>
      <c r="AX12" s="332" t="n">
        <v>-260716.9704009615</v>
      </c>
      <c r="AY12" s="756" t="n"/>
      <c r="AZ12" s="326" t="n"/>
      <c r="BA12" s="332" t="n"/>
      <c r="BB12" s="756" t="n"/>
    </row>
    <row r="13">
      <c r="A13" s="752" t="inlineStr">
        <is>
          <t>Avery Ryan Klann</t>
        </is>
      </c>
      <c r="B13" s="351" t="n">
        <v>391501.5777704422</v>
      </c>
      <c r="C13" s="351" t="n">
        <v>0</v>
      </c>
      <c r="D13" s="351" t="inlineStr">
        <is>
          <t>Standard</t>
        </is>
      </c>
      <c r="E13" s="761" t="n">
        <v>391501.58</v>
      </c>
      <c r="F13" s="760" t="n">
        <v>0.002885256324614899</v>
      </c>
      <c r="G13" s="761" t="n">
        <v>391501.58</v>
      </c>
      <c r="H13" s="761" t="n">
        <v>391501.58</v>
      </c>
      <c r="I13" s="760" t="n">
        <v>0.002756048443502263</v>
      </c>
      <c r="J13" s="760" t="n">
        <v>0.002065407063811579</v>
      </c>
      <c r="K13" s="760" t="n">
        <v>0.002065407063811579</v>
      </c>
      <c r="M13" s="351" t="n">
        <v>-346165.8977670558</v>
      </c>
      <c r="N13" s="351" t="n">
        <v>-3201.12</v>
      </c>
      <c r="O13" s="351" t="n">
        <v>-1468.13</v>
      </c>
      <c r="P13" s="351" t="n">
        <v>-154.1026297264563</v>
      </c>
      <c r="Q13" s="351" t="n">
        <v>-40512.32999999998</v>
      </c>
      <c r="R13" s="351" t="n">
        <v>-391501.5803967822</v>
      </c>
      <c r="S13" s="761" t="n"/>
      <c r="T13" s="249" t="n">
        <v>-259419.783489073</v>
      </c>
      <c r="U13" s="754" t="n">
        <v>0</v>
      </c>
      <c r="V13" s="249" t="n">
        <v>-4669.25</v>
      </c>
      <c r="W13" s="249" t="n">
        <v>-115.4858728043623</v>
      </c>
      <c r="X13" s="212" t="n">
        <v>38.616756922094</v>
      </c>
      <c r="Y13" s="249" t="n">
        <v>-29821.64094681929</v>
      </c>
      <c r="Z13" s="212" t="n">
        <v>10690.68905318069</v>
      </c>
      <c r="AA13" s="249" t="n">
        <v>-294026.1603086967</v>
      </c>
      <c r="AB13" s="761" t="n"/>
      <c r="AC13" s="302" t="n">
        <v>-0.6626276795334338</v>
      </c>
      <c r="AD13" s="303" t="n">
        <v>-0.01192651636297355</v>
      </c>
      <c r="AE13" s="303" t="n">
        <v>-0.0002949818818211725</v>
      </c>
      <c r="AF13" s="303" t="n">
        <v>-0.0761724663967366</v>
      </c>
      <c r="AG13" s="919" t="n">
        <v>-0.7390951278119916</v>
      </c>
      <c r="AH13" s="761" t="n"/>
      <c r="AI13" s="326" t="n"/>
      <c r="AJ13" s="249" t="n"/>
      <c r="AK13" s="249" t="n">
        <v>-97475.42008808552</v>
      </c>
      <c r="AL13" s="756" t="n"/>
      <c r="AM13" s="308" t="n">
        <v>-97475.42008808552</v>
      </c>
      <c r="AN13" s="758" t="n">
        <v>-0.2489783568385229</v>
      </c>
      <c r="AO13" s="758" t="n">
        <v>-0.01192651636297355</v>
      </c>
      <c r="AP13" s="310" t="n">
        <v>-0.2609048732014965</v>
      </c>
      <c r="AQ13" s="756" t="n"/>
      <c r="AR13" s="326" t="n"/>
      <c r="AS13" s="332" t="n">
        <v>-5681.935273151683</v>
      </c>
      <c r="AT13" s="308" t="n">
        <v>-5681.935273151683</v>
      </c>
      <c r="AU13" s="310" t="n">
        <v>0.01451318604485098</v>
      </c>
      <c r="AV13" s="756" t="n"/>
      <c r="AW13" s="326" t="n"/>
      <c r="AX13" s="332" t="n">
        <v>-103157.3553612372</v>
      </c>
      <c r="AY13" s="756" t="n"/>
      <c r="AZ13" s="326" t="n"/>
      <c r="BA13" s="332" t="n"/>
      <c r="BB13" s="756" t="n"/>
    </row>
    <row r="14">
      <c r="A14" s="752" t="inlineStr">
        <is>
          <t>BBR Real Assets Fund 2024 LLC</t>
        </is>
      </c>
      <c r="B14" s="351" t="n">
        <v>0</v>
      </c>
      <c r="C14" s="351" t="n">
        <v>0</v>
      </c>
      <c r="D14" s="351" t="inlineStr">
        <is>
          <t>BBR</t>
        </is>
      </c>
      <c r="E14" s="761" t="n">
        <v>10000000</v>
      </c>
      <c r="F14" s="760" t="n">
        <v>0.07369718213180389</v>
      </c>
      <c r="G14" s="761" t="n">
        <v>10000000</v>
      </c>
      <c r="H14" s="761" t="n">
        <v>10000000</v>
      </c>
      <c r="I14" s="760" t="n">
        <v>0.0703968664316058</v>
      </c>
      <c r="J14" s="760" t="n">
        <v>0.05275603392996725</v>
      </c>
      <c r="K14" s="760" t="n">
        <v>0.05275603392996725</v>
      </c>
      <c r="M14" s="351" t="n">
        <v>-8842005.127209339</v>
      </c>
      <c r="N14" s="351" t="n">
        <v>-122010.85</v>
      </c>
      <c r="O14" s="351" t="n">
        <v>-25000</v>
      </c>
      <c r="P14" s="351" t="n">
        <v>-3936.194324591393</v>
      </c>
      <c r="Q14" s="351" t="n">
        <v>-1007047.829999998</v>
      </c>
      <c r="R14" s="351" t="n">
        <v>-10000000.00153393</v>
      </c>
      <c r="S14" s="761" t="n"/>
      <c r="T14" s="249" t="n">
        <v>-6626276.795334338</v>
      </c>
      <c r="U14" s="754" t="n">
        <v>0</v>
      </c>
      <c r="V14" s="249" t="n">
        <v>-147010.85</v>
      </c>
      <c r="W14" s="249" t="n">
        <v>-2949.818818211725</v>
      </c>
      <c r="X14" s="212" t="n">
        <v>986.3755063796684</v>
      </c>
      <c r="Y14" s="249" t="n">
        <v>-761724.663967366</v>
      </c>
      <c r="Z14" s="212" t="n">
        <v>245323.1660326321</v>
      </c>
      <c r="AA14" s="249" t="n">
        <v>-7537962.128119916</v>
      </c>
      <c r="AB14" s="761" t="n"/>
      <c r="AC14" s="302" t="n">
        <v>-0.6626276795334338</v>
      </c>
      <c r="AD14" s="303" t="n">
        <v>-0.014701085</v>
      </c>
      <c r="AE14" s="303" t="n">
        <v>-0.0002949818818211724</v>
      </c>
      <c r="AF14" s="303" t="n">
        <v>-0.0761724663967366</v>
      </c>
      <c r="AG14" s="919" t="n">
        <v>-0.7390951278119916</v>
      </c>
      <c r="AH14" s="761" t="n"/>
      <c r="AI14" s="326" t="n"/>
      <c r="AJ14" s="249" t="n"/>
      <c r="AK14" s="249" t="n">
        <v>-2462037.873414014</v>
      </c>
      <c r="AL14" s="756" t="n"/>
      <c r="AM14" s="308" t="n">
        <v>-2462037.873414014</v>
      </c>
      <c r="AN14" s="758" t="n">
        <v>-0.2462037873414014</v>
      </c>
      <c r="AO14" s="758" t="n">
        <v>-0.014701085</v>
      </c>
      <c r="AP14" s="310" t="n">
        <v>-0.2609048723414014</v>
      </c>
      <c r="AQ14" s="756" t="n"/>
      <c r="AR14" s="326" t="n"/>
      <c r="AS14" s="332" t="n">
        <v>-145131.8605955992</v>
      </c>
      <c r="AT14" s="308" t="n">
        <v>-145131.8605955992</v>
      </c>
      <c r="AU14" s="310" t="n">
        <v>0.0145131860573337</v>
      </c>
      <c r="AV14" s="756" t="n"/>
      <c r="AW14" s="326" t="n"/>
      <c r="AX14" s="332" t="n">
        <v>-2607169.734009613</v>
      </c>
      <c r="AY14" s="756" t="n"/>
      <c r="AZ14" s="326" t="n"/>
      <c r="BA14" s="332" t="n"/>
      <c r="BB14" s="756" t="n"/>
    </row>
    <row r="15">
      <c r="A15" s="752" t="inlineStr">
        <is>
          <t>Belclaire Asset Management, LLC</t>
        </is>
      </c>
      <c r="B15" s="351" t="n">
        <v>783003.1555408844</v>
      </c>
      <c r="C15" s="351" t="n">
        <v>131795.278650015</v>
      </c>
      <c r="D15" s="351" t="inlineStr">
        <is>
          <t>Standard</t>
        </is>
      </c>
      <c r="E15" s="761" t="n">
        <v>914798.4399999999</v>
      </c>
      <c r="F15" s="760" t="n">
        <v>0.006741806724657007</v>
      </c>
      <c r="G15" s="761" t="n">
        <v>914798.4399999999</v>
      </c>
      <c r="H15" s="761" t="n">
        <v>914798.4399999999</v>
      </c>
      <c r="I15" s="760" t="n">
        <v>0.006439894359252135</v>
      </c>
      <c r="J15" s="760" t="n">
        <v>0.004826113753972111</v>
      </c>
      <c r="K15" s="760" t="n">
        <v>0.004826113753972111</v>
      </c>
      <c r="M15" s="351" t="n">
        <v>-808865.2496843105</v>
      </c>
      <c r="N15" s="351" t="n">
        <v>-7228.723164130435</v>
      </c>
      <c r="O15" s="351" t="n">
        <v>-3430.49</v>
      </c>
      <c r="P15" s="351" t="n">
        <v>-360.082442767306</v>
      </c>
      <c r="Q15" s="351" t="n">
        <v>-94913.89683586954</v>
      </c>
      <c r="R15" s="351" t="n">
        <v>-914798.4421270778</v>
      </c>
      <c r="S15" s="761" t="n"/>
      <c r="T15" s="249" t="n">
        <v>-606170.7675380053</v>
      </c>
      <c r="U15" s="754" t="n">
        <v>0</v>
      </c>
      <c r="V15" s="249" t="n">
        <v>-10659.21316413043</v>
      </c>
      <c r="W15" s="249" t="n">
        <v>-269.848965318273</v>
      </c>
      <c r="X15" s="212" t="n">
        <v>90.23347744903299</v>
      </c>
      <c r="Y15" s="249" t="n">
        <v>-69682.45343068706</v>
      </c>
      <c r="Z15" s="212" t="n">
        <v>25231.44340518248</v>
      </c>
      <c r="AA15" s="249" t="n">
        <v>-686782.2830981411</v>
      </c>
      <c r="AB15" s="761" t="n"/>
      <c r="AC15" s="302" t="n">
        <v>-0.6626276795334339</v>
      </c>
      <c r="AD15" s="303" t="n">
        <v>-0.01165198004068572</v>
      </c>
      <c r="AE15" s="303" t="n">
        <v>-0.0002949818818211725</v>
      </c>
      <c r="AF15" s="303" t="n">
        <v>-0.07617246639673661</v>
      </c>
      <c r="AG15" s="919" t="n">
        <v>-0.7390951278119917</v>
      </c>
      <c r="AH15" s="761" t="n"/>
      <c r="AI15" s="326" t="n"/>
      <c r="AJ15" s="249" t="n"/>
      <c r="AK15" s="249" t="n">
        <v>-228016.1590289368</v>
      </c>
      <c r="AL15" s="756" t="n"/>
      <c r="AM15" s="308" t="n">
        <v>-228016.1590289368</v>
      </c>
      <c r="AN15" s="758" t="n">
        <v>-0.24925289447251</v>
      </c>
      <c r="AO15" s="758" t="n">
        <v>-0.01165198004068572</v>
      </c>
      <c r="AP15" s="310" t="n">
        <v>-0.2609048745131957</v>
      </c>
      <c r="AQ15" s="756" t="n"/>
      <c r="AR15" s="326" t="n"/>
      <c r="AS15" s="332" t="n">
        <v>-13276.63996671516</v>
      </c>
      <c r="AT15" s="308" t="n">
        <v>-13276.63996671516</v>
      </c>
      <c r="AU15" s="310" t="n">
        <v>0.01451318602581404</v>
      </c>
      <c r="AV15" s="756" t="n"/>
      <c r="AW15" s="326" t="n"/>
      <c r="AX15" s="332" t="n">
        <v>-241292.7989956519</v>
      </c>
      <c r="AY15" s="756" t="n"/>
      <c r="AZ15" s="326" t="n"/>
      <c r="BA15" s="332" t="n"/>
      <c r="BB15" s="756" t="n"/>
    </row>
    <row r="16">
      <c r="A16" s="752" t="inlineStr">
        <is>
          <t>Benaiah Inc.</t>
        </is>
      </c>
      <c r="B16" s="351" t="n">
        <v>783003.1555408844</v>
      </c>
      <c r="C16" s="351" t="n">
        <v>131795.278650015</v>
      </c>
      <c r="D16" s="351" t="inlineStr">
        <is>
          <t>Standard</t>
        </is>
      </c>
      <c r="E16" s="761" t="n">
        <v>914798.4399999999</v>
      </c>
      <c r="F16" s="760" t="n">
        <v>0.006741806724657007</v>
      </c>
      <c r="G16" s="761" t="n">
        <v>914798.4399999999</v>
      </c>
      <c r="H16" s="761" t="n">
        <v>914798.4399999999</v>
      </c>
      <c r="I16" s="760" t="n">
        <v>0.006439894359252135</v>
      </c>
      <c r="J16" s="760" t="n">
        <v>0.004826113753972111</v>
      </c>
      <c r="K16" s="760" t="n">
        <v>0.004826113753972111</v>
      </c>
      <c r="M16" s="351" t="n">
        <v>-808865.2496843105</v>
      </c>
      <c r="N16" s="351" t="n">
        <v>-7228.723164130435</v>
      </c>
      <c r="O16" s="351" t="n">
        <v>-3430.49</v>
      </c>
      <c r="P16" s="351" t="n">
        <v>-360.082442767306</v>
      </c>
      <c r="Q16" s="351" t="n">
        <v>-94913.89683586954</v>
      </c>
      <c r="R16" s="351" t="n">
        <v>-914798.4421270778</v>
      </c>
      <c r="S16" s="761" t="n"/>
      <c r="T16" s="249" t="n">
        <v>-606170.7675380053</v>
      </c>
      <c r="U16" s="754" t="n">
        <v>0</v>
      </c>
      <c r="V16" s="249" t="n">
        <v>-10659.21316413043</v>
      </c>
      <c r="W16" s="249" t="n">
        <v>-269.848965318273</v>
      </c>
      <c r="X16" s="212" t="n">
        <v>90.23347744903299</v>
      </c>
      <c r="Y16" s="249" t="n">
        <v>-69682.45343068706</v>
      </c>
      <c r="Z16" s="212" t="n">
        <v>25231.44340518248</v>
      </c>
      <c r="AA16" s="249" t="n">
        <v>-686782.2830981411</v>
      </c>
      <c r="AB16" s="761" t="n"/>
      <c r="AC16" s="302" t="n">
        <v>-0.6626276795334339</v>
      </c>
      <c r="AD16" s="303" t="n">
        <v>-0.01165198004068572</v>
      </c>
      <c r="AE16" s="303" t="n">
        <v>-0.0002949818818211725</v>
      </c>
      <c r="AF16" s="303" t="n">
        <v>-0.07617246639673661</v>
      </c>
      <c r="AG16" s="919" t="n">
        <v>-0.7390951278119917</v>
      </c>
      <c r="AH16" s="761" t="n"/>
      <c r="AI16" s="326" t="n"/>
      <c r="AJ16" s="249" t="n"/>
      <c r="AK16" s="249" t="n">
        <v>-228016.1590289368</v>
      </c>
      <c r="AL16" s="756" t="n"/>
      <c r="AM16" s="308" t="n">
        <v>-228016.1590289368</v>
      </c>
      <c r="AN16" s="758" t="n">
        <v>-0.24925289447251</v>
      </c>
      <c r="AO16" s="758" t="n">
        <v>-0.01165198004068572</v>
      </c>
      <c r="AP16" s="310" t="n">
        <v>-0.2609048745131957</v>
      </c>
      <c r="AQ16" s="756" t="n"/>
      <c r="AR16" s="326" t="n"/>
      <c r="AS16" s="332" t="n">
        <v>-13276.63996671516</v>
      </c>
      <c r="AT16" s="308" t="n">
        <v>-13276.63996671516</v>
      </c>
      <c r="AU16" s="310" t="n">
        <v>0.01451318602581404</v>
      </c>
      <c r="AV16" s="756" t="n"/>
      <c r="AW16" s="326" t="n"/>
      <c r="AX16" s="332" t="n">
        <v>-241292.7989956519</v>
      </c>
      <c r="AY16" s="756" t="n"/>
      <c r="AZ16" s="326" t="n"/>
      <c r="BA16" s="332" t="n"/>
      <c r="BB16" s="756" t="n"/>
    </row>
    <row r="17">
      <c r="A17" s="752" t="inlineStr">
        <is>
          <t>Benjamin Johnson</t>
        </is>
      </c>
      <c r="B17" s="351" t="n">
        <v>78300.31555408845</v>
      </c>
      <c r="C17" s="351" t="n">
        <v>0</v>
      </c>
      <c r="D17" s="351" t="inlineStr">
        <is>
          <t>Standard</t>
        </is>
      </c>
      <c r="E17" s="761" t="n">
        <v>78300.32000000001</v>
      </c>
      <c r="F17" s="760" t="n">
        <v>0.0005770512944018527</v>
      </c>
      <c r="G17" s="761" t="n">
        <v>78300.32000000001</v>
      </c>
      <c r="H17" s="761" t="n">
        <v>78300.32000000001</v>
      </c>
      <c r="I17" s="760" t="n">
        <v>0.0005512097168591993</v>
      </c>
      <c r="J17" s="760" t="n">
        <v>0.0004130814338647294</v>
      </c>
      <c r="K17" s="760" t="n">
        <v>0.0004130814338647294</v>
      </c>
      <c r="M17" s="351" t="n">
        <v>-69233.18309021321</v>
      </c>
      <c r="N17" s="351" t="n">
        <v>-640.23</v>
      </c>
      <c r="O17" s="351" t="n">
        <v>-293.63</v>
      </c>
      <c r="P17" s="351" t="n">
        <v>-30.820527519769</v>
      </c>
      <c r="Q17" s="351" t="n">
        <v>-8102.460000000004</v>
      </c>
      <c r="R17" s="351" t="n">
        <v>-78300.32361773298</v>
      </c>
      <c r="S17" s="761" t="n"/>
      <c r="T17" s="249" t="n">
        <v>-51883.95934832533</v>
      </c>
      <c r="U17" s="754" t="n">
        <v>0</v>
      </c>
      <c r="V17" s="249" t="n">
        <v>-933.86</v>
      </c>
      <c r="W17" s="249" t="n">
        <v>-23.09717574079999</v>
      </c>
      <c r="X17" s="212" t="n">
        <v>7.723351778969008</v>
      </c>
      <c r="Y17" s="249" t="n">
        <v>-5964.328494053724</v>
      </c>
      <c r="Z17" s="212" t="n">
        <v>2138.13150594628</v>
      </c>
      <c r="AA17" s="249" t="n">
        <v>-58805.24501811985</v>
      </c>
      <c r="AB17" s="761" t="n"/>
      <c r="AC17" s="302" t="n">
        <v>-0.6626276795334338</v>
      </c>
      <c r="AD17" s="303" t="n">
        <v>-0.01192664346710205</v>
      </c>
      <c r="AE17" s="303" t="n">
        <v>-0.0002949818818211725</v>
      </c>
      <c r="AF17" s="303" t="n">
        <v>-0.07617246639673661</v>
      </c>
      <c r="AG17" s="919" t="n">
        <v>-0.7390951278119916</v>
      </c>
      <c r="AH17" s="761" t="n"/>
      <c r="AI17" s="326" t="n"/>
      <c r="AJ17" s="249" t="n"/>
      <c r="AK17" s="249" t="n">
        <v>-19495.07859961313</v>
      </c>
      <c r="AL17" s="756" t="n"/>
      <c r="AM17" s="308" t="n">
        <v>-19495.07859961313</v>
      </c>
      <c r="AN17" s="758" t="n">
        <v>-0.2489782749242037</v>
      </c>
      <c r="AO17" s="758" t="n">
        <v>-0.01192664346710205</v>
      </c>
      <c r="AP17" s="310" t="n">
        <v>-0.2609049183913058</v>
      </c>
      <c r="AQ17" s="756" t="n"/>
      <c r="AR17" s="326" t="n"/>
      <c r="AS17" s="332" t="n">
        <v>-1136.387112683081</v>
      </c>
      <c r="AT17" s="308" t="n">
        <v>-1136.387112683081</v>
      </c>
      <c r="AU17" s="310" t="n">
        <v>0.0145131853890029</v>
      </c>
      <c r="AV17" s="756" t="n"/>
      <c r="AW17" s="326" t="n"/>
      <c r="AX17" s="332" t="n">
        <v>-20631.46571229621</v>
      </c>
      <c r="AY17" s="756" t="n"/>
      <c r="AZ17" s="326" t="n"/>
      <c r="BA17" s="332" t="n"/>
      <c r="BB17" s="756" t="n"/>
    </row>
    <row r="18">
      <c r="A18" s="752" t="inlineStr">
        <is>
          <t>Bloomingdale Family Trust Share #3</t>
        </is>
      </c>
      <c r="B18" s="351" t="n">
        <v>234900.9466622653</v>
      </c>
      <c r="C18" s="351" t="n">
        <v>0</v>
      </c>
      <c r="D18" s="351" t="inlineStr">
        <is>
          <t>Standard</t>
        </is>
      </c>
      <c r="E18" s="761" t="n">
        <v>234900.95</v>
      </c>
      <c r="F18" s="760" t="n">
        <v>0.001731153809508376</v>
      </c>
      <c r="G18" s="761" t="n">
        <v>234900.95</v>
      </c>
      <c r="H18" s="761" t="n">
        <v>234900.95</v>
      </c>
      <c r="I18" s="760" t="n">
        <v>0.001653629080180731</v>
      </c>
      <c r="J18" s="760" t="n">
        <v>0.001239244248838154</v>
      </c>
      <c r="K18" s="760" t="n">
        <v>0.001239244248838154</v>
      </c>
      <c r="M18" s="351" t="n">
        <v>-207699.5404286345</v>
      </c>
      <c r="N18" s="351" t="n">
        <v>-1920.68</v>
      </c>
      <c r="O18" s="351" t="n">
        <v>-880.88</v>
      </c>
      <c r="P18" s="351" t="n">
        <v>-92.46157862311267</v>
      </c>
      <c r="Q18" s="351" t="n">
        <v>-24307.39</v>
      </c>
      <c r="R18" s="351" t="n">
        <v>-234900.9520072576</v>
      </c>
      <c r="S18" s="761" t="n"/>
      <c r="T18" s="249" t="n">
        <v>-155651.8714186992</v>
      </c>
      <c r="U18" s="754" t="n">
        <v>0</v>
      </c>
      <c r="V18" s="249" t="n">
        <v>-2801.56</v>
      </c>
      <c r="W18" s="249" t="n">
        <v>-69.29152427258114</v>
      </c>
      <c r="X18" s="212" t="n">
        <v>23.17005435053153</v>
      </c>
      <c r="Y18" s="249" t="n">
        <v>-17892.98472043651</v>
      </c>
      <c r="Z18" s="212" t="n">
        <v>6414.405279563496</v>
      </c>
      <c r="AA18" s="249" t="n">
        <v>-176415.7076634083</v>
      </c>
      <c r="AB18" s="761" t="n"/>
      <c r="AC18" s="302" t="n">
        <v>-0.6626276795334339</v>
      </c>
      <c r="AD18" s="303" t="n">
        <v>-0.01192655883256326</v>
      </c>
      <c r="AE18" s="303" t="n">
        <v>-0.0002949818818211724</v>
      </c>
      <c r="AF18" s="303" t="n">
        <v>-0.07617246639673661</v>
      </c>
      <c r="AG18" s="919" t="n">
        <v>-0.7390951278119917</v>
      </c>
      <c r="AH18" s="761" t="n"/>
      <c r="AI18" s="326" t="n"/>
      <c r="AJ18" s="249" t="n"/>
      <c r="AK18" s="249" t="n">
        <v>-58485.24434384934</v>
      </c>
      <c r="AL18" s="756" t="n"/>
      <c r="AM18" s="308" t="n">
        <v>-58485.24434384934</v>
      </c>
      <c r="AN18" s="758" t="n">
        <v>-0.2489783219005685</v>
      </c>
      <c r="AO18" s="758" t="n">
        <v>-0.01192655883256326</v>
      </c>
      <c r="AP18" s="310" t="n">
        <v>-0.2609048807331317</v>
      </c>
      <c r="AQ18" s="756" t="n"/>
      <c r="AR18" s="326" t="n"/>
      <c r="AS18" s="332" t="n">
        <v>-3409.161192917381</v>
      </c>
      <c r="AT18" s="308" t="n">
        <v>-3409.161192917381</v>
      </c>
      <c r="AU18" s="310" t="n">
        <v>0.01451318593554295</v>
      </c>
      <c r="AV18" s="756" t="n"/>
      <c r="AW18" s="326" t="n"/>
      <c r="AX18" s="332" t="n">
        <v>-61894.40553676672</v>
      </c>
      <c r="AY18" s="756" t="n"/>
      <c r="AZ18" s="326" t="n"/>
      <c r="BA18" s="332" t="n"/>
      <c r="BB18" s="756" t="n"/>
    </row>
    <row r="19">
      <c r="A19" s="752" t="inlineStr">
        <is>
          <t>Brian Carroll 2011 Long-Term Trust</t>
        </is>
      </c>
      <c r="B19" s="351" t="n">
        <v>0</v>
      </c>
      <c r="C19" s="351" t="n">
        <v>0</v>
      </c>
      <c r="D19" s="351" t="inlineStr">
        <is>
          <t>BBR</t>
        </is>
      </c>
      <c r="E19" s="761" t="n">
        <v>500000</v>
      </c>
      <c r="F19" s="760" t="n">
        <v>0.003684859106590195</v>
      </c>
      <c r="G19" s="761" t="n">
        <v>500000</v>
      </c>
      <c r="H19" s="761" t="n">
        <v>500000</v>
      </c>
      <c r="I19" s="760" t="n">
        <v>0.00351984332158029</v>
      </c>
      <c r="J19" s="760" t="n">
        <v>0.002637801696498362</v>
      </c>
      <c r="K19" s="760" t="n">
        <v>0.002637801696498362</v>
      </c>
      <c r="M19" s="351" t="n">
        <v>-442100.256360467</v>
      </c>
      <c r="N19" s="351" t="n">
        <v>-6100.54</v>
      </c>
      <c r="O19" s="351" t="n">
        <v>-1250</v>
      </c>
      <c r="P19" s="351" t="n">
        <v>-196.8097162295697</v>
      </c>
      <c r="Q19" s="351" t="n">
        <v>-50352.39000000003</v>
      </c>
      <c r="R19" s="351" t="n">
        <v>-499999.9960766966</v>
      </c>
      <c r="S19" s="761" t="n"/>
      <c r="T19" s="249" t="n">
        <v>-331313.8397667169</v>
      </c>
      <c r="U19" s="754" t="n">
        <v>0</v>
      </c>
      <c r="V19" s="249" t="n">
        <v>-7350.54</v>
      </c>
      <c r="W19" s="249" t="n">
        <v>-147.4909409105862</v>
      </c>
      <c r="X19" s="212" t="n">
        <v>49.31877531898343</v>
      </c>
      <c r="Y19" s="249" t="n">
        <v>-38086.2331983683</v>
      </c>
      <c r="Z19" s="212" t="n">
        <v>12266.15680163173</v>
      </c>
      <c r="AA19" s="249" t="n">
        <v>-376898.1039059958</v>
      </c>
      <c r="AB19" s="761" t="n"/>
      <c r="AC19" s="302" t="n">
        <v>-0.6626276795334338</v>
      </c>
      <c r="AD19" s="303" t="n">
        <v>-0.01470108</v>
      </c>
      <c r="AE19" s="303" t="n">
        <v>-0.0002949818818211724</v>
      </c>
      <c r="AF19" s="303" t="n">
        <v>-0.0761724663967366</v>
      </c>
      <c r="AG19" s="919" t="n">
        <v>-0.7390951278119916</v>
      </c>
      <c r="AH19" s="761" t="n"/>
      <c r="AI19" s="326" t="n"/>
      <c r="AJ19" s="249" t="n"/>
      <c r="AK19" s="249" t="n">
        <v>-123101.8921707008</v>
      </c>
      <c r="AL19" s="756" t="n"/>
      <c r="AM19" s="308" t="n">
        <v>-123101.8921707008</v>
      </c>
      <c r="AN19" s="758" t="n">
        <v>-0.2462037843414015</v>
      </c>
      <c r="AO19" s="758" t="n">
        <v>-0.01470108</v>
      </c>
      <c r="AP19" s="310" t="n">
        <v>-0.2609048643414015</v>
      </c>
      <c r="AQ19" s="756" t="n"/>
      <c r="AR19" s="326" t="n"/>
      <c r="AS19" s="332" t="n">
        <v>-7256.593029779959</v>
      </c>
      <c r="AT19" s="308" t="n">
        <v>-7256.593029779959</v>
      </c>
      <c r="AU19" s="310" t="n">
        <v>0.01451318617343918</v>
      </c>
      <c r="AV19" s="756" t="n"/>
      <c r="AW19" s="326" t="n"/>
      <c r="AX19" s="332" t="n">
        <v>-130358.4852004807</v>
      </c>
      <c r="AY19" s="756" t="n"/>
      <c r="AZ19" s="326" t="n"/>
      <c r="BA19" s="332" t="n"/>
      <c r="BB19" s="756" t="n"/>
    </row>
    <row r="20">
      <c r="A20" s="752" t="inlineStr">
        <is>
          <t>Bryan C. White LLC</t>
        </is>
      </c>
      <c r="B20" s="351" t="n">
        <v>195750.7888852211</v>
      </c>
      <c r="C20" s="351" t="n">
        <v>0</v>
      </c>
      <c r="D20" s="351" t="inlineStr">
        <is>
          <t>Standard</t>
        </is>
      </c>
      <c r="E20" s="761" t="n">
        <v>195750.79</v>
      </c>
      <c r="F20" s="760" t="n">
        <v>0.00144262816230745</v>
      </c>
      <c r="G20" s="761" t="n">
        <v>195750.79</v>
      </c>
      <c r="H20" s="761" t="n">
        <v>195750.79</v>
      </c>
      <c r="I20" s="760" t="n">
        <v>0.001378024221751132</v>
      </c>
      <c r="J20" s="760" t="n">
        <v>0.001032703531905789</v>
      </c>
      <c r="K20" s="760" t="n">
        <v>0.001032703531905789</v>
      </c>
      <c r="M20" s="351" t="n">
        <v>-173082.9488835279</v>
      </c>
      <c r="N20" s="351" t="n">
        <v>-1600.57</v>
      </c>
      <c r="O20" s="351" t="n">
        <v>-734.0700000000001</v>
      </c>
      <c r="P20" s="351" t="n">
        <v>-77.05131486322816</v>
      </c>
      <c r="Q20" s="351" t="n">
        <v>-20256.14999999999</v>
      </c>
      <c r="R20" s="351" t="n">
        <v>-195750.7901983911</v>
      </c>
      <c r="S20" s="761" t="n"/>
      <c r="T20" s="249" t="n">
        <v>-129709.8917445365</v>
      </c>
      <c r="U20" s="754" t="n">
        <v>0</v>
      </c>
      <c r="V20" s="249" t="n">
        <v>-2334.64</v>
      </c>
      <c r="W20" s="249" t="n">
        <v>-57.74293640218116</v>
      </c>
      <c r="X20" s="212" t="n">
        <v>19.308378461047</v>
      </c>
      <c r="Y20" s="249" t="n">
        <v>-14910.82047340964</v>
      </c>
      <c r="Z20" s="212" t="n">
        <v>5345.329526590343</v>
      </c>
      <c r="AA20" s="249" t="n">
        <v>-147013.0951543484</v>
      </c>
      <c r="AB20" s="761" t="n"/>
      <c r="AC20" s="302" t="n">
        <v>-0.6626276795334338</v>
      </c>
      <c r="AD20" s="303" t="n">
        <v>-0.01192659299101679</v>
      </c>
      <c r="AE20" s="303" t="n">
        <v>-0.0002949818818211725</v>
      </c>
      <c r="AF20" s="303" t="n">
        <v>-0.0761724663967366</v>
      </c>
      <c r="AG20" s="919" t="n">
        <v>-0.7390951278119916</v>
      </c>
      <c r="AH20" s="761" t="n"/>
      <c r="AI20" s="326" t="n"/>
      <c r="AJ20" s="249" t="n"/>
      <c r="AK20" s="249" t="n">
        <v>-48737.69504404278</v>
      </c>
      <c r="AL20" s="756" t="n"/>
      <c r="AM20" s="308" t="n">
        <v>-48737.69504404278</v>
      </c>
      <c r="AN20" s="758" t="n">
        <v>-0.2489782802104797</v>
      </c>
      <c r="AO20" s="758" t="n">
        <v>-0.01192659299101679</v>
      </c>
      <c r="AP20" s="310" t="n">
        <v>-0.2609048732014965</v>
      </c>
      <c r="AQ20" s="756" t="n"/>
      <c r="AR20" s="326" t="n"/>
      <c r="AS20" s="332" t="n">
        <v>-2840.967636575841</v>
      </c>
      <c r="AT20" s="308" t="n">
        <v>-2840.967636575841</v>
      </c>
      <c r="AU20" s="310" t="n">
        <v>0.01451318604485098</v>
      </c>
      <c r="AV20" s="756" t="n"/>
      <c r="AW20" s="326" t="n"/>
      <c r="AX20" s="332" t="n">
        <v>-51578.66268061862</v>
      </c>
      <c r="AY20" s="756" t="n"/>
      <c r="AZ20" s="326" t="n"/>
      <c r="BA20" s="332" t="n"/>
      <c r="BB20" s="756" t="n"/>
    </row>
    <row r="21">
      <c r="A21" s="752" t="inlineStr">
        <is>
          <t>Cameron J. Tringale</t>
        </is>
      </c>
      <c r="B21" s="351" t="n">
        <v>0</v>
      </c>
      <c r="C21" s="351" t="n">
        <v>0</v>
      </c>
      <c r="D21" s="351" t="inlineStr">
        <is>
          <t>Standard</t>
        </is>
      </c>
      <c r="E21" s="761" t="n">
        <v>500000</v>
      </c>
      <c r="F21" s="760" t="n">
        <v>0.003684859106590195</v>
      </c>
      <c r="G21" s="761" t="n">
        <v>500000</v>
      </c>
      <c r="H21" s="761" t="n">
        <v>500000</v>
      </c>
      <c r="I21" s="760" t="n">
        <v>0.00351984332158029</v>
      </c>
      <c r="J21" s="760" t="n">
        <v>0.002637801696498362</v>
      </c>
      <c r="K21" s="760" t="n">
        <v>0.002637801696498362</v>
      </c>
      <c r="M21" s="351" t="n">
        <v>-442100.256360467</v>
      </c>
      <c r="N21" s="351" t="n">
        <v>-9150.82</v>
      </c>
      <c r="O21" s="351" t="n">
        <v>-1875</v>
      </c>
      <c r="P21" s="351" t="n">
        <v>-196.8097162295697</v>
      </c>
      <c r="Q21" s="351" t="n">
        <v>-46677.11000000003</v>
      </c>
      <c r="R21" s="351" t="n">
        <v>-499999.9960766966</v>
      </c>
      <c r="S21" s="761" t="n"/>
      <c r="T21" s="249" t="n">
        <v>-331313.8397667169</v>
      </c>
      <c r="U21" s="754" t="n">
        <v>0</v>
      </c>
      <c r="V21" s="249" t="n">
        <v>-11025.82</v>
      </c>
      <c r="W21" s="249" t="n">
        <v>-147.4909409105862</v>
      </c>
      <c r="X21" s="212" t="n">
        <v>49.31877531898343</v>
      </c>
      <c r="Y21" s="249" t="n">
        <v>-38086.2331983683</v>
      </c>
      <c r="Z21" s="212" t="n">
        <v>8590.876801631734</v>
      </c>
      <c r="AA21" s="249" t="n">
        <v>-380573.3839059958</v>
      </c>
      <c r="AB21" s="761" t="n"/>
      <c r="AC21" s="302" t="n">
        <v>-0.6626276795334338</v>
      </c>
      <c r="AD21" s="303" t="n">
        <v>-0.02205164</v>
      </c>
      <c r="AE21" s="303" t="n">
        <v>-0.0002949818818211724</v>
      </c>
      <c r="AF21" s="303" t="n">
        <v>-0.0761724663967366</v>
      </c>
      <c r="AG21" s="919" t="n">
        <v>-0.7390951278119916</v>
      </c>
      <c r="AH21" s="761" t="n"/>
      <c r="AI21" s="326" t="n"/>
      <c r="AJ21" s="249" t="n"/>
      <c r="AK21" s="249" t="n">
        <v>-119426.6121707008</v>
      </c>
      <c r="AL21" s="756" t="n"/>
      <c r="AM21" s="308" t="n">
        <v>-119426.6121707008</v>
      </c>
      <c r="AN21" s="758" t="n">
        <v>-0.2388532243414016</v>
      </c>
      <c r="AO21" s="758" t="n">
        <v>-0.02205164</v>
      </c>
      <c r="AP21" s="310" t="n">
        <v>-0.2609048643414016</v>
      </c>
      <c r="AQ21" s="756" t="n"/>
      <c r="AR21" s="326" t="n"/>
      <c r="AS21" s="332" t="n">
        <v>-7256.593029779959</v>
      </c>
      <c r="AT21" s="308" t="n">
        <v>-7256.593029779959</v>
      </c>
      <c r="AU21" s="310" t="n">
        <v>0.01451318617343918</v>
      </c>
      <c r="AV21" s="756" t="n"/>
      <c r="AW21" s="326" t="n"/>
      <c r="AX21" s="332" t="n">
        <v>-126683.2052004808</v>
      </c>
      <c r="AY21" s="756" t="n"/>
      <c r="AZ21" s="326" t="n"/>
      <c r="BA21" s="332" t="n"/>
      <c r="BB21" s="756" t="n"/>
    </row>
    <row r="22">
      <c r="A22" s="752" t="inlineStr">
        <is>
          <t>Charing Hatcherville LLC</t>
        </is>
      </c>
      <c r="B22" s="351" t="n">
        <v>50964145.40599024</v>
      </c>
      <c r="C22" s="351" t="n">
        <v>0</v>
      </c>
      <c r="D22" s="351" t="inlineStr">
        <is>
          <t>Standard</t>
        </is>
      </c>
      <c r="E22" s="761" t="n">
        <v>50964145.41</v>
      </c>
      <c r="F22" s="760" t="n">
        <v>0.3755913906472507</v>
      </c>
      <c r="G22" s="761" t="n">
        <v>50964145.41</v>
      </c>
      <c r="H22" s="761" t="n">
        <v>50964145.41</v>
      </c>
      <c r="I22" s="760" t="n">
        <v>0.3587716137228706</v>
      </c>
      <c r="J22" s="760" t="n">
        <v>0.2688666184461744</v>
      </c>
      <c r="K22" s="760" t="n">
        <v>0.2688666184461744</v>
      </c>
      <c r="M22" s="351" t="n">
        <v>-45062523.50190624</v>
      </c>
      <c r="N22" s="351" t="n">
        <v>-416709.63</v>
      </c>
      <c r="O22" s="351" t="n">
        <v>-191115.55</v>
      </c>
      <c r="P22" s="351" t="n">
        <v>-20060.47799204925</v>
      </c>
      <c r="Q22" s="351" t="n">
        <v>-5273736.19</v>
      </c>
      <c r="R22" s="351" t="n">
        <v>-50964145.34989829</v>
      </c>
      <c r="S22" s="761" t="n"/>
      <c r="T22" s="249" t="n">
        <v>-33770253.4124328</v>
      </c>
      <c r="U22" s="754" t="n">
        <v>0</v>
      </c>
      <c r="V22" s="249" t="n">
        <v>-607825.1799999999</v>
      </c>
      <c r="W22" s="249" t="n">
        <v>-15033.49951844967</v>
      </c>
      <c r="X22" s="212" t="n">
        <v>5026.978473599584</v>
      </c>
      <c r="Y22" s="249" t="n">
        <v>-3882064.653681622</v>
      </c>
      <c r="Z22" s="212" t="n">
        <v>1391671.536318378</v>
      </c>
      <c r="AA22" s="249" t="n">
        <v>-38275176.74563286</v>
      </c>
      <c r="AB22" s="761" t="n"/>
      <c r="AC22" s="302" t="n">
        <v>-0.6626276795334338</v>
      </c>
      <c r="AD22" s="303" t="n">
        <v>-0.01192652550356971</v>
      </c>
      <c r="AE22" s="303" t="n">
        <v>-0.0002949818818211724</v>
      </c>
      <c r="AF22" s="303" t="n">
        <v>-0.0761724663967366</v>
      </c>
      <c r="AG22" s="919" t="n">
        <v>-0.7390951278119916</v>
      </c>
      <c r="AH22" s="761" t="n"/>
      <c r="AI22" s="326" t="n"/>
      <c r="AJ22" s="249" t="n"/>
      <c r="AK22" s="249" t="n">
        <v>-12688968.60426542</v>
      </c>
      <c r="AL22" s="756" t="n"/>
      <c r="AM22" s="308" t="n">
        <v>-12688968.60426542</v>
      </c>
      <c r="AN22" s="758" t="n">
        <v>-0.2489783455051449</v>
      </c>
      <c r="AO22" s="758" t="n">
        <v>-0.01192652550356971</v>
      </c>
      <c r="AP22" s="310" t="n">
        <v>-0.2609048710087146</v>
      </c>
      <c r="AQ22" s="756" t="n"/>
      <c r="AR22" s="326" t="n"/>
      <c r="AS22" s="332" t="n">
        <v>-739652.1247017967</v>
      </c>
      <c r="AT22" s="308" t="n">
        <v>-739652.1247017967</v>
      </c>
      <c r="AU22" s="310" t="n">
        <v>0.01451318607667523</v>
      </c>
      <c r="AV22" s="756" t="n"/>
      <c r="AW22" s="326" t="n"/>
      <c r="AX22" s="332" t="n">
        <v>-13428620.72896722</v>
      </c>
      <c r="AY22" s="756" t="n"/>
      <c r="AZ22" s="326" t="n"/>
      <c r="BA22" s="332" t="n"/>
      <c r="BB22" s="756" t="n"/>
    </row>
    <row r="23">
      <c r="A23" s="752" t="inlineStr">
        <is>
          <t>Charing Silsbee, LLC</t>
        </is>
      </c>
      <c r="B23" s="351" t="n">
        <v>0</v>
      </c>
      <c r="C23" s="351" t="n">
        <v>6326173.375200721</v>
      </c>
      <c r="D23" s="351" t="inlineStr">
        <is>
          <t>Standard</t>
        </is>
      </c>
      <c r="E23" s="761" t="n">
        <v>6326173.38</v>
      </c>
      <c r="F23" s="760" t="n">
        <v>0.04662211517832294</v>
      </c>
      <c r="G23" s="761" t="n">
        <v>6326173.38</v>
      </c>
      <c r="H23" s="761" t="n">
        <v>6326173.38</v>
      </c>
      <c r="I23" s="760" t="n">
        <v>0.04453427824550402</v>
      </c>
      <c r="J23" s="760" t="n">
        <v>0.03337438174821356</v>
      </c>
      <c r="K23" s="760" t="n">
        <v>0.03337438174821356</v>
      </c>
      <c r="M23" s="351" t="n">
        <v>-5593605.746157524</v>
      </c>
      <c r="N23" s="351" t="n">
        <v>-39670.59100516304</v>
      </c>
      <c r="O23" s="351" t="n">
        <v>-23723.15</v>
      </c>
      <c r="P23" s="351" t="n">
        <v>-2490.104775473715</v>
      </c>
      <c r="Q23" s="351" t="n">
        <v>-666683.788994837</v>
      </c>
      <c r="R23" s="351" t="n">
        <v>-6326173.380932998</v>
      </c>
      <c r="S23" s="761" t="n"/>
      <c r="T23" s="249" t="n">
        <v>-4191897.58711558</v>
      </c>
      <c r="U23" s="754" t="n">
        <v>0</v>
      </c>
      <c r="V23" s="249" t="n">
        <v>-63393.74100516304</v>
      </c>
      <c r="W23" s="249" t="n">
        <v>-1866.106528359407</v>
      </c>
      <c r="X23" s="212" t="n">
        <v>623.9982471143078</v>
      </c>
      <c r="Y23" s="249" t="n">
        <v>-481880.2292079796</v>
      </c>
      <c r="Z23" s="212" t="n">
        <v>184803.5597868573</v>
      </c>
      <c r="AA23" s="249" t="n">
        <v>-4739037.663857082</v>
      </c>
      <c r="AB23" s="761" t="n"/>
      <c r="AC23" s="302" t="n">
        <v>-0.6626276795334339</v>
      </c>
      <c r="AD23" s="303" t="n">
        <v>-0.01002086683327087</v>
      </c>
      <c r="AE23" s="303" t="n">
        <v>-0.0002949818818211725</v>
      </c>
      <c r="AF23" s="303" t="n">
        <v>-0.07617246639673661</v>
      </c>
      <c r="AG23" s="919" t="n">
        <v>-0.7390951278119917</v>
      </c>
      <c r="AH23" s="761" t="n"/>
      <c r="AI23" s="326" t="n"/>
      <c r="AJ23" s="249" t="n"/>
      <c r="AK23" s="249" t="n">
        <v>-1587135.717075915</v>
      </c>
      <c r="AL23" s="756" t="n"/>
      <c r="AM23" s="308" t="n">
        <v>-1587135.717075915</v>
      </c>
      <c r="AN23" s="758" t="n">
        <v>-0.2508840055022196</v>
      </c>
      <c r="AO23" s="758" t="n">
        <v>-0.01002086683327087</v>
      </c>
      <c r="AP23" s="310" t="n">
        <v>-0.2609048723354904</v>
      </c>
      <c r="AQ23" s="756" t="n"/>
      <c r="AR23" s="326" t="n"/>
      <c r="AS23" s="332" t="n">
        <v>-91812.93130897506</v>
      </c>
      <c r="AT23" s="308" t="n">
        <v>-91812.93130897506</v>
      </c>
      <c r="AU23" s="310" t="n">
        <v>0.01451318605741948</v>
      </c>
      <c r="AV23" s="756" t="n"/>
      <c r="AW23" s="326" t="n"/>
      <c r="AX23" s="332" t="n">
        <v>-1678948.64838489</v>
      </c>
      <c r="AY23" s="756" t="n"/>
      <c r="AZ23" s="326" t="n"/>
      <c r="BA23" s="332" t="n"/>
      <c r="BB23" s="756" t="n"/>
    </row>
    <row r="24">
      <c r="A24" s="752" t="inlineStr">
        <is>
          <t>Chase F. Monroe</t>
        </is>
      </c>
      <c r="B24" s="351" t="n">
        <v>195750.7888852211</v>
      </c>
      <c r="C24" s="351" t="n">
        <v>0</v>
      </c>
      <c r="D24" s="351" t="inlineStr">
        <is>
          <t>Standard</t>
        </is>
      </c>
      <c r="E24" s="761" t="n">
        <v>195750.79</v>
      </c>
      <c r="F24" s="760" t="n">
        <v>0.00144262816230745</v>
      </c>
      <c r="G24" s="761" t="n">
        <v>195750.79</v>
      </c>
      <c r="H24" s="761" t="n">
        <v>195750.79</v>
      </c>
      <c r="I24" s="760" t="n">
        <v>0.001378024221751132</v>
      </c>
      <c r="J24" s="760" t="n">
        <v>0.001032703531905789</v>
      </c>
      <c r="K24" s="760" t="n">
        <v>0.001032703531905789</v>
      </c>
      <c r="M24" s="351" t="n">
        <v>-173082.9488835279</v>
      </c>
      <c r="N24" s="351" t="n">
        <v>-1600.57</v>
      </c>
      <c r="O24" s="351" t="n">
        <v>-734.0700000000001</v>
      </c>
      <c r="P24" s="351" t="n">
        <v>-77.05131486322816</v>
      </c>
      <c r="Q24" s="351" t="n">
        <v>-20256.14999999999</v>
      </c>
      <c r="R24" s="351" t="n">
        <v>-195750.7901983911</v>
      </c>
      <c r="S24" s="761" t="n"/>
      <c r="T24" s="249" t="n">
        <v>-129709.8917445365</v>
      </c>
      <c r="U24" s="754" t="n">
        <v>0</v>
      </c>
      <c r="V24" s="249" t="n">
        <v>-2334.64</v>
      </c>
      <c r="W24" s="249" t="n">
        <v>-57.74293640218116</v>
      </c>
      <c r="X24" s="212" t="n">
        <v>19.308378461047</v>
      </c>
      <c r="Y24" s="249" t="n">
        <v>-14910.82047340964</v>
      </c>
      <c r="Z24" s="212" t="n">
        <v>5345.329526590343</v>
      </c>
      <c r="AA24" s="249" t="n">
        <v>-147013.0951543484</v>
      </c>
      <c r="AB24" s="761" t="n"/>
      <c r="AC24" s="302" t="n">
        <v>-0.6626276795334338</v>
      </c>
      <c r="AD24" s="303" t="n">
        <v>-0.01192659299101679</v>
      </c>
      <c r="AE24" s="303" t="n">
        <v>-0.0002949818818211725</v>
      </c>
      <c r="AF24" s="303" t="n">
        <v>-0.0761724663967366</v>
      </c>
      <c r="AG24" s="919" t="n">
        <v>-0.7390951278119916</v>
      </c>
      <c r="AH24" s="761" t="n"/>
      <c r="AI24" s="326" t="n"/>
      <c r="AJ24" s="249" t="n"/>
      <c r="AK24" s="249" t="n">
        <v>-48737.69504404278</v>
      </c>
      <c r="AL24" s="756" t="n"/>
      <c r="AM24" s="308" t="n">
        <v>-48737.69504404278</v>
      </c>
      <c r="AN24" s="758" t="n">
        <v>-0.2489782802104797</v>
      </c>
      <c r="AO24" s="758" t="n">
        <v>-0.01192659299101679</v>
      </c>
      <c r="AP24" s="310" t="n">
        <v>-0.2609048732014965</v>
      </c>
      <c r="AQ24" s="756" t="n"/>
      <c r="AR24" s="326" t="n"/>
      <c r="AS24" s="332" t="n">
        <v>-2840.967636575841</v>
      </c>
      <c r="AT24" s="308" t="n">
        <v>-2840.967636575841</v>
      </c>
      <c r="AU24" s="310" t="n">
        <v>0.01451318604485098</v>
      </c>
      <c r="AV24" s="756" t="n"/>
      <c r="AW24" s="326" t="n"/>
      <c r="AX24" s="332" t="n">
        <v>-51578.66268061862</v>
      </c>
      <c r="AY24" s="756" t="n"/>
      <c r="AZ24" s="326" t="n"/>
      <c r="BA24" s="332" t="n"/>
      <c r="BB24" s="756" t="n"/>
    </row>
    <row r="25">
      <c r="A25" s="752" t="inlineStr">
        <is>
          <t>Chase The Lion, Inc.</t>
        </is>
      </c>
      <c r="B25" s="351" t="n">
        <v>783003.1555408844</v>
      </c>
      <c r="C25" s="351" t="n">
        <v>329488.1966250376</v>
      </c>
      <c r="D25" s="351" t="inlineStr">
        <is>
          <t>Standard</t>
        </is>
      </c>
      <c r="E25" s="761" t="n">
        <v>1212491.36</v>
      </c>
      <c r="F25" s="760" t="n">
        <v>0.008935719659115861</v>
      </c>
      <c r="G25" s="761" t="n">
        <v>1212491.36</v>
      </c>
      <c r="H25" s="761" t="n">
        <v>1212491.36</v>
      </c>
      <c r="I25" s="760" t="n">
        <v>0.008535559231939608</v>
      </c>
      <c r="J25" s="760" t="n">
        <v>0.006396623532795214</v>
      </c>
      <c r="K25" s="760" t="n">
        <v>0.006396623532795214</v>
      </c>
      <c r="M25" s="351" t="n">
        <v>-1072085.482181703</v>
      </c>
      <c r="N25" s="351" t="n">
        <v>-10298.58291032609</v>
      </c>
      <c r="O25" s="351" t="n">
        <v>-4546.84</v>
      </c>
      <c r="P25" s="351" t="n">
        <v>-477.2601609848101</v>
      </c>
      <c r="Q25" s="351" t="n">
        <v>-125083.1970896738</v>
      </c>
      <c r="R25" s="351" t="n">
        <v>-1212491.362342687</v>
      </c>
      <c r="S25" s="761" t="n"/>
      <c r="T25" s="249" t="n">
        <v>-803430.3363311375</v>
      </c>
      <c r="U25" s="754" t="n">
        <v>0</v>
      </c>
      <c r="V25" s="249" t="n">
        <v>-14845.42291032609</v>
      </c>
      <c r="W25" s="249" t="n">
        <v>-357.6629830647127</v>
      </c>
      <c r="X25" s="212" t="n">
        <v>119.5971779200974</v>
      </c>
      <c r="Y25" s="249" t="n">
        <v>-92358.45737593346</v>
      </c>
      <c r="Z25" s="212" t="n">
        <v>32724.73971374035</v>
      </c>
      <c r="AA25" s="249" t="n">
        <v>-910991.8796004616</v>
      </c>
      <c r="AB25" s="761" t="n"/>
      <c r="AC25" s="302" t="n">
        <v>-0.6626276795334338</v>
      </c>
      <c r="AD25" s="303" t="n">
        <v>-0.01224373500717241</v>
      </c>
      <c r="AE25" s="303" t="n">
        <v>-0.0002949818818211724</v>
      </c>
      <c r="AF25" s="303" t="n">
        <v>-0.0761724663967366</v>
      </c>
      <c r="AG25" s="919" t="n">
        <v>-0.7390951278119916</v>
      </c>
      <c r="AH25" s="761" t="n"/>
      <c r="AI25" s="326" t="n"/>
      <c r="AJ25" s="249" t="n"/>
      <c r="AK25" s="249" t="n">
        <v>-301499.4827422256</v>
      </c>
      <c r="AL25" s="756" t="n"/>
      <c r="AM25" s="308" t="n">
        <v>-301499.4827422256</v>
      </c>
      <c r="AN25" s="758" t="n">
        <v>-0.2486611391129629</v>
      </c>
      <c r="AO25" s="758" t="n">
        <v>-0.01224373500717241</v>
      </c>
      <c r="AP25" s="310" t="n">
        <v>-0.2609048741201354</v>
      </c>
      <c r="AQ25" s="756" t="n"/>
      <c r="AR25" s="326" t="n"/>
      <c r="AS25" s="332" t="n">
        <v>-17597.11270328885</v>
      </c>
      <c r="AT25" s="308" t="n">
        <v>-17597.11270328885</v>
      </c>
      <c r="AU25" s="310" t="n">
        <v>0.0145131860315186</v>
      </c>
      <c r="AV25" s="756" t="n"/>
      <c r="AW25" s="326" t="n"/>
      <c r="AX25" s="332" t="n">
        <v>-319096.5954455145</v>
      </c>
      <c r="AY25" s="756" t="n"/>
      <c r="AZ25" s="326" t="n"/>
      <c r="BA25" s="332" t="n"/>
      <c r="BB25" s="756" t="n"/>
    </row>
    <row r="26">
      <c r="A26" s="752" t="inlineStr">
        <is>
          <t>Chris Schaaf</t>
        </is>
      </c>
      <c r="B26" s="351" t="n">
        <v>195750.7888852211</v>
      </c>
      <c r="C26" s="351" t="n">
        <v>0</v>
      </c>
      <c r="D26" s="351" t="inlineStr">
        <is>
          <t>Standard</t>
        </is>
      </c>
      <c r="E26" s="761" t="n">
        <v>195750.79</v>
      </c>
      <c r="F26" s="760" t="n">
        <v>0.00144262816230745</v>
      </c>
      <c r="G26" s="761" t="n">
        <v>195750.79</v>
      </c>
      <c r="H26" s="761" t="n">
        <v>195750.79</v>
      </c>
      <c r="I26" s="760" t="n">
        <v>0.001378024221751132</v>
      </c>
      <c r="J26" s="760" t="n">
        <v>0.001032703531905789</v>
      </c>
      <c r="K26" s="760" t="n">
        <v>0.001032703531905789</v>
      </c>
      <c r="M26" s="351" t="n">
        <v>-173082.9488835279</v>
      </c>
      <c r="N26" s="351" t="n">
        <v>-1600.57</v>
      </c>
      <c r="O26" s="351" t="n">
        <v>-734.0700000000001</v>
      </c>
      <c r="P26" s="351" t="n">
        <v>-77.05131486322816</v>
      </c>
      <c r="Q26" s="351" t="n">
        <v>-20256.14999999999</v>
      </c>
      <c r="R26" s="351" t="n">
        <v>-195750.7901983911</v>
      </c>
      <c r="S26" s="761" t="n"/>
      <c r="T26" s="249" t="n">
        <v>-129709.8917445365</v>
      </c>
      <c r="U26" s="754" t="n">
        <v>0</v>
      </c>
      <c r="V26" s="249" t="n">
        <v>-2334.64</v>
      </c>
      <c r="W26" s="249" t="n">
        <v>-57.74293640218116</v>
      </c>
      <c r="X26" s="212" t="n">
        <v>19.308378461047</v>
      </c>
      <c r="Y26" s="249" t="n">
        <v>-14910.82047340964</v>
      </c>
      <c r="Z26" s="212" t="n">
        <v>5345.329526590343</v>
      </c>
      <c r="AA26" s="249" t="n">
        <v>-147013.0951543484</v>
      </c>
      <c r="AB26" s="761" t="n"/>
      <c r="AC26" s="302" t="n">
        <v>-0.6626276795334338</v>
      </c>
      <c r="AD26" s="303" t="n">
        <v>-0.01192659299101679</v>
      </c>
      <c r="AE26" s="303" t="n">
        <v>-0.0002949818818211725</v>
      </c>
      <c r="AF26" s="303" t="n">
        <v>-0.0761724663967366</v>
      </c>
      <c r="AG26" s="919" t="n">
        <v>-0.7390951278119916</v>
      </c>
      <c r="AH26" s="761" t="n"/>
      <c r="AI26" s="326" t="n"/>
      <c r="AJ26" s="249" t="n"/>
      <c r="AK26" s="249" t="n">
        <v>-48737.69504404278</v>
      </c>
      <c r="AL26" s="756" t="n"/>
      <c r="AM26" s="308" t="n">
        <v>-48737.69504404278</v>
      </c>
      <c r="AN26" s="758" t="n">
        <v>-0.2489782802104797</v>
      </c>
      <c r="AO26" s="758" t="n">
        <v>-0.01192659299101679</v>
      </c>
      <c r="AP26" s="310" t="n">
        <v>-0.2609048732014965</v>
      </c>
      <c r="AQ26" s="756" t="n"/>
      <c r="AR26" s="326" t="n"/>
      <c r="AS26" s="332" t="n">
        <v>-2840.967636575841</v>
      </c>
      <c r="AT26" s="308" t="n">
        <v>-2840.967636575841</v>
      </c>
      <c r="AU26" s="310" t="n">
        <v>0.01451318604485098</v>
      </c>
      <c r="AV26" s="756" t="n"/>
      <c r="AW26" s="326" t="n"/>
      <c r="AX26" s="332" t="n">
        <v>-51578.66268061862</v>
      </c>
      <c r="AY26" s="756" t="n"/>
      <c r="AZ26" s="326" t="n"/>
      <c r="BA26" s="332" t="n"/>
      <c r="BB26" s="756" t="n"/>
    </row>
    <row r="27">
      <c r="A27" s="752" t="inlineStr">
        <is>
          <t>Christopher J. Campbell</t>
        </is>
      </c>
      <c r="B27" s="351" t="n">
        <v>0</v>
      </c>
      <c r="C27" s="351" t="n">
        <v>0</v>
      </c>
      <c r="D27" s="351" t="inlineStr">
        <is>
          <t>BBR</t>
        </is>
      </c>
      <c r="E27" s="761" t="n">
        <v>500000</v>
      </c>
      <c r="F27" s="760" t="n">
        <v>0.003684859106590195</v>
      </c>
      <c r="G27" s="761" t="n">
        <v>500000</v>
      </c>
      <c r="H27" s="761" t="n">
        <v>500000</v>
      </c>
      <c r="I27" s="760" t="n">
        <v>0.00351984332158029</v>
      </c>
      <c r="J27" s="760" t="n">
        <v>0.002637801696498362</v>
      </c>
      <c r="K27" s="760" t="n">
        <v>0.002637801696498362</v>
      </c>
      <c r="M27" s="351" t="n">
        <v>-442100.256360467</v>
      </c>
      <c r="N27" s="351" t="n">
        <v>-6100.54</v>
      </c>
      <c r="O27" s="351" t="n">
        <v>-1250</v>
      </c>
      <c r="P27" s="351" t="n">
        <v>-196.8097162295697</v>
      </c>
      <c r="Q27" s="351" t="n">
        <v>-50352.39000000003</v>
      </c>
      <c r="R27" s="351" t="n">
        <v>-499999.9960766966</v>
      </c>
      <c r="S27" s="761" t="n"/>
      <c r="T27" s="249" t="n">
        <v>-331313.8397667169</v>
      </c>
      <c r="U27" s="754" t="n">
        <v>0</v>
      </c>
      <c r="V27" s="249" t="n">
        <v>-7350.54</v>
      </c>
      <c r="W27" s="249" t="n">
        <v>-147.4909409105862</v>
      </c>
      <c r="X27" s="212" t="n">
        <v>49.31877531898343</v>
      </c>
      <c r="Y27" s="249" t="n">
        <v>-38086.2331983683</v>
      </c>
      <c r="Z27" s="212" t="n">
        <v>12266.15680163173</v>
      </c>
      <c r="AA27" s="249" t="n">
        <v>-376898.1039059958</v>
      </c>
      <c r="AB27" s="761" t="n"/>
      <c r="AC27" s="302" t="n">
        <v>-0.6626276795334338</v>
      </c>
      <c r="AD27" s="303" t="n">
        <v>-0.01470108</v>
      </c>
      <c r="AE27" s="303" t="n">
        <v>-0.0002949818818211724</v>
      </c>
      <c r="AF27" s="303" t="n">
        <v>-0.0761724663967366</v>
      </c>
      <c r="AG27" s="919" t="n">
        <v>-0.7390951278119916</v>
      </c>
      <c r="AH27" s="761" t="n"/>
      <c r="AI27" s="326" t="n"/>
      <c r="AJ27" s="249" t="n"/>
      <c r="AK27" s="249" t="n">
        <v>-123101.8921707008</v>
      </c>
      <c r="AL27" s="756" t="n"/>
      <c r="AM27" s="308" t="n">
        <v>-123101.8921707008</v>
      </c>
      <c r="AN27" s="758" t="n">
        <v>-0.2462037843414015</v>
      </c>
      <c r="AO27" s="758" t="n">
        <v>-0.01470108</v>
      </c>
      <c r="AP27" s="310" t="n">
        <v>-0.2609048643414015</v>
      </c>
      <c r="AQ27" s="756" t="n"/>
      <c r="AR27" s="326" t="n"/>
      <c r="AS27" s="332" t="n">
        <v>-7256.593029779959</v>
      </c>
      <c r="AT27" s="308" t="n">
        <v>-7256.593029779959</v>
      </c>
      <c r="AU27" s="310" t="n">
        <v>0.01451318617343918</v>
      </c>
      <c r="AV27" s="756" t="n"/>
      <c r="AW27" s="326" t="n"/>
      <c r="AX27" s="332" t="n">
        <v>-130358.4852004807</v>
      </c>
      <c r="AY27" s="756" t="n"/>
      <c r="AZ27" s="326" t="n"/>
      <c r="BA27" s="332" t="n"/>
      <c r="BB27" s="756" t="n"/>
    </row>
    <row r="28">
      <c r="A28" s="752" t="inlineStr">
        <is>
          <t>Christopher Johnson</t>
        </is>
      </c>
      <c r="B28" s="351" t="n">
        <v>0</v>
      </c>
      <c r="C28" s="351" t="n">
        <v>0</v>
      </c>
      <c r="D28" s="351" t="inlineStr">
        <is>
          <t>Standard</t>
        </is>
      </c>
      <c r="E28" s="761" t="n">
        <v>165897.64</v>
      </c>
      <c r="F28" s="760" t="n">
        <v>0.001222618859031644</v>
      </c>
      <c r="G28" s="761" t="n">
        <v>165897.64</v>
      </c>
      <c r="H28" s="761" t="n">
        <v>165897.64</v>
      </c>
      <c r="I28" s="760" t="n">
        <v>0.001167867400439862</v>
      </c>
      <c r="J28" s="760" t="n">
        <v>0.0008752101524741493</v>
      </c>
      <c r="K28" s="760" t="n">
        <v>0.0008752101524741493</v>
      </c>
      <c r="M28" s="351" t="n">
        <v>-146686.7783471929</v>
      </c>
      <c r="N28" s="351" t="n">
        <v>-2243.396582065217</v>
      </c>
      <c r="O28" s="351" t="n">
        <v>-622.12</v>
      </c>
      <c r="P28" s="351" t="n">
        <v>-65.30053490311062</v>
      </c>
      <c r="Q28" s="351" t="n">
        <v>-16280.04341793479</v>
      </c>
      <c r="R28" s="351" t="n">
        <v>-165897.638882096</v>
      </c>
      <c r="S28" s="761" t="n"/>
      <c r="T28" s="249" t="n">
        <v>-109928.368233273</v>
      </c>
      <c r="U28" s="754" t="n">
        <v>0</v>
      </c>
      <c r="V28" s="249" t="n">
        <v>-2865.516582065217</v>
      </c>
      <c r="W28" s="249" t="n">
        <v>-48.93679803689142</v>
      </c>
      <c r="X28" s="212" t="n">
        <v>16.3637368662192</v>
      </c>
      <c r="Y28" s="249" t="n">
        <v>-12636.83240819791</v>
      </c>
      <c r="Z28" s="212" t="n">
        <v>3643.211009736886</v>
      </c>
      <c r="AA28" s="249" t="n">
        <v>-125479.654021573</v>
      </c>
      <c r="AB28" s="761" t="n"/>
      <c r="AC28" s="302" t="n">
        <v>-0.6626276795334338</v>
      </c>
      <c r="AD28" s="303" t="n">
        <v>-0.01727279895039626</v>
      </c>
      <c r="AE28" s="303" t="n">
        <v>-0.0002949818818211724</v>
      </c>
      <c r="AF28" s="303" t="n">
        <v>-0.0761724663967366</v>
      </c>
      <c r="AG28" s="919" t="n">
        <v>-0.7390951278119916</v>
      </c>
      <c r="AH28" s="761" t="n"/>
      <c r="AI28" s="326" t="n"/>
      <c r="AJ28" s="249" t="n"/>
      <c r="AK28" s="249" t="n">
        <v>-40417.98486052307</v>
      </c>
      <c r="AL28" s="756" t="n"/>
      <c r="AM28" s="308" t="n">
        <v>-40417.98486052307</v>
      </c>
      <c r="AN28" s="758" t="n">
        <v>-0.2436320664990958</v>
      </c>
      <c r="AO28" s="758" t="n">
        <v>-0.01727279895039626</v>
      </c>
      <c r="AP28" s="310" t="n">
        <v>-0.2609048654494921</v>
      </c>
      <c r="AQ28" s="756" t="n"/>
      <c r="AR28" s="326" t="n"/>
      <c r="AS28" s="332" t="n">
        <v>-2407.70331616189</v>
      </c>
      <c r="AT28" s="308" t="n">
        <v>-2407.70331616189</v>
      </c>
      <c r="AU28" s="310" t="n">
        <v>0.01451318615735726</v>
      </c>
      <c r="AV28" s="756" t="n"/>
      <c r="AW28" s="326" t="n"/>
      <c r="AX28" s="332" t="n">
        <v>-42825.68817668495</v>
      </c>
      <c r="AY28" s="756" t="n"/>
      <c r="AZ28" s="326" t="n"/>
      <c r="BA28" s="332" t="n"/>
      <c r="BB28" s="756" t="n"/>
    </row>
    <row r="29">
      <c r="A29" s="752" t="inlineStr">
        <is>
          <t>CLIP Sponsor LLC</t>
        </is>
      </c>
      <c r="B29" s="351" t="n">
        <v>4802554.505940961</v>
      </c>
      <c r="C29" s="351" t="n">
        <v>0</v>
      </c>
      <c r="D29" s="351" t="n">
        <v>0</v>
      </c>
      <c r="E29" s="761" t="n">
        <v>4802554.5</v>
      </c>
      <c r="F29" s="760" t="n">
        <v>0</v>
      </c>
      <c r="G29" s="761" t="n">
        <v>4802554.5</v>
      </c>
      <c r="H29" s="761" t="n">
        <v>4802554.5</v>
      </c>
      <c r="I29" s="760" t="n">
        <v>0.03380847876670074</v>
      </c>
      <c r="J29" s="760" t="n">
        <v>0.02533637281525169</v>
      </c>
      <c r="K29" s="760" t="n">
        <v>0.02533637281525169</v>
      </c>
      <c r="M29" s="351" t="n">
        <v>-4246421.151270229</v>
      </c>
      <c r="N29" s="351" t="n">
        <v>0</v>
      </c>
      <c r="O29" s="351" t="n">
        <v>0</v>
      </c>
      <c r="P29" s="351" t="n">
        <v>-1890.378776644086</v>
      </c>
      <c r="Q29" s="351" t="n">
        <v>-554242.97</v>
      </c>
      <c r="R29" s="351" t="n">
        <v>-4802554.500046873</v>
      </c>
      <c r="S29" s="761" t="n"/>
      <c r="T29" s="249" t="n">
        <v>-3182305.544167851</v>
      </c>
      <c r="U29" s="754" t="n">
        <v>0</v>
      </c>
      <c r="V29" s="249" t="n">
        <v>0</v>
      </c>
      <c r="W29" s="249" t="n">
        <v>-1416.66656395874</v>
      </c>
      <c r="X29" s="212" t="n">
        <v>473.7122126853455</v>
      </c>
      <c r="Y29" s="249" t="n">
        <v>-365822.4212697461</v>
      </c>
      <c r="Z29" s="212" t="n">
        <v>188420.5487302538</v>
      </c>
      <c r="AA29" s="249" t="n">
        <v>-3549544.632001556</v>
      </c>
      <c r="AB29" s="761" t="n"/>
      <c r="AC29" s="302" t="n">
        <v>-0.6626276795334338</v>
      </c>
      <c r="AD29" s="303" t="n">
        <v>0</v>
      </c>
      <c r="AE29" s="303" t="n">
        <v>-0.0002949818818211725</v>
      </c>
      <c r="AF29" s="303" t="n">
        <v>-0.0761724663967366</v>
      </c>
      <c r="AG29" s="919" t="n">
        <v>-0.7390951278119916</v>
      </c>
      <c r="AH29" s="761" t="n"/>
      <c r="AI29" s="326" t="n"/>
      <c r="AJ29" s="249" t="n"/>
      <c r="AK29" s="249" t="n">
        <v>-1253009.868045318</v>
      </c>
      <c r="AL29" s="756" t="n"/>
      <c r="AM29" s="308" t="n">
        <v>-1253009.868045318</v>
      </c>
      <c r="AN29" s="758" t="n">
        <v>-0.2609048721977685</v>
      </c>
      <c r="AO29" s="758" t="n">
        <v>0</v>
      </c>
      <c r="AP29" s="310" t="n">
        <v>-0.2609048721977685</v>
      </c>
      <c r="AQ29" s="756" t="n"/>
      <c r="AR29" s="326" t="n"/>
      <c r="AS29" s="332" t="n">
        <v>0</v>
      </c>
      <c r="AT29" s="308" t="n">
        <v>0</v>
      </c>
      <c r="AU29" s="310" t="n">
        <v>0</v>
      </c>
      <c r="AV29" s="756" t="n"/>
      <c r="AW29" s="326" t="n"/>
      <c r="AX29" s="332" t="n">
        <v>-1253009.868045318</v>
      </c>
      <c r="AY29" s="756" t="n"/>
      <c r="AZ29" s="326" t="n"/>
      <c r="BA29" s="332" t="n"/>
      <c r="BB29" s="756" t="n"/>
    </row>
    <row r="30">
      <c r="A30" s="752" t="inlineStr">
        <is>
          <t>CLR Silsbee Sponsor LLC</t>
        </is>
      </c>
      <c r="B30" s="351" t="n">
        <v>0</v>
      </c>
      <c r="C30" s="351" t="n">
        <v>369576.6503946845</v>
      </c>
      <c r="D30" s="351" t="n">
        <v>0</v>
      </c>
      <c r="E30" s="761" t="n">
        <v>369576.65</v>
      </c>
      <c r="F30" s="760" t="n">
        <v>0</v>
      </c>
      <c r="G30" s="761" t="n">
        <v>369576.65</v>
      </c>
      <c r="H30" s="761" t="n">
        <v>369576.65</v>
      </c>
      <c r="I30" s="760" t="n">
        <v>0.002601703806629033</v>
      </c>
      <c r="J30" s="760" t="n">
        <v>0.001949739828712363</v>
      </c>
      <c r="K30" s="760" t="n">
        <v>0.001949739828712363</v>
      </c>
      <c r="M30" s="351" t="n">
        <v>-326779.8634196852</v>
      </c>
      <c r="N30" s="351" t="n">
        <v>0</v>
      </c>
      <c r="O30" s="351" t="n">
        <v>0</v>
      </c>
      <c r="P30" s="351" t="n">
        <v>-145.47255122315</v>
      </c>
      <c r="Q30" s="351" t="n">
        <v>-42651.32000000004</v>
      </c>
      <c r="R30" s="351" t="n">
        <v>-369576.6559709084</v>
      </c>
      <c r="S30" s="761" t="n"/>
      <c r="T30" s="249" t="n">
        <v>-244891.7179992401</v>
      </c>
      <c r="U30" s="754" t="n">
        <v>0</v>
      </c>
      <c r="V30" s="249" t="n">
        <v>0</v>
      </c>
      <c r="W30" s="249" t="n">
        <v>-109.0184156941648</v>
      </c>
      <c r="X30" s="212" t="n">
        <v>36.45413552898512</v>
      </c>
      <c r="Y30" s="249" t="n">
        <v>-28151.56495314349</v>
      </c>
      <c r="Z30" s="212" t="n">
        <v>14499.75504685655</v>
      </c>
      <c r="AA30" s="249" t="n">
        <v>-273152.3013680777</v>
      </c>
      <c r="AB30" s="761" t="n"/>
      <c r="AC30" s="302" t="n">
        <v>-0.6626276795334338</v>
      </c>
      <c r="AD30" s="303" t="n">
        <v>0</v>
      </c>
      <c r="AE30" s="303" t="n">
        <v>-0.0002949818818211725</v>
      </c>
      <c r="AF30" s="303" t="n">
        <v>-0.07617246639673661</v>
      </c>
      <c r="AG30" s="919" t="n">
        <v>-0.7390951278119916</v>
      </c>
      <c r="AH30" s="761" t="n"/>
      <c r="AI30" s="326" t="n"/>
      <c r="AJ30" s="249" t="n"/>
      <c r="AK30" s="249" t="n">
        <v>-96424.35460283066</v>
      </c>
      <c r="AL30" s="756" t="n"/>
      <c r="AM30" s="308" t="n">
        <v>-96424.35460283066</v>
      </c>
      <c r="AN30" s="758" t="n">
        <v>-0.2609048883440841</v>
      </c>
      <c r="AO30" s="758" t="n">
        <v>0</v>
      </c>
      <c r="AP30" s="310" t="n">
        <v>-0.2609048883440841</v>
      </c>
      <c r="AQ30" s="756" t="n"/>
      <c r="AR30" s="326" t="n"/>
      <c r="AS30" s="332" t="n">
        <v>0</v>
      </c>
      <c r="AT30" s="308" t="n">
        <v>0</v>
      </c>
      <c r="AU30" s="310" t="n">
        <v>0</v>
      </c>
      <c r="AV30" s="756" t="n"/>
      <c r="AW30" s="326" t="n"/>
      <c r="AX30" s="332" t="n">
        <v>-96424.35460283066</v>
      </c>
      <c r="AY30" s="756" t="n"/>
      <c r="AZ30" s="326" t="n"/>
      <c r="BA30" s="332" t="n"/>
      <c r="BB30" s="756" t="n"/>
    </row>
    <row r="31">
      <c r="A31" s="752" t="inlineStr">
        <is>
          <t>Daniel Ross</t>
        </is>
      </c>
      <c r="B31" s="351" t="n">
        <v>156600.6311081769</v>
      </c>
      <c r="C31" s="351" t="n">
        <v>0</v>
      </c>
      <c r="D31" s="351" t="inlineStr">
        <is>
          <t>Standard</t>
        </is>
      </c>
      <c r="E31" s="761" t="n">
        <v>156600.63</v>
      </c>
      <c r="F31" s="760" t="n">
        <v>0.001154102515106523</v>
      </c>
      <c r="G31" s="761" t="n">
        <v>156600.63</v>
      </c>
      <c r="H31" s="761" t="n">
        <v>156600.63</v>
      </c>
      <c r="I31" s="760" t="n">
        <v>0.001102419363321532</v>
      </c>
      <c r="J31" s="760" t="n">
        <v>0.0008261628149734248</v>
      </c>
      <c r="K31" s="760" t="n">
        <v>0.0008261628149734248</v>
      </c>
      <c r="M31" s="351" t="n">
        <v>-138466.3573384213</v>
      </c>
      <c r="N31" s="351" t="n">
        <v>-1280.45</v>
      </c>
      <c r="O31" s="351" t="n">
        <v>-587.25</v>
      </c>
      <c r="P31" s="351" t="n">
        <v>-61.64105110334367</v>
      </c>
      <c r="Q31" s="351" t="n">
        <v>-16204.93000000003</v>
      </c>
      <c r="R31" s="351" t="n">
        <v>-156600.6283895246</v>
      </c>
      <c r="S31" s="761" t="n"/>
      <c r="T31" s="249" t="n">
        <v>-103767.9120703738</v>
      </c>
      <c r="U31" s="754" t="n">
        <v>0</v>
      </c>
      <c r="V31" s="249" t="n">
        <v>-1867.7</v>
      </c>
      <c r="W31" s="249" t="n">
        <v>-46.19434853178116</v>
      </c>
      <c r="X31" s="212" t="n">
        <v>15.44670257156251</v>
      </c>
      <c r="Y31" s="249" t="n">
        <v>-11928.65622638278</v>
      </c>
      <c r="Z31" s="212" t="n">
        <v>4276.273773617244</v>
      </c>
      <c r="AA31" s="249" t="n">
        <v>-117610.4626452884</v>
      </c>
      <c r="AB31" s="761" t="n"/>
      <c r="AC31" s="302" t="n">
        <v>-0.6626276795334338</v>
      </c>
      <c r="AD31" s="303" t="n">
        <v>-0.01192651651529116</v>
      </c>
      <c r="AE31" s="303" t="n">
        <v>-0.0002949818818211725</v>
      </c>
      <c r="AF31" s="303" t="n">
        <v>-0.0761724663967366</v>
      </c>
      <c r="AG31" s="919" t="n">
        <v>-0.7390951278119916</v>
      </c>
      <c r="AH31" s="761" t="n"/>
      <c r="AI31" s="326" t="n"/>
      <c r="AJ31" s="249" t="n"/>
      <c r="AK31" s="249" t="n">
        <v>-38990.16574423623</v>
      </c>
      <c r="AL31" s="756" t="n"/>
      <c r="AM31" s="308" t="n">
        <v>-38990.16574423623</v>
      </c>
      <c r="AN31" s="758" t="n">
        <v>-0.2489783453887525</v>
      </c>
      <c r="AO31" s="758" t="n">
        <v>-0.01192651651529116</v>
      </c>
      <c r="AP31" s="310" t="n">
        <v>-0.2609048619040436</v>
      </c>
      <c r="AQ31" s="756" t="n"/>
      <c r="AR31" s="326" t="n"/>
      <c r="AS31" s="332" t="n">
        <v>-2272.7740802343</v>
      </c>
      <c r="AT31" s="308" t="n">
        <v>-2272.7740802343</v>
      </c>
      <c r="AU31" s="310" t="n">
        <v>0.01451318620881301</v>
      </c>
      <c r="AV31" s="756" t="n"/>
      <c r="AW31" s="326" t="n"/>
      <c r="AX31" s="332" t="n">
        <v>-41262.93982447054</v>
      </c>
      <c r="AY31" s="756" t="n"/>
      <c r="AZ31" s="326" t="n"/>
      <c r="BA31" s="332" t="n"/>
      <c r="BB31" s="756" t="n"/>
    </row>
    <row r="32">
      <c r="A32" s="752" t="inlineStr">
        <is>
          <t>Endurance Companies LLC</t>
        </is>
      </c>
      <c r="B32" s="351" t="n">
        <v>0</v>
      </c>
      <c r="C32" s="351" t="n">
        <v>0</v>
      </c>
      <c r="D32" s="351" t="inlineStr">
        <is>
          <t>Standard</t>
        </is>
      </c>
      <c r="E32" s="761" t="n">
        <v>850000</v>
      </c>
      <c r="F32" s="760" t="n">
        <v>0.00626426048120333</v>
      </c>
      <c r="G32" s="761" t="n">
        <v>850000</v>
      </c>
      <c r="H32" s="761" t="n">
        <v>850000</v>
      </c>
      <c r="I32" s="760" t="n">
        <v>0.005983733646686493</v>
      </c>
      <c r="J32" s="760" t="n">
        <v>0.004484262884047217</v>
      </c>
      <c r="K32" s="760" t="n">
        <v>0.004484262884047217</v>
      </c>
      <c r="M32" s="351" t="n">
        <v>-751570.4358127939</v>
      </c>
      <c r="N32" s="351" t="n">
        <v>-15556.39</v>
      </c>
      <c r="O32" s="351" t="n">
        <v>-3187.5</v>
      </c>
      <c r="P32" s="351" t="n">
        <v>-334.5765175902685</v>
      </c>
      <c r="Q32" s="351" t="n">
        <v>-79351.09000000005</v>
      </c>
      <c r="R32" s="351" t="n">
        <v>-849999.9923303843</v>
      </c>
      <c r="S32" s="761" t="n"/>
      <c r="T32" s="249" t="n">
        <v>-563233.5276034188</v>
      </c>
      <c r="U32" s="754" t="n">
        <v>0</v>
      </c>
      <c r="V32" s="249" t="n">
        <v>-18743.89</v>
      </c>
      <c r="W32" s="249" t="n">
        <v>-250.7345995479966</v>
      </c>
      <c r="X32" s="212" t="n">
        <v>83.84191804227183</v>
      </c>
      <c r="Y32" s="249" t="n">
        <v>-64746.59643722612</v>
      </c>
      <c r="Z32" s="212" t="n">
        <v>14604.49356277394</v>
      </c>
      <c r="AA32" s="249" t="n">
        <v>-646974.748640193</v>
      </c>
      <c r="AB32" s="761" t="n"/>
      <c r="AC32" s="302" t="n">
        <v>-0.6626276795334339</v>
      </c>
      <c r="AD32" s="303" t="n">
        <v>-0.02205163529411765</v>
      </c>
      <c r="AE32" s="303" t="n">
        <v>-0.0002949818818211725</v>
      </c>
      <c r="AF32" s="303" t="n">
        <v>-0.07617246639673661</v>
      </c>
      <c r="AG32" s="919" t="n">
        <v>-0.7390951278119917</v>
      </c>
      <c r="AH32" s="761" t="n"/>
      <c r="AI32" s="326" t="n"/>
      <c r="AJ32" s="249" t="n"/>
      <c r="AK32" s="249" t="n">
        <v>-203025.2436901913</v>
      </c>
      <c r="AL32" s="756" t="n"/>
      <c r="AM32" s="308" t="n">
        <v>-203025.2436901913</v>
      </c>
      <c r="AN32" s="758" t="n">
        <v>-0.2388532278708133</v>
      </c>
      <c r="AO32" s="758" t="n">
        <v>-0.02205163529411765</v>
      </c>
      <c r="AP32" s="310" t="n">
        <v>-0.2609048631649309</v>
      </c>
      <c r="AQ32" s="756" t="n"/>
      <c r="AR32" s="326" t="n"/>
      <c r="AS32" s="332" t="n">
        <v>-12336.20815062593</v>
      </c>
      <c r="AT32" s="308" t="n">
        <v>-12336.20815062593</v>
      </c>
      <c r="AU32" s="310" t="n">
        <v>0.01451318619051352</v>
      </c>
      <c r="AV32" s="756" t="n"/>
      <c r="AW32" s="326" t="n"/>
      <c r="AX32" s="332" t="n">
        <v>-215361.4518408172</v>
      </c>
      <c r="AY32" s="756" t="n"/>
      <c r="AZ32" s="326" t="n"/>
      <c r="BA32" s="332" t="n"/>
      <c r="BB32" s="756" t="n"/>
    </row>
    <row r="33">
      <c r="A33" s="752" t="inlineStr">
        <is>
          <t>Forem Capital, LLC</t>
        </is>
      </c>
      <c r="B33" s="351" t="n">
        <v>0</v>
      </c>
      <c r="C33" s="351" t="n">
        <v>0</v>
      </c>
      <c r="D33" s="351" t="n">
        <v>0</v>
      </c>
      <c r="E33" s="761" t="n">
        <v>1500000</v>
      </c>
      <c r="F33" s="760" t="n">
        <v>0.01105457731977058</v>
      </c>
      <c r="G33" s="761" t="n">
        <v>1500000</v>
      </c>
      <c r="H33" s="761" t="n">
        <v>1500000</v>
      </c>
      <c r="I33" s="760" t="n">
        <v>0.01055952996474087</v>
      </c>
      <c r="J33" s="760" t="n">
        <v>0.007913405089495089</v>
      </c>
      <c r="K33" s="760" t="n">
        <v>0.007913405089495089</v>
      </c>
      <c r="M33" s="351" t="n">
        <v>-1326300.769081401</v>
      </c>
      <c r="N33" s="351" t="n">
        <v>-18301.63</v>
      </c>
      <c r="O33" s="351" t="n">
        <v>-3750</v>
      </c>
      <c r="P33" s="351" t="n">
        <v>-590.429148688709</v>
      </c>
      <c r="Q33" s="351" t="n">
        <v>-151057.1700000001</v>
      </c>
      <c r="R33" s="351" t="n">
        <v>-1499999.99823009</v>
      </c>
      <c r="S33" s="761" t="n"/>
      <c r="T33" s="249" t="n">
        <v>-993941.5193001509</v>
      </c>
      <c r="U33" s="754" t="n">
        <v>0</v>
      </c>
      <c r="V33" s="249" t="n">
        <v>-22051.63</v>
      </c>
      <c r="W33" s="249" t="n">
        <v>-442.4728227317588</v>
      </c>
      <c r="X33" s="212" t="n">
        <v>147.9563259569503</v>
      </c>
      <c r="Y33" s="249" t="n">
        <v>-114258.6995951049</v>
      </c>
      <c r="Z33" s="212" t="n">
        <v>36798.47040489518</v>
      </c>
      <c r="AA33" s="249" t="n">
        <v>-1130694.321717988</v>
      </c>
      <c r="AB33" s="761" t="n"/>
      <c r="AC33" s="302" t="n">
        <v>-0.6626276795334339</v>
      </c>
      <c r="AD33" s="303" t="n">
        <v>-0.01470108666666667</v>
      </c>
      <c r="AE33" s="303" t="n">
        <v>-0.0002949818818211725</v>
      </c>
      <c r="AF33" s="303" t="n">
        <v>-0.07617246639673661</v>
      </c>
      <c r="AG33" s="919" t="n">
        <v>-0.7390951278119917</v>
      </c>
      <c r="AH33" s="761" t="n"/>
      <c r="AI33" s="326" t="n"/>
      <c r="AJ33" s="249" t="n"/>
      <c r="AK33" s="249" t="n">
        <v>-369305.6765121024</v>
      </c>
      <c r="AL33" s="756" t="n"/>
      <c r="AM33" s="308" t="n">
        <v>-369305.6765121024</v>
      </c>
      <c r="AN33" s="758" t="n">
        <v>-0.2462037843414016</v>
      </c>
      <c r="AO33" s="758" t="n">
        <v>-0.01470108666666667</v>
      </c>
      <c r="AP33" s="310" t="n">
        <v>-0.2609048710080683</v>
      </c>
      <c r="AQ33" s="756" t="n"/>
      <c r="AR33" s="326" t="n"/>
      <c r="AS33" s="332" t="n">
        <v>-21769.77908933988</v>
      </c>
      <c r="AT33" s="308" t="n">
        <v>-21769.77908933988</v>
      </c>
      <c r="AU33" s="310" t="n">
        <v>0.01451318607668461</v>
      </c>
      <c r="AV33" s="756" t="n"/>
      <c r="AW33" s="326" t="n"/>
      <c r="AX33" s="332" t="n">
        <v>-391075.4556014423</v>
      </c>
      <c r="AY33" s="756" t="n"/>
      <c r="AZ33" s="326" t="n"/>
      <c r="BA33" s="332" t="n"/>
      <c r="BB33" s="756" t="n"/>
    </row>
    <row r="34">
      <c r="A34" s="752" t="inlineStr">
        <is>
          <t>Francis Brawley</t>
        </is>
      </c>
      <c r="B34" s="351" t="n">
        <v>313201.2622163538</v>
      </c>
      <c r="C34" s="351" t="n">
        <v>0</v>
      </c>
      <c r="D34" s="351" t="inlineStr">
        <is>
          <t>Standard</t>
        </is>
      </c>
      <c r="E34" s="761" t="n">
        <v>313201.26</v>
      </c>
      <c r="F34" s="760" t="n">
        <v>0.002308205030213046</v>
      </c>
      <c r="G34" s="761" t="n">
        <v>313201.26</v>
      </c>
      <c r="H34" s="761" t="n">
        <v>313201.26</v>
      </c>
      <c r="I34" s="760" t="n">
        <v>0.002204838726643064</v>
      </c>
      <c r="J34" s="760" t="n">
        <v>0.00165232562994685</v>
      </c>
      <c r="K34" s="760" t="n">
        <v>0.00165232562994685</v>
      </c>
      <c r="M34" s="351" t="n">
        <v>-276932.7146768426</v>
      </c>
      <c r="N34" s="351" t="n">
        <v>-2560.89</v>
      </c>
      <c r="O34" s="351" t="n">
        <v>-1174.5</v>
      </c>
      <c r="P34" s="351" t="n">
        <v>-123.2821022066873</v>
      </c>
      <c r="Q34" s="351" t="n">
        <v>-32409.87999999995</v>
      </c>
      <c r="R34" s="351" t="n">
        <v>-313201.2667790492</v>
      </c>
      <c r="S34" s="761" t="n"/>
      <c r="T34" s="249" t="n">
        <v>-207535.8241407477</v>
      </c>
      <c r="U34" s="754" t="n">
        <v>0</v>
      </c>
      <c r="V34" s="249" t="n">
        <v>-3735.39</v>
      </c>
      <c r="W34" s="249" t="n">
        <v>-92.38869706356232</v>
      </c>
      <c r="X34" s="212" t="n">
        <v>30.89340514312502</v>
      </c>
      <c r="Y34" s="249" t="n">
        <v>-23857.31245276556</v>
      </c>
      <c r="Z34" s="212" t="n">
        <v>8552.56754723439</v>
      </c>
      <c r="AA34" s="249" t="n">
        <v>-235220.9152905768</v>
      </c>
      <c r="AB34" s="761" t="n"/>
      <c r="AC34" s="302" t="n">
        <v>-0.6626276795334338</v>
      </c>
      <c r="AD34" s="303" t="n">
        <v>-0.0119264845869394</v>
      </c>
      <c r="AE34" s="303" t="n">
        <v>-0.0002949818818211725</v>
      </c>
      <c r="AF34" s="303" t="n">
        <v>-0.0761724663967366</v>
      </c>
      <c r="AG34" s="919" t="n">
        <v>-0.7390951278119916</v>
      </c>
      <c r="AH34" s="761" t="n"/>
      <c r="AI34" s="326" t="n"/>
      <c r="AJ34" s="249" t="n"/>
      <c r="AK34" s="249" t="n">
        <v>-77980.35148847237</v>
      </c>
      <c r="AL34" s="756" t="n"/>
      <c r="AM34" s="308" t="n">
        <v>-77980.35148847237</v>
      </c>
      <c r="AN34" s="758" t="n">
        <v>-0.2489784092454557</v>
      </c>
      <c r="AO34" s="758" t="n">
        <v>-0.0119264845869394</v>
      </c>
      <c r="AP34" s="310" t="n">
        <v>-0.2609048938323951</v>
      </c>
      <c r="AQ34" s="756" t="n"/>
      <c r="AR34" s="326" t="n"/>
      <c r="AS34" s="332" t="n">
        <v>-4545.5481604686</v>
      </c>
      <c r="AT34" s="308" t="n">
        <v>-4545.5481604686</v>
      </c>
      <c r="AU34" s="310" t="n">
        <v>0.01451318574543091</v>
      </c>
      <c r="AV34" s="756" t="n"/>
      <c r="AW34" s="326" t="n"/>
      <c r="AX34" s="332" t="n">
        <v>-82525.89964894098</v>
      </c>
      <c r="AY34" s="756" t="n"/>
      <c r="AZ34" s="326" t="n"/>
      <c r="BA34" s="332" t="n"/>
      <c r="BB34" s="756" t="n"/>
    </row>
    <row r="35">
      <c r="A35" s="752" t="inlineStr">
        <is>
          <t>Geoffrey and Elizabeth Bloomingdale Living Trust</t>
        </is>
      </c>
      <c r="B35" s="351" t="n">
        <v>234900.9466622653</v>
      </c>
      <c r="C35" s="351" t="n">
        <v>0</v>
      </c>
      <c r="D35" s="351" t="n">
        <v>0</v>
      </c>
      <c r="E35" s="761" t="n">
        <v>234900.95</v>
      </c>
      <c r="F35" s="760" t="n">
        <v>0.001731153809508376</v>
      </c>
      <c r="G35" s="761" t="n">
        <v>234900.95</v>
      </c>
      <c r="H35" s="761" t="n">
        <v>234900.95</v>
      </c>
      <c r="I35" s="760" t="n">
        <v>0.001653629080180731</v>
      </c>
      <c r="J35" s="760" t="n">
        <v>0.001239244248838154</v>
      </c>
      <c r="K35" s="760" t="n">
        <v>0.001239244248838154</v>
      </c>
      <c r="M35" s="351" t="n">
        <v>-207699.5404286345</v>
      </c>
      <c r="N35" s="351" t="n">
        <v>-1920.68</v>
      </c>
      <c r="O35" s="351" t="n">
        <v>-880.88</v>
      </c>
      <c r="P35" s="351" t="n">
        <v>-92.46157862311267</v>
      </c>
      <c r="Q35" s="351" t="n">
        <v>-24307.39</v>
      </c>
      <c r="R35" s="351" t="n">
        <v>-234900.9520072576</v>
      </c>
      <c r="S35" s="761" t="n"/>
      <c r="T35" s="249" t="n">
        <v>-155651.8714186992</v>
      </c>
      <c r="U35" s="754" t="n">
        <v>0</v>
      </c>
      <c r="V35" s="249" t="n">
        <v>-2801.56</v>
      </c>
      <c r="W35" s="249" t="n">
        <v>-69.29152427258114</v>
      </c>
      <c r="X35" s="212" t="n">
        <v>23.17005435053153</v>
      </c>
      <c r="Y35" s="249" t="n">
        <v>-17892.98472043651</v>
      </c>
      <c r="Z35" s="212" t="n">
        <v>6414.405279563496</v>
      </c>
      <c r="AA35" s="249" t="n">
        <v>-176415.7076634083</v>
      </c>
      <c r="AB35" s="761" t="n"/>
      <c r="AC35" s="302" t="n">
        <v>-0.6626276795334339</v>
      </c>
      <c r="AD35" s="303" t="n">
        <v>-0.01192655883256326</v>
      </c>
      <c r="AE35" s="303" t="n">
        <v>-0.0002949818818211724</v>
      </c>
      <c r="AF35" s="303" t="n">
        <v>-0.07617246639673661</v>
      </c>
      <c r="AG35" s="919" t="n">
        <v>-0.7390951278119917</v>
      </c>
      <c r="AH35" s="761" t="n"/>
      <c r="AI35" s="326" t="n"/>
      <c r="AJ35" s="249" t="n"/>
      <c r="AK35" s="249" t="n">
        <v>-58485.24434384934</v>
      </c>
      <c r="AL35" s="756" t="n"/>
      <c r="AM35" s="308" t="n">
        <v>-58485.24434384934</v>
      </c>
      <c r="AN35" s="758" t="n">
        <v>-0.2489783219005685</v>
      </c>
      <c r="AO35" s="758" t="n">
        <v>-0.01192655883256326</v>
      </c>
      <c r="AP35" s="310" t="n">
        <v>-0.2609048807331317</v>
      </c>
      <c r="AQ35" s="756" t="n"/>
      <c r="AR35" s="326" t="n"/>
      <c r="AS35" s="332" t="n">
        <v>-3409.161192917381</v>
      </c>
      <c r="AT35" s="308" t="n">
        <v>-3409.161192917381</v>
      </c>
      <c r="AU35" s="310" t="n">
        <v>0.01451318593554295</v>
      </c>
      <c r="AV35" s="756" t="n"/>
      <c r="AW35" s="326" t="n"/>
      <c r="AX35" s="332" t="n">
        <v>-61894.40553676672</v>
      </c>
      <c r="AY35" s="756" t="n"/>
      <c r="AZ35" s="326" t="n"/>
      <c r="BA35" s="332" t="n"/>
      <c r="BB35" s="756" t="n"/>
    </row>
    <row r="36">
      <c r="A36" s="752" t="inlineStr">
        <is>
          <t>Greene 2000 Family Trust</t>
        </is>
      </c>
      <c r="B36" s="351" t="n">
        <v>0</v>
      </c>
      <c r="C36" s="351" t="n">
        <v>0</v>
      </c>
      <c r="D36" s="351" t="inlineStr">
        <is>
          <t>BBR</t>
        </is>
      </c>
      <c r="E36" s="761" t="n">
        <v>1000000</v>
      </c>
      <c r="F36" s="760" t="n">
        <v>0.007369718213180389</v>
      </c>
      <c r="G36" s="761" t="n">
        <v>1000000</v>
      </c>
      <c r="H36" s="761" t="n">
        <v>1000000</v>
      </c>
      <c r="I36" s="760" t="n">
        <v>0.00703968664316058</v>
      </c>
      <c r="J36" s="760" t="n">
        <v>0.005275603392996725</v>
      </c>
      <c r="K36" s="760" t="n">
        <v>0.005275603392996725</v>
      </c>
      <c r="M36" s="351" t="n">
        <v>-884200.512720934</v>
      </c>
      <c r="N36" s="351" t="n">
        <v>-12201.09</v>
      </c>
      <c r="O36" s="351" t="n">
        <v>-2500</v>
      </c>
      <c r="P36" s="351" t="n">
        <v>-393.6194324591393</v>
      </c>
      <c r="Q36" s="351" t="n">
        <v>-100704.7800000001</v>
      </c>
      <c r="R36" s="351" t="n">
        <v>-1000000.002153393</v>
      </c>
      <c r="S36" s="761" t="n"/>
      <c r="T36" s="249" t="n">
        <v>-662627.6795334339</v>
      </c>
      <c r="U36" s="754" t="n">
        <v>0</v>
      </c>
      <c r="V36" s="249" t="n">
        <v>-14701.09</v>
      </c>
      <c r="W36" s="249" t="n">
        <v>-294.9818818211725</v>
      </c>
      <c r="X36" s="212" t="n">
        <v>98.63755063796685</v>
      </c>
      <c r="Y36" s="249" t="n">
        <v>-76172.46639673659</v>
      </c>
      <c r="Z36" s="212" t="n">
        <v>24532.31360326348</v>
      </c>
      <c r="AA36" s="249" t="n">
        <v>-753796.2178119916</v>
      </c>
      <c r="AB36" s="761" t="n"/>
      <c r="AC36" s="302" t="n">
        <v>-0.6626276795334338</v>
      </c>
      <c r="AD36" s="303" t="n">
        <v>-0.01470109</v>
      </c>
      <c r="AE36" s="303" t="n">
        <v>-0.0002949818818211724</v>
      </c>
      <c r="AF36" s="303" t="n">
        <v>-0.0761724663967366</v>
      </c>
      <c r="AG36" s="919" t="n">
        <v>-0.7390951278119916</v>
      </c>
      <c r="AH36" s="761" t="n"/>
      <c r="AI36" s="326" t="n"/>
      <c r="AJ36" s="249" t="n"/>
      <c r="AK36" s="249" t="n">
        <v>-246203.7843414015</v>
      </c>
      <c r="AL36" s="756" t="n"/>
      <c r="AM36" s="308" t="n">
        <v>-246203.7843414015</v>
      </c>
      <c r="AN36" s="758" t="n">
        <v>-0.2462037843414015</v>
      </c>
      <c r="AO36" s="758" t="n">
        <v>-0.01470109</v>
      </c>
      <c r="AP36" s="310" t="n">
        <v>-0.2609048743414015</v>
      </c>
      <c r="AQ36" s="756" t="n"/>
      <c r="AR36" s="326" t="n"/>
      <c r="AS36" s="332" t="n">
        <v>-14513.18605955992</v>
      </c>
      <c r="AT36" s="308" t="n">
        <v>-14513.18605955992</v>
      </c>
      <c r="AU36" s="310" t="n">
        <v>0.01451318602830732</v>
      </c>
      <c r="AV36" s="756" t="n"/>
      <c r="AW36" s="326" t="n"/>
      <c r="AX36" s="332" t="n">
        <v>-260716.9704009615</v>
      </c>
      <c r="AY36" s="756" t="n"/>
      <c r="AZ36" s="326" t="n"/>
      <c r="BA36" s="332" t="n"/>
      <c r="BB36" s="756" t="n"/>
    </row>
    <row r="37">
      <c r="A37" s="752" t="inlineStr">
        <is>
          <t>Greene Marital Trust</t>
        </is>
      </c>
      <c r="B37" s="351" t="n">
        <v>0</v>
      </c>
      <c r="C37" s="351" t="n">
        <v>0</v>
      </c>
      <c r="D37" s="351" t="inlineStr">
        <is>
          <t>BBR</t>
        </is>
      </c>
      <c r="E37" s="761" t="n">
        <v>1000000</v>
      </c>
      <c r="F37" s="760" t="n">
        <v>0.007369718213180389</v>
      </c>
      <c r="G37" s="761" t="n">
        <v>1000000</v>
      </c>
      <c r="H37" s="761" t="n">
        <v>1000000</v>
      </c>
      <c r="I37" s="760" t="n">
        <v>0.00703968664316058</v>
      </c>
      <c r="J37" s="760" t="n">
        <v>0.005275603392996725</v>
      </c>
      <c r="K37" s="760" t="n">
        <v>0.005275603392996725</v>
      </c>
      <c r="M37" s="351" t="n">
        <v>-884200.512720934</v>
      </c>
      <c r="N37" s="351" t="n">
        <v>-12201.09</v>
      </c>
      <c r="O37" s="351" t="n">
        <v>-2500</v>
      </c>
      <c r="P37" s="351" t="n">
        <v>-393.6194324591393</v>
      </c>
      <c r="Q37" s="351" t="n">
        <v>-100704.7800000001</v>
      </c>
      <c r="R37" s="351" t="n">
        <v>-1000000.002153393</v>
      </c>
      <c r="S37" s="761" t="n"/>
      <c r="T37" s="249" t="n">
        <v>-662627.6795334339</v>
      </c>
      <c r="U37" s="754" t="n">
        <v>0</v>
      </c>
      <c r="V37" s="249" t="n">
        <v>-14701.09</v>
      </c>
      <c r="W37" s="249" t="n">
        <v>-294.9818818211725</v>
      </c>
      <c r="X37" s="212" t="n">
        <v>98.63755063796685</v>
      </c>
      <c r="Y37" s="249" t="n">
        <v>-76172.46639673659</v>
      </c>
      <c r="Z37" s="212" t="n">
        <v>24532.31360326348</v>
      </c>
      <c r="AA37" s="249" t="n">
        <v>-753796.2178119916</v>
      </c>
      <c r="AB37" s="761" t="n"/>
      <c r="AC37" s="302" t="n">
        <v>-0.6626276795334338</v>
      </c>
      <c r="AD37" s="303" t="n">
        <v>-0.01470109</v>
      </c>
      <c r="AE37" s="303" t="n">
        <v>-0.0002949818818211724</v>
      </c>
      <c r="AF37" s="303" t="n">
        <v>-0.0761724663967366</v>
      </c>
      <c r="AG37" s="919" t="n">
        <v>-0.7390951278119916</v>
      </c>
      <c r="AH37" s="761" t="n"/>
      <c r="AI37" s="326" t="n"/>
      <c r="AJ37" s="249" t="n"/>
      <c r="AK37" s="249" t="n">
        <v>-246203.7843414015</v>
      </c>
      <c r="AL37" s="756" t="n"/>
      <c r="AM37" s="308" t="n">
        <v>-246203.7843414015</v>
      </c>
      <c r="AN37" s="758" t="n">
        <v>-0.2462037843414015</v>
      </c>
      <c r="AO37" s="758" t="n">
        <v>-0.01470109</v>
      </c>
      <c r="AP37" s="310" t="n">
        <v>-0.2609048743414015</v>
      </c>
      <c r="AQ37" s="756" t="n"/>
      <c r="AR37" s="326" t="n"/>
      <c r="AS37" s="332" t="n">
        <v>-14513.18605955992</v>
      </c>
      <c r="AT37" s="308" t="n">
        <v>-14513.18605955992</v>
      </c>
      <c r="AU37" s="310" t="n">
        <v>0.01451318602830732</v>
      </c>
      <c r="AV37" s="756" t="n"/>
      <c r="AW37" s="326" t="n"/>
      <c r="AX37" s="332" t="n">
        <v>-260716.9704009615</v>
      </c>
      <c r="AY37" s="756" t="n"/>
      <c r="AZ37" s="326" t="n"/>
      <c r="BA37" s="332" t="n"/>
      <c r="BB37" s="756" t="n"/>
    </row>
    <row r="38">
      <c r="A38" s="752" t="inlineStr">
        <is>
          <t>Gregory Brent Wood</t>
        </is>
      </c>
      <c r="B38" s="351" t="n">
        <v>156600.6311081769</v>
      </c>
      <c r="C38" s="351" t="n">
        <v>0</v>
      </c>
      <c r="D38" s="351" t="inlineStr">
        <is>
          <t>Standard</t>
        </is>
      </c>
      <c r="E38" s="761" t="n">
        <v>156600.63</v>
      </c>
      <c r="F38" s="760" t="n">
        <v>0.001154102515106523</v>
      </c>
      <c r="G38" s="761" t="n">
        <v>156600.63</v>
      </c>
      <c r="H38" s="761" t="n">
        <v>156600.63</v>
      </c>
      <c r="I38" s="760" t="n">
        <v>0.001102419363321532</v>
      </c>
      <c r="J38" s="760" t="n">
        <v>0.0008261628149734248</v>
      </c>
      <c r="K38" s="760" t="n">
        <v>0.0008261628149734248</v>
      </c>
      <c r="M38" s="351" t="n">
        <v>-138466.3573384213</v>
      </c>
      <c r="N38" s="351" t="n">
        <v>-1280.45</v>
      </c>
      <c r="O38" s="351" t="n">
        <v>-587.25</v>
      </c>
      <c r="P38" s="351" t="n">
        <v>-61.64105110334367</v>
      </c>
      <c r="Q38" s="351" t="n">
        <v>-16204.93000000003</v>
      </c>
      <c r="R38" s="351" t="n">
        <v>-156600.6283895246</v>
      </c>
      <c r="S38" s="761" t="n"/>
      <c r="T38" s="249" t="n">
        <v>-103767.9120703738</v>
      </c>
      <c r="U38" s="754" t="n">
        <v>0</v>
      </c>
      <c r="V38" s="249" t="n">
        <v>-1867.7</v>
      </c>
      <c r="W38" s="249" t="n">
        <v>-46.19434853178116</v>
      </c>
      <c r="X38" s="212" t="n">
        <v>15.44670257156251</v>
      </c>
      <c r="Y38" s="249" t="n">
        <v>-11928.65622638278</v>
      </c>
      <c r="Z38" s="212" t="n">
        <v>4276.273773617244</v>
      </c>
      <c r="AA38" s="249" t="n">
        <v>-117610.4626452884</v>
      </c>
      <c r="AB38" s="761" t="n"/>
      <c r="AC38" s="302" t="n">
        <v>-0.6626276795334338</v>
      </c>
      <c r="AD38" s="303" t="n">
        <v>-0.01192651651529116</v>
      </c>
      <c r="AE38" s="303" t="n">
        <v>-0.0002949818818211725</v>
      </c>
      <c r="AF38" s="303" t="n">
        <v>-0.0761724663967366</v>
      </c>
      <c r="AG38" s="919" t="n">
        <v>-0.7390951278119916</v>
      </c>
      <c r="AH38" s="761" t="n"/>
      <c r="AI38" s="326" t="n"/>
      <c r="AJ38" s="249" t="n"/>
      <c r="AK38" s="249" t="n">
        <v>-38990.16574423623</v>
      </c>
      <c r="AL38" s="756" t="n"/>
      <c r="AM38" s="308" t="n">
        <v>-38990.16574423623</v>
      </c>
      <c r="AN38" s="758" t="n">
        <v>-0.2489783453887525</v>
      </c>
      <c r="AO38" s="758" t="n">
        <v>-0.01192651651529116</v>
      </c>
      <c r="AP38" s="310" t="n">
        <v>-0.2609048619040436</v>
      </c>
      <c r="AQ38" s="756" t="n"/>
      <c r="AR38" s="326" t="n"/>
      <c r="AS38" s="332" t="n">
        <v>-2272.7740802343</v>
      </c>
      <c r="AT38" s="308" t="n">
        <v>-2272.7740802343</v>
      </c>
      <c r="AU38" s="310" t="n">
        <v>0.01451318620881301</v>
      </c>
      <c r="AV38" s="756" t="n"/>
      <c r="AW38" s="326" t="n"/>
      <c r="AX38" s="332" t="n">
        <v>-41262.93982447054</v>
      </c>
      <c r="AY38" s="756" t="n"/>
      <c r="AZ38" s="326" t="n"/>
      <c r="BA38" s="332" t="n"/>
      <c r="BB38" s="756" t="n"/>
    </row>
    <row r="39">
      <c r="A39" s="752" t="inlineStr">
        <is>
          <t>Hundley Family Trust</t>
        </is>
      </c>
      <c r="B39" s="351" t="n">
        <v>0</v>
      </c>
      <c r="C39" s="351" t="n">
        <v>0</v>
      </c>
      <c r="D39" s="351" t="inlineStr">
        <is>
          <t>Standard</t>
        </is>
      </c>
      <c r="E39" s="761" t="n">
        <v>200000</v>
      </c>
      <c r="F39" s="760" t="n">
        <v>0.001473943642636078</v>
      </c>
      <c r="G39" s="761" t="n">
        <v>200000</v>
      </c>
      <c r="H39" s="761" t="n">
        <v>200000</v>
      </c>
      <c r="I39" s="760" t="n">
        <v>0.001407937328632116</v>
      </c>
      <c r="J39" s="760" t="n">
        <v>0.001055120678599345</v>
      </c>
      <c r="K39" s="760" t="n">
        <v>0.001055120678599345</v>
      </c>
      <c r="M39" s="351" t="n">
        <v>-176840.1025441868</v>
      </c>
      <c r="N39" s="351" t="n">
        <v>-3660.33</v>
      </c>
      <c r="O39" s="351" t="n">
        <v>-750</v>
      </c>
      <c r="P39" s="351" t="n">
        <v>-78.72388649182787</v>
      </c>
      <c r="Q39" s="351" t="n">
        <v>-18670.84999999999</v>
      </c>
      <c r="R39" s="351" t="n">
        <v>-200000.0064306786</v>
      </c>
      <c r="S39" s="761" t="n"/>
      <c r="T39" s="249" t="n">
        <v>-132525.5359066868</v>
      </c>
      <c r="U39" s="754" t="n">
        <v>0</v>
      </c>
      <c r="V39" s="249" t="n">
        <v>-4410.33</v>
      </c>
      <c r="W39" s="249" t="n">
        <v>-58.9963763642345</v>
      </c>
      <c r="X39" s="212" t="n">
        <v>19.72751012759337</v>
      </c>
      <c r="Y39" s="249" t="n">
        <v>-15234.49327934732</v>
      </c>
      <c r="Z39" s="212" t="n">
        <v>3436.356720652668</v>
      </c>
      <c r="AA39" s="249" t="n">
        <v>-152229.3555623983</v>
      </c>
      <c r="AB39" s="761" t="n"/>
      <c r="AC39" s="302" t="n">
        <v>-0.6626276795334338</v>
      </c>
      <c r="AD39" s="303" t="n">
        <v>-0.02205165</v>
      </c>
      <c r="AE39" s="303" t="n">
        <v>-0.0002949818818211725</v>
      </c>
      <c r="AF39" s="303" t="n">
        <v>-0.0761724663967366</v>
      </c>
      <c r="AG39" s="919" t="n">
        <v>-0.7390951278119916</v>
      </c>
      <c r="AH39" s="761" t="n"/>
      <c r="AI39" s="326" t="n"/>
      <c r="AJ39" s="249" t="n"/>
      <c r="AK39" s="249" t="n">
        <v>-47770.6508682803</v>
      </c>
      <c r="AL39" s="756" t="n"/>
      <c r="AM39" s="308" t="n">
        <v>-47770.6508682803</v>
      </c>
      <c r="AN39" s="758" t="n">
        <v>-0.2388532543414015</v>
      </c>
      <c r="AO39" s="758" t="n">
        <v>-0.02205165</v>
      </c>
      <c r="AP39" s="310" t="n">
        <v>-0.2609049043414015</v>
      </c>
      <c r="AQ39" s="756" t="n"/>
      <c r="AR39" s="326" t="n"/>
      <c r="AS39" s="332" t="n">
        <v>-2902.637211911984</v>
      </c>
      <c r="AT39" s="308" t="n">
        <v>-2902.637211911984</v>
      </c>
      <c r="AU39" s="310" t="n">
        <v>0.01451318559291176</v>
      </c>
      <c r="AV39" s="756" t="n"/>
      <c r="AW39" s="326" t="n"/>
      <c r="AX39" s="332" t="n">
        <v>-50673.28808019228</v>
      </c>
      <c r="AY39" s="756" t="n"/>
      <c r="AZ39" s="326" t="n"/>
      <c r="BA39" s="332" t="n"/>
      <c r="BB39" s="756" t="n"/>
    </row>
    <row r="40">
      <c r="A40" s="752" t="inlineStr">
        <is>
          <t>In God We Trust 2017 Living Trust</t>
        </is>
      </c>
      <c r="B40" s="351" t="n">
        <v>0</v>
      </c>
      <c r="C40" s="351" t="n">
        <v>0</v>
      </c>
      <c r="D40" s="351" t="inlineStr">
        <is>
          <t>Standard</t>
        </is>
      </c>
      <c r="E40" s="761" t="n">
        <v>100000</v>
      </c>
      <c r="F40" s="760" t="n">
        <v>0.0007369718213180389</v>
      </c>
      <c r="G40" s="761" t="n">
        <v>100000</v>
      </c>
      <c r="H40" s="761" t="n">
        <v>100000</v>
      </c>
      <c r="I40" s="760" t="n">
        <v>0.000703968664316058</v>
      </c>
      <c r="J40" s="760" t="n">
        <v>0.0005275603392996725</v>
      </c>
      <c r="K40" s="760" t="n">
        <v>0.0005275603392996725</v>
      </c>
      <c r="M40" s="351" t="n">
        <v>-88420.05127209341</v>
      </c>
      <c r="N40" s="351" t="n">
        <v>-1830.16</v>
      </c>
      <c r="O40" s="351" t="n">
        <v>-375</v>
      </c>
      <c r="P40" s="351" t="n">
        <v>-39.36194324591393</v>
      </c>
      <c r="Q40" s="351" t="n">
        <v>-9335.429999999993</v>
      </c>
      <c r="R40" s="351" t="n">
        <v>-100000.0032153393</v>
      </c>
      <c r="S40" s="761" t="n"/>
      <c r="T40" s="249" t="n">
        <v>-66262.76795334338</v>
      </c>
      <c r="U40" s="754" t="n">
        <v>0</v>
      </c>
      <c r="V40" s="249" t="n">
        <v>-2205.16</v>
      </c>
      <c r="W40" s="249" t="n">
        <v>-29.49818818211725</v>
      </c>
      <c r="X40" s="212" t="n">
        <v>9.863755063796685</v>
      </c>
      <c r="Y40" s="249" t="n">
        <v>-7617.24663967366</v>
      </c>
      <c r="Z40" s="212" t="n">
        <v>1718.183360326333</v>
      </c>
      <c r="AA40" s="249" t="n">
        <v>-76114.67278119916</v>
      </c>
      <c r="AB40" s="761" t="n"/>
      <c r="AC40" s="302" t="n">
        <v>-0.6626276795334338</v>
      </c>
      <c r="AD40" s="303" t="n">
        <v>-0.0220516</v>
      </c>
      <c r="AE40" s="303" t="n">
        <v>-0.0002949818818211725</v>
      </c>
      <c r="AF40" s="303" t="n">
        <v>-0.0761724663967366</v>
      </c>
      <c r="AG40" s="919" t="n">
        <v>-0.7390951278119916</v>
      </c>
      <c r="AH40" s="761" t="n"/>
      <c r="AI40" s="326" t="n"/>
      <c r="AJ40" s="249" t="n"/>
      <c r="AK40" s="249" t="n">
        <v>-23885.33043414015</v>
      </c>
      <c r="AL40" s="756" t="n"/>
      <c r="AM40" s="308" t="n">
        <v>-23885.33043414015</v>
      </c>
      <c r="AN40" s="758" t="n">
        <v>-0.2388533043414015</v>
      </c>
      <c r="AO40" s="758" t="n">
        <v>-0.0220516</v>
      </c>
      <c r="AP40" s="310" t="n">
        <v>-0.2609049043414015</v>
      </c>
      <c r="AQ40" s="756" t="n"/>
      <c r="AR40" s="326" t="n"/>
      <c r="AS40" s="332" t="n">
        <v>-1451.318605955992</v>
      </c>
      <c r="AT40" s="308" t="n">
        <v>-1451.318605955992</v>
      </c>
      <c r="AU40" s="310" t="n">
        <v>0.01451318559291176</v>
      </c>
      <c r="AV40" s="756" t="n"/>
      <c r="AW40" s="326" t="n"/>
      <c r="AX40" s="332" t="n">
        <v>-25336.64904009614</v>
      </c>
      <c r="AY40" s="756" t="n"/>
      <c r="AZ40" s="326" t="n"/>
      <c r="BA40" s="332" t="n"/>
      <c r="BB40" s="756" t="n"/>
    </row>
    <row r="41">
      <c r="A41" s="752" t="inlineStr">
        <is>
          <t>James and Natalie Bloomingdale</t>
        </is>
      </c>
      <c r="B41" s="351" t="n">
        <v>391501.5777704422</v>
      </c>
      <c r="C41" s="351" t="n">
        <v>0</v>
      </c>
      <c r="D41" s="351" t="n">
        <v>0</v>
      </c>
      <c r="E41" s="761" t="n">
        <v>0</v>
      </c>
      <c r="F41" s="446" t="n">
        <v>0</v>
      </c>
      <c r="G41" s="761" t="n">
        <v>0</v>
      </c>
      <c r="H41" s="761" t="n">
        <v>0</v>
      </c>
      <c r="I41" s="760" t="n">
        <v>0</v>
      </c>
      <c r="J41" s="760" t="n">
        <v>0</v>
      </c>
      <c r="K41" s="760" t="n">
        <v>0</v>
      </c>
      <c r="M41" s="351" t="n">
        <v>0</v>
      </c>
      <c r="N41" s="351" t="n">
        <v>0</v>
      </c>
      <c r="O41" s="351" t="n">
        <v>0</v>
      </c>
      <c r="P41" s="351" t="n">
        <v>0</v>
      </c>
      <c r="Q41" s="351" t="n">
        <v>0</v>
      </c>
      <c r="R41" s="351" t="n">
        <v>0</v>
      </c>
      <c r="S41" s="761" t="n"/>
      <c r="T41" s="249" t="n">
        <v>0</v>
      </c>
      <c r="U41" s="754" t="n">
        <v>0</v>
      </c>
      <c r="V41" s="249" t="n">
        <v>0</v>
      </c>
      <c r="W41" s="249" t="n">
        <v>0</v>
      </c>
      <c r="X41" s="212" t="n">
        <v>154.1026297264563</v>
      </c>
      <c r="Y41" s="249" t="n">
        <v>0</v>
      </c>
      <c r="Z41" s="212" t="n">
        <v>40512.32999999998</v>
      </c>
      <c r="AA41" s="249" t="n">
        <v>0</v>
      </c>
      <c r="AB41" s="761" t="n"/>
      <c r="AC41" s="302" t="e">
        <v>#DIV/0!</v>
      </c>
      <c r="AD41" s="303" t="e">
        <v>#DIV/0!</v>
      </c>
      <c r="AE41" s="303" t="e">
        <v>#DIV/0!</v>
      </c>
      <c r="AF41" s="303" t="e">
        <v>#DIV/0!</v>
      </c>
      <c r="AG41" s="919" t="e">
        <v>#DIV/0!</v>
      </c>
      <c r="AH41" s="761" t="n"/>
      <c r="AI41" s="326" t="n"/>
      <c r="AJ41" s="249" t="n"/>
      <c r="AK41" s="249" t="n">
        <v>0</v>
      </c>
      <c r="AL41" s="756" t="n"/>
      <c r="AM41" s="308" t="n">
        <v>0</v>
      </c>
      <c r="AN41" s="758" t="n">
        <v>0</v>
      </c>
      <c r="AO41" s="758" t="n">
        <v>0</v>
      </c>
      <c r="AP41" s="310" t="n">
        <v>0</v>
      </c>
      <c r="AQ41" s="756" t="n"/>
      <c r="AR41" s="326" t="n"/>
      <c r="AS41" s="332" t="n">
        <v>0</v>
      </c>
      <c r="AT41" s="308" t="n">
        <v>0</v>
      </c>
      <c r="AU41" s="310" t="n">
        <v>0</v>
      </c>
      <c r="AV41" s="756" t="n"/>
      <c r="AW41" s="326" t="n"/>
      <c r="AX41" s="332" t="n">
        <v>0</v>
      </c>
      <c r="AY41" s="756" t="n"/>
      <c r="AZ41" s="326" t="n"/>
      <c r="BA41" s="332" t="n"/>
      <c r="BB41" s="756" t="n"/>
    </row>
    <row r="42">
      <c r="A42" s="752" t="inlineStr">
        <is>
          <t>James Campbell and Patricia Campbell</t>
        </is>
      </c>
      <c r="B42" s="351" t="n">
        <v>156600.6311081769</v>
      </c>
      <c r="C42" s="351" t="n">
        <v>0</v>
      </c>
      <c r="D42" s="351" t="n">
        <v>0</v>
      </c>
      <c r="E42" s="761" t="n">
        <v>156600.63</v>
      </c>
      <c r="F42" s="760" t="n">
        <v>0.001154102515106523</v>
      </c>
      <c r="G42" s="761" t="n">
        <v>156600.63</v>
      </c>
      <c r="H42" s="761" t="n">
        <v>156600.63</v>
      </c>
      <c r="I42" s="760" t="n">
        <v>0.001102419363321532</v>
      </c>
      <c r="J42" s="760" t="n">
        <v>0.0008261628149734248</v>
      </c>
      <c r="K42" s="760" t="n">
        <v>0.0008261628149734248</v>
      </c>
      <c r="M42" s="351" t="n">
        <v>-138466.3573384213</v>
      </c>
      <c r="N42" s="351" t="n">
        <v>-1280.45</v>
      </c>
      <c r="O42" s="351" t="n">
        <v>-587.25</v>
      </c>
      <c r="P42" s="351" t="n">
        <v>-61.64105110334367</v>
      </c>
      <c r="Q42" s="351" t="n">
        <v>-16204.93000000003</v>
      </c>
      <c r="R42" s="351" t="n">
        <v>-156600.6283895246</v>
      </c>
      <c r="S42" s="761" t="n"/>
      <c r="T42" s="249" t="n">
        <v>-103767.9120703738</v>
      </c>
      <c r="U42" s="754" t="n">
        <v>0</v>
      </c>
      <c r="V42" s="249" t="n">
        <v>-1867.7</v>
      </c>
      <c r="W42" s="249" t="n">
        <v>-46.19434853178116</v>
      </c>
      <c r="X42" s="212" t="n">
        <v>15.44670257156251</v>
      </c>
      <c r="Y42" s="249" t="n">
        <v>-11928.65622638278</v>
      </c>
      <c r="Z42" s="212" t="n">
        <v>4276.273773617244</v>
      </c>
      <c r="AA42" s="249" t="n">
        <v>-117610.4626452884</v>
      </c>
      <c r="AB42" s="761" t="n"/>
      <c r="AC42" s="302" t="n">
        <v>-0.6626276795334338</v>
      </c>
      <c r="AD42" s="303" t="n">
        <v>-0.01192651651529116</v>
      </c>
      <c r="AE42" s="303" t="n">
        <v>-0.0002949818818211725</v>
      </c>
      <c r="AF42" s="303" t="n">
        <v>-0.0761724663967366</v>
      </c>
      <c r="AG42" s="919" t="n">
        <v>-0.7390951278119916</v>
      </c>
      <c r="AH42" s="761" t="n"/>
      <c r="AI42" s="326" t="n"/>
      <c r="AJ42" s="249" t="n"/>
      <c r="AK42" s="249" t="n">
        <v>-38990.16574423623</v>
      </c>
      <c r="AL42" s="756" t="n"/>
      <c r="AM42" s="308" t="n">
        <v>-38990.16574423623</v>
      </c>
      <c r="AN42" s="758" t="n">
        <v>-0.2489783453887525</v>
      </c>
      <c r="AO42" s="758" t="n">
        <v>-0.01192651651529116</v>
      </c>
      <c r="AP42" s="310" t="n">
        <v>-0.2609048619040436</v>
      </c>
      <c r="AQ42" s="756" t="n"/>
      <c r="AR42" s="326" t="n"/>
      <c r="AS42" s="332" t="n">
        <v>-2272.7740802343</v>
      </c>
      <c r="AT42" s="308" t="n">
        <v>-2272.7740802343</v>
      </c>
      <c r="AU42" s="310" t="n">
        <v>0.01451318620881301</v>
      </c>
      <c r="AV42" s="756" t="n"/>
      <c r="AW42" s="326" t="n"/>
      <c r="AX42" s="332" t="n">
        <v>-41262.93982447054</v>
      </c>
      <c r="AY42" s="756" t="n"/>
      <c r="AZ42" s="326" t="n"/>
      <c r="BA42" s="332" t="n"/>
      <c r="BB42" s="756" t="n"/>
    </row>
    <row r="43">
      <c r="A43" s="752" t="inlineStr">
        <is>
          <t>James Kane</t>
        </is>
      </c>
      <c r="B43" s="351" t="n">
        <v>156600.6311081769</v>
      </c>
      <c r="C43" s="351" t="n">
        <v>0</v>
      </c>
      <c r="D43" s="351" t="inlineStr">
        <is>
          <t>Standard</t>
        </is>
      </c>
      <c r="E43" s="761" t="n">
        <v>156600.63</v>
      </c>
      <c r="F43" s="760" t="n">
        <v>0.001154102515106523</v>
      </c>
      <c r="G43" s="761" t="n">
        <v>156600.63</v>
      </c>
      <c r="H43" s="761" t="n">
        <v>156600.63</v>
      </c>
      <c r="I43" s="760" t="n">
        <v>0.001102419363321532</v>
      </c>
      <c r="J43" s="760" t="n">
        <v>0.0008261628149734248</v>
      </c>
      <c r="K43" s="760" t="n">
        <v>0.0008261628149734248</v>
      </c>
      <c r="M43" s="351" t="n">
        <v>-138466.3573384213</v>
      </c>
      <c r="N43" s="351" t="n">
        <v>-1280.45</v>
      </c>
      <c r="O43" s="351" t="n">
        <v>-587.25</v>
      </c>
      <c r="P43" s="351" t="n">
        <v>-61.64105110334367</v>
      </c>
      <c r="Q43" s="351" t="n">
        <v>-16204.93000000003</v>
      </c>
      <c r="R43" s="351" t="n">
        <v>-156600.6283895246</v>
      </c>
      <c r="S43" s="761" t="n"/>
      <c r="T43" s="249" t="n">
        <v>-103767.9120703738</v>
      </c>
      <c r="U43" s="754" t="n">
        <v>0</v>
      </c>
      <c r="V43" s="249" t="n">
        <v>-1867.7</v>
      </c>
      <c r="W43" s="249" t="n">
        <v>-46.19434853178116</v>
      </c>
      <c r="X43" s="212" t="n">
        <v>15.44670257156251</v>
      </c>
      <c r="Y43" s="249" t="n">
        <v>-11928.65622638278</v>
      </c>
      <c r="Z43" s="212" t="n">
        <v>4276.273773617244</v>
      </c>
      <c r="AA43" s="249" t="n">
        <v>-117610.4626452884</v>
      </c>
      <c r="AB43" s="761" t="n"/>
      <c r="AC43" s="302" t="n">
        <v>-0.6626276795334338</v>
      </c>
      <c r="AD43" s="303" t="n">
        <v>-0.01192651651529116</v>
      </c>
      <c r="AE43" s="303" t="n">
        <v>-0.0002949818818211725</v>
      </c>
      <c r="AF43" s="303" t="n">
        <v>-0.0761724663967366</v>
      </c>
      <c r="AG43" s="919" t="n">
        <v>-0.7390951278119916</v>
      </c>
      <c r="AH43" s="761" t="n"/>
      <c r="AI43" s="326" t="n"/>
      <c r="AJ43" s="249" t="n"/>
      <c r="AK43" s="249" t="n">
        <v>-38990.16574423623</v>
      </c>
      <c r="AL43" s="756" t="n"/>
      <c r="AM43" s="308" t="n">
        <v>-38990.16574423623</v>
      </c>
      <c r="AN43" s="758" t="n">
        <v>-0.2489783453887525</v>
      </c>
      <c r="AO43" s="758" t="n">
        <v>-0.01192651651529116</v>
      </c>
      <c r="AP43" s="310" t="n">
        <v>-0.2609048619040436</v>
      </c>
      <c r="AQ43" s="756" t="n"/>
      <c r="AR43" s="326" t="n"/>
      <c r="AS43" s="332" t="n">
        <v>-2272.7740802343</v>
      </c>
      <c r="AT43" s="308" t="n">
        <v>-2272.7740802343</v>
      </c>
      <c r="AU43" s="310" t="n">
        <v>0.01451318620881301</v>
      </c>
      <c r="AV43" s="756" t="n"/>
      <c r="AW43" s="326" t="n"/>
      <c r="AX43" s="332" t="n">
        <v>-41262.93982447054</v>
      </c>
      <c r="AY43" s="756" t="n"/>
      <c r="AZ43" s="326" t="n"/>
      <c r="BA43" s="332" t="n"/>
      <c r="BB43" s="756" t="n"/>
    </row>
    <row r="44">
      <c r="A44" s="752" t="inlineStr">
        <is>
          <t>James Thorp</t>
        </is>
      </c>
      <c r="B44" s="351" t="n">
        <v>195750.7888852211</v>
      </c>
      <c r="C44" s="351" t="n">
        <v>0</v>
      </c>
      <c r="D44" s="351" t="inlineStr">
        <is>
          <t>Standard</t>
        </is>
      </c>
      <c r="E44" s="761" t="n">
        <v>195750.79</v>
      </c>
      <c r="F44" s="760" t="n">
        <v>0.00144262816230745</v>
      </c>
      <c r="G44" s="761" t="n">
        <v>195750.79</v>
      </c>
      <c r="H44" s="761" t="n">
        <v>195750.79</v>
      </c>
      <c r="I44" s="760" t="n">
        <v>0.001378024221751132</v>
      </c>
      <c r="J44" s="760" t="n">
        <v>0.001032703531905789</v>
      </c>
      <c r="K44" s="760" t="n">
        <v>0.001032703531905789</v>
      </c>
      <c r="M44" s="351" t="n">
        <v>-173082.9488835279</v>
      </c>
      <c r="N44" s="351" t="n">
        <v>-1600.57</v>
      </c>
      <c r="O44" s="351" t="n">
        <v>-734.0700000000001</v>
      </c>
      <c r="P44" s="351" t="n">
        <v>-77.05131486322816</v>
      </c>
      <c r="Q44" s="351" t="n">
        <v>-20256.14999999999</v>
      </c>
      <c r="R44" s="351" t="n">
        <v>-195750.7901983911</v>
      </c>
      <c r="S44" s="761" t="n"/>
      <c r="T44" s="249" t="n">
        <v>-129709.8917445365</v>
      </c>
      <c r="U44" s="754" t="n">
        <v>0</v>
      </c>
      <c r="V44" s="249" t="n">
        <v>-2334.64</v>
      </c>
      <c r="W44" s="249" t="n">
        <v>-57.74293640218116</v>
      </c>
      <c r="X44" s="212" t="n">
        <v>19.308378461047</v>
      </c>
      <c r="Y44" s="249" t="n">
        <v>-14910.82047340964</v>
      </c>
      <c r="Z44" s="212" t="n">
        <v>5345.329526590343</v>
      </c>
      <c r="AA44" s="249" t="n">
        <v>-147013.0951543484</v>
      </c>
      <c r="AB44" s="761" t="n"/>
      <c r="AC44" s="302" t="n">
        <v>-0.6626276795334338</v>
      </c>
      <c r="AD44" s="303" t="n">
        <v>-0.01192659299101679</v>
      </c>
      <c r="AE44" s="303" t="n">
        <v>-0.0002949818818211725</v>
      </c>
      <c r="AF44" s="303" t="n">
        <v>-0.0761724663967366</v>
      </c>
      <c r="AG44" s="919" t="n">
        <v>-0.7390951278119916</v>
      </c>
      <c r="AH44" s="761" t="n"/>
      <c r="AI44" s="326" t="n"/>
      <c r="AJ44" s="249" t="n"/>
      <c r="AK44" s="249" t="n">
        <v>-48737.69504404278</v>
      </c>
      <c r="AL44" s="756" t="n"/>
      <c r="AM44" s="308" t="n">
        <v>-48737.69504404278</v>
      </c>
      <c r="AN44" s="758" t="n">
        <v>-0.2489782802104797</v>
      </c>
      <c r="AO44" s="758" t="n">
        <v>-0.01192659299101679</v>
      </c>
      <c r="AP44" s="310" t="n">
        <v>-0.2609048732014965</v>
      </c>
      <c r="AQ44" s="756" t="n"/>
      <c r="AR44" s="326" t="n"/>
      <c r="AS44" s="332" t="n">
        <v>-2840.967636575841</v>
      </c>
      <c r="AT44" s="308" t="n">
        <v>-2840.967636575841</v>
      </c>
      <c r="AU44" s="310" t="n">
        <v>0.01451318604485098</v>
      </c>
      <c r="AV44" s="756" t="n"/>
      <c r="AW44" s="326" t="n"/>
      <c r="AX44" s="332" t="n">
        <v>-51578.66268061862</v>
      </c>
      <c r="AY44" s="756" t="n"/>
      <c r="AZ44" s="326" t="n"/>
      <c r="BA44" s="332" t="n"/>
      <c r="BB44" s="756" t="n"/>
    </row>
    <row r="45">
      <c r="A45" s="752" t="inlineStr">
        <is>
          <t>Jeffrey A. Lipsitz Revocable Trust</t>
        </is>
      </c>
      <c r="B45" s="351" t="n">
        <v>0</v>
      </c>
      <c r="C45" s="351" t="n">
        <v>0</v>
      </c>
      <c r="D45" s="351" t="inlineStr">
        <is>
          <t>BBR</t>
        </is>
      </c>
      <c r="E45" s="761" t="n">
        <v>1000000</v>
      </c>
      <c r="F45" s="760" t="n">
        <v>0.007369718213180389</v>
      </c>
      <c r="G45" s="761" t="n">
        <v>1000000</v>
      </c>
      <c r="H45" s="761" t="n">
        <v>1000000</v>
      </c>
      <c r="I45" s="760" t="n">
        <v>0.00703968664316058</v>
      </c>
      <c r="J45" s="760" t="n">
        <v>0.005275603392996725</v>
      </c>
      <c r="K45" s="760" t="n">
        <v>0.005275603392996725</v>
      </c>
      <c r="M45" s="351" t="n">
        <v>-884200.512720934</v>
      </c>
      <c r="N45" s="351" t="n">
        <v>-12201.09</v>
      </c>
      <c r="O45" s="351" t="n">
        <v>-2500</v>
      </c>
      <c r="P45" s="351" t="n">
        <v>-393.6194324591393</v>
      </c>
      <c r="Q45" s="351" t="n">
        <v>-100704.7800000001</v>
      </c>
      <c r="R45" s="351" t="n">
        <v>-1000000.002153393</v>
      </c>
      <c r="S45" s="761" t="n"/>
      <c r="T45" s="249" t="n">
        <v>-662627.6795334339</v>
      </c>
      <c r="U45" s="754" t="n">
        <v>0</v>
      </c>
      <c r="V45" s="249" t="n">
        <v>-14701.09</v>
      </c>
      <c r="W45" s="249" t="n">
        <v>-294.9818818211725</v>
      </c>
      <c r="X45" s="212" t="n">
        <v>98.63755063796685</v>
      </c>
      <c r="Y45" s="249" t="n">
        <v>-76172.46639673659</v>
      </c>
      <c r="Z45" s="212" t="n">
        <v>24532.31360326346</v>
      </c>
      <c r="AA45" s="249" t="n">
        <v>-753796.2178119916</v>
      </c>
      <c r="AB45" s="761" t="n"/>
      <c r="AC45" s="302" t="n">
        <v>-0.6626276795334338</v>
      </c>
      <c r="AD45" s="303" t="n">
        <v>-0.01470109</v>
      </c>
      <c r="AE45" s="303" t="n">
        <v>-0.0002949818818211724</v>
      </c>
      <c r="AF45" s="303" t="n">
        <v>-0.0761724663967366</v>
      </c>
      <c r="AG45" s="919" t="n">
        <v>-0.7390951278119916</v>
      </c>
      <c r="AH45" s="761" t="n"/>
      <c r="AI45" s="326" t="n"/>
      <c r="AJ45" s="249" t="n"/>
      <c r="AK45" s="249" t="n">
        <v>-246203.7843414015</v>
      </c>
      <c r="AL45" s="756" t="n"/>
      <c r="AM45" s="308" t="n">
        <v>-246203.7843414015</v>
      </c>
      <c r="AN45" s="758" t="n">
        <v>-0.2462037843414015</v>
      </c>
      <c r="AO45" s="758" t="n">
        <v>-0.01470109</v>
      </c>
      <c r="AP45" s="310" t="n">
        <v>-0.2609048743414015</v>
      </c>
      <c r="AQ45" s="756" t="n"/>
      <c r="AR45" s="326" t="n"/>
      <c r="AS45" s="332" t="n">
        <v>-14513.18605955992</v>
      </c>
      <c r="AT45" s="308" t="n">
        <v>-14513.18605955992</v>
      </c>
      <c r="AU45" s="310" t="n">
        <v>0.01451318602830732</v>
      </c>
      <c r="AV45" s="756" t="n"/>
      <c r="AW45" s="326" t="n"/>
      <c r="AX45" s="332" t="n">
        <v>-260716.9704009615</v>
      </c>
      <c r="AY45" s="756" t="n"/>
      <c r="AZ45" s="326" t="n"/>
      <c r="BA45" s="332" t="n"/>
      <c r="BB45" s="756" t="n"/>
    </row>
    <row r="46">
      <c r="A46" s="752" t="inlineStr">
        <is>
          <t>Jeffrey D Furber Revocable Trust</t>
        </is>
      </c>
      <c r="B46" s="351" t="n">
        <v>0</v>
      </c>
      <c r="C46" s="351" t="n">
        <v>0</v>
      </c>
      <c r="D46" s="351" t="inlineStr">
        <is>
          <t>BBR</t>
        </is>
      </c>
      <c r="E46" s="761" t="n">
        <v>500000</v>
      </c>
      <c r="F46" s="760" t="n">
        <v>0.003684859106590195</v>
      </c>
      <c r="G46" s="761" t="n">
        <v>500000</v>
      </c>
      <c r="H46" s="761" t="n">
        <v>500000</v>
      </c>
      <c r="I46" s="760" t="n">
        <v>0.00351984332158029</v>
      </c>
      <c r="J46" s="760" t="n">
        <v>0.002637801696498362</v>
      </c>
      <c r="K46" s="760" t="n">
        <v>0.002637801696498362</v>
      </c>
      <c r="M46" s="351" t="n">
        <v>-442100.256360467</v>
      </c>
      <c r="N46" s="351" t="n">
        <v>-6100.54</v>
      </c>
      <c r="O46" s="351" t="n">
        <v>-1250</v>
      </c>
      <c r="P46" s="351" t="n">
        <v>-196.8097162295697</v>
      </c>
      <c r="Q46" s="351" t="n">
        <v>-50352.39000000003</v>
      </c>
      <c r="R46" s="351" t="n">
        <v>-499999.9960766966</v>
      </c>
      <c r="S46" s="761" t="n"/>
      <c r="T46" s="249" t="n">
        <v>-331313.8397667169</v>
      </c>
      <c r="U46" s="754" t="n">
        <v>0</v>
      </c>
      <c r="V46" s="249" t="n">
        <v>-7350.54</v>
      </c>
      <c r="W46" s="249" t="n">
        <v>-147.4909409105862</v>
      </c>
      <c r="X46" s="212" t="n">
        <v>49.31877531898343</v>
      </c>
      <c r="Y46" s="249" t="n">
        <v>-38086.2331983683</v>
      </c>
      <c r="Z46" s="212" t="n">
        <v>12266.15680163173</v>
      </c>
      <c r="AA46" s="249" t="n">
        <v>-376898.1039059958</v>
      </c>
      <c r="AB46" s="761" t="n"/>
      <c r="AC46" s="302" t="n">
        <v>-0.6626276795334338</v>
      </c>
      <c r="AD46" s="303" t="n">
        <v>-0.01470108</v>
      </c>
      <c r="AE46" s="303" t="n">
        <v>-0.0002949818818211724</v>
      </c>
      <c r="AF46" s="303" t="n">
        <v>-0.0761724663967366</v>
      </c>
      <c r="AG46" s="919" t="n">
        <v>-0.7390951278119916</v>
      </c>
      <c r="AH46" s="761" t="n"/>
      <c r="AI46" s="326" t="n"/>
      <c r="AJ46" s="249" t="n"/>
      <c r="AK46" s="249" t="n">
        <v>-123101.8921707008</v>
      </c>
      <c r="AL46" s="756" t="n"/>
      <c r="AM46" s="308" t="n">
        <v>-123101.8921707008</v>
      </c>
      <c r="AN46" s="758" t="n">
        <v>-0.2462037843414015</v>
      </c>
      <c r="AO46" s="758" t="n">
        <v>-0.01470108</v>
      </c>
      <c r="AP46" s="310" t="n">
        <v>-0.2609048643414015</v>
      </c>
      <c r="AQ46" s="756" t="n"/>
      <c r="AR46" s="326" t="n"/>
      <c r="AS46" s="332" t="n">
        <v>-7256.593029779959</v>
      </c>
      <c r="AT46" s="308" t="n">
        <v>-7256.593029779959</v>
      </c>
      <c r="AU46" s="310" t="n">
        <v>0.01451318617343918</v>
      </c>
      <c r="AV46" s="756" t="n"/>
      <c r="AW46" s="326" t="n"/>
      <c r="AX46" s="332" t="n">
        <v>-130358.4852004807</v>
      </c>
      <c r="AY46" s="756" t="n"/>
      <c r="AZ46" s="326" t="n"/>
      <c r="BA46" s="332" t="n"/>
      <c r="BB46" s="756" t="n"/>
    </row>
    <row r="47">
      <c r="A47" s="752" t="inlineStr">
        <is>
          <t>Jeremy M. Jacobs Trust U/A/D April 1, 1973 fbo Margaret L. Reichenback</t>
        </is>
      </c>
      <c r="B47" s="351" t="n">
        <v>0</v>
      </c>
      <c r="C47" s="351" t="n">
        <v>0</v>
      </c>
      <c r="D47" s="351" t="inlineStr">
        <is>
          <t>BBR</t>
        </is>
      </c>
      <c r="E47" s="761" t="n">
        <v>1500000</v>
      </c>
      <c r="F47" s="760" t="n">
        <v>0.01105457731977058</v>
      </c>
      <c r="G47" s="761" t="n">
        <v>1500000</v>
      </c>
      <c r="H47" s="761" t="n">
        <v>1500000</v>
      </c>
      <c r="I47" s="760" t="n">
        <v>0.01055952996474087</v>
      </c>
      <c r="J47" s="760" t="n">
        <v>0.007913405089495089</v>
      </c>
      <c r="K47" s="760" t="n">
        <v>0.007913405089495089</v>
      </c>
      <c r="M47" s="351" t="n">
        <v>-1326300.769081401</v>
      </c>
      <c r="N47" s="351" t="n">
        <v>-18301.63</v>
      </c>
      <c r="O47" s="351" t="n">
        <v>-3750</v>
      </c>
      <c r="P47" s="351" t="n">
        <v>-590.429148688709</v>
      </c>
      <c r="Q47" s="351" t="n">
        <v>-151057.1700000001</v>
      </c>
      <c r="R47" s="351" t="n">
        <v>-1499999.99823009</v>
      </c>
      <c r="S47" s="761" t="n"/>
      <c r="T47" s="249" t="n">
        <v>-993941.5193001509</v>
      </c>
      <c r="U47" s="754" t="n">
        <v>0</v>
      </c>
      <c r="V47" s="249" t="n">
        <v>-22051.63</v>
      </c>
      <c r="W47" s="249" t="n">
        <v>-442.4728227317588</v>
      </c>
      <c r="X47" s="212" t="n">
        <v>147.9563259569503</v>
      </c>
      <c r="Y47" s="249" t="n">
        <v>-114258.6995951049</v>
      </c>
      <c r="Z47" s="212" t="n">
        <v>36798.47040489518</v>
      </c>
      <c r="AA47" s="249" t="n">
        <v>-1130694.321717988</v>
      </c>
      <c r="AB47" s="761" t="n"/>
      <c r="AC47" s="302" t="n">
        <v>-0.6626276795334339</v>
      </c>
      <c r="AD47" s="303" t="n">
        <v>-0.01470108666666667</v>
      </c>
      <c r="AE47" s="303" t="n">
        <v>-0.0002949818818211725</v>
      </c>
      <c r="AF47" s="303" t="n">
        <v>-0.07617246639673661</v>
      </c>
      <c r="AG47" s="919" t="n">
        <v>-0.7390951278119917</v>
      </c>
      <c r="AH47" s="761" t="n"/>
      <c r="AI47" s="326" t="n"/>
      <c r="AJ47" s="249" t="n"/>
      <c r="AK47" s="249" t="n">
        <v>-369305.6765121024</v>
      </c>
      <c r="AL47" s="756" t="n"/>
      <c r="AM47" s="308" t="n">
        <v>-369305.6765121024</v>
      </c>
      <c r="AN47" s="758" t="n">
        <v>-0.2462037843414016</v>
      </c>
      <c r="AO47" s="758" t="n">
        <v>-0.01470108666666667</v>
      </c>
      <c r="AP47" s="310" t="n">
        <v>-0.2609048710080683</v>
      </c>
      <c r="AQ47" s="756" t="n"/>
      <c r="AR47" s="326" t="n"/>
      <c r="AS47" s="332" t="n">
        <v>-21769.77908933988</v>
      </c>
      <c r="AT47" s="308" t="n">
        <v>-21769.77908933988</v>
      </c>
      <c r="AU47" s="310" t="n">
        <v>0.01451318607668461</v>
      </c>
      <c r="AV47" s="756" t="n"/>
      <c r="AW47" s="326" t="n"/>
      <c r="AX47" s="332" t="n">
        <v>-391075.4556014423</v>
      </c>
      <c r="AY47" s="756" t="n"/>
      <c r="AZ47" s="326" t="n"/>
      <c r="BA47" s="332" t="n"/>
      <c r="BB47" s="756" t="n"/>
    </row>
    <row r="48">
      <c r="A48" s="752" t="inlineStr">
        <is>
          <t>John Mark Comer</t>
        </is>
      </c>
      <c r="B48" s="351" t="n">
        <v>0</v>
      </c>
      <c r="C48" s="351" t="n">
        <v>0</v>
      </c>
      <c r="D48" s="351" t="inlineStr">
        <is>
          <t>Standard</t>
        </is>
      </c>
      <c r="E48" s="761" t="n">
        <v>100000</v>
      </c>
      <c r="F48" s="760" t="n">
        <v>0.0007369718213180389</v>
      </c>
      <c r="G48" s="761" t="n">
        <v>100000</v>
      </c>
      <c r="H48" s="761" t="n">
        <v>100000</v>
      </c>
      <c r="I48" s="760" t="n">
        <v>0.000703968664316058</v>
      </c>
      <c r="J48" s="760" t="n">
        <v>0.0005275603392996725</v>
      </c>
      <c r="K48" s="760" t="n">
        <v>0.0005275603392996725</v>
      </c>
      <c r="M48" s="351" t="n">
        <v>-88420.05127209341</v>
      </c>
      <c r="N48" s="351" t="n">
        <v>-1830.16</v>
      </c>
      <c r="O48" s="351" t="n">
        <v>-375</v>
      </c>
      <c r="P48" s="351" t="n">
        <v>-39.36194324591393</v>
      </c>
      <c r="Q48" s="351" t="n">
        <v>-9335.429999999993</v>
      </c>
      <c r="R48" s="351" t="n">
        <v>-100000.0032153393</v>
      </c>
      <c r="S48" s="761" t="n"/>
      <c r="T48" s="249" t="n">
        <v>-66262.76795334338</v>
      </c>
      <c r="U48" s="754" t="n">
        <v>0</v>
      </c>
      <c r="V48" s="249" t="n">
        <v>-2205.16</v>
      </c>
      <c r="W48" s="249" t="n">
        <v>-29.49818818211725</v>
      </c>
      <c r="X48" s="212" t="n">
        <v>9.863755063796685</v>
      </c>
      <c r="Y48" s="249" t="n">
        <v>-7617.24663967366</v>
      </c>
      <c r="Z48" s="212" t="n">
        <v>1718.183360326333</v>
      </c>
      <c r="AA48" s="249" t="n">
        <v>-76114.67278119916</v>
      </c>
      <c r="AB48" s="761" t="n"/>
      <c r="AC48" s="302" t="n">
        <v>-0.6626276795334338</v>
      </c>
      <c r="AD48" s="303" t="n">
        <v>-0.0220516</v>
      </c>
      <c r="AE48" s="303" t="n">
        <v>-0.0002949818818211725</v>
      </c>
      <c r="AF48" s="303" t="n">
        <v>-0.0761724663967366</v>
      </c>
      <c r="AG48" s="919" t="n">
        <v>-0.7390951278119916</v>
      </c>
      <c r="AH48" s="761" t="n"/>
      <c r="AI48" s="326" t="n"/>
      <c r="AJ48" s="249" t="n"/>
      <c r="AK48" s="249" t="n">
        <v>-23885.33043414015</v>
      </c>
      <c r="AL48" s="756" t="n"/>
      <c r="AM48" s="308" t="n">
        <v>-23885.33043414015</v>
      </c>
      <c r="AN48" s="758" t="n">
        <v>-0.2388533043414015</v>
      </c>
      <c r="AO48" s="758" t="n">
        <v>-0.0220516</v>
      </c>
      <c r="AP48" s="310" t="n">
        <v>-0.2609049043414015</v>
      </c>
      <c r="AQ48" s="756" t="n"/>
      <c r="AR48" s="326" t="n"/>
      <c r="AS48" s="332" t="n">
        <v>-1451.318605955992</v>
      </c>
      <c r="AT48" s="308" t="n">
        <v>-1451.318605955992</v>
      </c>
      <c r="AU48" s="310" t="n">
        <v>0.01451318559291176</v>
      </c>
      <c r="AV48" s="756" t="n"/>
      <c r="AW48" s="326" t="n"/>
      <c r="AX48" s="332" t="n">
        <v>-25336.64904009614</v>
      </c>
      <c r="AY48" s="756" t="n"/>
      <c r="AZ48" s="326" t="n"/>
      <c r="BA48" s="332" t="n"/>
      <c r="BB48" s="756" t="n"/>
    </row>
    <row r="49">
      <c r="A49" s="752" t="inlineStr">
        <is>
          <t>Landscape I, LP</t>
        </is>
      </c>
      <c r="B49" s="351" t="n">
        <v>0</v>
      </c>
      <c r="C49" s="351" t="n">
        <v>0</v>
      </c>
      <c r="D49" s="351" t="inlineStr">
        <is>
          <t>BBR</t>
        </is>
      </c>
      <c r="E49" s="761" t="n">
        <v>750000</v>
      </c>
      <c r="F49" s="760" t="n">
        <v>0.005527288659885291</v>
      </c>
      <c r="G49" s="761" t="n">
        <v>750000</v>
      </c>
      <c r="H49" s="761" t="n">
        <v>750000</v>
      </c>
      <c r="I49" s="760" t="n">
        <v>0.005279764982370435</v>
      </c>
      <c r="J49" s="760" t="n">
        <v>0.003956702544747544</v>
      </c>
      <c r="K49" s="760" t="n">
        <v>0.003956702544747544</v>
      </c>
      <c r="M49" s="351" t="n">
        <v>-663150.3845407006</v>
      </c>
      <c r="N49" s="351" t="n">
        <v>-9150.82</v>
      </c>
      <c r="O49" s="351" t="n">
        <v>-1875</v>
      </c>
      <c r="P49" s="351" t="n">
        <v>-295.2145743443545</v>
      </c>
      <c r="Q49" s="351" t="n">
        <v>-75528.58999999994</v>
      </c>
      <c r="R49" s="351" t="n">
        <v>-750000.0091150448</v>
      </c>
      <c r="S49" s="761" t="n"/>
      <c r="T49" s="249" t="n">
        <v>-496970.7596500755</v>
      </c>
      <c r="U49" s="754" t="n">
        <v>0</v>
      </c>
      <c r="V49" s="249" t="n">
        <v>-11025.82</v>
      </c>
      <c r="W49" s="249" t="n">
        <v>-221.2364113658794</v>
      </c>
      <c r="X49" s="212" t="n">
        <v>73.97816297847513</v>
      </c>
      <c r="Y49" s="249" t="n">
        <v>-57129.34979755246</v>
      </c>
      <c r="Z49" s="212" t="n">
        <v>18399.24020244748</v>
      </c>
      <c r="AA49" s="249" t="n">
        <v>-565347.1658589938</v>
      </c>
      <c r="AB49" s="761" t="n"/>
      <c r="AC49" s="302" t="n">
        <v>-0.6626276795334339</v>
      </c>
      <c r="AD49" s="303" t="n">
        <v>-0.01470109333333333</v>
      </c>
      <c r="AE49" s="303" t="n">
        <v>-0.0002949818818211725</v>
      </c>
      <c r="AF49" s="303" t="n">
        <v>-0.07617246639673661</v>
      </c>
      <c r="AG49" s="919" t="n">
        <v>-0.7390951278119917</v>
      </c>
      <c r="AH49" s="761" t="n"/>
      <c r="AI49" s="326" t="n"/>
      <c r="AJ49" s="249" t="n"/>
      <c r="AK49" s="249" t="n">
        <v>-184652.8432560511</v>
      </c>
      <c r="AL49" s="756" t="n"/>
      <c r="AM49" s="308" t="n">
        <v>-184652.8432560511</v>
      </c>
      <c r="AN49" s="758" t="n">
        <v>-0.2462037910080681</v>
      </c>
      <c r="AO49" s="758" t="n">
        <v>-0.01470109333333333</v>
      </c>
      <c r="AP49" s="310" t="n">
        <v>-0.2609048843414015</v>
      </c>
      <c r="AQ49" s="756" t="n"/>
      <c r="AR49" s="326" t="n"/>
      <c r="AS49" s="332" t="n">
        <v>-10884.88954466994</v>
      </c>
      <c r="AT49" s="308" t="n">
        <v>-10884.88954466994</v>
      </c>
      <c r="AU49" s="310" t="n">
        <v>0.01451318588317546</v>
      </c>
      <c r="AV49" s="756" t="n"/>
      <c r="AW49" s="326" t="n"/>
      <c r="AX49" s="332" t="n">
        <v>-195537.732800721</v>
      </c>
      <c r="AY49" s="756" t="n"/>
      <c r="AZ49" s="326" t="n"/>
      <c r="BA49" s="332" t="n"/>
      <c r="BB49" s="756" t="n"/>
    </row>
    <row r="50">
      <c r="A50" s="752" t="inlineStr">
        <is>
          <t>Lisa Bell Trust, Elisabeth B. Bell, Trustee</t>
        </is>
      </c>
      <c r="B50" s="351" t="n">
        <v>234900.9466622653</v>
      </c>
      <c r="C50" s="351" t="n">
        <v>0</v>
      </c>
      <c r="D50" s="351" t="n">
        <v>0</v>
      </c>
      <c r="E50" s="761" t="n">
        <v>234900.95</v>
      </c>
      <c r="F50" s="760" t="n">
        <v>0.001731153809508376</v>
      </c>
      <c r="G50" s="761" t="n">
        <v>234900.95</v>
      </c>
      <c r="H50" s="761" t="n">
        <v>234900.95</v>
      </c>
      <c r="I50" s="760" t="n">
        <v>0.001653629080180731</v>
      </c>
      <c r="J50" s="760" t="n">
        <v>0.001239244248838154</v>
      </c>
      <c r="K50" s="760" t="n">
        <v>0.001239244248838154</v>
      </c>
      <c r="M50" s="351" t="n">
        <v>-207699.5404286345</v>
      </c>
      <c r="N50" s="351" t="n">
        <v>-1920.68</v>
      </c>
      <c r="O50" s="351" t="n">
        <v>-880.88</v>
      </c>
      <c r="P50" s="351" t="n">
        <v>-92.46157862311267</v>
      </c>
      <c r="Q50" s="351" t="n">
        <v>-24307.39</v>
      </c>
      <c r="R50" s="351" t="n">
        <v>-234900.9520072576</v>
      </c>
      <c r="S50" s="761" t="n"/>
      <c r="T50" s="249" t="n">
        <v>-155651.8714186992</v>
      </c>
      <c r="U50" s="754" t="n">
        <v>0</v>
      </c>
      <c r="V50" s="249" t="n">
        <v>-2801.56</v>
      </c>
      <c r="W50" s="249" t="n">
        <v>-69.29152427258114</v>
      </c>
      <c r="X50" s="212" t="n">
        <v>23.17005435053153</v>
      </c>
      <c r="Y50" s="249" t="n">
        <v>-17892.98472043651</v>
      </c>
      <c r="Z50" s="212" t="n">
        <v>6414.405279563496</v>
      </c>
      <c r="AA50" s="249" t="n">
        <v>-176415.7076634083</v>
      </c>
      <c r="AB50" s="761" t="n"/>
      <c r="AC50" s="302" t="n">
        <v>-0.6626276795334339</v>
      </c>
      <c r="AD50" s="303" t="n">
        <v>-0.01192655883256326</v>
      </c>
      <c r="AE50" s="303" t="n">
        <v>-0.0002949818818211724</v>
      </c>
      <c r="AF50" s="303" t="n">
        <v>-0.07617246639673661</v>
      </c>
      <c r="AG50" s="919" t="n">
        <v>-0.7390951278119917</v>
      </c>
      <c r="AH50" s="761" t="n"/>
      <c r="AI50" s="326" t="n"/>
      <c r="AJ50" s="249" t="n"/>
      <c r="AK50" s="249" t="n">
        <v>-58485.24434384934</v>
      </c>
      <c r="AL50" s="756" t="n"/>
      <c r="AM50" s="308" t="n">
        <v>-58485.24434384934</v>
      </c>
      <c r="AN50" s="758" t="n">
        <v>-0.2489783219005685</v>
      </c>
      <c r="AO50" s="758" t="n">
        <v>-0.01192655883256326</v>
      </c>
      <c r="AP50" s="310" t="n">
        <v>-0.2609048807331317</v>
      </c>
      <c r="AQ50" s="756" t="n"/>
      <c r="AR50" s="326" t="n"/>
      <c r="AS50" s="332" t="n">
        <v>-3409.161192917381</v>
      </c>
      <c r="AT50" s="308" t="n">
        <v>-3409.161192917381</v>
      </c>
      <c r="AU50" s="310" t="n">
        <v>0.01451318593554295</v>
      </c>
      <c r="AV50" s="756" t="n"/>
      <c r="AW50" s="326" t="n"/>
      <c r="AX50" s="332" t="n">
        <v>-61894.40553676672</v>
      </c>
      <c r="AY50" s="756" t="n"/>
      <c r="AZ50" s="326" t="n"/>
      <c r="BA50" s="332" t="n"/>
      <c r="BB50" s="756" t="n"/>
    </row>
    <row r="51">
      <c r="A51" s="752" t="inlineStr">
        <is>
          <t>Madten Investments LLC</t>
        </is>
      </c>
      <c r="B51" s="351" t="n">
        <v>0</v>
      </c>
      <c r="C51" s="351" t="n">
        <v>0</v>
      </c>
      <c r="D51" s="351" t="inlineStr">
        <is>
          <t>BBR</t>
        </is>
      </c>
      <c r="E51" s="761" t="n">
        <v>1000000</v>
      </c>
      <c r="F51" s="760" t="n">
        <v>0.007369718213180389</v>
      </c>
      <c r="G51" s="761" t="n">
        <v>1000000</v>
      </c>
      <c r="H51" s="761" t="n">
        <v>1000000</v>
      </c>
      <c r="I51" s="760" t="n">
        <v>0.00703968664316058</v>
      </c>
      <c r="J51" s="760" t="n">
        <v>0.005275603392996725</v>
      </c>
      <c r="K51" s="760" t="n">
        <v>0.005275603392996725</v>
      </c>
      <c r="M51" s="351" t="n">
        <v>-884200.512720934</v>
      </c>
      <c r="N51" s="351" t="n">
        <v>-12201.09</v>
      </c>
      <c r="O51" s="351" t="n">
        <v>-2500</v>
      </c>
      <c r="P51" s="351" t="n">
        <v>-393.6194324591393</v>
      </c>
      <c r="Q51" s="351" t="n">
        <v>-100704.7800000001</v>
      </c>
      <c r="R51" s="351" t="n">
        <v>-1000000.002153393</v>
      </c>
      <c r="S51" s="761" t="n"/>
      <c r="T51" s="249" t="n">
        <v>-662627.6795334339</v>
      </c>
      <c r="U51" s="754" t="n">
        <v>0</v>
      </c>
      <c r="V51" s="249" t="n">
        <v>-14701.09</v>
      </c>
      <c r="W51" s="249" t="n">
        <v>-294.9818818211725</v>
      </c>
      <c r="X51" s="212" t="n">
        <v>98.63755063796685</v>
      </c>
      <c r="Y51" s="249" t="n">
        <v>-76172.46639673659</v>
      </c>
      <c r="Z51" s="212" t="n">
        <v>24532.31360326346</v>
      </c>
      <c r="AA51" s="249" t="n">
        <v>-753796.2178119916</v>
      </c>
      <c r="AB51" s="761" t="n"/>
      <c r="AC51" s="302" t="n">
        <v>-0.6626276795334338</v>
      </c>
      <c r="AD51" s="303" t="n">
        <v>-0.01470109</v>
      </c>
      <c r="AE51" s="303" t="n">
        <v>-0.0002949818818211724</v>
      </c>
      <c r="AF51" s="303" t="n">
        <v>-0.0761724663967366</v>
      </c>
      <c r="AG51" s="919" t="n">
        <v>-0.7390951278119916</v>
      </c>
      <c r="AH51" s="761" t="n"/>
      <c r="AI51" s="326" t="n"/>
      <c r="AJ51" s="249" t="n"/>
      <c r="AK51" s="249" t="n">
        <v>-246203.7843414015</v>
      </c>
      <c r="AL51" s="756" t="n"/>
      <c r="AM51" s="308" t="n">
        <v>-246203.7843414015</v>
      </c>
      <c r="AN51" s="758" t="n">
        <v>-0.2462037843414015</v>
      </c>
      <c r="AO51" s="758" t="n">
        <v>-0.01470109</v>
      </c>
      <c r="AP51" s="310" t="n">
        <v>-0.2609048743414015</v>
      </c>
      <c r="AQ51" s="756" t="n"/>
      <c r="AR51" s="326" t="n"/>
      <c r="AS51" s="332" t="n">
        <v>-14513.18605955992</v>
      </c>
      <c r="AT51" s="308" t="n">
        <v>-14513.18605955992</v>
      </c>
      <c r="AU51" s="310" t="n">
        <v>0.01451318602830732</v>
      </c>
      <c r="AV51" s="756" t="n"/>
      <c r="AW51" s="326" t="n"/>
      <c r="AX51" s="332" t="n">
        <v>-260716.9704009615</v>
      </c>
      <c r="AY51" s="756" t="n"/>
      <c r="AZ51" s="326" t="n"/>
      <c r="BA51" s="332" t="n"/>
      <c r="BB51" s="756" t="n"/>
    </row>
    <row r="52">
      <c r="A52" s="752" t="inlineStr">
        <is>
          <t>Matt McCoy</t>
        </is>
      </c>
      <c r="B52" s="351" t="n">
        <v>117450.4733311327</v>
      </c>
      <c r="C52" s="351" t="n">
        <v>0</v>
      </c>
      <c r="D52" s="351" t="inlineStr">
        <is>
          <t>Standard</t>
        </is>
      </c>
      <c r="E52" s="761" t="n">
        <v>117450.47</v>
      </c>
      <c r="F52" s="760" t="n">
        <v>0.0008655768679055968</v>
      </c>
      <c r="G52" s="761" t="n">
        <v>117450.47</v>
      </c>
      <c r="H52" s="761" t="n">
        <v>117450.47</v>
      </c>
      <c r="I52" s="760" t="n">
        <v>0.0008268145048919325</v>
      </c>
      <c r="J52" s="760" t="n">
        <v>0.0006196220980410601</v>
      </c>
      <c r="K52" s="760" t="n">
        <v>0.0006196220980410601</v>
      </c>
      <c r="M52" s="351" t="n">
        <v>-103849.7657933147</v>
      </c>
      <c r="N52" s="351" t="n">
        <v>-960.33</v>
      </c>
      <c r="O52" s="351" t="n">
        <v>-440.44</v>
      </c>
      <c r="P52" s="351" t="n">
        <v>-46.23078734345917</v>
      </c>
      <c r="Q52" s="351" t="n">
        <v>-12153.69999999999</v>
      </c>
      <c r="R52" s="351" t="n">
        <v>-117450.4665806581</v>
      </c>
      <c r="S52" s="761" t="n"/>
      <c r="T52" s="249" t="n">
        <v>-77825.9323962112</v>
      </c>
      <c r="U52" s="754" t="n">
        <v>0</v>
      </c>
      <c r="V52" s="249" t="n">
        <v>-1400.77</v>
      </c>
      <c r="W52" s="249" t="n">
        <v>-34.64576066138117</v>
      </c>
      <c r="X52" s="212" t="n">
        <v>11.585026682078</v>
      </c>
      <c r="Y52" s="249" t="n">
        <v>-8946.49197935592</v>
      </c>
      <c r="Z52" s="212" t="n">
        <v>3207.20802064407</v>
      </c>
      <c r="AA52" s="249" t="n">
        <v>-88207.84013622851</v>
      </c>
      <c r="AB52" s="761" t="n"/>
      <c r="AC52" s="302" t="n">
        <v>-0.6626276795334339</v>
      </c>
      <c r="AD52" s="303" t="n">
        <v>-0.01192647419801726</v>
      </c>
      <c r="AE52" s="303" t="n">
        <v>-0.0002949818818211725</v>
      </c>
      <c r="AF52" s="303" t="n">
        <v>-0.0761724663967366</v>
      </c>
      <c r="AG52" s="919" t="n">
        <v>-0.7390951278119917</v>
      </c>
      <c r="AH52" s="761" t="n"/>
      <c r="AI52" s="326" t="n"/>
      <c r="AJ52" s="249" t="n"/>
      <c r="AK52" s="249" t="n">
        <v>-29242.62644442964</v>
      </c>
      <c r="AL52" s="756" t="n"/>
      <c r="AM52" s="308" t="n">
        <v>-29242.62644442964</v>
      </c>
      <c r="AN52" s="758" t="n">
        <v>-0.2489783688769371</v>
      </c>
      <c r="AO52" s="758" t="n">
        <v>-0.01192647419801726</v>
      </c>
      <c r="AP52" s="310" t="n">
        <v>-0.2609048430749544</v>
      </c>
      <c r="AQ52" s="756" t="n"/>
      <c r="AR52" s="326" t="n"/>
      <c r="AS52" s="332" t="n">
        <v>-1704.580523892761</v>
      </c>
      <c r="AT52" s="308" t="n">
        <v>-1704.580523892761</v>
      </c>
      <c r="AU52" s="310" t="n">
        <v>0.0145131864820831</v>
      </c>
      <c r="AV52" s="756" t="n"/>
      <c r="AW52" s="326" t="n"/>
      <c r="AX52" s="332" t="n">
        <v>-30947.2069683224</v>
      </c>
      <c r="AY52" s="756" t="n"/>
      <c r="AZ52" s="326" t="n"/>
      <c r="BA52" s="332" t="n"/>
      <c r="BB52" s="756" t="n"/>
    </row>
    <row r="53">
      <c r="A53" s="752" t="inlineStr">
        <is>
          <t>Matterhorn Holdings, LLC</t>
        </is>
      </c>
      <c r="B53" s="351" t="n">
        <v>0</v>
      </c>
      <c r="C53" s="351" t="n">
        <v>0</v>
      </c>
      <c r="D53" s="351" t="inlineStr">
        <is>
          <t>Standard</t>
        </is>
      </c>
      <c r="E53" s="761" t="n">
        <v>100000</v>
      </c>
      <c r="F53" s="760" t="n">
        <v>0.0007369718213180389</v>
      </c>
      <c r="G53" s="761" t="n">
        <v>100000</v>
      </c>
      <c r="H53" s="761" t="n">
        <v>100000</v>
      </c>
      <c r="I53" s="760" t="n">
        <v>0.000703968664316058</v>
      </c>
      <c r="J53" s="760" t="n">
        <v>0.0005275603392996725</v>
      </c>
      <c r="K53" s="760" t="n">
        <v>0.0005275603392996725</v>
      </c>
      <c r="M53" s="351" t="n">
        <v>-88420.05127209341</v>
      </c>
      <c r="N53" s="351" t="n">
        <v>-1830.16</v>
      </c>
      <c r="O53" s="351" t="n">
        <v>-375</v>
      </c>
      <c r="P53" s="351" t="n">
        <v>-39.36194324591393</v>
      </c>
      <c r="Q53" s="351" t="n">
        <v>-9335.429999999993</v>
      </c>
      <c r="R53" s="351" t="n">
        <v>-100000.0032153393</v>
      </c>
      <c r="S53" s="761" t="n"/>
      <c r="T53" s="249" t="n">
        <v>-66262.76795334338</v>
      </c>
      <c r="U53" s="754" t="n">
        <v>0</v>
      </c>
      <c r="V53" s="249" t="n">
        <v>-2205.16</v>
      </c>
      <c r="W53" s="249" t="n">
        <v>-29.49818818211725</v>
      </c>
      <c r="X53" s="212" t="n">
        <v>9.863755063796685</v>
      </c>
      <c r="Y53" s="249" t="n">
        <v>-7617.24663967366</v>
      </c>
      <c r="Z53" s="212" t="n">
        <v>1718.183360326333</v>
      </c>
      <c r="AA53" s="249" t="n">
        <v>-76114.67278119916</v>
      </c>
      <c r="AB53" s="761" t="n"/>
      <c r="AC53" s="302" t="n">
        <v>-0.6626276795334338</v>
      </c>
      <c r="AD53" s="303" t="n">
        <v>-0.0220516</v>
      </c>
      <c r="AE53" s="303" t="n">
        <v>-0.0002949818818211725</v>
      </c>
      <c r="AF53" s="303" t="n">
        <v>-0.0761724663967366</v>
      </c>
      <c r="AG53" s="919" t="n">
        <v>-0.7390951278119916</v>
      </c>
      <c r="AH53" s="761" t="n"/>
      <c r="AI53" s="326" t="n"/>
      <c r="AJ53" s="249" t="n"/>
      <c r="AK53" s="249" t="n">
        <v>-23885.33043414015</v>
      </c>
      <c r="AL53" s="756" t="n"/>
      <c r="AM53" s="308" t="n">
        <v>-23885.33043414015</v>
      </c>
      <c r="AN53" s="758" t="n">
        <v>-0.2388533043414015</v>
      </c>
      <c r="AO53" s="758" t="n">
        <v>-0.0220516</v>
      </c>
      <c r="AP53" s="310" t="n">
        <v>-0.2609049043414015</v>
      </c>
      <c r="AQ53" s="756" t="n"/>
      <c r="AR53" s="326" t="n"/>
      <c r="AS53" s="332" t="n">
        <v>-1451.318605955992</v>
      </c>
      <c r="AT53" s="308" t="n">
        <v>-1451.318605955992</v>
      </c>
      <c r="AU53" s="310" t="n">
        <v>0.01451318559291176</v>
      </c>
      <c r="AV53" s="756" t="n"/>
      <c r="AW53" s="326" t="n"/>
      <c r="AX53" s="332" t="n">
        <v>-25336.64904009614</v>
      </c>
      <c r="AY53" s="756" t="n"/>
      <c r="AZ53" s="326" t="n"/>
      <c r="BA53" s="332" t="n"/>
      <c r="BB53" s="756" t="n"/>
    </row>
    <row r="54">
      <c r="A54" s="752" t="inlineStr">
        <is>
          <t>Max O. Reinbach III</t>
        </is>
      </c>
      <c r="B54" s="351" t="n">
        <v>78300.31555408845</v>
      </c>
      <c r="C54" s="351" t="n">
        <v>0</v>
      </c>
      <c r="D54" s="351" t="n">
        <v>0</v>
      </c>
      <c r="E54" s="761" t="n">
        <v>78300.32000000001</v>
      </c>
      <c r="F54" s="760" t="n">
        <v>0.0005770512944018527</v>
      </c>
      <c r="G54" s="761" t="n">
        <v>78300.32000000001</v>
      </c>
      <c r="H54" s="761" t="n">
        <v>78300.32000000001</v>
      </c>
      <c r="I54" s="760" t="n">
        <v>0.0005512097168591993</v>
      </c>
      <c r="J54" s="760" t="n">
        <v>0.0004130814338647294</v>
      </c>
      <c r="K54" s="760" t="n">
        <v>0.0004130814338647294</v>
      </c>
      <c r="M54" s="351" t="n">
        <v>-69233.18309021321</v>
      </c>
      <c r="N54" s="351" t="n">
        <v>-640.23</v>
      </c>
      <c r="O54" s="351" t="n">
        <v>-293.63</v>
      </c>
      <c r="P54" s="351" t="n">
        <v>-30.820527519769</v>
      </c>
      <c r="Q54" s="351" t="n">
        <v>-8102.460000000004</v>
      </c>
      <c r="R54" s="351" t="n">
        <v>-78300.32361773298</v>
      </c>
      <c r="S54" s="761" t="n"/>
      <c r="T54" s="249" t="n">
        <v>-51883.95934832533</v>
      </c>
      <c r="U54" s="754" t="n">
        <v>0</v>
      </c>
      <c r="V54" s="249" t="n">
        <v>-933.86</v>
      </c>
      <c r="W54" s="249" t="n">
        <v>-23.09717574079999</v>
      </c>
      <c r="X54" s="212" t="n">
        <v>7.723351778969008</v>
      </c>
      <c r="Y54" s="249" t="n">
        <v>-5964.328494053724</v>
      </c>
      <c r="Z54" s="212" t="n">
        <v>2138.13150594628</v>
      </c>
      <c r="AA54" s="249" t="n">
        <v>-58805.24501811985</v>
      </c>
      <c r="AB54" s="761" t="n"/>
      <c r="AC54" s="302" t="n">
        <v>-0.6626276795334338</v>
      </c>
      <c r="AD54" s="303" t="n">
        <v>-0.01192664346710205</v>
      </c>
      <c r="AE54" s="303" t="n">
        <v>-0.0002949818818211725</v>
      </c>
      <c r="AF54" s="303" t="n">
        <v>-0.07617246639673661</v>
      </c>
      <c r="AG54" s="919" t="n">
        <v>-0.7390951278119916</v>
      </c>
      <c r="AH54" s="761" t="n"/>
      <c r="AI54" s="326" t="n"/>
      <c r="AJ54" s="249" t="n"/>
      <c r="AK54" s="249" t="n">
        <v>-19495.07859961313</v>
      </c>
      <c r="AL54" s="756" t="n"/>
      <c r="AM54" s="308" t="n">
        <v>-19495.07859961313</v>
      </c>
      <c r="AN54" s="758" t="n">
        <v>-0.2489782749242037</v>
      </c>
      <c r="AO54" s="758" t="n">
        <v>-0.01192664346710205</v>
      </c>
      <c r="AP54" s="310" t="n">
        <v>-0.2609049183913058</v>
      </c>
      <c r="AQ54" s="756" t="n"/>
      <c r="AR54" s="326" t="n"/>
      <c r="AS54" s="332" t="n">
        <v>-1136.387112683081</v>
      </c>
      <c r="AT54" s="308" t="n">
        <v>-1136.387112683081</v>
      </c>
      <c r="AU54" s="310" t="n">
        <v>0.0145131853890029</v>
      </c>
      <c r="AV54" s="756" t="n"/>
      <c r="AW54" s="326" t="n"/>
      <c r="AX54" s="332" t="n">
        <v>-20631.46571229621</v>
      </c>
      <c r="AY54" s="756" t="n"/>
      <c r="AZ54" s="326" t="n"/>
      <c r="BA54" s="332" t="n"/>
      <c r="BB54" s="756" t="n"/>
    </row>
    <row r="55">
      <c r="A55" s="752" t="inlineStr">
        <is>
          <t>Meghann C. Robinson</t>
        </is>
      </c>
      <c r="B55" s="351" t="n">
        <v>783003.1555408844</v>
      </c>
      <c r="C55" s="351" t="n">
        <v>0</v>
      </c>
      <c r="D55" s="351" t="n">
        <v>0</v>
      </c>
      <c r="E55" s="761" t="n">
        <v>783003.16</v>
      </c>
      <c r="F55" s="760" t="n">
        <v>0.005770512649229799</v>
      </c>
      <c r="G55" s="761" t="n">
        <v>783003.16</v>
      </c>
      <c r="H55" s="761" t="n">
        <v>783003.16</v>
      </c>
      <c r="I55" s="760" t="n">
        <v>0.005512096887004526</v>
      </c>
      <c r="J55" s="760" t="n">
        <v>0.004130814127623158</v>
      </c>
      <c r="K55" s="760" t="n">
        <v>0.004130814127623158</v>
      </c>
      <c r="M55" s="351" t="n">
        <v>-692331.7955341116</v>
      </c>
      <c r="N55" s="351" t="n">
        <v>-6402.25</v>
      </c>
      <c r="O55" s="351" t="n">
        <v>-2936.26</v>
      </c>
      <c r="P55" s="351" t="n">
        <v>-308.2052594529126</v>
      </c>
      <c r="Q55" s="351" t="n">
        <v>-81024.63999999996</v>
      </c>
      <c r="R55" s="351" t="n">
        <v>-783003.1507935645</v>
      </c>
      <c r="S55" s="761" t="n"/>
      <c r="T55" s="249" t="n">
        <v>-518839.566978146</v>
      </c>
      <c r="U55" s="754" t="n">
        <v>0</v>
      </c>
      <c r="V55" s="249" t="n">
        <v>-9338.51</v>
      </c>
      <c r="W55" s="249" t="n">
        <v>-230.9717456087246</v>
      </c>
      <c r="X55" s="212" t="n">
        <v>77.233513844188</v>
      </c>
      <c r="Y55" s="249" t="n">
        <v>-59643.28189363857</v>
      </c>
      <c r="Z55" s="212" t="n">
        <v>21381.35810636138</v>
      </c>
      <c r="AA55" s="249" t="n">
        <v>-588052.3306173934</v>
      </c>
      <c r="AB55" s="761" t="n"/>
      <c r="AC55" s="302" t="n">
        <v>-0.6626276795334338</v>
      </c>
      <c r="AD55" s="303" t="n">
        <v>-0.01192652913431409</v>
      </c>
      <c r="AE55" s="303" t="n">
        <v>-0.0002949818818211725</v>
      </c>
      <c r="AF55" s="303" t="n">
        <v>-0.0761724663967366</v>
      </c>
      <c r="AG55" s="919" t="n">
        <v>-0.7390951278119916</v>
      </c>
      <c r="AH55" s="761" t="n"/>
      <c r="AI55" s="326" t="n"/>
      <c r="AJ55" s="249" t="n"/>
      <c r="AK55" s="249" t="n">
        <v>-194950.8201761711</v>
      </c>
      <c r="AL55" s="756" t="n"/>
      <c r="AM55" s="308" t="n">
        <v>-194950.8201761711</v>
      </c>
      <c r="AN55" s="758" t="n">
        <v>-0.2489783312958419</v>
      </c>
      <c r="AO55" s="758" t="n">
        <v>-0.01192652913431409</v>
      </c>
      <c r="AP55" s="310" t="n">
        <v>-0.260904860430156</v>
      </c>
      <c r="AQ55" s="756" t="n"/>
      <c r="AR55" s="326" t="n"/>
      <c r="AS55" s="332" t="n">
        <v>-11363.87054630337</v>
      </c>
      <c r="AT55" s="308" t="n">
        <v>-11363.87054630337</v>
      </c>
      <c r="AU55" s="310" t="n">
        <v>0.01451318623020382</v>
      </c>
      <c r="AV55" s="756" t="n"/>
      <c r="AW55" s="326" t="n"/>
      <c r="AX55" s="332" t="n">
        <v>-206314.6907224745</v>
      </c>
      <c r="AY55" s="756" t="n"/>
      <c r="AZ55" s="326" t="n"/>
      <c r="BA55" s="332" t="n"/>
      <c r="BB55" s="756" t="n"/>
    </row>
    <row r="56">
      <c r="A56" s="752" t="inlineStr">
        <is>
          <t>Nahas Investments II LLC</t>
        </is>
      </c>
      <c r="B56" s="351" t="n">
        <v>391501.5777704422</v>
      </c>
      <c r="C56" s="351" t="n">
        <v>0</v>
      </c>
      <c r="D56" s="351" t="inlineStr">
        <is>
          <t>Standard</t>
        </is>
      </c>
      <c r="E56" s="761" t="n">
        <v>391501.58</v>
      </c>
      <c r="F56" s="760" t="n">
        <v>0.002885256324614899</v>
      </c>
      <c r="G56" s="761" t="n">
        <v>391501.58</v>
      </c>
      <c r="H56" s="761" t="n">
        <v>391501.58</v>
      </c>
      <c r="I56" s="760" t="n">
        <v>0.002756048443502263</v>
      </c>
      <c r="J56" s="760" t="n">
        <v>0.002065407063811579</v>
      </c>
      <c r="K56" s="760" t="n">
        <v>0.002065407063811579</v>
      </c>
      <c r="M56" s="351" t="n">
        <v>-346165.8977670558</v>
      </c>
      <c r="N56" s="351" t="n">
        <v>-3201.12</v>
      </c>
      <c r="O56" s="351" t="n">
        <v>-1468.13</v>
      </c>
      <c r="P56" s="351" t="n">
        <v>-154.1026297264563</v>
      </c>
      <c r="Q56" s="351" t="n">
        <v>-40512.32999999998</v>
      </c>
      <c r="R56" s="351" t="n">
        <v>-391501.5803967822</v>
      </c>
      <c r="S56" s="761" t="n"/>
      <c r="T56" s="249" t="n">
        <v>-259419.783489073</v>
      </c>
      <c r="U56" s="754" t="n">
        <v>0</v>
      </c>
      <c r="V56" s="249" t="n">
        <v>-4669.25</v>
      </c>
      <c r="W56" s="249" t="n">
        <v>-115.4858728043623</v>
      </c>
      <c r="X56" s="212" t="n">
        <v>38.616756922094</v>
      </c>
      <c r="Y56" s="249" t="n">
        <v>-29821.64094681929</v>
      </c>
      <c r="Z56" s="212" t="n">
        <v>10690.68905318069</v>
      </c>
      <c r="AA56" s="249" t="n">
        <v>-294026.1603086967</v>
      </c>
      <c r="AB56" s="761" t="n"/>
      <c r="AC56" s="302" t="n">
        <v>-0.6626276795334338</v>
      </c>
      <c r="AD56" s="303" t="n">
        <v>-0.01192651636297355</v>
      </c>
      <c r="AE56" s="303" t="n">
        <v>-0.0002949818818211725</v>
      </c>
      <c r="AF56" s="303" t="n">
        <v>-0.0761724663967366</v>
      </c>
      <c r="AG56" s="919" t="n">
        <v>-0.7390951278119916</v>
      </c>
      <c r="AH56" s="761" t="n"/>
      <c r="AI56" s="326" t="n"/>
      <c r="AJ56" s="249" t="n"/>
      <c r="AK56" s="249" t="n">
        <v>-97475.42008808552</v>
      </c>
      <c r="AL56" s="756" t="n"/>
      <c r="AM56" s="308" t="n">
        <v>-97475.42008808552</v>
      </c>
      <c r="AN56" s="758" t="n">
        <v>-0.2489783568385229</v>
      </c>
      <c r="AO56" s="758" t="n">
        <v>-0.01192651636297355</v>
      </c>
      <c r="AP56" s="310" t="n">
        <v>-0.2609048732014965</v>
      </c>
      <c r="AQ56" s="756" t="n"/>
      <c r="AR56" s="326" t="n"/>
      <c r="AS56" s="332" t="n">
        <v>-5681.935273151683</v>
      </c>
      <c r="AT56" s="308" t="n">
        <v>-5681.935273151683</v>
      </c>
      <c r="AU56" s="310" t="n">
        <v>0.01451318604485098</v>
      </c>
      <c r="AV56" s="756" t="n"/>
      <c r="AW56" s="326" t="n"/>
      <c r="AX56" s="332" t="n">
        <v>-103157.3553612372</v>
      </c>
      <c r="AY56" s="756" t="n"/>
      <c r="AZ56" s="326" t="n"/>
      <c r="BA56" s="332" t="n"/>
      <c r="BB56" s="756" t="n"/>
    </row>
    <row r="57">
      <c r="A57" s="752" t="inlineStr">
        <is>
          <t>Odyssey Holdings, LLC</t>
        </is>
      </c>
      <c r="B57" s="351" t="n">
        <v>0</v>
      </c>
      <c r="C57" s="351" t="n">
        <v>444388.6385049071</v>
      </c>
      <c r="D57" s="351" t="n">
        <v>0</v>
      </c>
      <c r="E57" s="761" t="n">
        <v>1189247.91</v>
      </c>
      <c r="F57" s="760" t="n">
        <v>0</v>
      </c>
      <c r="G57" s="761" t="n">
        <v>1189247.91</v>
      </c>
      <c r="H57" s="761" t="n">
        <v>1189247.91</v>
      </c>
      <c r="I57" s="760" t="n">
        <v>0.008371932627433635</v>
      </c>
      <c r="J57" s="760" t="n">
        <v>0.006274000309110263</v>
      </c>
      <c r="K57" s="760" t="n">
        <v>0.006274000309110263</v>
      </c>
      <c r="M57" s="351" t="n">
        <v>-1051533.611774299</v>
      </c>
      <c r="N57" s="351" t="n">
        <v>0</v>
      </c>
      <c r="O57" s="351" t="n">
        <v>0</v>
      </c>
      <c r="P57" s="351" t="n">
        <v>-468.1110873874176</v>
      </c>
      <c r="Q57" s="351" t="n">
        <v>-137246.1899999999</v>
      </c>
      <c r="R57" s="351" t="n">
        <v>-1189247.912861686</v>
      </c>
      <c r="S57" s="761" t="n"/>
      <c r="T57" s="249" t="n">
        <v>-788028.582993286</v>
      </c>
      <c r="U57" s="754" t="n">
        <v>0</v>
      </c>
      <c r="V57" s="249" t="n">
        <v>0</v>
      </c>
      <c r="W57" s="249" t="n">
        <v>-350.8065864436963</v>
      </c>
      <c r="X57" s="212" t="n">
        <v>117.3045009437212</v>
      </c>
      <c r="Y57" s="249" t="n">
        <v>-90587.94646186422</v>
      </c>
      <c r="Z57" s="212" t="n">
        <v>46658.24353813572</v>
      </c>
      <c r="AA57" s="249" t="n">
        <v>-878967.3360415939</v>
      </c>
      <c r="AB57" s="761" t="n"/>
      <c r="AC57" s="302" t="n">
        <v>-0.6626276795334339</v>
      </c>
      <c r="AD57" s="303" t="n">
        <v>0</v>
      </c>
      <c r="AE57" s="303" t="n">
        <v>-0.0002949818818211725</v>
      </c>
      <c r="AF57" s="303" t="n">
        <v>-0.0761724663967366</v>
      </c>
      <c r="AG57" s="919" t="n">
        <v>-0.7390951278119917</v>
      </c>
      <c r="AH57" s="761" t="n"/>
      <c r="AI57" s="326" t="n"/>
      <c r="AJ57" s="249" t="n"/>
      <c r="AK57" s="249" t="n">
        <v>-310280.5768200925</v>
      </c>
      <c r="AL57" s="756" t="n"/>
      <c r="AM57" s="308" t="n">
        <v>-310280.5768200925</v>
      </c>
      <c r="AN57" s="758" t="n">
        <v>-0.2609048745943077</v>
      </c>
      <c r="AO57" s="758" t="n">
        <v>0</v>
      </c>
      <c r="AP57" s="310" t="n">
        <v>-0.2609048745943077</v>
      </c>
      <c r="AQ57" s="756" t="n"/>
      <c r="AR57" s="326" t="n"/>
      <c r="AS57" s="462" t="n">
        <v>0</v>
      </c>
      <c r="AT57" s="463" t="n">
        <v>0</v>
      </c>
      <c r="AU57" s="464" t="n">
        <v>0</v>
      </c>
      <c r="AV57" s="756" t="n"/>
      <c r="AW57" s="326" t="n"/>
      <c r="AX57" s="332" t="n">
        <v>-310280.5768200925</v>
      </c>
      <c r="AY57" s="756" t="n"/>
      <c r="AZ57" s="326" t="n"/>
      <c r="BA57" s="332" t="n">
        <v>-35146.88802858845</v>
      </c>
      <c r="BB57" s="756" t="n"/>
    </row>
    <row r="58">
      <c r="A58" s="752" t="inlineStr">
        <is>
          <t>Pease River Holdings LLC</t>
        </is>
      </c>
      <c r="B58" s="351" t="n">
        <v>78300.31555408845</v>
      </c>
      <c r="C58" s="351" t="n">
        <v>0</v>
      </c>
      <c r="D58" s="351" t="inlineStr">
        <is>
          <t>Standard</t>
        </is>
      </c>
      <c r="E58" s="761" t="n">
        <v>78300.32000000001</v>
      </c>
      <c r="F58" s="760" t="n">
        <v>0.0005770512944018527</v>
      </c>
      <c r="G58" s="761" t="n">
        <v>78300.32000000001</v>
      </c>
      <c r="H58" s="761" t="n">
        <v>78300.32000000001</v>
      </c>
      <c r="I58" s="760" t="n">
        <v>0.0005512097168591993</v>
      </c>
      <c r="J58" s="760" t="n">
        <v>0.0004130814338647294</v>
      </c>
      <c r="K58" s="760" t="n">
        <v>0.0004130814338647294</v>
      </c>
      <c r="M58" s="351" t="n">
        <v>-69233.18309021321</v>
      </c>
      <c r="N58" s="351" t="n">
        <v>-640.23</v>
      </c>
      <c r="O58" s="351" t="n">
        <v>-293.63</v>
      </c>
      <c r="P58" s="351" t="n">
        <v>-30.820527519769</v>
      </c>
      <c r="Q58" s="351" t="n">
        <v>-8102.460000000004</v>
      </c>
      <c r="R58" s="351" t="n">
        <v>-78300.32361773298</v>
      </c>
      <c r="S58" s="761" t="n"/>
      <c r="T58" s="249" t="n">
        <v>-51883.95934832533</v>
      </c>
      <c r="U58" s="754" t="n">
        <v>0</v>
      </c>
      <c r="V58" s="249" t="n">
        <v>-933.86</v>
      </c>
      <c r="W58" s="249" t="n">
        <v>-23.09717574079999</v>
      </c>
      <c r="X58" s="212" t="n">
        <v>7.723351778969008</v>
      </c>
      <c r="Y58" s="249" t="n">
        <v>-5964.328494053724</v>
      </c>
      <c r="Z58" s="212" t="n">
        <v>2138.13150594628</v>
      </c>
      <c r="AA58" s="249" t="n">
        <v>-58805.24501811985</v>
      </c>
      <c r="AB58" s="761" t="n"/>
      <c r="AC58" s="302" t="n">
        <v>-0.6626276795334338</v>
      </c>
      <c r="AD58" s="303" t="n">
        <v>-0.01192664346710205</v>
      </c>
      <c r="AE58" s="303" t="n">
        <v>-0.0002949818818211725</v>
      </c>
      <c r="AF58" s="303" t="n">
        <v>-0.07617246639673661</v>
      </c>
      <c r="AG58" s="919" t="n">
        <v>-0.7390951278119916</v>
      </c>
      <c r="AH58" s="761" t="n"/>
      <c r="AI58" s="326" t="n"/>
      <c r="AJ58" s="249" t="n"/>
      <c r="AK58" s="249" t="n">
        <v>-19495.07859961313</v>
      </c>
      <c r="AL58" s="756" t="n"/>
      <c r="AM58" s="308" t="n">
        <v>-19495.07859961313</v>
      </c>
      <c r="AN58" s="758" t="n">
        <v>-0.2489782749242037</v>
      </c>
      <c r="AO58" s="758" t="n">
        <v>-0.01192664346710205</v>
      </c>
      <c r="AP58" s="310" t="n">
        <v>-0.2609049183913058</v>
      </c>
      <c r="AQ58" s="756" t="n"/>
      <c r="AR58" s="326" t="n"/>
      <c r="AS58" s="332" t="n">
        <v>-1136.387112683081</v>
      </c>
      <c r="AT58" s="308" t="n">
        <v>-1136.387112683081</v>
      </c>
      <c r="AU58" s="310" t="n">
        <v>0.0145131853890029</v>
      </c>
      <c r="AV58" s="756" t="n"/>
      <c r="AW58" s="326" t="n"/>
      <c r="AX58" s="332" t="n">
        <v>-20631.46571229621</v>
      </c>
      <c r="AY58" s="756" t="n"/>
      <c r="AZ58" s="326" t="n"/>
      <c r="BA58" s="332" t="n"/>
      <c r="BB58" s="756" t="n"/>
    </row>
    <row r="59">
      <c r="A59" s="752" t="inlineStr">
        <is>
          <t>PT Burros, LLC</t>
        </is>
      </c>
      <c r="B59" s="351" t="n">
        <v>0</v>
      </c>
      <c r="C59" s="351" t="n">
        <v>329488.1966250376</v>
      </c>
      <c r="D59" s="351" t="inlineStr">
        <is>
          <t>Standard</t>
        </is>
      </c>
      <c r="E59" s="761" t="n">
        <v>329488.2</v>
      </c>
      <c r="F59" s="760" t="n">
        <v>0.002428235188568023</v>
      </c>
      <c r="G59" s="761" t="n">
        <v>329488.2</v>
      </c>
      <c r="H59" s="761" t="n">
        <v>329488.2</v>
      </c>
      <c r="I59" s="760" t="n">
        <v>0.002319493680619022</v>
      </c>
      <c r="J59" s="760" t="n">
        <v>0.001738249065872384</v>
      </c>
      <c r="K59" s="760" t="n">
        <v>0.001738249065872384</v>
      </c>
      <c r="M59" s="351" t="n">
        <v>-291333.6353754976</v>
      </c>
      <c r="N59" s="351" t="n">
        <v>-2066.172910326087</v>
      </c>
      <c r="O59" s="351" t="n">
        <v>-1235.58</v>
      </c>
      <c r="P59" s="351" t="n">
        <v>-129.6929582859834</v>
      </c>
      <c r="Q59" s="351" t="n">
        <v>-34723.11708967388</v>
      </c>
      <c r="R59" s="351" t="n">
        <v>-329488.1983337836</v>
      </c>
      <c r="S59" s="761" t="n"/>
      <c r="T59" s="249" t="n">
        <v>-218328.001399648</v>
      </c>
      <c r="U59" s="754" t="n">
        <v>0</v>
      </c>
      <c r="V59" s="249" t="n">
        <v>-3301.752910326087</v>
      </c>
      <c r="W59" s="249" t="n">
        <v>-97.19304927387084</v>
      </c>
      <c r="X59" s="212" t="n">
        <v>32.49990901211255</v>
      </c>
      <c r="Y59" s="249" t="n">
        <v>-25097.92884262123</v>
      </c>
      <c r="Z59" s="212" t="n">
        <v>9625.188247052647</v>
      </c>
      <c r="AA59" s="249" t="n">
        <v>-246824.8762018691</v>
      </c>
      <c r="AB59" s="761" t="n"/>
      <c r="AC59" s="302" t="n">
        <v>-0.6626276795334338</v>
      </c>
      <c r="AD59" s="303" t="n">
        <v>-0.0100208532819266</v>
      </c>
      <c r="AE59" s="303" t="n">
        <v>-0.0002949818818211724</v>
      </c>
      <c r="AF59" s="303" t="n">
        <v>-0.0761724663967366</v>
      </c>
      <c r="AG59" s="919" t="n">
        <v>-0.7390951278119916</v>
      </c>
      <c r="AH59" s="761" t="n"/>
      <c r="AI59" s="326" t="n"/>
      <c r="AJ59" s="249" t="n"/>
      <c r="AK59" s="249" t="n">
        <v>-82663.32213191444</v>
      </c>
      <c r="AL59" s="756" t="n"/>
      <c r="AM59" s="308" t="n">
        <v>-82663.32213191444</v>
      </c>
      <c r="AN59" s="758" t="n">
        <v>-0.2508840138490982</v>
      </c>
      <c r="AO59" s="758" t="n">
        <v>-0.0100208532819266</v>
      </c>
      <c r="AP59" s="310" t="n">
        <v>-0.2609048671310248</v>
      </c>
      <c r="AQ59" s="756" t="n"/>
      <c r="AR59" s="326" t="n"/>
      <c r="AS59" s="332" t="n">
        <v>-4781.92355102949</v>
      </c>
      <c r="AT59" s="308" t="n">
        <v>-4781.92355102949</v>
      </c>
      <c r="AU59" s="310" t="n">
        <v>0.01451318613295286</v>
      </c>
      <c r="AV59" s="756" t="n"/>
      <c r="AW59" s="326" t="n"/>
      <c r="AX59" s="332" t="n">
        <v>-87445.24568294393</v>
      </c>
      <c r="AY59" s="756" t="n"/>
      <c r="AZ59" s="326" t="n"/>
      <c r="BA59" s="332" t="n"/>
      <c r="BB59" s="756" t="n"/>
    </row>
    <row r="60">
      <c r="A60" s="752" t="inlineStr">
        <is>
          <t>Robert D. Falese III</t>
        </is>
      </c>
      <c r="B60" s="351" t="n">
        <v>548102.2088786191</v>
      </c>
      <c r="C60" s="351" t="n">
        <v>329488.1966250376</v>
      </c>
      <c r="D60" s="351" t="inlineStr">
        <is>
          <t>Standard</t>
        </is>
      </c>
      <c r="E60" s="761" t="n">
        <v>877590.41</v>
      </c>
      <c r="F60" s="760" t="n">
        <v>0.006467594028289445</v>
      </c>
      <c r="G60" s="761" t="n">
        <v>877590.41</v>
      </c>
      <c r="H60" s="761" t="n">
        <v>877590.41</v>
      </c>
      <c r="I60" s="760" t="n">
        <v>0.006177961487442817</v>
      </c>
      <c r="J60" s="760" t="n">
        <v>0.004629818944657387</v>
      </c>
      <c r="K60" s="760" t="n">
        <v>0.004629818944657387</v>
      </c>
      <c r="M60" s="351" t="n">
        <v>-775965.8904809747</v>
      </c>
      <c r="N60" s="351" t="n">
        <v>-6547.742910326087</v>
      </c>
      <c r="O60" s="351" t="n">
        <v>-3290.96</v>
      </c>
      <c r="P60" s="351" t="n">
        <v>-345.4366391157834</v>
      </c>
      <c r="Q60" s="351" t="n">
        <v>-91440.37708967393</v>
      </c>
      <c r="R60" s="351" t="n">
        <v>-877590.4071200904</v>
      </c>
      <c r="S60" s="761" t="n"/>
      <c r="T60" s="249" t="n">
        <v>-581515.6969590948</v>
      </c>
      <c r="U60" s="754" t="n">
        <v>0</v>
      </c>
      <c r="V60" s="249" t="n">
        <v>-9838.702910326087</v>
      </c>
      <c r="W60" s="249" t="n">
        <v>-258.8732706100143</v>
      </c>
      <c r="X60" s="212" t="n">
        <v>86.56336850576912</v>
      </c>
      <c r="Y60" s="249" t="n">
        <v>-66848.2260158233</v>
      </c>
      <c r="Z60" s="212" t="n">
        <v>24592.15107385063</v>
      </c>
      <c r="AA60" s="249" t="n">
        <v>-658461.4991558542</v>
      </c>
      <c r="AB60" s="761" t="n"/>
      <c r="AC60" s="302" t="n">
        <v>-0.6626276795334338</v>
      </c>
      <c r="AD60" s="303" t="n">
        <v>-0.01121104196013957</v>
      </c>
      <c r="AE60" s="303" t="n">
        <v>-0.0002949818818211724</v>
      </c>
      <c r="AF60" s="303" t="n">
        <v>-0.0761724663967366</v>
      </c>
      <c r="AG60" s="919" t="n">
        <v>-0.7390951278119916</v>
      </c>
      <c r="AH60" s="761" t="n"/>
      <c r="AI60" s="326" t="n"/>
      <c r="AJ60" s="249" t="n"/>
      <c r="AK60" s="249" t="n">
        <v>-219128.9079642362</v>
      </c>
      <c r="AL60" s="756" t="n"/>
      <c r="AM60" s="308" t="n">
        <v>-219128.9079642362</v>
      </c>
      <c r="AN60" s="758" t="n">
        <v>-0.2496938269462587</v>
      </c>
      <c r="AO60" s="758" t="n">
        <v>-0.01121104196013957</v>
      </c>
      <c r="AP60" s="310" t="n">
        <v>-0.2609048689063982</v>
      </c>
      <c r="AQ60" s="756" t="n"/>
      <c r="AR60" s="326" t="n"/>
      <c r="AS60" s="332" t="n">
        <v>-12736.63290441547</v>
      </c>
      <c r="AT60" s="308" t="n">
        <v>-12736.63290441547</v>
      </c>
      <c r="AU60" s="310" t="n">
        <v>0.01451318610718653</v>
      </c>
      <c r="AV60" s="756" t="n"/>
      <c r="AW60" s="326" t="n"/>
      <c r="AX60" s="332" t="n">
        <v>-231865.5408686517</v>
      </c>
      <c r="AY60" s="756" t="n"/>
      <c r="AZ60" s="326" t="n"/>
      <c r="BA60" s="332" t="n"/>
      <c r="BB60" s="756" t="n"/>
    </row>
    <row r="61">
      <c r="A61" s="752" t="inlineStr">
        <is>
          <t>Robert Parker Yates</t>
        </is>
      </c>
      <c r="B61" s="351" t="n">
        <v>39150.15777704422</v>
      </c>
      <c r="C61" s="351" t="n">
        <v>0</v>
      </c>
      <c r="D61" s="351" t="inlineStr">
        <is>
          <t>Standard</t>
        </is>
      </c>
      <c r="E61" s="761" t="n">
        <v>39150.16</v>
      </c>
      <c r="F61" s="760" t="n">
        <v>0.0002885256472009263</v>
      </c>
      <c r="G61" s="761" t="n">
        <v>39150.16</v>
      </c>
      <c r="H61" s="761" t="n">
        <v>39150.16</v>
      </c>
      <c r="I61" s="760" t="n">
        <v>0.0002756048584295996</v>
      </c>
      <c r="J61" s="760" t="n">
        <v>0.0002065407169323647</v>
      </c>
      <c r="K61" s="760" t="n">
        <v>0.0002065407169323647</v>
      </c>
      <c r="M61" s="351" t="n">
        <v>-34616.5915451066</v>
      </c>
      <c r="N61" s="351" t="n">
        <v>-320.11</v>
      </c>
      <c r="O61" s="351" t="n">
        <v>-146.81</v>
      </c>
      <c r="P61" s="351" t="n">
        <v>-15.4102637598845</v>
      </c>
      <c r="Q61" s="351" t="n">
        <v>-4051.240000000002</v>
      </c>
      <c r="R61" s="351" t="n">
        <v>-39150.16180886649</v>
      </c>
      <c r="S61" s="761" t="n"/>
      <c r="T61" s="249" t="n">
        <v>-25941.97967416266</v>
      </c>
      <c r="U61" s="754" t="n">
        <v>0</v>
      </c>
      <c r="V61" s="249" t="n">
        <v>-466.92</v>
      </c>
      <c r="W61" s="249" t="n">
        <v>-11.5485878704</v>
      </c>
      <c r="X61" s="212" t="n">
        <v>3.861675889484504</v>
      </c>
      <c r="Y61" s="249" t="n">
        <v>-2982.164247026862</v>
      </c>
      <c r="Z61" s="212" t="n">
        <v>1069.07575297314</v>
      </c>
      <c r="AA61" s="249" t="n">
        <v>-29402.61250905992</v>
      </c>
      <c r="AB61" s="761" t="n"/>
      <c r="AC61" s="302" t="n">
        <v>-0.6626276795334338</v>
      </c>
      <c r="AD61" s="303" t="n">
        <v>-0.0119263880403043</v>
      </c>
      <c r="AE61" s="303" t="n">
        <v>-0.0002949818818211725</v>
      </c>
      <c r="AF61" s="303" t="n">
        <v>-0.07617246639673661</v>
      </c>
      <c r="AG61" s="919" t="n">
        <v>-0.7390951278119916</v>
      </c>
      <c r="AH61" s="761" t="n"/>
      <c r="AI61" s="326" t="n"/>
      <c r="AJ61" s="249" t="n"/>
      <c r="AK61" s="249" t="n">
        <v>-9747.549299806567</v>
      </c>
      <c r="AL61" s="756" t="n"/>
      <c r="AM61" s="308" t="n">
        <v>-9747.549299806567</v>
      </c>
      <c r="AN61" s="758" t="n">
        <v>-0.2489785303510015</v>
      </c>
      <c r="AO61" s="758" t="n">
        <v>-0.0119263880403043</v>
      </c>
      <c r="AP61" s="310" t="n">
        <v>-0.2609049183913059</v>
      </c>
      <c r="AQ61" s="756" t="n"/>
      <c r="AR61" s="326" t="n"/>
      <c r="AS61" s="332" t="n">
        <v>-568.1935563415403</v>
      </c>
      <c r="AT61" s="308" t="n">
        <v>-568.1935563415403</v>
      </c>
      <c r="AU61" s="310" t="n">
        <v>0.0145131853890029</v>
      </c>
      <c r="AV61" s="756" t="n"/>
      <c r="AW61" s="326" t="n"/>
      <c r="AX61" s="332" t="n">
        <v>-10315.74285614811</v>
      </c>
      <c r="AY61" s="756" t="n"/>
      <c r="AZ61" s="326" t="n"/>
      <c r="BA61" s="332" t="n"/>
      <c r="BB61" s="756" t="n"/>
    </row>
    <row r="62">
      <c r="A62" s="752" t="inlineStr">
        <is>
          <t>Robert S. Shafir &amp; Donna R. Shafir TEN/COM</t>
        </is>
      </c>
      <c r="B62" s="351" t="n">
        <v>0</v>
      </c>
      <c r="C62" s="351" t="n">
        <v>0</v>
      </c>
      <c r="D62" s="351" t="inlineStr">
        <is>
          <t>BBR</t>
        </is>
      </c>
      <c r="E62" s="761" t="n">
        <v>1500000</v>
      </c>
      <c r="F62" s="760" t="n">
        <v>0.01105457731977058</v>
      </c>
      <c r="G62" s="761" t="n">
        <v>1500000</v>
      </c>
      <c r="H62" s="761" t="n">
        <v>1500000</v>
      </c>
      <c r="I62" s="760" t="n">
        <v>0.01055952996474087</v>
      </c>
      <c r="J62" s="760" t="n">
        <v>0.007913405089495089</v>
      </c>
      <c r="K62" s="760" t="n">
        <v>0.007913405089495089</v>
      </c>
      <c r="M62" s="351" t="n">
        <v>-1326300.769081401</v>
      </c>
      <c r="N62" s="351" t="n">
        <v>-18301.63</v>
      </c>
      <c r="O62" s="351" t="n">
        <v>-3750</v>
      </c>
      <c r="P62" s="351" t="n">
        <v>-590.429148688709</v>
      </c>
      <c r="Q62" s="351" t="n">
        <v>-151057.1700000001</v>
      </c>
      <c r="R62" s="351" t="n">
        <v>-1499999.99823009</v>
      </c>
      <c r="S62" s="761" t="n"/>
      <c r="T62" s="249" t="n">
        <v>-993941.5193001509</v>
      </c>
      <c r="U62" s="754" t="n">
        <v>0</v>
      </c>
      <c r="V62" s="249" t="n">
        <v>-22051.63</v>
      </c>
      <c r="W62" s="249" t="n">
        <v>-442.4728227317588</v>
      </c>
      <c r="X62" s="212" t="n">
        <v>147.9563259569503</v>
      </c>
      <c r="Y62" s="249" t="n">
        <v>-114258.6995951049</v>
      </c>
      <c r="Z62" s="212" t="n">
        <v>36798.47040489518</v>
      </c>
      <c r="AA62" s="249" t="n">
        <v>-1130694.321717988</v>
      </c>
      <c r="AB62" s="761" t="n"/>
      <c r="AC62" s="302" t="n">
        <v>-0.6626276795334339</v>
      </c>
      <c r="AD62" s="303" t="n">
        <v>-0.01470108666666667</v>
      </c>
      <c r="AE62" s="303" t="n">
        <v>-0.0002949818818211725</v>
      </c>
      <c r="AF62" s="303" t="n">
        <v>-0.07617246639673661</v>
      </c>
      <c r="AG62" s="919" t="n">
        <v>-0.7390951278119917</v>
      </c>
      <c r="AH62" s="761" t="n"/>
      <c r="AI62" s="326" t="n"/>
      <c r="AJ62" s="249" t="n"/>
      <c r="AK62" s="249" t="n">
        <v>-369305.6765121024</v>
      </c>
      <c r="AL62" s="756" t="n"/>
      <c r="AM62" s="308" t="n">
        <v>-369305.6765121024</v>
      </c>
      <c r="AN62" s="758" t="n">
        <v>-0.2462037843414016</v>
      </c>
      <c r="AO62" s="758" t="n">
        <v>-0.01470108666666667</v>
      </c>
      <c r="AP62" s="310" t="n">
        <v>-0.2609048710080683</v>
      </c>
      <c r="AQ62" s="756" t="n"/>
      <c r="AR62" s="326" t="n"/>
      <c r="AS62" s="332" t="n">
        <v>-21769.77908933988</v>
      </c>
      <c r="AT62" s="308" t="n">
        <v>-21769.77908933988</v>
      </c>
      <c r="AU62" s="310" t="n">
        <v>0.01451318607668461</v>
      </c>
      <c r="AV62" s="756" t="n"/>
      <c r="AW62" s="326" t="n"/>
      <c r="AX62" s="332" t="n">
        <v>-391075.4556014423</v>
      </c>
      <c r="AY62" s="756" t="n"/>
      <c r="AZ62" s="326" t="n"/>
      <c r="BA62" s="332" t="n"/>
      <c r="BB62" s="756" t="n"/>
    </row>
    <row r="63">
      <c r="A63" s="752" t="inlineStr">
        <is>
          <t>Robert S. Shafir 2011 Children's Trust</t>
        </is>
      </c>
      <c r="B63" s="351" t="n">
        <v>0</v>
      </c>
      <c r="C63" s="351" t="n">
        <v>0</v>
      </c>
      <c r="D63" s="351" t="inlineStr">
        <is>
          <t>BBR</t>
        </is>
      </c>
      <c r="E63" s="761" t="n">
        <v>1000000</v>
      </c>
      <c r="F63" s="760" t="n">
        <v>0.007369718213180389</v>
      </c>
      <c r="G63" s="761" t="n">
        <v>1000000</v>
      </c>
      <c r="H63" s="761" t="n">
        <v>1000000</v>
      </c>
      <c r="I63" s="760" t="n">
        <v>0.00703968664316058</v>
      </c>
      <c r="J63" s="760" t="n">
        <v>0.005275603392996725</v>
      </c>
      <c r="K63" s="760" t="n">
        <v>0.005275603392996725</v>
      </c>
      <c r="M63" s="351" t="n">
        <v>-884200.512720934</v>
      </c>
      <c r="N63" s="351" t="n">
        <v>-12201.09</v>
      </c>
      <c r="O63" s="351" t="n">
        <v>-2500</v>
      </c>
      <c r="P63" s="351" t="n">
        <v>-393.6194324591393</v>
      </c>
      <c r="Q63" s="351" t="n">
        <v>-100704.7800000001</v>
      </c>
      <c r="R63" s="351" t="n">
        <v>-1000000.002153393</v>
      </c>
      <c r="S63" s="761" t="n"/>
      <c r="T63" s="249" t="n">
        <v>-662627.6795334339</v>
      </c>
      <c r="U63" s="754" t="n">
        <v>0</v>
      </c>
      <c r="V63" s="249" t="n">
        <v>-14701.09</v>
      </c>
      <c r="W63" s="249" t="n">
        <v>-294.9818818211725</v>
      </c>
      <c r="X63" s="212" t="n">
        <v>98.63755063796685</v>
      </c>
      <c r="Y63" s="249" t="n">
        <v>-76172.46639673659</v>
      </c>
      <c r="Z63" s="212" t="n">
        <v>24532.31360326346</v>
      </c>
      <c r="AA63" s="249" t="n">
        <v>-753796.2178119916</v>
      </c>
      <c r="AB63" s="761" t="n"/>
      <c r="AC63" s="302" t="n">
        <v>-0.6626276795334338</v>
      </c>
      <c r="AD63" s="303" t="n">
        <v>-0.01470109</v>
      </c>
      <c r="AE63" s="303" t="n">
        <v>-0.0002949818818211724</v>
      </c>
      <c r="AF63" s="303" t="n">
        <v>-0.0761724663967366</v>
      </c>
      <c r="AG63" s="919" t="n">
        <v>-0.7390951278119916</v>
      </c>
      <c r="AH63" s="761" t="n"/>
      <c r="AI63" s="326" t="n"/>
      <c r="AJ63" s="249" t="n"/>
      <c r="AK63" s="249" t="n">
        <v>-246203.7843414015</v>
      </c>
      <c r="AL63" s="756" t="n"/>
      <c r="AM63" s="308" t="n">
        <v>-246203.7843414015</v>
      </c>
      <c r="AN63" s="758" t="n">
        <v>-0.2462037843414015</v>
      </c>
      <c r="AO63" s="758" t="n">
        <v>-0.01470109</v>
      </c>
      <c r="AP63" s="310" t="n">
        <v>-0.2609048743414015</v>
      </c>
      <c r="AQ63" s="756" t="n"/>
      <c r="AR63" s="326" t="n"/>
      <c r="AS63" s="332" t="n">
        <v>-14513.18605955992</v>
      </c>
      <c r="AT63" s="308" t="n">
        <v>-14513.18605955992</v>
      </c>
      <c r="AU63" s="310" t="n">
        <v>0.01451318602830732</v>
      </c>
      <c r="AV63" s="756" t="n"/>
      <c r="AW63" s="326" t="n"/>
      <c r="AX63" s="332" t="n">
        <v>-260716.9704009615</v>
      </c>
      <c r="AY63" s="756" t="n"/>
      <c r="AZ63" s="326" t="n"/>
      <c r="BA63" s="332" t="n"/>
      <c r="BB63" s="756" t="n"/>
    </row>
    <row r="64">
      <c r="A64" s="752" t="inlineStr">
        <is>
          <t>Romar Partners, LP</t>
        </is>
      </c>
      <c r="B64" s="351" t="n">
        <v>0</v>
      </c>
      <c r="C64" s="351" t="n">
        <v>0</v>
      </c>
      <c r="D64" s="351" t="inlineStr">
        <is>
          <t>BBR</t>
        </is>
      </c>
      <c r="E64" s="761" t="n">
        <v>1000000</v>
      </c>
      <c r="F64" s="760" t="n">
        <v>0.007369718213180389</v>
      </c>
      <c r="G64" s="761" t="n">
        <v>1000000</v>
      </c>
      <c r="H64" s="761" t="n">
        <v>1000000</v>
      </c>
      <c r="I64" s="760" t="n">
        <v>0.00703968664316058</v>
      </c>
      <c r="J64" s="760" t="n">
        <v>0.005275603392996725</v>
      </c>
      <c r="K64" s="760" t="n">
        <v>0.005275603392996725</v>
      </c>
      <c r="M64" s="351" t="n">
        <v>-884200.512720934</v>
      </c>
      <c r="N64" s="351" t="n">
        <v>-12201.09</v>
      </c>
      <c r="O64" s="351" t="n">
        <v>-2500</v>
      </c>
      <c r="P64" s="351" t="n">
        <v>-393.6194324591393</v>
      </c>
      <c r="Q64" s="351" t="n">
        <v>-100704.7800000001</v>
      </c>
      <c r="R64" s="351" t="n">
        <v>-1000000.002153393</v>
      </c>
      <c r="S64" s="761" t="n"/>
      <c r="T64" s="249" t="n">
        <v>-662627.6795334339</v>
      </c>
      <c r="U64" s="754" t="n">
        <v>0</v>
      </c>
      <c r="V64" s="249" t="n">
        <v>-14701.09</v>
      </c>
      <c r="W64" s="249" t="n">
        <v>-294.9818818211725</v>
      </c>
      <c r="X64" s="212" t="n">
        <v>98.63755063796685</v>
      </c>
      <c r="Y64" s="249" t="n">
        <v>-76172.46639673659</v>
      </c>
      <c r="Z64" s="212" t="n">
        <v>24532.31360326348</v>
      </c>
      <c r="AA64" s="249" t="n">
        <v>-753796.2178119916</v>
      </c>
      <c r="AB64" s="761" t="n"/>
      <c r="AC64" s="302" t="n">
        <v>-0.6626276795334338</v>
      </c>
      <c r="AD64" s="303" t="n">
        <v>-0.01470109</v>
      </c>
      <c r="AE64" s="303" t="n">
        <v>-0.0002949818818211724</v>
      </c>
      <c r="AF64" s="303" t="n">
        <v>-0.0761724663967366</v>
      </c>
      <c r="AG64" s="919" t="n">
        <v>-0.7390951278119916</v>
      </c>
      <c r="AH64" s="761" t="n"/>
      <c r="AI64" s="326" t="n"/>
      <c r="AJ64" s="249" t="n"/>
      <c r="AK64" s="249" t="n">
        <v>-246203.7843414015</v>
      </c>
      <c r="AL64" s="756" t="n"/>
      <c r="AM64" s="308" t="n">
        <v>-246203.7843414015</v>
      </c>
      <c r="AN64" s="758" t="n">
        <v>-0.2462037843414015</v>
      </c>
      <c r="AO64" s="758" t="n">
        <v>-0.01470109</v>
      </c>
      <c r="AP64" s="310" t="n">
        <v>-0.2609048743414015</v>
      </c>
      <c r="AQ64" s="756" t="n"/>
      <c r="AR64" s="326" t="n"/>
      <c r="AS64" s="332" t="n">
        <v>-14513.18605955992</v>
      </c>
      <c r="AT64" s="308" t="n">
        <v>-14513.18605955992</v>
      </c>
      <c r="AU64" s="310" t="n">
        <v>0.01451318602830732</v>
      </c>
      <c r="AV64" s="756" t="n"/>
      <c r="AW64" s="326" t="n"/>
      <c r="AX64" s="332" t="n">
        <v>-260716.9704009615</v>
      </c>
      <c r="AY64" s="756" t="n"/>
      <c r="AZ64" s="326" t="n"/>
      <c r="BA64" s="332" t="n"/>
      <c r="BB64" s="756" t="n"/>
    </row>
    <row r="65">
      <c r="A65" s="752" t="inlineStr">
        <is>
          <t>Steven and Chani Laufer 2012 Dynasty Trust</t>
        </is>
      </c>
      <c r="B65" s="351" t="n">
        <v>0</v>
      </c>
      <c r="C65" s="351" t="n">
        <v>0</v>
      </c>
      <c r="D65" s="351" t="inlineStr">
        <is>
          <t>BBR</t>
        </is>
      </c>
      <c r="E65" s="761" t="n">
        <v>2000000</v>
      </c>
      <c r="F65" s="760" t="n">
        <v>0.01473943642636078</v>
      </c>
      <c r="G65" s="761" t="n">
        <v>2000000</v>
      </c>
      <c r="H65" s="761" t="n">
        <v>2000000</v>
      </c>
      <c r="I65" s="760" t="n">
        <v>0.01407937328632116</v>
      </c>
      <c r="J65" s="760" t="n">
        <v>0.01055120678599345</v>
      </c>
      <c r="K65" s="760" t="n">
        <v>0.01055120678599345</v>
      </c>
      <c r="M65" s="351" t="n">
        <v>-1768401.025441868</v>
      </c>
      <c r="N65" s="351" t="n">
        <v>-24402.17</v>
      </c>
      <c r="O65" s="351" t="n">
        <v>-5000</v>
      </c>
      <c r="P65" s="351" t="n">
        <v>-787.2388649182786</v>
      </c>
      <c r="Q65" s="351" t="n">
        <v>-201409.5599999999</v>
      </c>
      <c r="R65" s="351" t="n">
        <v>-1999999.994306786</v>
      </c>
      <c r="S65" s="761" t="n"/>
      <c r="T65" s="249" t="n">
        <v>-1325255.359066868</v>
      </c>
      <c r="U65" s="754" t="n">
        <v>0</v>
      </c>
      <c r="V65" s="249" t="n">
        <v>-29402.17</v>
      </c>
      <c r="W65" s="249" t="n">
        <v>-589.9637636423449</v>
      </c>
      <c r="X65" s="212" t="n">
        <v>197.2751012759337</v>
      </c>
      <c r="Y65" s="249" t="n">
        <v>-152344.9327934732</v>
      </c>
      <c r="Z65" s="212" t="n">
        <v>49064.6272065267</v>
      </c>
      <c r="AA65" s="249" t="n">
        <v>-1507592.425623983</v>
      </c>
      <c r="AB65" s="761" t="n"/>
      <c r="AC65" s="302" t="n">
        <v>-0.6626276795334338</v>
      </c>
      <c r="AD65" s="303" t="n">
        <v>-0.014701085</v>
      </c>
      <c r="AE65" s="303" t="n">
        <v>-0.0002949818818211724</v>
      </c>
      <c r="AF65" s="303" t="n">
        <v>-0.0761724663967366</v>
      </c>
      <c r="AG65" s="919" t="n">
        <v>-0.7390951278119916</v>
      </c>
      <c r="AH65" s="761" t="n"/>
      <c r="AI65" s="326" t="n"/>
      <c r="AJ65" s="249" t="n"/>
      <c r="AK65" s="249" t="n">
        <v>-492407.5686828028</v>
      </c>
      <c r="AL65" s="756" t="n"/>
      <c r="AM65" s="308" t="n">
        <v>-492407.5686828028</v>
      </c>
      <c r="AN65" s="758" t="n">
        <v>-0.2462037843414014</v>
      </c>
      <c r="AO65" s="758" t="n">
        <v>-0.014701085</v>
      </c>
      <c r="AP65" s="310" t="n">
        <v>-0.2609048693414014</v>
      </c>
      <c r="AQ65" s="756" t="n"/>
      <c r="AR65" s="326" t="n"/>
      <c r="AS65" s="332" t="n">
        <v>-29026.37211911983</v>
      </c>
      <c r="AT65" s="308" t="n">
        <v>-29026.37211911983</v>
      </c>
      <c r="AU65" s="310" t="n">
        <v>0.01451318610087326</v>
      </c>
      <c r="AV65" s="756" t="n"/>
      <c r="AW65" s="326" t="n"/>
      <c r="AX65" s="332" t="n">
        <v>-521433.9408019227</v>
      </c>
      <c r="AY65" s="756" t="n"/>
      <c r="AZ65" s="326" t="n"/>
      <c r="BA65" s="332" t="n"/>
      <c r="BB65" s="756" t="n"/>
    </row>
    <row r="66">
      <c r="A66" s="752" t="inlineStr">
        <is>
          <t>Steven M. Laufer 2012 Trust</t>
        </is>
      </c>
      <c r="B66" s="351" t="n">
        <v>0</v>
      </c>
      <c r="C66" s="351" t="n">
        <v>0</v>
      </c>
      <c r="D66" s="351" t="inlineStr">
        <is>
          <t>BBR</t>
        </is>
      </c>
      <c r="E66" s="761" t="n">
        <v>1000000</v>
      </c>
      <c r="F66" s="760" t="n">
        <v>0.007369718213180389</v>
      </c>
      <c r="G66" s="761" t="n">
        <v>1000000</v>
      </c>
      <c r="H66" s="761" t="n">
        <v>1000000</v>
      </c>
      <c r="I66" s="760" t="n">
        <v>0.00703968664316058</v>
      </c>
      <c r="J66" s="760" t="n">
        <v>0.005275603392996725</v>
      </c>
      <c r="K66" s="760" t="n">
        <v>0.005275603392996725</v>
      </c>
      <c r="M66" s="351" t="n">
        <v>-884200.512720934</v>
      </c>
      <c r="N66" s="351" t="n">
        <v>-12201.09</v>
      </c>
      <c r="O66" s="351" t="n">
        <v>-2500</v>
      </c>
      <c r="P66" s="351" t="n">
        <v>-393.6194324591393</v>
      </c>
      <c r="Q66" s="351" t="n">
        <v>-100704.7800000001</v>
      </c>
      <c r="R66" s="351" t="n">
        <v>-1000000.002153393</v>
      </c>
      <c r="S66" s="761" t="n"/>
      <c r="T66" s="249" t="n">
        <v>-662627.6795334339</v>
      </c>
      <c r="U66" s="754" t="n">
        <v>0</v>
      </c>
      <c r="V66" s="249" t="n">
        <v>-14701.09</v>
      </c>
      <c r="W66" s="249" t="n">
        <v>-294.9818818211725</v>
      </c>
      <c r="X66" s="212" t="n">
        <v>98.63755063796685</v>
      </c>
      <c r="Y66" s="249" t="n">
        <v>-76172.46639673659</v>
      </c>
      <c r="Z66" s="212" t="n">
        <v>24532.31360326346</v>
      </c>
      <c r="AA66" s="249" t="n">
        <v>-753796.2178119916</v>
      </c>
      <c r="AB66" s="761" t="n"/>
      <c r="AC66" s="302" t="n">
        <v>-0.6626276795334338</v>
      </c>
      <c r="AD66" s="303" t="n">
        <v>-0.01470109</v>
      </c>
      <c r="AE66" s="303" t="n">
        <v>-0.0002949818818211724</v>
      </c>
      <c r="AF66" s="303" t="n">
        <v>-0.0761724663967366</v>
      </c>
      <c r="AG66" s="919" t="n">
        <v>-0.7390951278119916</v>
      </c>
      <c r="AH66" s="761" t="n"/>
      <c r="AI66" s="326" t="n"/>
      <c r="AJ66" s="249" t="n"/>
      <c r="AK66" s="249" t="n">
        <v>-246203.7843414015</v>
      </c>
      <c r="AL66" s="756" t="n"/>
      <c r="AM66" s="308" t="n">
        <v>-246203.7843414015</v>
      </c>
      <c r="AN66" s="758" t="n">
        <v>-0.2462037843414015</v>
      </c>
      <c r="AO66" s="758" t="n">
        <v>-0.01470109</v>
      </c>
      <c r="AP66" s="310" t="n">
        <v>-0.2609048743414015</v>
      </c>
      <c r="AQ66" s="756" t="n"/>
      <c r="AR66" s="326" t="n"/>
      <c r="AS66" s="332" t="n">
        <v>-14513.18605955992</v>
      </c>
      <c r="AT66" s="308" t="n">
        <v>-14513.18605955992</v>
      </c>
      <c r="AU66" s="310" t="n">
        <v>0.01451318602830732</v>
      </c>
      <c r="AV66" s="756" t="n"/>
      <c r="AW66" s="326" t="n"/>
      <c r="AX66" s="332" t="n">
        <v>-260716.9704009615</v>
      </c>
      <c r="AY66" s="756" t="n"/>
      <c r="AZ66" s="326" t="n"/>
      <c r="BA66" s="332" t="n"/>
      <c r="BB66" s="756" t="n"/>
    </row>
    <row r="67">
      <c r="A67" s="752" t="inlineStr">
        <is>
          <t>Stewart Tate</t>
        </is>
      </c>
      <c r="B67" s="351" t="n">
        <v>391501.5777704422</v>
      </c>
      <c r="C67" s="351" t="n">
        <v>131795.278650015</v>
      </c>
      <c r="D67" s="351" t="inlineStr">
        <is>
          <t>Standard</t>
        </is>
      </c>
      <c r="E67" s="761" t="n">
        <v>523296.86</v>
      </c>
      <c r="F67" s="760" t="n">
        <v>0.003856550400042108</v>
      </c>
      <c r="G67" s="761" t="n">
        <v>523296.86</v>
      </c>
      <c r="H67" s="761" t="n">
        <v>523296.86</v>
      </c>
      <c r="I67" s="760" t="n">
        <v>0.003683845915749872</v>
      </c>
      <c r="J67" s="760" t="n">
        <v>0.002760706690160532</v>
      </c>
      <c r="K67" s="760" t="n">
        <v>0.002760706690160532</v>
      </c>
      <c r="M67" s="351" t="n">
        <v>-462699.3519172549</v>
      </c>
      <c r="N67" s="351" t="n">
        <v>-4027.593164130435</v>
      </c>
      <c r="O67" s="351" t="n">
        <v>-1962.36</v>
      </c>
      <c r="P67" s="351" t="n">
        <v>-205.9798130408497</v>
      </c>
      <c r="Q67" s="351" t="n">
        <v>-54401.57683586956</v>
      </c>
      <c r="R67" s="351" t="n">
        <v>-523296.8617302958</v>
      </c>
      <c r="S67" s="761" t="n"/>
      <c r="T67" s="249" t="n">
        <v>-346750.9840489322</v>
      </c>
      <c r="U67" s="754" t="n">
        <v>0</v>
      </c>
      <c r="V67" s="249" t="n">
        <v>-5989.953164130435</v>
      </c>
      <c r="W67" s="249" t="n">
        <v>-154.3630925139107</v>
      </c>
      <c r="X67" s="212" t="n">
        <v>51.61672052693902</v>
      </c>
      <c r="Y67" s="249" t="n">
        <v>-39860.81248386778</v>
      </c>
      <c r="Z67" s="212" t="n">
        <v>14540.76435200178</v>
      </c>
      <c r="AA67" s="249" t="n">
        <v>-392756.1127894444</v>
      </c>
      <c r="AB67" s="761" t="n"/>
      <c r="AC67" s="302" t="n">
        <v>-0.6626276795334339</v>
      </c>
      <c r="AD67" s="303" t="n">
        <v>-0.01144656813750122</v>
      </c>
      <c r="AE67" s="303" t="n">
        <v>-0.0002949818818211725</v>
      </c>
      <c r="AF67" s="303" t="n">
        <v>-0.07617246639673661</v>
      </c>
      <c r="AG67" s="919" t="n">
        <v>-0.7390951278119917</v>
      </c>
      <c r="AH67" s="761" t="n"/>
      <c r="AI67" s="326" t="n"/>
      <c r="AJ67" s="249" t="n"/>
      <c r="AK67" s="249" t="n">
        <v>-130540.7489408514</v>
      </c>
      <c r="AL67" s="756" t="n"/>
      <c r="AM67" s="308" t="n">
        <v>-130540.7489408514</v>
      </c>
      <c r="AN67" s="758" t="n">
        <v>-0.2494583073570351</v>
      </c>
      <c r="AO67" s="758" t="n">
        <v>-0.01144656813750122</v>
      </c>
      <c r="AP67" s="310" t="n">
        <v>-0.2609048754945363</v>
      </c>
      <c r="AQ67" s="756" t="n"/>
      <c r="AR67" s="326" t="n"/>
      <c r="AS67" s="332" t="n">
        <v>-7594.704693563479</v>
      </c>
      <c r="AT67" s="308" t="n">
        <v>-7594.704693563479</v>
      </c>
      <c r="AU67" s="310" t="n">
        <v>0.01451318601157166</v>
      </c>
      <c r="AV67" s="756" t="n"/>
      <c r="AW67" s="326" t="n"/>
      <c r="AX67" s="332" t="n">
        <v>-138135.4536344149</v>
      </c>
      <c r="AY67" s="756" t="n"/>
      <c r="AZ67" s="326" t="n"/>
      <c r="BA67" s="332" t="n"/>
      <c r="BB67" s="756" t="n"/>
    </row>
    <row r="68">
      <c r="A68" s="752" t="inlineStr">
        <is>
          <t>TC Wilson Family Trust</t>
        </is>
      </c>
      <c r="B68" s="351" t="n">
        <v>156600.6311081769</v>
      </c>
      <c r="C68" s="351" t="n">
        <v>0</v>
      </c>
      <c r="D68" s="351" t="inlineStr">
        <is>
          <t>Standard</t>
        </is>
      </c>
      <c r="E68" s="761" t="n">
        <v>156600.63</v>
      </c>
      <c r="F68" s="760" t="n">
        <v>0.001154102515106523</v>
      </c>
      <c r="G68" s="761" t="n">
        <v>156600.63</v>
      </c>
      <c r="H68" s="761" t="n">
        <v>156600.63</v>
      </c>
      <c r="I68" s="760" t="n">
        <v>0.001102419363321532</v>
      </c>
      <c r="J68" s="760" t="n">
        <v>0.0008261628149734248</v>
      </c>
      <c r="K68" s="760" t="n">
        <v>0.0008261628149734248</v>
      </c>
      <c r="M68" s="351" t="n">
        <v>-138466.3573384213</v>
      </c>
      <c r="N68" s="351" t="n">
        <v>-1280.45</v>
      </c>
      <c r="O68" s="351" t="n">
        <v>-587.25</v>
      </c>
      <c r="P68" s="351" t="n">
        <v>-61.64105110334367</v>
      </c>
      <c r="Q68" s="351" t="n">
        <v>-16204.93000000003</v>
      </c>
      <c r="R68" s="351" t="n">
        <v>-156600.6283895246</v>
      </c>
      <c r="S68" s="761" t="n"/>
      <c r="T68" s="249" t="n">
        <v>-103767.9120703738</v>
      </c>
      <c r="U68" s="754" t="n">
        <v>0</v>
      </c>
      <c r="V68" s="249" t="n">
        <v>-1867.7</v>
      </c>
      <c r="W68" s="249" t="n">
        <v>-46.19434853178116</v>
      </c>
      <c r="X68" s="212" t="n">
        <v>15.44670257156251</v>
      </c>
      <c r="Y68" s="249" t="n">
        <v>-11928.65622638278</v>
      </c>
      <c r="Z68" s="212" t="n">
        <v>4276.273773617244</v>
      </c>
      <c r="AA68" s="249" t="n">
        <v>-117610.4626452884</v>
      </c>
      <c r="AB68" s="761" t="n"/>
      <c r="AC68" s="302" t="n">
        <v>-0.6626276795334338</v>
      </c>
      <c r="AD68" s="303" t="n">
        <v>-0.01192651651529116</v>
      </c>
      <c r="AE68" s="303" t="n">
        <v>-0.0002949818818211725</v>
      </c>
      <c r="AF68" s="303" t="n">
        <v>-0.0761724663967366</v>
      </c>
      <c r="AG68" s="919" t="n">
        <v>-0.7390951278119916</v>
      </c>
      <c r="AH68" s="761" t="n"/>
      <c r="AI68" s="326" t="n"/>
      <c r="AJ68" s="249" t="n"/>
      <c r="AK68" s="249" t="n">
        <v>-38990.16574423623</v>
      </c>
      <c r="AL68" s="756" t="n"/>
      <c r="AM68" s="308" t="n">
        <v>-38990.16574423623</v>
      </c>
      <c r="AN68" s="758" t="n">
        <v>-0.2489783453887525</v>
      </c>
      <c r="AO68" s="758" t="n">
        <v>-0.01192651651529116</v>
      </c>
      <c r="AP68" s="310" t="n">
        <v>-0.2609048619040436</v>
      </c>
      <c r="AQ68" s="756" t="n"/>
      <c r="AR68" s="326" t="n"/>
      <c r="AS68" s="332" t="n">
        <v>-2272.7740802343</v>
      </c>
      <c r="AT68" s="308" t="n">
        <v>-2272.7740802343</v>
      </c>
      <c r="AU68" s="310" t="n">
        <v>0.01451318620881301</v>
      </c>
      <c r="AV68" s="756" t="n"/>
      <c r="AW68" s="326" t="n"/>
      <c r="AX68" s="332" t="n">
        <v>-41262.93982447054</v>
      </c>
      <c r="AY68" s="756" t="n"/>
      <c r="AZ68" s="326" t="n"/>
      <c r="BA68" s="332" t="n"/>
      <c r="BB68" s="756" t="n"/>
    </row>
    <row r="69">
      <c r="A69" s="752" t="inlineStr">
        <is>
          <t>Terminal Refrigerating &amp; Warehousing Corp.</t>
        </is>
      </c>
      <c r="B69" s="351" t="n">
        <v>0</v>
      </c>
      <c r="C69" s="351" t="n">
        <v>0</v>
      </c>
      <c r="D69" s="351" t="inlineStr">
        <is>
          <t>BBR</t>
        </is>
      </c>
      <c r="E69" s="761" t="n">
        <v>2000000</v>
      </c>
      <c r="F69" s="760" t="n">
        <v>0.01473943642636078</v>
      </c>
      <c r="G69" s="761" t="n">
        <v>2000000</v>
      </c>
      <c r="H69" s="761" t="n">
        <v>2000000</v>
      </c>
      <c r="I69" s="760" t="n">
        <v>0.01407937328632116</v>
      </c>
      <c r="J69" s="760" t="n">
        <v>0.01055120678599345</v>
      </c>
      <c r="K69" s="760" t="n">
        <v>0.01055120678599345</v>
      </c>
      <c r="M69" s="351" t="n">
        <v>-1768401.025441868</v>
      </c>
      <c r="N69" s="351" t="n">
        <v>-24402.17</v>
      </c>
      <c r="O69" s="351" t="n">
        <v>-5000</v>
      </c>
      <c r="P69" s="351" t="n">
        <v>-787.2388649182786</v>
      </c>
      <c r="Q69" s="351" t="n">
        <v>-201409.5599999999</v>
      </c>
      <c r="R69" s="351" t="n">
        <v>-1999999.994306786</v>
      </c>
      <c r="S69" s="761" t="n"/>
      <c r="T69" s="249" t="n">
        <v>-1325255.359066868</v>
      </c>
      <c r="U69" s="754" t="n">
        <v>0</v>
      </c>
      <c r="V69" s="249" t="n">
        <v>-29402.17</v>
      </c>
      <c r="W69" s="249" t="n">
        <v>-589.9637636423449</v>
      </c>
      <c r="X69" s="212" t="n">
        <v>197.2751012759337</v>
      </c>
      <c r="Y69" s="249" t="n">
        <v>-152344.9327934732</v>
      </c>
      <c r="Z69" s="212" t="n">
        <v>49064.6272065267</v>
      </c>
      <c r="AA69" s="249" t="n">
        <v>-1507592.425623983</v>
      </c>
      <c r="AB69" s="761" t="n"/>
      <c r="AC69" s="302" t="n">
        <v>-0.6626276795334338</v>
      </c>
      <c r="AD69" s="303" t="n">
        <v>-0.014701085</v>
      </c>
      <c r="AE69" s="303" t="n">
        <v>-0.0002949818818211724</v>
      </c>
      <c r="AF69" s="303" t="n">
        <v>-0.0761724663967366</v>
      </c>
      <c r="AG69" s="919" t="n">
        <v>-0.7390951278119916</v>
      </c>
      <c r="AH69" s="761" t="n"/>
      <c r="AI69" s="326" t="n"/>
      <c r="AJ69" s="249" t="n"/>
      <c r="AK69" s="249" t="n">
        <v>-492407.5686828028</v>
      </c>
      <c r="AL69" s="756" t="n"/>
      <c r="AM69" s="308" t="n">
        <v>-492407.5686828028</v>
      </c>
      <c r="AN69" s="758" t="n">
        <v>-0.2462037843414014</v>
      </c>
      <c r="AO69" s="758" t="n">
        <v>-0.014701085</v>
      </c>
      <c r="AP69" s="310" t="n">
        <v>-0.2609048693414014</v>
      </c>
      <c r="AQ69" s="756" t="n"/>
      <c r="AR69" s="326" t="n"/>
      <c r="AS69" s="332" t="n">
        <v>-29026.37211911983</v>
      </c>
      <c r="AT69" s="308" t="n">
        <v>-29026.37211911983</v>
      </c>
      <c r="AU69" s="310" t="n">
        <v>0.01451318610087326</v>
      </c>
      <c r="AV69" s="756" t="n"/>
      <c r="AW69" s="326" t="n"/>
      <c r="AX69" s="332" t="n">
        <v>-521433.9408019227</v>
      </c>
      <c r="AY69" s="756" t="n"/>
      <c r="AZ69" s="326" t="n"/>
      <c r="BA69" s="332" t="n"/>
      <c r="BB69" s="756" t="n"/>
    </row>
    <row r="70">
      <c r="A70" s="752" t="inlineStr">
        <is>
          <t>The 2015 Pipe Reality Delaware Trust</t>
        </is>
      </c>
      <c r="B70" s="351" t="n">
        <v>0</v>
      </c>
      <c r="C70" s="351" t="n">
        <v>0</v>
      </c>
      <c r="D70" s="351" t="inlineStr">
        <is>
          <t>BBR</t>
        </is>
      </c>
      <c r="E70" s="761" t="n">
        <v>1000000</v>
      </c>
      <c r="F70" s="760" t="n">
        <v>0.007369718213180389</v>
      </c>
      <c r="G70" s="761" t="n">
        <v>1000000</v>
      </c>
      <c r="H70" s="761" t="n">
        <v>1000000</v>
      </c>
      <c r="I70" s="760" t="n">
        <v>0.00703968664316058</v>
      </c>
      <c r="J70" s="760" t="n">
        <v>0.005275603392996725</v>
      </c>
      <c r="K70" s="760" t="n">
        <v>0.005275603392996725</v>
      </c>
      <c r="M70" s="351" t="n">
        <v>-884200.512720934</v>
      </c>
      <c r="N70" s="351" t="n">
        <v>-12201.09</v>
      </c>
      <c r="O70" s="351" t="n">
        <v>-2500</v>
      </c>
      <c r="P70" s="351" t="n">
        <v>-393.6194324591393</v>
      </c>
      <c r="Q70" s="351" t="n">
        <v>-100704.7800000001</v>
      </c>
      <c r="R70" s="351" t="n">
        <v>-1000000.002153393</v>
      </c>
      <c r="S70" s="761" t="n"/>
      <c r="T70" s="249" t="n">
        <v>-662627.6795334339</v>
      </c>
      <c r="U70" s="754" t="n">
        <v>0</v>
      </c>
      <c r="V70" s="249" t="n">
        <v>-14701.09</v>
      </c>
      <c r="W70" s="249" t="n">
        <v>-294.9818818211725</v>
      </c>
      <c r="X70" s="212" t="n">
        <v>98.63755063796685</v>
      </c>
      <c r="Y70" s="249" t="n">
        <v>-76172.46639673659</v>
      </c>
      <c r="Z70" s="212" t="n">
        <v>24532.31360326346</v>
      </c>
      <c r="AA70" s="249" t="n">
        <v>-753796.2178119916</v>
      </c>
      <c r="AB70" s="761" t="n"/>
      <c r="AC70" s="302" t="n">
        <v>-0.6626276795334338</v>
      </c>
      <c r="AD70" s="303" t="n">
        <v>-0.01470109</v>
      </c>
      <c r="AE70" s="303" t="n">
        <v>-0.0002949818818211724</v>
      </c>
      <c r="AF70" s="303" t="n">
        <v>-0.0761724663967366</v>
      </c>
      <c r="AG70" s="919" t="n">
        <v>-0.7390951278119916</v>
      </c>
      <c r="AH70" s="761" t="n"/>
      <c r="AI70" s="326" t="n"/>
      <c r="AJ70" s="249" t="n"/>
      <c r="AK70" s="249" t="n">
        <v>-246203.7843414015</v>
      </c>
      <c r="AL70" s="756" t="n"/>
      <c r="AM70" s="308" t="n">
        <v>-246203.7843414015</v>
      </c>
      <c r="AN70" s="758" t="n">
        <v>-0.2462037843414015</v>
      </c>
      <c r="AO70" s="758" t="n">
        <v>-0.01470109</v>
      </c>
      <c r="AP70" s="310" t="n">
        <v>-0.2609048743414015</v>
      </c>
      <c r="AQ70" s="756" t="n"/>
      <c r="AR70" s="326" t="n"/>
      <c r="AS70" s="332" t="n">
        <v>-14513.18605955992</v>
      </c>
      <c r="AT70" s="308" t="n">
        <v>-14513.18605955992</v>
      </c>
      <c r="AU70" s="310" t="n">
        <v>0.01451318602830732</v>
      </c>
      <c r="AV70" s="756" t="n"/>
      <c r="AW70" s="326" t="n"/>
      <c r="AX70" s="332" t="n">
        <v>-260716.9704009615</v>
      </c>
      <c r="AY70" s="756" t="n"/>
      <c r="AZ70" s="326" t="n"/>
      <c r="BA70" s="332" t="n"/>
      <c r="BB70" s="756" t="n"/>
    </row>
    <row r="71">
      <c r="A71" s="752" t="inlineStr">
        <is>
          <t>The David L. Schnadig 2017 Trust</t>
        </is>
      </c>
      <c r="B71" s="351" t="n">
        <v>0</v>
      </c>
      <c r="C71" s="351" t="n">
        <v>0</v>
      </c>
      <c r="D71" s="351" t="inlineStr">
        <is>
          <t>BBR</t>
        </is>
      </c>
      <c r="E71" s="761" t="n">
        <v>1000000</v>
      </c>
      <c r="F71" s="760" t="n">
        <v>0.007369718213180389</v>
      </c>
      <c r="G71" s="761" t="n">
        <v>1000000</v>
      </c>
      <c r="H71" s="761" t="n">
        <v>1000000</v>
      </c>
      <c r="I71" s="760" t="n">
        <v>0.00703968664316058</v>
      </c>
      <c r="J71" s="760" t="n">
        <v>0.005275603392996725</v>
      </c>
      <c r="K71" s="760" t="n">
        <v>0.005275603392996725</v>
      </c>
      <c r="M71" s="351" t="n">
        <v>-884200.512720934</v>
      </c>
      <c r="N71" s="351" t="n">
        <v>-12201.09</v>
      </c>
      <c r="O71" s="351" t="n">
        <v>-2500</v>
      </c>
      <c r="P71" s="351" t="n">
        <v>-393.6194324591393</v>
      </c>
      <c r="Q71" s="351" t="n">
        <v>-100704.7800000001</v>
      </c>
      <c r="R71" s="351" t="n">
        <v>-1000000.002153393</v>
      </c>
      <c r="S71" s="761" t="n"/>
      <c r="T71" s="249" t="n">
        <v>-662627.6795334339</v>
      </c>
      <c r="U71" s="754" t="n">
        <v>0</v>
      </c>
      <c r="V71" s="249" t="n">
        <v>-14701.09</v>
      </c>
      <c r="W71" s="249" t="n">
        <v>-294.9818818211725</v>
      </c>
      <c r="X71" s="212" t="n">
        <v>98.63755063796685</v>
      </c>
      <c r="Y71" s="249" t="n">
        <v>-76172.46639673659</v>
      </c>
      <c r="Z71" s="212" t="n">
        <v>24532.31360326346</v>
      </c>
      <c r="AA71" s="249" t="n">
        <v>-753796.2178119916</v>
      </c>
      <c r="AB71" s="761" t="n"/>
      <c r="AC71" s="302" t="n">
        <v>-0.6626276795334338</v>
      </c>
      <c r="AD71" s="303" t="n">
        <v>-0.01470109</v>
      </c>
      <c r="AE71" s="303" t="n">
        <v>-0.0002949818818211724</v>
      </c>
      <c r="AF71" s="303" t="n">
        <v>-0.0761724663967366</v>
      </c>
      <c r="AG71" s="919" t="n">
        <v>-0.7390951278119916</v>
      </c>
      <c r="AH71" s="761" t="n"/>
      <c r="AI71" s="326" t="n"/>
      <c r="AJ71" s="249" t="n"/>
      <c r="AK71" s="249" t="n">
        <v>-246203.7843414015</v>
      </c>
      <c r="AL71" s="756" t="n"/>
      <c r="AM71" s="308" t="n">
        <v>-246203.7843414015</v>
      </c>
      <c r="AN71" s="758" t="n">
        <v>-0.2462037843414015</v>
      </c>
      <c r="AO71" s="758" t="n">
        <v>-0.01470109</v>
      </c>
      <c r="AP71" s="310" t="n">
        <v>-0.2609048743414015</v>
      </c>
      <c r="AQ71" s="756" t="n"/>
      <c r="AR71" s="326" t="n"/>
      <c r="AS71" s="332" t="n">
        <v>-14513.18605955992</v>
      </c>
      <c r="AT71" s="308" t="n">
        <v>-14513.18605955992</v>
      </c>
      <c r="AU71" s="310" t="n">
        <v>0.01451318602830732</v>
      </c>
      <c r="AV71" s="756" t="n"/>
      <c r="AW71" s="326" t="n"/>
      <c r="AX71" s="332" t="n">
        <v>-260716.9704009615</v>
      </c>
      <c r="AY71" s="756" t="n"/>
      <c r="AZ71" s="326" t="n"/>
      <c r="BA71" s="332" t="n"/>
      <c r="BB71" s="756" t="n"/>
    </row>
    <row r="72">
      <c r="A72" s="752" t="inlineStr">
        <is>
          <t>The Diane Rosen 2021 Irrevocable Family Trust</t>
        </is>
      </c>
      <c r="B72" s="351" t="n">
        <v>0</v>
      </c>
      <c r="C72" s="351" t="n">
        <v>0</v>
      </c>
      <c r="D72" s="351" t="inlineStr">
        <is>
          <t>BBR</t>
        </is>
      </c>
      <c r="E72" s="761" t="n">
        <v>600000</v>
      </c>
      <c r="F72" s="760" t="n">
        <v>0.004421830927908234</v>
      </c>
      <c r="G72" s="761" t="n">
        <v>600000</v>
      </c>
      <c r="H72" s="761" t="n">
        <v>600000</v>
      </c>
      <c r="I72" s="760" t="n">
        <v>0.004223811985896348</v>
      </c>
      <c r="J72" s="760" t="n">
        <v>0.003165362035798035</v>
      </c>
      <c r="K72" s="760" t="n">
        <v>0.003165362035798035</v>
      </c>
      <c r="M72" s="351" t="n">
        <v>-530520.3076325604</v>
      </c>
      <c r="N72" s="351" t="n">
        <v>-7320.65</v>
      </c>
      <c r="O72" s="351" t="n">
        <v>-1500</v>
      </c>
      <c r="P72" s="351" t="n">
        <v>-236.1716594754836</v>
      </c>
      <c r="Q72" s="351" t="n">
        <v>-60422.86999999992</v>
      </c>
      <c r="R72" s="351" t="n">
        <v>-599999.9992920358</v>
      </c>
      <c r="S72" s="761" t="n"/>
      <c r="T72" s="249" t="n">
        <v>-397576.6077200603</v>
      </c>
      <c r="U72" s="754" t="n">
        <v>0</v>
      </c>
      <c r="V72" s="249" t="n">
        <v>-8820.65</v>
      </c>
      <c r="W72" s="249" t="n">
        <v>-176.9891290927035</v>
      </c>
      <c r="X72" s="212" t="n">
        <v>59.1825303827801</v>
      </c>
      <c r="Y72" s="249" t="n">
        <v>-45703.47983804197</v>
      </c>
      <c r="Z72" s="212" t="n">
        <v>14719.39016195796</v>
      </c>
      <c r="AA72" s="249" t="n">
        <v>-452277.726687195</v>
      </c>
      <c r="AB72" s="761" t="n"/>
      <c r="AC72" s="302" t="n">
        <v>-0.6626276795334339</v>
      </c>
      <c r="AD72" s="303" t="n">
        <v>-0.01470108333333333</v>
      </c>
      <c r="AE72" s="303" t="n">
        <v>-0.0002949818818211725</v>
      </c>
      <c r="AF72" s="303" t="n">
        <v>-0.07617246639673661</v>
      </c>
      <c r="AG72" s="919" t="n">
        <v>-0.7390951278119917</v>
      </c>
      <c r="AH72" s="761" t="n"/>
      <c r="AI72" s="326" t="n"/>
      <c r="AJ72" s="249" t="n"/>
      <c r="AK72" s="249" t="n">
        <v>-147722.2726048408</v>
      </c>
      <c r="AL72" s="756" t="n"/>
      <c r="AM72" s="308" t="n">
        <v>-147722.2726048408</v>
      </c>
      <c r="AN72" s="758" t="n">
        <v>-0.2462037876747347</v>
      </c>
      <c r="AO72" s="758" t="n">
        <v>-0.01470108333333333</v>
      </c>
      <c r="AP72" s="310" t="n">
        <v>-0.260904871008068</v>
      </c>
      <c r="AQ72" s="756" t="n"/>
      <c r="AR72" s="326" t="n"/>
      <c r="AS72" s="332" t="n">
        <v>-8707.911635735951</v>
      </c>
      <c r="AT72" s="308" t="n">
        <v>-8707.911635735951</v>
      </c>
      <c r="AU72" s="310" t="n">
        <v>0.01451318607668461</v>
      </c>
      <c r="AV72" s="756" t="n"/>
      <c r="AW72" s="326" t="n"/>
      <c r="AX72" s="332" t="n">
        <v>-156430.1842405768</v>
      </c>
      <c r="AY72" s="756" t="n"/>
      <c r="AZ72" s="326" t="n"/>
      <c r="BA72" s="332" t="n"/>
      <c r="BB72" s="756" t="n"/>
    </row>
    <row r="73">
      <c r="A73" s="752" t="inlineStr">
        <is>
          <t>The Mark T. Kirchdorfer 2015 Family Delaware Dynasty Trust</t>
        </is>
      </c>
      <c r="B73" s="351" t="n">
        <v>0</v>
      </c>
      <c r="C73" s="351" t="n">
        <v>0</v>
      </c>
      <c r="D73" s="351" t="inlineStr">
        <is>
          <t>BBR</t>
        </is>
      </c>
      <c r="E73" s="761" t="n">
        <v>1000000</v>
      </c>
      <c r="F73" s="760" t="n">
        <v>0.007369718213180389</v>
      </c>
      <c r="G73" s="761" t="n">
        <v>1000000</v>
      </c>
      <c r="H73" s="761" t="n">
        <v>1000000</v>
      </c>
      <c r="I73" s="760" t="n">
        <v>0.00703968664316058</v>
      </c>
      <c r="J73" s="760" t="n">
        <v>0.005275603392996725</v>
      </c>
      <c r="K73" s="760" t="n">
        <v>0.005275603392996725</v>
      </c>
      <c r="M73" s="351" t="n">
        <v>-884200.512720934</v>
      </c>
      <c r="N73" s="351" t="n">
        <v>-12201.09</v>
      </c>
      <c r="O73" s="351" t="n">
        <v>-2500</v>
      </c>
      <c r="P73" s="351" t="n">
        <v>-393.6194324591393</v>
      </c>
      <c r="Q73" s="351" t="n">
        <v>-100704.7800000001</v>
      </c>
      <c r="R73" s="351" t="n">
        <v>-1000000.002153393</v>
      </c>
      <c r="S73" s="761" t="n"/>
      <c r="T73" s="249" t="n">
        <v>-662627.6795334339</v>
      </c>
      <c r="U73" s="754" t="n">
        <v>0</v>
      </c>
      <c r="V73" s="249" t="n">
        <v>-14701.09</v>
      </c>
      <c r="W73" s="249" t="n">
        <v>-294.9818818211725</v>
      </c>
      <c r="X73" s="212" t="n">
        <v>98.63755063796685</v>
      </c>
      <c r="Y73" s="249" t="n">
        <v>-76172.46639673659</v>
      </c>
      <c r="Z73" s="212" t="n">
        <v>24532.31360326346</v>
      </c>
      <c r="AA73" s="249" t="n">
        <v>-753796.2178119916</v>
      </c>
      <c r="AB73" s="761" t="n"/>
      <c r="AC73" s="302" t="n">
        <v>-0.6626276795334338</v>
      </c>
      <c r="AD73" s="303" t="n">
        <v>-0.01470109</v>
      </c>
      <c r="AE73" s="303" t="n">
        <v>-0.0002949818818211724</v>
      </c>
      <c r="AF73" s="303" t="n">
        <v>-0.0761724663967366</v>
      </c>
      <c r="AG73" s="919" t="n">
        <v>-0.7390951278119916</v>
      </c>
      <c r="AH73" s="761" t="n"/>
      <c r="AI73" s="326" t="n"/>
      <c r="AJ73" s="249" t="n"/>
      <c r="AK73" s="249" t="n">
        <v>-246203.7843414015</v>
      </c>
      <c r="AL73" s="756" t="n"/>
      <c r="AM73" s="308" t="n">
        <v>-246203.7843414015</v>
      </c>
      <c r="AN73" s="758" t="n">
        <v>-0.2462037843414015</v>
      </c>
      <c r="AO73" s="758" t="n">
        <v>-0.01470109</v>
      </c>
      <c r="AP73" s="310" t="n">
        <v>-0.2609048743414015</v>
      </c>
      <c r="AQ73" s="756" t="n"/>
      <c r="AR73" s="326" t="n"/>
      <c r="AS73" s="332" t="n">
        <v>-14513.18605955992</v>
      </c>
      <c r="AT73" s="308" t="n">
        <v>-14513.18605955992</v>
      </c>
      <c r="AU73" s="310" t="n">
        <v>0.01451318602830732</v>
      </c>
      <c r="AV73" s="756" t="n"/>
      <c r="AW73" s="326" t="n"/>
      <c r="AX73" s="332" t="n">
        <v>-260716.9704009615</v>
      </c>
      <c r="AY73" s="756" t="n"/>
      <c r="AZ73" s="326" t="n"/>
      <c r="BA73" s="332" t="n"/>
      <c r="BB73" s="756" t="n"/>
    </row>
    <row r="74">
      <c r="A74" s="752" t="inlineStr">
        <is>
          <t>University of Southern California</t>
        </is>
      </c>
      <c r="B74" s="351" t="n">
        <v>0</v>
      </c>
      <c r="C74" s="351" t="n">
        <v>0</v>
      </c>
      <c r="D74" s="351" t="inlineStr">
        <is>
          <t>USC</t>
        </is>
      </c>
      <c r="E74" s="761" t="n">
        <v>20000000</v>
      </c>
      <c r="F74" s="760" t="n">
        <v>0.1473943642636078</v>
      </c>
      <c r="G74" s="761" t="n">
        <v>20000000</v>
      </c>
      <c r="H74" s="761" t="n">
        <v>20000000</v>
      </c>
      <c r="I74" s="760" t="n">
        <v>0.1407937328632116</v>
      </c>
      <c r="J74" s="760" t="n">
        <v>0.1055120678599345</v>
      </c>
      <c r="K74" s="760" t="n">
        <v>0.1055120678599345</v>
      </c>
      <c r="M74" s="351" t="n">
        <v>-17684010.25441868</v>
      </c>
      <c r="N74" s="351" t="n">
        <v>-294021.74</v>
      </c>
      <c r="O74" s="351" t="n">
        <v>-75000</v>
      </c>
      <c r="P74" s="351" t="n">
        <v>-7872.388649182786</v>
      </c>
      <c r="Q74" s="351" t="n">
        <v>-1939095.619999997</v>
      </c>
      <c r="R74" s="351" t="n">
        <v>-20000000.00306786</v>
      </c>
      <c r="S74" s="761" t="n"/>
      <c r="T74" s="249" t="n">
        <v>-13252553.59066868</v>
      </c>
      <c r="U74" s="754" t="n">
        <v>0</v>
      </c>
      <c r="V74" s="249" t="n">
        <v>-369021.74</v>
      </c>
      <c r="W74" s="249" t="n">
        <v>-5899.637636423449</v>
      </c>
      <c r="X74" s="212" t="n">
        <v>1972.751012759337</v>
      </c>
      <c r="Y74" s="249" t="n">
        <v>-1523449.327934732</v>
      </c>
      <c r="Z74" s="212" t="n">
        <v>415646.2920652654</v>
      </c>
      <c r="AA74" s="249" t="n">
        <v>-15150924.29623983</v>
      </c>
      <c r="AB74" s="761" t="n"/>
      <c r="AC74" s="302" t="n">
        <v>-0.6626276795334338</v>
      </c>
      <c r="AD74" s="303" t="n">
        <v>-0.018451087</v>
      </c>
      <c r="AE74" s="303" t="n">
        <v>-0.0002949818818211724</v>
      </c>
      <c r="AF74" s="303" t="n">
        <v>-0.0761724663967366</v>
      </c>
      <c r="AG74" s="919" t="n">
        <v>-0.7390951278119916</v>
      </c>
      <c r="AH74" s="761" t="n"/>
      <c r="AI74" s="326" t="n"/>
      <c r="AJ74" s="249" t="n"/>
      <c r="AK74" s="249" t="n">
        <v>-4849075.706828028</v>
      </c>
      <c r="AL74" s="756" t="n"/>
      <c r="AM74" s="308" t="n">
        <v>-4849075.706828028</v>
      </c>
      <c r="AN74" s="758" t="n">
        <v>-0.2424537853414014</v>
      </c>
      <c r="AO74" s="758" t="n">
        <v>-0.018451087</v>
      </c>
      <c r="AP74" s="310" t="n">
        <v>-0.2609048723414014</v>
      </c>
      <c r="AQ74" s="756" t="n"/>
      <c r="AR74" s="326" t="n"/>
      <c r="AS74" s="332" t="n">
        <v>-290263.7211911984</v>
      </c>
      <c r="AT74" s="308" t="n">
        <v>-290263.7211911984</v>
      </c>
      <c r="AU74" s="310" t="n">
        <v>0.0145131860573337</v>
      </c>
      <c r="AV74" s="756" t="n"/>
      <c r="AW74" s="326" t="n"/>
      <c r="AX74" s="332" t="n">
        <v>-5139339.428019227</v>
      </c>
      <c r="AY74" s="756" t="n"/>
      <c r="AZ74" s="326" t="n"/>
      <c r="BA74" s="332" t="n"/>
      <c r="BB74" s="756" t="n"/>
    </row>
    <row r="75">
      <c r="A75" s="752" t="inlineStr">
        <is>
          <t>Walker D. Zimmerman</t>
        </is>
      </c>
      <c r="B75" s="351" t="n">
        <v>0</v>
      </c>
      <c r="C75" s="351" t="n">
        <v>0</v>
      </c>
      <c r="D75" s="351" t="inlineStr">
        <is>
          <t>Standard</t>
        </is>
      </c>
      <c r="E75" s="761" t="n">
        <v>250000</v>
      </c>
      <c r="F75" s="760" t="n">
        <v>0.001842429553295097</v>
      </c>
      <c r="G75" s="761" t="n">
        <v>250000</v>
      </c>
      <c r="H75" s="761" t="n">
        <v>250000</v>
      </c>
      <c r="I75" s="760" t="n">
        <v>0.001759921660790145</v>
      </c>
      <c r="J75" s="760" t="n">
        <v>0.001318900848249181</v>
      </c>
      <c r="K75" s="760" t="n">
        <v>0.001318900848249181</v>
      </c>
      <c r="M75" s="351" t="n">
        <v>-221050.1281802335</v>
      </c>
      <c r="N75" s="351" t="n">
        <v>-4575.41</v>
      </c>
      <c r="O75" s="351" t="n">
        <v>-937.5</v>
      </c>
      <c r="P75" s="351" t="n">
        <v>-98.40485811478483</v>
      </c>
      <c r="Q75" s="351" t="n">
        <v>-23338.56000000001</v>
      </c>
      <c r="R75" s="351" t="n">
        <v>-250000.0030383483</v>
      </c>
      <c r="S75" s="761" t="n"/>
      <c r="T75" s="249" t="n">
        <v>-165656.9198833585</v>
      </c>
      <c r="U75" s="754" t="n">
        <v>0</v>
      </c>
      <c r="V75" s="249" t="n">
        <v>-5512.91</v>
      </c>
      <c r="W75" s="249" t="n">
        <v>-73.74547045529312</v>
      </c>
      <c r="X75" s="212" t="n">
        <v>24.65938765949171</v>
      </c>
      <c r="Y75" s="249" t="n">
        <v>-19043.11659918415</v>
      </c>
      <c r="Z75" s="212" t="n">
        <v>4295.443400815864</v>
      </c>
      <c r="AA75" s="249" t="n">
        <v>-190286.6919529979</v>
      </c>
      <c r="AB75" s="761" t="n"/>
      <c r="AC75" s="302" t="n">
        <v>-0.6626276795334338</v>
      </c>
      <c r="AD75" s="303" t="n">
        <v>-0.02205164</v>
      </c>
      <c r="AE75" s="303" t="n">
        <v>-0.0002949818818211724</v>
      </c>
      <c r="AF75" s="303" t="n">
        <v>-0.0761724663967366</v>
      </c>
      <c r="AG75" s="919" t="n">
        <v>-0.7390951278119916</v>
      </c>
      <c r="AH75" s="761" t="n"/>
      <c r="AI75" s="326" t="n"/>
      <c r="AJ75" s="249" t="n"/>
      <c r="AK75" s="249" t="n">
        <v>-59713.3110853504</v>
      </c>
      <c r="AL75" s="756" t="n"/>
      <c r="AM75" s="308" t="n">
        <v>-59713.3110853504</v>
      </c>
      <c r="AN75" s="758" t="n">
        <v>-0.2388532443414016</v>
      </c>
      <c r="AO75" s="758" t="n">
        <v>-0.02205164</v>
      </c>
      <c r="AP75" s="310" t="n">
        <v>-0.2609048843414016</v>
      </c>
      <c r="AQ75" s="756" t="n"/>
      <c r="AR75" s="326" t="n"/>
      <c r="AS75" s="332" t="n">
        <v>-3628.296514889979</v>
      </c>
      <c r="AT75" s="308" t="n">
        <v>-3628.296514889979</v>
      </c>
      <c r="AU75" s="310" t="n">
        <v>0.01451318588317546</v>
      </c>
      <c r="AV75" s="756" t="n"/>
      <c r="AW75" s="326" t="n"/>
      <c r="AX75" s="332" t="n">
        <v>-63341.60760024039</v>
      </c>
      <c r="AY75" s="756" t="n"/>
      <c r="AZ75" s="326" t="n"/>
      <c r="BA75" s="332" t="n"/>
      <c r="BB75" s="756" t="n"/>
    </row>
    <row r="76">
      <c r="A76" s="752" t="inlineStr">
        <is>
          <t>Wilson Family Trust DTD 3-6-1987</t>
        </is>
      </c>
      <c r="B76" s="351" t="n">
        <v>313201.2622163538</v>
      </c>
      <c r="C76" s="351" t="n">
        <v>0</v>
      </c>
      <c r="D76" s="351" t="inlineStr">
        <is>
          <t>Standard</t>
        </is>
      </c>
      <c r="E76" s="761" t="n">
        <v>313201.26</v>
      </c>
      <c r="F76" s="760" t="n">
        <v>0.002308205030213046</v>
      </c>
      <c r="G76" s="761" t="n">
        <v>313201.26</v>
      </c>
      <c r="H76" s="761" t="n">
        <v>313201.26</v>
      </c>
      <c r="I76" s="760" t="n">
        <v>0.002204838726643064</v>
      </c>
      <c r="J76" s="760" t="n">
        <v>0.00165232562994685</v>
      </c>
      <c r="K76" s="760" t="n">
        <v>0.00165232562994685</v>
      </c>
      <c r="M76" s="351" t="n">
        <v>-276932.7146768426</v>
      </c>
      <c r="N76" s="351" t="n">
        <v>-2560.89</v>
      </c>
      <c r="O76" s="351" t="n">
        <v>-1174.5</v>
      </c>
      <c r="P76" s="351" t="n">
        <v>-123.2821022066873</v>
      </c>
      <c r="Q76" s="351" t="n">
        <v>-32409.87999999995</v>
      </c>
      <c r="R76" s="351" t="n">
        <v>-313201.2667790492</v>
      </c>
      <c r="S76" s="761" t="n"/>
      <c r="T76" s="249" t="n">
        <v>-207535.8241407477</v>
      </c>
      <c r="U76" s="754" t="n">
        <v>0</v>
      </c>
      <c r="V76" s="249" t="n">
        <v>-3735.39</v>
      </c>
      <c r="W76" s="249" t="n">
        <v>-92.38869706356232</v>
      </c>
      <c r="X76" s="212" t="n">
        <v>30.89340514312502</v>
      </c>
      <c r="Y76" s="249" t="n">
        <v>-23857.31245276556</v>
      </c>
      <c r="Z76" s="212" t="n">
        <v>8552.56754723439</v>
      </c>
      <c r="AA76" s="249" t="n">
        <v>-235220.9152905768</v>
      </c>
      <c r="AB76" s="761" t="n"/>
      <c r="AC76" s="302" t="n">
        <v>-0.6626276795334338</v>
      </c>
      <c r="AD76" s="303" t="n">
        <v>-0.0119264845869394</v>
      </c>
      <c r="AE76" s="303" t="n">
        <v>-0.0002949818818211725</v>
      </c>
      <c r="AF76" s="303" t="n">
        <v>-0.0761724663967366</v>
      </c>
      <c r="AG76" s="919" t="n">
        <v>-0.7390951278119916</v>
      </c>
      <c r="AH76" s="761" t="n"/>
      <c r="AI76" s="326" t="n"/>
      <c r="AJ76" s="249" t="n"/>
      <c r="AK76" s="249" t="n">
        <v>-77980.35148847237</v>
      </c>
      <c r="AL76" s="756" t="n"/>
      <c r="AM76" s="308" t="n">
        <v>-77980.35148847237</v>
      </c>
      <c r="AN76" s="758" t="n">
        <v>-0.2489784092454557</v>
      </c>
      <c r="AO76" s="758" t="n">
        <v>-0.0119264845869394</v>
      </c>
      <c r="AP76" s="310" t="n">
        <v>-0.2609048938323951</v>
      </c>
      <c r="AQ76" s="756" t="n"/>
      <c r="AR76" s="326" t="n"/>
      <c r="AS76" s="332" t="n">
        <v>-4545.5481604686</v>
      </c>
      <c r="AT76" s="308" t="n">
        <v>-4545.5481604686</v>
      </c>
      <c r="AU76" s="310" t="n">
        <v>0.01451318574543091</v>
      </c>
      <c r="AV76" s="756" t="n"/>
      <c r="AW76" s="326" t="n"/>
      <c r="AX76" s="332" t="n">
        <v>-82525.89964894098</v>
      </c>
      <c r="AY76" s="756" t="n"/>
      <c r="AZ76" s="326" t="n"/>
      <c r="BA76" s="332" t="n"/>
      <c r="BB76" s="756" t="n"/>
    </row>
    <row r="77">
      <c r="A77" s="752" t="inlineStr">
        <is>
          <t>Wilson GST Exempt Trust</t>
        </is>
      </c>
      <c r="B77" s="351" t="n">
        <v>313201.2622163538</v>
      </c>
      <c r="C77" s="351" t="n">
        <v>0</v>
      </c>
      <c r="D77" s="351" t="inlineStr">
        <is>
          <t>Standard</t>
        </is>
      </c>
      <c r="E77" s="761" t="n">
        <v>313201.26</v>
      </c>
      <c r="F77" s="760" t="n">
        <v>0.002308205030213046</v>
      </c>
      <c r="G77" s="761" t="n">
        <v>313201.26</v>
      </c>
      <c r="H77" s="761" t="n">
        <v>313201.26</v>
      </c>
      <c r="I77" s="760" t="n">
        <v>0.002204838726643064</v>
      </c>
      <c r="J77" s="760" t="n">
        <v>0.00165232562994685</v>
      </c>
      <c r="K77" s="760" t="n">
        <v>0.00165232562994685</v>
      </c>
      <c r="M77" s="351" t="n">
        <v>-276932.7146768426</v>
      </c>
      <c r="N77" s="351" t="n">
        <v>-2560.89</v>
      </c>
      <c r="O77" s="351" t="n">
        <v>-1174.5</v>
      </c>
      <c r="P77" s="351" t="n">
        <v>-123.2821022066873</v>
      </c>
      <c r="Q77" s="351" t="n">
        <v>-32409.87999999995</v>
      </c>
      <c r="R77" s="351" t="n">
        <v>-313201.2667790492</v>
      </c>
      <c r="S77" s="761" t="n"/>
      <c r="T77" s="249" t="n">
        <v>-207535.8241407477</v>
      </c>
      <c r="U77" s="754" t="n">
        <v>0</v>
      </c>
      <c r="V77" s="249" t="n">
        <v>-3735.39</v>
      </c>
      <c r="W77" s="249" t="n">
        <v>-92.38869706356232</v>
      </c>
      <c r="X77" s="212" t="n">
        <v>30.89340514312502</v>
      </c>
      <c r="Y77" s="249" t="n">
        <v>-23857.31245276556</v>
      </c>
      <c r="Z77" s="212" t="n">
        <v>8552.56754723439</v>
      </c>
      <c r="AA77" s="249" t="n">
        <v>-235220.9152905768</v>
      </c>
      <c r="AB77" s="761" t="n"/>
      <c r="AC77" s="302" t="n">
        <v>-0.6626276795334338</v>
      </c>
      <c r="AD77" s="303" t="n">
        <v>-0.0119264845869394</v>
      </c>
      <c r="AE77" s="303" t="n">
        <v>-0.0002949818818211725</v>
      </c>
      <c r="AF77" s="303" t="n">
        <v>-0.0761724663967366</v>
      </c>
      <c r="AG77" s="919" t="n">
        <v>-0.7390951278119916</v>
      </c>
      <c r="AH77" s="761" t="n"/>
      <c r="AI77" s="326" t="n"/>
      <c r="AJ77" s="249" t="n"/>
      <c r="AK77" s="249" t="n">
        <v>-77980.35148847237</v>
      </c>
      <c r="AL77" s="756" t="n"/>
      <c r="AM77" s="308" t="n">
        <v>-77980.35148847237</v>
      </c>
      <c r="AN77" s="758" t="n">
        <v>-0.2489784092454557</v>
      </c>
      <c r="AO77" s="758" t="n">
        <v>-0.0119264845869394</v>
      </c>
      <c r="AP77" s="310" t="n">
        <v>-0.2609048938323951</v>
      </c>
      <c r="AQ77" s="756" t="n"/>
      <c r="AR77" s="326" t="n"/>
      <c r="AS77" s="332" t="n">
        <v>-4545.5481604686</v>
      </c>
      <c r="AT77" s="308" t="n">
        <v>-4545.5481604686</v>
      </c>
      <c r="AU77" s="310" t="n">
        <v>0.01451318574543091</v>
      </c>
      <c r="AV77" s="756" t="n"/>
      <c r="AW77" s="326" t="n"/>
      <c r="AX77" s="332" t="n">
        <v>-82525.89964894098</v>
      </c>
      <c r="AY77" s="756" t="n"/>
      <c r="AZ77" s="326" t="n"/>
      <c r="BA77" s="332" t="n"/>
      <c r="BB77" s="756" t="n"/>
    </row>
    <row r="78">
      <c r="A78" s="283" t="inlineStr">
        <is>
          <t>Texas Emerging Managers Private Markets Program, L.P. (2025-1 RE Investment Series)</t>
        </is>
      </c>
      <c r="B78" s="285" t="n">
        <v>0</v>
      </c>
      <c r="C78" s="285" t="n">
        <v>0</v>
      </c>
      <c r="D78" s="285" t="inlineStr">
        <is>
          <t>Standard</t>
        </is>
      </c>
      <c r="E78" s="285" t="n">
        <v>0</v>
      </c>
      <c r="F78" s="287" t="n">
        <v>0</v>
      </c>
      <c r="G78" s="285" t="n">
        <v>5000000</v>
      </c>
      <c r="H78" s="285" t="n">
        <v>5000000</v>
      </c>
      <c r="I78" s="286" t="n">
        <v>0</v>
      </c>
      <c r="J78" s="287" t="n">
        <v>0.02637801696498362</v>
      </c>
      <c r="K78" s="287" t="n">
        <v>0.02637801696498362</v>
      </c>
      <c r="M78" s="285" t="n">
        <v>0</v>
      </c>
      <c r="N78" s="285" t="n">
        <v>0</v>
      </c>
      <c r="O78" s="285" t="n">
        <v>0</v>
      </c>
      <c r="P78" s="285" t="n">
        <v>0</v>
      </c>
      <c r="Q78" s="285" t="n">
        <v>0</v>
      </c>
      <c r="R78" s="285" t="n">
        <v>0</v>
      </c>
      <c r="S78" s="285" t="n"/>
      <c r="T78" s="285" t="n">
        <v>-3313138.397667169</v>
      </c>
      <c r="U78" s="285" t="n">
        <v>-73505.43478260869</v>
      </c>
      <c r="V78" s="285" t="n">
        <v>-73505.43478260869</v>
      </c>
      <c r="W78" s="285" t="n">
        <v>-1474.909409105862</v>
      </c>
      <c r="X78" s="285" t="n">
        <v>-1474.909409105862</v>
      </c>
      <c r="Y78" s="285" t="n">
        <v>-380862.331983683</v>
      </c>
      <c r="Z78" s="285" t="n">
        <v>-380862.331983683</v>
      </c>
      <c r="AA78" s="285" t="n">
        <v>-3768981.073842567</v>
      </c>
      <c r="AB78" s="285" t="n"/>
      <c r="AC78" s="296" t="n">
        <v>-0.6626276795334338</v>
      </c>
      <c r="AD78" s="297" t="n">
        <v>-0.01470108695652174</v>
      </c>
      <c r="AE78" s="297" t="n">
        <v>-0.0002949818818211724</v>
      </c>
      <c r="AF78" s="297" t="n">
        <v>-0.0761724663967366</v>
      </c>
      <c r="AG78" s="1004" t="n">
        <v>-0.7390951278119916</v>
      </c>
      <c r="AH78" s="285" t="n"/>
      <c r="AI78" s="518" t="n">
        <v>3695475.639059958</v>
      </c>
      <c r="AJ78" s="445" t="n"/>
      <c r="AK78" s="285" t="n">
        <v>3695475.639059958</v>
      </c>
      <c r="AL78" s="288" t="n"/>
      <c r="AM78" s="292" t="n">
        <v>-1231018.926157433</v>
      </c>
      <c r="AN78" s="293" t="n">
        <v>-0.2462037852314867</v>
      </c>
      <c r="AO78" s="293" t="n">
        <v>-0.01470108695652174</v>
      </c>
      <c r="AP78" s="294" t="n">
        <v>-0.2609048721880084</v>
      </c>
      <c r="AQ78" s="756" t="n"/>
      <c r="AR78" s="327" t="n">
        <v>207294.7365899178</v>
      </c>
      <c r="AS78" s="334" t="n">
        <v>0</v>
      </c>
      <c r="AT78" s="292" t="n">
        <v>0</v>
      </c>
      <c r="AU78" s="294" t="n">
        <v>0</v>
      </c>
      <c r="AV78" s="756" t="n"/>
      <c r="AW78" s="327" t="n">
        <v>3902770.375649876</v>
      </c>
      <c r="AX78" s="334" t="n">
        <v>0</v>
      </c>
      <c r="AY78" s="756" t="n"/>
      <c r="AZ78" s="327" t="n">
        <v>3699.672424061942</v>
      </c>
      <c r="BA78" s="334" t="n">
        <v>0</v>
      </c>
      <c r="BB78" s="756" t="n"/>
    </row>
    <row r="79">
      <c r="A79" s="283" t="inlineStr">
        <is>
          <t>GCM Grosvenor NJ RE Emerging Managers Program, LP (2023-1 Investment Series)</t>
        </is>
      </c>
      <c r="B79" s="285" t="n">
        <v>0</v>
      </c>
      <c r="C79" s="285" t="n">
        <v>0</v>
      </c>
      <c r="D79" s="285" t="inlineStr">
        <is>
          <t>Standard</t>
        </is>
      </c>
      <c r="E79" s="285" t="n">
        <v>0</v>
      </c>
      <c r="F79" s="287" t="n">
        <v>0</v>
      </c>
      <c r="G79" s="285" t="n">
        <v>7500000</v>
      </c>
      <c r="H79" s="285" t="n">
        <v>7500000</v>
      </c>
      <c r="I79" s="286" t="n">
        <v>0</v>
      </c>
      <c r="J79" s="287" t="n">
        <v>0.03956702544747544</v>
      </c>
      <c r="K79" s="287" t="n">
        <v>0.03956702544747544</v>
      </c>
      <c r="M79" s="285" t="n">
        <v>0</v>
      </c>
      <c r="N79" s="285" t="n">
        <v>0</v>
      </c>
      <c r="O79" s="285" t="n">
        <v>0</v>
      </c>
      <c r="P79" s="285" t="n">
        <v>0</v>
      </c>
      <c r="Q79" s="285" t="n">
        <v>0</v>
      </c>
      <c r="R79" s="285" t="n">
        <v>0</v>
      </c>
      <c r="S79" s="285" t="n"/>
      <c r="T79" s="285" t="n">
        <v>-4969707.596500753</v>
      </c>
      <c r="U79" s="285" t="n">
        <v>-110258.1521739131</v>
      </c>
      <c r="V79" s="285" t="n">
        <v>-110258.1521739131</v>
      </c>
      <c r="W79" s="285" t="n">
        <v>-2212.364113658793</v>
      </c>
      <c r="X79" s="285" t="n">
        <v>-2212.364113658793</v>
      </c>
      <c r="Y79" s="285" t="n">
        <v>-571293.4979755245</v>
      </c>
      <c r="Z79" s="285" t="n">
        <v>-571293.4979755245</v>
      </c>
      <c r="AA79" s="285" t="n">
        <v>-5653471.61076385</v>
      </c>
      <c r="AB79" s="285" t="n"/>
      <c r="AC79" s="296" t="n">
        <v>-0.6626276795334338</v>
      </c>
      <c r="AD79" s="297" t="n">
        <v>-0.01470108695652174</v>
      </c>
      <c r="AE79" s="297" t="n">
        <v>-0.0002949818818211724</v>
      </c>
      <c r="AF79" s="297" t="n">
        <v>-0.0761724663967366</v>
      </c>
      <c r="AG79" s="1004" t="n">
        <v>-0.7390951278119916</v>
      </c>
      <c r="AH79" s="285" t="n"/>
      <c r="AI79" s="518" t="n">
        <v>5543213.458589937</v>
      </c>
      <c r="AJ79" s="445" t="n"/>
      <c r="AK79" s="285" t="n">
        <v>5543213.458589937</v>
      </c>
      <c r="AL79" s="288" t="n"/>
      <c r="AM79" s="292" t="n">
        <v>-1846528.38923615</v>
      </c>
      <c r="AN79" s="293" t="n">
        <v>-0.2462037852314867</v>
      </c>
      <c r="AO79" s="293" t="n">
        <v>-0.01470108695652174</v>
      </c>
      <c r="AP79" s="294" t="n">
        <v>-0.2609048721880085</v>
      </c>
      <c r="AQ79" s="756" t="n"/>
      <c r="AR79" s="327" t="n">
        <v>310942.1048848766</v>
      </c>
      <c r="AS79" s="334" t="n">
        <v>0</v>
      </c>
      <c r="AT79" s="292" t="n">
        <v>0</v>
      </c>
      <c r="AU79" s="294" t="n">
        <v>0</v>
      </c>
      <c r="AV79" s="756" t="n"/>
      <c r="AW79" s="327" t="n">
        <v>5854155.563474813</v>
      </c>
      <c r="AX79" s="334" t="n">
        <v>0</v>
      </c>
      <c r="AY79" s="756" t="n"/>
      <c r="AZ79" s="327" t="n">
        <v>5549.508636092913</v>
      </c>
      <c r="BA79" s="334" t="n">
        <v>0</v>
      </c>
      <c r="BB79" s="756" t="n"/>
    </row>
    <row r="80">
      <c r="A80" s="283" t="inlineStr">
        <is>
          <t>GCM Grosvenor - NYSTRS Real Estate Investment Partners, L.P. (2024-1 Series)</t>
        </is>
      </c>
      <c r="B80" s="285" t="n">
        <v>0</v>
      </c>
      <c r="C80" s="285" t="n">
        <v>0</v>
      </c>
      <c r="D80" s="285" t="inlineStr">
        <is>
          <t>Standard</t>
        </is>
      </c>
      <c r="E80" s="285" t="n">
        <v>0</v>
      </c>
      <c r="F80" s="287" t="n">
        <v>0</v>
      </c>
      <c r="G80" s="285" t="n">
        <v>5000000</v>
      </c>
      <c r="H80" s="285" t="n">
        <v>5000000</v>
      </c>
      <c r="I80" s="286" t="n">
        <v>0</v>
      </c>
      <c r="J80" s="287" t="n">
        <v>0.02637801696498362</v>
      </c>
      <c r="K80" s="287" t="n">
        <v>0.02637801696498362</v>
      </c>
      <c r="M80" s="285" t="n">
        <v>0</v>
      </c>
      <c r="N80" s="285" t="n">
        <v>0</v>
      </c>
      <c r="O80" s="285" t="n">
        <v>0</v>
      </c>
      <c r="P80" s="285" t="n">
        <v>0</v>
      </c>
      <c r="Q80" s="285" t="n">
        <v>0</v>
      </c>
      <c r="R80" s="285" t="n">
        <v>0</v>
      </c>
      <c r="S80" s="285" t="n"/>
      <c r="T80" s="285" t="n">
        <v>-3313138.397667169</v>
      </c>
      <c r="U80" s="285" t="n">
        <v>-73505.43478260869</v>
      </c>
      <c r="V80" s="285" t="n">
        <v>-73505.43478260869</v>
      </c>
      <c r="W80" s="285" t="n">
        <v>-1474.909409105862</v>
      </c>
      <c r="X80" s="285" t="n">
        <v>-1474.909409105862</v>
      </c>
      <c r="Y80" s="285" t="n">
        <v>-380862.331983683</v>
      </c>
      <c r="Z80" s="285" t="n">
        <v>-380862.331983683</v>
      </c>
      <c r="AA80" s="285" t="n">
        <v>-3768981.073842567</v>
      </c>
      <c r="AB80" s="285" t="n"/>
      <c r="AC80" s="296" t="n">
        <v>-0.6626276795334338</v>
      </c>
      <c r="AD80" s="297" t="n">
        <v>-0.01470108695652174</v>
      </c>
      <c r="AE80" s="297" t="n">
        <v>-0.0002949818818211724</v>
      </c>
      <c r="AF80" s="297" t="n">
        <v>-0.0761724663967366</v>
      </c>
      <c r="AG80" s="1004" t="n">
        <v>-0.7390951278119916</v>
      </c>
      <c r="AH80" s="285" t="n"/>
      <c r="AI80" s="518" t="n">
        <v>3695475.639059958</v>
      </c>
      <c r="AJ80" s="445" t="n"/>
      <c r="AK80" s="285" t="n">
        <v>3695475.639059958</v>
      </c>
      <c r="AL80" s="288" t="n"/>
      <c r="AM80" s="292" t="n">
        <v>-1231018.926157433</v>
      </c>
      <c r="AN80" s="293" t="n">
        <v>-0.2462037852314867</v>
      </c>
      <c r="AO80" s="293" t="n">
        <v>-0.01470108695652174</v>
      </c>
      <c r="AP80" s="294" t="n">
        <v>-0.2609048721880084</v>
      </c>
      <c r="AQ80" s="756" t="n"/>
      <c r="AR80" s="327" t="n">
        <v>207294.7365899178</v>
      </c>
      <c r="AS80" s="334" t="n">
        <v>0</v>
      </c>
      <c r="AT80" s="292" t="n">
        <v>0</v>
      </c>
      <c r="AU80" s="294" t="n">
        <v>0</v>
      </c>
      <c r="AV80" s="756" t="n"/>
      <c r="AW80" s="327" t="n">
        <v>3902770.375649876</v>
      </c>
      <c r="AX80" s="334" t="n">
        <v>0</v>
      </c>
      <c r="AY80" s="756" t="n"/>
      <c r="AZ80" s="327" t="n">
        <v>3699.672424061942</v>
      </c>
      <c r="BA80" s="334" t="n">
        <v>0</v>
      </c>
      <c r="BB80" s="756" t="n"/>
    </row>
    <row r="81">
      <c r="A81" s="283" t="inlineStr">
        <is>
          <t>CRPTF-GCM Middle-Market RE Partnership, L.P. (2025-01 Investment Series)</t>
        </is>
      </c>
      <c r="B81" s="285" t="n">
        <v>0</v>
      </c>
      <c r="C81" s="285" t="n">
        <v>0</v>
      </c>
      <c r="D81" s="285" t="inlineStr">
        <is>
          <t>Standard</t>
        </is>
      </c>
      <c r="E81" s="285" t="n">
        <v>0</v>
      </c>
      <c r="F81" s="287" t="n">
        <v>0</v>
      </c>
      <c r="G81" s="285" t="n">
        <v>30000000</v>
      </c>
      <c r="H81" s="285" t="n">
        <v>30000000</v>
      </c>
      <c r="I81" s="286" t="n">
        <v>0</v>
      </c>
      <c r="J81" s="287" t="n">
        <v>0.1582681017899017</v>
      </c>
      <c r="K81" s="287" t="n">
        <v>0.1582681017899017</v>
      </c>
      <c r="M81" s="285" t="n">
        <v>0</v>
      </c>
      <c r="N81" s="285" t="n">
        <v>0</v>
      </c>
      <c r="O81" s="285" t="n">
        <v>0</v>
      </c>
      <c r="P81" s="285" t="n">
        <v>0</v>
      </c>
      <c r="Q81" s="285" t="n">
        <v>0</v>
      </c>
      <c r="R81" s="285" t="n">
        <v>0</v>
      </c>
      <c r="S81" s="285" t="n"/>
      <c r="T81" s="285" t="n">
        <v>-19878830.38600301</v>
      </c>
      <c r="U81" s="285" t="n">
        <v>-441032.6086956522</v>
      </c>
      <c r="V81" s="285" t="n">
        <v>-441032.6086956522</v>
      </c>
      <c r="W81" s="285" t="n">
        <v>-8849.456454635174</v>
      </c>
      <c r="X81" s="285" t="n">
        <v>-8849.456454635174</v>
      </c>
      <c r="Y81" s="285" t="n">
        <v>-2285173.991902098</v>
      </c>
      <c r="Z81" s="285" t="n">
        <v>-2285173.991902098</v>
      </c>
      <c r="AA81" s="285" t="n">
        <v>-22613886.4430554</v>
      </c>
      <c r="AB81" s="285" t="n"/>
      <c r="AC81" s="296" t="n">
        <v>-0.6626276795334338</v>
      </c>
      <c r="AD81" s="297" t="n">
        <v>-0.01470108695652174</v>
      </c>
      <c r="AE81" s="297" t="n">
        <v>-0.0002949818818211724</v>
      </c>
      <c r="AF81" s="297" t="n">
        <v>-0.0761724663967366</v>
      </c>
      <c r="AG81" s="1004" t="n">
        <v>-0.7390951278119916</v>
      </c>
      <c r="AH81" s="285" t="n"/>
      <c r="AI81" s="518" t="n">
        <v>22172853.83435975</v>
      </c>
      <c r="AJ81" s="445" t="n"/>
      <c r="AK81" s="285" t="n">
        <v>22172853.83435975</v>
      </c>
      <c r="AL81" s="288" t="n"/>
      <c r="AM81" s="292" t="n">
        <v>-7386113.556944601</v>
      </c>
      <c r="AN81" s="293" t="n">
        <v>-0.2462037852314867</v>
      </c>
      <c r="AO81" s="293" t="n">
        <v>-0.01470108695652174</v>
      </c>
      <c r="AP81" s="294" t="n">
        <v>-0.2609048721880085</v>
      </c>
      <c r="AQ81" s="756" t="n"/>
      <c r="AR81" s="327" t="n">
        <v>1243768.419539506</v>
      </c>
      <c r="AS81" s="334" t="n">
        <v>0</v>
      </c>
      <c r="AT81" s="292" t="n">
        <v>0</v>
      </c>
      <c r="AU81" s="294" t="n">
        <v>0</v>
      </c>
      <c r="AV81" s="756" t="n"/>
      <c r="AW81" s="327" t="n">
        <v>23416622.25389925</v>
      </c>
      <c r="AX81" s="334" t="n">
        <v>0</v>
      </c>
      <c r="AY81" s="756" t="n"/>
      <c r="AZ81" s="327" t="n">
        <v>22198.03454437165</v>
      </c>
      <c r="BA81" s="334" t="n">
        <v>0</v>
      </c>
      <c r="BB81" s="756" t="n"/>
    </row>
    <row r="82">
      <c r="A82" s="752" t="inlineStr">
        <is>
          <t>Legacy Knight Strategic Opportunities Fund LLC - CL Rail Series</t>
        </is>
      </c>
      <c r="B82" s="351" t="n">
        <v>0</v>
      </c>
      <c r="C82" s="351" t="n">
        <v>0</v>
      </c>
      <c r="D82" s="351" t="inlineStr">
        <is>
          <t>Standard</t>
        </is>
      </c>
      <c r="E82" s="761" t="n">
        <v>10000000</v>
      </c>
      <c r="F82" s="760" t="n">
        <v>0.07369718213180389</v>
      </c>
      <c r="G82" s="761" t="n">
        <v>10000000</v>
      </c>
      <c r="H82" s="761" t="n">
        <v>10000000</v>
      </c>
      <c r="I82" s="760" t="n">
        <v>0.0703968664316058</v>
      </c>
      <c r="J82" s="760" t="n">
        <v>0.05275603392996725</v>
      </c>
      <c r="K82" s="760" t="n">
        <v>0.05275603392996725</v>
      </c>
      <c r="M82" s="351" t="n">
        <v>-8842005.127209339</v>
      </c>
      <c r="N82" s="351" t="n">
        <v>-183016.3</v>
      </c>
      <c r="O82" s="351" t="n">
        <v>-37500</v>
      </c>
      <c r="P82" s="351" t="n">
        <v>-3936.194324591393</v>
      </c>
      <c r="Q82" s="351" t="n">
        <v>-933542.379999999</v>
      </c>
      <c r="R82" s="351" t="n">
        <v>-10000000.00153393</v>
      </c>
      <c r="S82" s="761" t="n"/>
      <c r="T82" s="249" t="n">
        <v>-6626276.795334338</v>
      </c>
      <c r="U82" s="754" t="n">
        <v>0</v>
      </c>
      <c r="V82" s="249" t="n">
        <v>-220516.3</v>
      </c>
      <c r="W82" s="249" t="n">
        <v>-2949.818818211725</v>
      </c>
      <c r="X82" s="212" t="n">
        <v>986.3755063796684</v>
      </c>
      <c r="Y82" s="249" t="n">
        <v>-761724.663967366</v>
      </c>
      <c r="Z82" s="212" t="n">
        <v>171817.716032633</v>
      </c>
      <c r="AA82" s="249" t="n">
        <v>-7611467.578119916</v>
      </c>
      <c r="AB82" s="761" t="n"/>
      <c r="AC82" s="302" t="n">
        <v>-0.6626276795334338</v>
      </c>
      <c r="AD82" s="303" t="n">
        <v>-0.02205163</v>
      </c>
      <c r="AE82" s="303" t="n">
        <v>-0.0002949818818211724</v>
      </c>
      <c r="AF82" s="303" t="n">
        <v>-0.0761724663967366</v>
      </c>
      <c r="AG82" s="919" t="n">
        <v>-0.7390951278119916</v>
      </c>
      <c r="AH82" s="761" t="n"/>
      <c r="AI82" s="326" t="n"/>
      <c r="AJ82" s="249" t="n"/>
      <c r="AK82" s="249" t="n">
        <v>-2388532.423414014</v>
      </c>
      <c r="AL82" s="756" t="n"/>
      <c r="AM82" s="308" t="n">
        <v>-2388532.423414014</v>
      </c>
      <c r="AN82" s="758" t="n">
        <v>-0.2388532423414014</v>
      </c>
      <c r="AO82" s="758" t="n">
        <v>-0.02205163</v>
      </c>
      <c r="AP82" s="310" t="n">
        <v>-0.2609048723414014</v>
      </c>
      <c r="AQ82" s="756" t="n"/>
      <c r="AR82" s="326" t="n"/>
      <c r="AS82" s="332" t="n">
        <v>-145131.8605955992</v>
      </c>
      <c r="AT82" s="308" t="n">
        <v>-145131.8605955992</v>
      </c>
      <c r="AU82" s="310" t="n">
        <v>0.0145131860573337</v>
      </c>
      <c r="AV82" s="756" t="n"/>
      <c r="AW82" s="326" t="n"/>
      <c r="AX82" s="332" t="n">
        <v>-2533664.284009614</v>
      </c>
      <c r="AY82" s="756" t="n"/>
      <c r="AZ82" s="326" t="n"/>
      <c r="BA82" s="332" t="n"/>
      <c r="BB82" s="756" t="n"/>
    </row>
    <row r="83">
      <c r="A83" s="167" t="inlineStr">
        <is>
          <t>Argos Holdings, LLC</t>
        </is>
      </c>
      <c r="B83" s="146" t="n"/>
      <c r="C83" s="146" t="n"/>
      <c r="D83" s="146" t="n"/>
      <c r="E83" s="770" t="n">
        <v>391501.58</v>
      </c>
      <c r="F83" s="469" t="n">
        <v>0.002885256324614899</v>
      </c>
      <c r="G83" s="770" t="n">
        <v>391501.58</v>
      </c>
      <c r="H83" s="770" t="n">
        <v>391501.58</v>
      </c>
      <c r="I83" s="531" t="n">
        <v>0.002756048443502263</v>
      </c>
      <c r="J83" s="531" t="n">
        <v>0.002065407063811579</v>
      </c>
      <c r="K83" s="531" t="n">
        <v>0.002065407063811579</v>
      </c>
      <c r="M83" s="146" t="n">
        <v>-346165.8977670558</v>
      </c>
      <c r="N83" s="146" t="n">
        <v>-3201.12</v>
      </c>
      <c r="O83" s="146" t="n">
        <v>-1468.13</v>
      </c>
      <c r="P83" s="146" t="n">
        <v>-154.1026297264563</v>
      </c>
      <c r="Q83" s="146" t="n">
        <v>-40512.32999999998</v>
      </c>
      <c r="R83" s="146" t="n">
        <v>-391501.5803967822</v>
      </c>
      <c r="S83" s="770" t="n"/>
      <c r="T83" s="243" t="n">
        <v>-259419.783489073</v>
      </c>
      <c r="U83" s="247" t="n">
        <v>0</v>
      </c>
      <c r="V83" s="243" t="n">
        <v>-4669.25</v>
      </c>
      <c r="W83" s="243" t="n">
        <v>-115.4858728043623</v>
      </c>
      <c r="X83" s="213" t="n">
        <v>38.616756922094</v>
      </c>
      <c r="Y83" s="243" t="n">
        <v>-29821.64094681929</v>
      </c>
      <c r="Z83" s="213" t="n">
        <v>10690.68905318069</v>
      </c>
      <c r="AA83" s="243" t="n">
        <v>-294026.1603086967</v>
      </c>
      <c r="AB83" s="770" t="n"/>
      <c r="AC83" s="305" t="n">
        <v>-0.6626276795334338</v>
      </c>
      <c r="AD83" s="306" t="n">
        <v>-0.01192651636297355</v>
      </c>
      <c r="AE83" s="306" t="n">
        <v>-0.0002949818818211725</v>
      </c>
      <c r="AF83" s="306" t="n">
        <v>-0.0761724663967366</v>
      </c>
      <c r="AG83" s="1005" t="n">
        <v>-0.7390951278119916</v>
      </c>
      <c r="AH83" s="770" t="n"/>
      <c r="AI83" s="328" t="n"/>
      <c r="AJ83" s="243" t="n"/>
      <c r="AK83" s="243" t="n">
        <v>-97475.42008808552</v>
      </c>
      <c r="AL83" s="208" t="n"/>
      <c r="AM83" s="311" t="n">
        <v>-97475.42008808552</v>
      </c>
      <c r="AN83" s="312" t="n">
        <v>-0.2489783568385229</v>
      </c>
      <c r="AO83" s="312" t="n">
        <v>-0.01192651636297355</v>
      </c>
      <c r="AP83" s="313" t="n">
        <v>-0.2609048732014965</v>
      </c>
      <c r="AQ83" s="208" t="n"/>
      <c r="AR83" s="328" t="n"/>
      <c r="AS83" s="333" t="n">
        <v>-5681.935273151683</v>
      </c>
      <c r="AT83" s="311" t="n">
        <v>-5681.935273151683</v>
      </c>
      <c r="AU83" s="313" t="n">
        <v>0.01451318604485098</v>
      </c>
      <c r="AV83" s="208" t="n"/>
      <c r="AW83" s="328" t="n"/>
      <c r="AX83" s="333" t="n">
        <v>-103157.3553612372</v>
      </c>
      <c r="AY83" s="208" t="n"/>
      <c r="AZ83" s="328" t="n"/>
      <c r="BA83" s="333" t="n"/>
      <c r="BB83" s="756" t="n"/>
    </row>
    <row r="84">
      <c r="B84" s="766" t="n">
        <v>65319338.40952999</v>
      </c>
      <c r="C84" s="766" t="n">
        <v>8721682.007900495</v>
      </c>
      <c r="D84" s="766" t="n"/>
      <c r="E84" s="763" t="n">
        <v>142051777.4</v>
      </c>
      <c r="F84" s="764" t="n">
        <v>1</v>
      </c>
      <c r="G84" s="763" t="n">
        <v>189551777.4</v>
      </c>
      <c r="H84" s="763" t="n">
        <v>189551777.4</v>
      </c>
      <c r="I84" s="764" t="n">
        <v>1</v>
      </c>
      <c r="J84" s="764" t="n">
        <v>0.9999999999999998</v>
      </c>
      <c r="K84" s="764" t="n">
        <v>0.9999999999999998</v>
      </c>
      <c r="M84" s="766" t="n">
        <v>-125602254.41</v>
      </c>
      <c r="N84" s="766" t="n">
        <v>-1489768.275556793</v>
      </c>
      <c r="O84" s="766" t="n">
        <v>-465213.9800000001</v>
      </c>
      <c r="P84" s="766" t="n">
        <v>-55914.34000000003</v>
      </c>
      <c r="Q84" s="766" t="n">
        <v>-14438626.3944432</v>
      </c>
      <c r="R84" s="766" t="n">
        <v>-142051777.4</v>
      </c>
      <c r="S84" s="763" t="n"/>
      <c r="T84" s="767" t="n">
        <v>-125602254.41</v>
      </c>
      <c r="U84" s="767" t="n">
        <v>-698301.6304347827</v>
      </c>
      <c r="V84" s="767" t="n">
        <v>-2653283.885991576</v>
      </c>
      <c r="W84" s="767" t="n">
        <v>-55914.34</v>
      </c>
      <c r="X84" s="767" t="n">
        <v>154.1026297264509</v>
      </c>
      <c r="Y84" s="767" t="n">
        <v>-14438626.39444319</v>
      </c>
      <c r="Z84" s="767" t="n">
        <v>40512.33000000142</v>
      </c>
      <c r="AA84" s="767" t="n">
        <v>-142750079.0304347</v>
      </c>
      <c r="AB84" s="763" t="n"/>
      <c r="AC84" s="763" t="n"/>
      <c r="AD84" s="924" t="n"/>
      <c r="AE84" s="763" t="n"/>
      <c r="AF84" s="763" t="n"/>
      <c r="AH84" s="763" t="n"/>
      <c r="AI84" s="767" t="n">
        <v>35107018.5710696</v>
      </c>
      <c r="AJ84" s="767" t="n"/>
      <c r="AK84" s="767" t="n">
        <v>-4.394678398966789e-08</v>
      </c>
      <c r="AL84" s="31" t="n"/>
      <c r="AM84" s="763" t="n">
        <v>-46704222.94947717</v>
      </c>
      <c r="AQ84" s="31" t="n"/>
      <c r="AR84" s="767" t="n">
        <v>1969299.997604219</v>
      </c>
      <c r="AS84" s="767" t="n">
        <v>-1969299.997604221</v>
      </c>
      <c r="AT84" s="763" t="n">
        <v>-1963618.062331069</v>
      </c>
      <c r="AV84" s="31" t="n"/>
      <c r="AW84" s="767" t="n">
        <v>37076318.56867382</v>
      </c>
      <c r="AX84" s="767" t="n">
        <v>-37076318.56867386</v>
      </c>
      <c r="AY84" s="31" t="n"/>
      <c r="AZ84" s="767" t="n">
        <v>35146.88802858845</v>
      </c>
      <c r="BA84" s="767" t="n">
        <v>-35146.88802858845</v>
      </c>
      <c r="BB84" s="31" t="n"/>
    </row>
    <row r="85">
      <c r="R85" s="756" t="n">
        <v>0</v>
      </c>
      <c r="AA85" s="761" t="n"/>
    </row>
    <row r="86">
      <c r="A86" s="110" t="inlineStr">
        <is>
          <t>GP Commit</t>
        </is>
      </c>
      <c r="B86" s="756" t="n"/>
      <c r="C86" s="756" t="n"/>
      <c r="E86" s="756" t="n">
        <v>6361379.060000001</v>
      </c>
      <c r="H86" s="756" t="n"/>
      <c r="M86" s="756" t="n"/>
      <c r="N86" s="756" t="n"/>
      <c r="O86" s="756" t="n"/>
      <c r="P86" s="756" t="n"/>
      <c r="Q86" s="756" t="n"/>
      <c r="R86" s="756" t="inlineStr">
        <is>
          <t xml:space="preserve"> </t>
        </is>
      </c>
      <c r="S86" s="210" t="n"/>
      <c r="Y86" s="110" t="inlineStr">
        <is>
          <t>Increase in contributions</t>
        </is>
      </c>
      <c r="Z86" t="inlineStr">
        <is>
          <t>Difference</t>
        </is>
      </c>
      <c r="AA86" s="361" t="n">
        <v>-698301.6304346919</v>
      </c>
      <c r="AK86" s="31" t="n"/>
      <c r="AL86" s="110" t="inlineStr">
        <is>
          <t>Total commitment</t>
        </is>
      </c>
      <c r="AM86" s="316" t="n">
        <v>-189454301.9799119</v>
      </c>
      <c r="AS86" s="761" t="n"/>
    </row>
    <row r="87">
      <c r="A87" s="110" t="inlineStr">
        <is>
          <t>LP Capital (after Bloomingdale Transfer)</t>
        </is>
      </c>
      <c r="E87" s="756" t="n">
        <v>135690398.34</v>
      </c>
      <c r="H87" s="756" t="n"/>
      <c r="S87" s="157" t="n"/>
      <c r="AW87" s="337" t="inlineStr">
        <is>
          <t>Recon to total called</t>
        </is>
      </c>
      <c r="AX87" s="337" t="n"/>
    </row>
    <row r="88">
      <c r="O88" s="317" t="n"/>
      <c r="Y88" s="157" t="n"/>
      <c r="AA88" s="756" t="n"/>
      <c r="AW88" s="756" t="n">
        <v>37076318.56867382</v>
      </c>
      <c r="AX88" s="23" t="inlineStr">
        <is>
          <t>Total disributed to LPs</t>
        </is>
      </c>
    </row>
    <row r="89">
      <c r="AW89" s="756" t="n">
        <v>698301.6304347827</v>
      </c>
      <c r="AX89" s="23" t="inlineStr">
        <is>
          <t>Total management fees called</t>
        </is>
      </c>
    </row>
    <row r="90">
      <c r="W90" s="271" t="n"/>
      <c r="Y90" s="295" t="inlineStr">
        <is>
          <t>Total non-management fee contributions</t>
        </is>
      </c>
      <c r="Z90" s="271" t="n"/>
      <c r="AA90" s="754" t="n">
        <v>140096795.19</v>
      </c>
      <c r="AW90" s="208" t="n">
        <v>35146.88802858845</v>
      </c>
      <c r="AX90" s="23" t="inlineStr">
        <is>
          <t>Total management fee interest</t>
        </is>
      </c>
    </row>
    <row r="91">
      <c r="W91" s="271" t="n"/>
      <c r="Y91" s="295" t="inlineStr">
        <is>
          <t>ITD management fees</t>
        </is>
      </c>
      <c r="Z91" s="271" t="n"/>
      <c r="AA91" s="754" t="n">
        <v>1954982.21</v>
      </c>
      <c r="AW91" s="756" t="n">
        <v>37809767.08713719</v>
      </c>
      <c r="AX91" s="23" t="inlineStr">
        <is>
          <t>Total called</t>
        </is>
      </c>
    </row>
    <row r="92">
      <c r="W92" s="271" t="n"/>
      <c r="Y92" s="295" t="inlineStr">
        <is>
          <t>GCM manamgenet fees</t>
        </is>
      </c>
      <c r="Z92" s="271" t="n"/>
      <c r="AA92" s="247" t="n">
        <v>698301.6304347826</v>
      </c>
      <c r="AW92" s="208" t="n">
        <v>-37809767.08713719</v>
      </c>
      <c r="AX92" s="23" t="inlineStr">
        <is>
          <t>Total call from GCM</t>
        </is>
      </c>
    </row>
    <row r="93">
      <c r="O93" s="318" t="n"/>
      <c r="W93" s="271" t="n"/>
      <c r="Y93" s="295" t="inlineStr">
        <is>
          <t>Total invested capital post close</t>
        </is>
      </c>
      <c r="Z93" s="271" t="n"/>
      <c r="AA93" s="248" t="n">
        <v>142750079.0304348</v>
      </c>
      <c r="AW93" s="756" t="n">
        <v>0</v>
      </c>
      <c r="AX93" s="23" t="inlineStr">
        <is>
          <t>Difference</t>
        </is>
      </c>
    </row>
    <row r="95">
      <c r="F95" s="31" t="n"/>
      <c r="I95" s="252" t="inlineStr">
        <is>
          <t>Recap - Contributions - Investments</t>
        </is>
      </c>
      <c r="J95" s="253" t="n"/>
      <c r="K95" s="253" t="n"/>
      <c r="L95" s="253" t="n"/>
      <c r="M95" s="253" t="n"/>
      <c r="N95" s="253" t="n"/>
      <c r="O95" s="253" t="n"/>
      <c r="P95" s="254" t="n"/>
      <c r="Q95" s="253" t="n"/>
      <c r="R95" s="255" t="n"/>
      <c r="AA95" s="756" t="n">
        <v>0</v>
      </c>
    </row>
    <row r="96">
      <c r="I96" s="152" t="n"/>
      <c r="N96" s="157" t="n"/>
      <c r="O96" s="251" t="inlineStr">
        <is>
          <t>Total Contribution - Investments</t>
        </is>
      </c>
      <c r="P96" s="761" t="n"/>
      <c r="Q96" s="756" t="n">
        <v>-140096795.1444432</v>
      </c>
      <c r="R96" s="153" t="n"/>
    </row>
    <row r="97">
      <c r="I97" s="152" t="n"/>
      <c r="N97" s="157" t="n"/>
      <c r="O97" s="251" t="inlineStr">
        <is>
          <t>Total per Closing Interest Tab</t>
        </is>
      </c>
      <c r="P97" s="761" t="n"/>
      <c r="Q97" s="208" t="n">
        <v>140096794.4467555</v>
      </c>
      <c r="R97" s="153" t="n"/>
    </row>
    <row r="98">
      <c r="I98" s="152" t="n"/>
      <c r="N98" s="110" t="n"/>
      <c r="O98" s="520" t="inlineStr">
        <is>
          <t>Difference</t>
        </is>
      </c>
      <c r="P98" s="763" t="n"/>
      <c r="Q98" s="756" t="n">
        <v>-0.6976877450942993</v>
      </c>
      <c r="R98" s="153" t="n"/>
      <c r="Y98" s="31" t="n"/>
    </row>
    <row r="99">
      <c r="I99" s="152" t="n"/>
      <c r="R99" s="153" t="n"/>
      <c r="AH99" s="335" t="n"/>
    </row>
    <row r="100">
      <c r="F100" s="470" t="n"/>
      <c r="I100" s="262" t="inlineStr">
        <is>
          <t>Total Contributions (non-management fees) by Partner</t>
        </is>
      </c>
      <c r="J100" s="263" t="n"/>
      <c r="K100" s="263" t="n"/>
      <c r="L100" s="263" t="n"/>
      <c r="M100" s="263" t="n"/>
      <c r="N100" s="263" t="n"/>
      <c r="O100" s="263" t="n"/>
      <c r="P100" s="264" t="n"/>
      <c r="Q100" s="263" t="n"/>
      <c r="R100" s="256" t="n"/>
      <c r="AH100" s="761" t="n"/>
    </row>
    <row r="101">
      <c r="I101" s="152" t="n"/>
      <c r="O101" s="157" t="inlineStr">
        <is>
          <t>Texas Emerging Managers Private Markets Program, L.P. (2025-1 RE Investment Series)</t>
        </is>
      </c>
      <c r="Q101" s="756" t="n">
        <v>-3695475.639059958</v>
      </c>
      <c r="R101" s="153" t="n"/>
      <c r="AH101" s="761" t="n"/>
    </row>
    <row r="102">
      <c r="I102" s="152" t="n"/>
      <c r="O102" s="157" t="inlineStr">
        <is>
          <t>GCM Grosvenor NJ RE Emerging Managers Program, LP (2023-1 Investment Series)</t>
        </is>
      </c>
      <c r="Q102" s="756" t="n">
        <v>-5543213.458589937</v>
      </c>
      <c r="R102" s="153" t="n"/>
      <c r="AH102" s="763" t="n"/>
    </row>
    <row r="103">
      <c r="I103" s="152" t="n"/>
      <c r="O103" s="157" t="inlineStr">
        <is>
          <t>GCM Grosvenor - NYSTRS Real Estate Investment Partners, L.P. (2024-1 Series)</t>
        </is>
      </c>
      <c r="Q103" s="756" t="n">
        <v>-3695475.639059958</v>
      </c>
      <c r="R103" s="153" t="n"/>
    </row>
    <row r="104">
      <c r="I104" s="152" t="n"/>
      <c r="O104" s="157" t="inlineStr">
        <is>
          <t>CRPTF-GCM Middle-Market RE Partnership, L.P. (2025-01 Investment Series)</t>
        </is>
      </c>
      <c r="Q104" s="208" t="n">
        <v>-22172853.83435975</v>
      </c>
      <c r="R104" s="153" t="n"/>
      <c r="AH104" s="318" t="n"/>
    </row>
    <row r="105">
      <c r="I105" s="152" t="n"/>
      <c r="O105" s="110" t="inlineStr">
        <is>
          <t>Total</t>
        </is>
      </c>
      <c r="Q105" s="763" t="n">
        <v>-35107018.5710696</v>
      </c>
      <c r="R105" s="153" t="n"/>
    </row>
    <row r="106">
      <c r="I106" s="152" t="n"/>
      <c r="O106" s="157" t="inlineStr">
        <is>
          <t>Per closing interest tab</t>
        </is>
      </c>
      <c r="Q106" s="763" t="n">
        <v>35107018.39623523</v>
      </c>
      <c r="R106" s="153" t="n"/>
    </row>
    <row r="107">
      <c r="I107" s="154" t="n"/>
      <c r="J107" s="122" t="n"/>
      <c r="K107" s="122" t="n"/>
      <c r="L107" s="122" t="n"/>
      <c r="M107" s="122" t="n"/>
      <c r="N107" s="122" t="n"/>
      <c r="O107" s="122" t="n"/>
      <c r="P107" s="122" t="n"/>
      <c r="Q107" s="208" t="n">
        <v>-0.1748343706130981</v>
      </c>
      <c r="R107" s="155"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BA106"/>
  <sheetViews>
    <sheetView topLeftCell="P1" workbookViewId="0">
      <selection activeCell="E16" sqref="E16"/>
    </sheetView>
  </sheetViews>
  <sheetFormatPr baseColWidth="8" defaultColWidth="9.140625" defaultRowHeight="15"/>
  <cols>
    <col width="78.85546875" bestFit="1" customWidth="1" style="573" min="1" max="1"/>
    <col hidden="1" outlineLevel="1" width="18.28515625" customWidth="1" style="573" min="2" max="4"/>
    <col collapsed="1" width="18.28515625" customWidth="1" style="573" min="5" max="5"/>
    <col width="16.28515625" customWidth="1" style="573" min="6" max="6"/>
    <col width="18.28515625" customWidth="1" style="573" min="7" max="8"/>
    <col width="16.28515625" customWidth="1" style="573" min="9" max="11"/>
    <col width="9.140625" customWidth="1" style="573" min="12" max="12"/>
    <col width="17.7109375" customWidth="1" style="573" min="13" max="18"/>
    <col width="3.28515625" customWidth="1" style="573" min="19" max="19"/>
    <col width="17.7109375" customWidth="1" style="573" min="20" max="20"/>
    <col hidden="1" outlineLevel="1" width="17" customWidth="1" style="573" min="21" max="21"/>
    <col collapsed="1" width="17.7109375" customWidth="1" style="573" min="22" max="22"/>
    <col width="17.7109375" customWidth="1" style="573" min="23" max="24"/>
    <col hidden="1" outlineLevel="1" width="17.7109375" customWidth="1" style="573" min="25" max="25"/>
    <col collapsed="1" width="17" bestFit="1" customWidth="1" style="573" min="26" max="26"/>
    <col hidden="1" outlineLevel="1" width="3.28515625" customWidth="1" style="573" min="27" max="27"/>
    <col hidden="1" outlineLevel="1" width="19" customWidth="1" style="573" min="28" max="28"/>
    <col hidden="1" outlineLevel="1" width="17.7109375" customWidth="1" style="573" min="29" max="31"/>
    <col hidden="1" outlineLevel="1" width="12.140625" customWidth="1" style="573" min="32" max="32"/>
    <col collapsed="1" width="3.28515625" customWidth="1" style="573" min="33" max="33"/>
    <col width="17.140625" customWidth="1" style="573" min="34" max="34"/>
    <col hidden="1" width="17.140625" customWidth="1" style="573" min="35" max="35"/>
    <col width="17.140625" bestFit="1" customWidth="1" style="573" min="36" max="36"/>
    <col hidden="1" outlineLevel="1" width="1.7109375" customWidth="1" style="573" min="37" max="37"/>
    <col hidden="1" outlineLevel="1" width="17.140625" customWidth="1" style="573" min="38" max="38"/>
    <col hidden="1" outlineLevel="1" width="15.5703125" customWidth="1" style="573" min="39" max="41"/>
    <col collapsed="1" width="1.7109375" customWidth="1" style="573" min="42" max="42"/>
    <col width="17.140625" customWidth="1" style="573" min="43" max="43"/>
    <col width="17.140625" bestFit="1" customWidth="1" style="573" min="44" max="44"/>
    <col hidden="1" outlineLevel="1" width="17.140625" customWidth="1" style="573" min="45" max="45"/>
    <col hidden="1" outlineLevel="1" width="15.5703125" customWidth="1" style="573" min="46" max="46"/>
    <col collapsed="1" width="1.7109375" customWidth="1" style="573" min="47" max="47"/>
    <col width="17.140625" bestFit="1" customWidth="1" style="573" min="48" max="48"/>
    <col width="17.140625" customWidth="1" style="573" min="49" max="49"/>
    <col width="1.7109375" customWidth="1" style="573" min="50" max="50"/>
    <col width="17.140625" customWidth="1" style="573" min="51" max="51"/>
    <col width="17.140625" bestFit="1" customWidth="1" style="573" min="52" max="52"/>
    <col collapsed="1" width="1.7109375" customWidth="1" style="573" min="53" max="53"/>
    <col width="9.140625" customWidth="1" style="573" min="54" max="16384"/>
  </cols>
  <sheetData>
    <row r="1">
      <c r="A1" s="571" t="inlineStr">
        <is>
          <t>County Line Rail Subsequent Close Workbook - GCM Grosevnor</t>
        </is>
      </c>
      <c r="B1" s="572" t="n"/>
      <c r="C1" s="572" t="n"/>
      <c r="D1" s="572" t="n"/>
      <c r="E1" s="572" t="n"/>
      <c r="F1" s="572" t="n"/>
      <c r="G1" s="572" t="n"/>
      <c r="H1" s="572" t="n"/>
      <c r="I1" s="572" t="n"/>
      <c r="J1" s="572" t="n"/>
      <c r="K1" s="572" t="n"/>
      <c r="M1" s="574" t="inlineStr">
        <is>
          <t>Amount before Rebalance</t>
        </is>
      </c>
      <c r="N1" s="575" t="n"/>
      <c r="O1" s="575" t="n"/>
      <c r="P1" s="575" t="n"/>
      <c r="Q1" s="575" t="n"/>
      <c r="R1" s="575" t="n"/>
      <c r="S1" s="576" t="n"/>
      <c r="T1" s="577" t="inlineStr">
        <is>
          <t>Rebalance</t>
        </is>
      </c>
      <c r="U1" s="577" t="n"/>
      <c r="V1" s="577" t="n"/>
      <c r="W1" s="577" t="n"/>
      <c r="X1" s="577" t="n"/>
      <c r="Y1" s="577" t="n"/>
      <c r="Z1" s="577" t="n"/>
      <c r="AA1" s="577" t="n"/>
      <c r="AB1" s="577" t="n"/>
      <c r="AC1" s="577" t="n"/>
      <c r="AD1" s="577" t="n"/>
      <c r="AE1" s="577" t="n"/>
      <c r="AF1" s="577" t="n"/>
      <c r="AG1" s="577" t="n"/>
      <c r="AH1" s="578" t="inlineStr">
        <is>
          <t>RETURN OF CAPITAL</t>
        </is>
      </c>
      <c r="AI1" s="579" t="n"/>
      <c r="AJ1" s="579" t="n"/>
      <c r="AK1" s="579" t="n"/>
      <c r="AL1" s="579" t="n"/>
      <c r="AM1" s="580" t="n"/>
      <c r="AN1" s="580" t="n"/>
      <c r="AO1" s="581" t="n"/>
      <c r="AP1" s="582" t="n"/>
      <c r="AQ1" s="578" t="inlineStr">
        <is>
          <t>INTEREST DISTRIBUTION</t>
        </is>
      </c>
      <c r="AR1" s="579" t="n"/>
      <c r="AS1" s="579" t="n"/>
      <c r="AT1" s="581" t="n"/>
      <c r="AU1" s="582" t="n"/>
      <c r="AV1" s="583" t="inlineStr">
        <is>
          <t>TOTAL LP DISTRIBUTION</t>
        </is>
      </c>
      <c r="AW1" s="579" t="n"/>
      <c r="AX1" s="582" t="n"/>
      <c r="AY1" s="578" t="inlineStr">
        <is>
          <t>MANAGEMENT FEE INTEREST</t>
        </is>
      </c>
      <c r="AZ1" s="583" t="n"/>
      <c r="BA1" s="584" t="n"/>
    </row>
    <row r="2" ht="60" customHeight="1" s="759">
      <c r="A2" s="585" t="inlineStr">
        <is>
          <t xml:space="preserve"> </t>
        </is>
      </c>
      <c r="B2" s="585" t="n"/>
      <c r="C2" s="585" t="n"/>
      <c r="D2" s="585" t="n"/>
      <c r="E2" s="585" t="n"/>
      <c r="F2" s="585" t="n"/>
      <c r="G2" s="585" t="n"/>
      <c r="H2" s="585" t="n"/>
      <c r="I2" s="585" t="n"/>
      <c r="J2" s="585" t="n"/>
      <c r="K2" s="585" t="n"/>
      <c r="M2" s="586" t="inlineStr">
        <is>
          <t>Contribution - Investment</t>
        </is>
      </c>
      <c r="N2" s="586" t="inlineStr">
        <is>
          <t>Contribution - Mgmt Fees</t>
        </is>
      </c>
      <c r="O2" s="586" t="inlineStr">
        <is>
          <t>Q4 Management Fee Contributions (existing investors)</t>
        </is>
      </c>
      <c r="P2" s="586" t="inlineStr">
        <is>
          <t>Contribution - Org Exp</t>
        </is>
      </c>
      <c r="Q2" s="586" t="inlineStr">
        <is>
          <t>Contribution - General</t>
        </is>
      </c>
      <c r="R2" s="586" t="inlineStr">
        <is>
          <t>Total Before Subsequent Close</t>
        </is>
      </c>
      <c r="S2" s="587" t="n"/>
      <c r="T2" s="586" t="inlineStr">
        <is>
          <t>Contribution - Investment (Rebalanced)</t>
        </is>
      </c>
      <c r="U2" s="586" t="inlineStr">
        <is>
          <t>Management Fee Contributions (new investors)</t>
        </is>
      </c>
      <c r="V2" s="586" t="inlineStr">
        <is>
          <t>Contribution - Managmeent Fees (Rebalanced)</t>
        </is>
      </c>
      <c r="W2" s="586" t="inlineStr">
        <is>
          <t>Contribution - Org Exp (Rebalanced)</t>
        </is>
      </c>
      <c r="X2" s="586" t="inlineStr">
        <is>
          <t>Contribution - General (Rebalanced)</t>
        </is>
      </c>
      <c r="Y2" s="586" t="inlineStr">
        <is>
          <t>Change in capital account</t>
        </is>
      </c>
      <c r="Z2" s="586" t="inlineStr">
        <is>
          <t>Total After Subsequent Close</t>
        </is>
      </c>
      <c r="AA2" s="587" t="n"/>
      <c r="AB2" s="586" t="inlineStr">
        <is>
          <t>Contribution - Investment</t>
        </is>
      </c>
      <c r="AC2" s="586" t="inlineStr">
        <is>
          <t>Contribution - Mgmt Fees</t>
        </is>
      </c>
      <c r="AD2" s="586" t="inlineStr">
        <is>
          <t>Contribution - Org Exp</t>
        </is>
      </c>
      <c r="AE2" s="586" t="inlineStr">
        <is>
          <t>Contribution - General</t>
        </is>
      </c>
      <c r="AF2" s="586" t="inlineStr">
        <is>
          <t>Total</t>
        </is>
      </c>
      <c r="AG2" s="587" t="n"/>
      <c r="AH2" s="588" t="inlineStr">
        <is>
          <t>New Investor Contribution</t>
        </is>
      </c>
      <c r="AI2" s="586" t="inlineStr">
        <is>
          <t>Transfer - Natalie Bloomingdale to Odyssey</t>
        </is>
      </c>
      <c r="AJ2" s="586" t="inlineStr">
        <is>
          <t xml:space="preserve">Distribution to LPs </t>
        </is>
      </c>
      <c r="AK2" s="587" t="n"/>
      <c r="AL2" s="589" t="inlineStr">
        <is>
          <t>Unreturned Capital Contributions</t>
        </is>
      </c>
      <c r="AM2" s="590" t="inlineStr">
        <is>
          <t>Equalization Percentage (unadjusted)</t>
        </is>
      </c>
      <c r="AN2" s="590" t="inlineStr">
        <is>
          <t>Adjustments: Management Fee</t>
        </is>
      </c>
      <c r="AO2" s="591" t="inlineStr">
        <is>
          <t xml:space="preserve">Equalization Percentage </t>
        </is>
      </c>
      <c r="AP2" s="587" t="n"/>
      <c r="AQ2" s="588" t="inlineStr">
        <is>
          <t>New Investor Contribution</t>
        </is>
      </c>
      <c r="AR2" s="586" t="inlineStr">
        <is>
          <t xml:space="preserve">Distribution to LPs </t>
        </is>
      </c>
      <c r="AS2" s="589" t="inlineStr">
        <is>
          <t>Distribution</t>
        </is>
      </c>
      <c r="AT2" s="591" t="inlineStr">
        <is>
          <t>Pref Distribution %</t>
        </is>
      </c>
      <c r="AU2" s="587" t="n"/>
      <c r="AV2" s="588" t="inlineStr">
        <is>
          <t>New Investor Contribution</t>
        </is>
      </c>
      <c r="AW2" s="586" t="inlineStr">
        <is>
          <t xml:space="preserve">Distribution to LPs </t>
        </is>
      </c>
      <c r="AX2" s="587" t="n"/>
      <c r="AY2" s="588" t="inlineStr">
        <is>
          <t>New Investor Contribution</t>
        </is>
      </c>
      <c r="AZ2" s="592" t="inlineStr">
        <is>
          <t>Distribution to GP</t>
        </is>
      </c>
      <c r="BA2" s="593" t="n"/>
    </row>
    <row r="3" ht="60" customHeight="1" s="759">
      <c r="A3" s="594" t="inlineStr">
        <is>
          <t>Investor Name</t>
        </is>
      </c>
      <c r="B3" s="595" t="inlineStr">
        <is>
          <t>CLIP Rollover Contribution</t>
        </is>
      </c>
      <c r="C3" s="595" t="inlineStr">
        <is>
          <t>Silsbee Rollover Contribution</t>
        </is>
      </c>
      <c r="D3" s="595" t="inlineStr">
        <is>
          <t>Management Fee Rate</t>
        </is>
      </c>
      <c r="E3" s="596" t="inlineStr">
        <is>
          <t>Total Commitment Before Call</t>
        </is>
      </c>
      <c r="F3" s="596" t="inlineStr">
        <is>
          <t>LP Commitment % (before transfer)</t>
        </is>
      </c>
      <c r="G3" s="596" t="inlineStr">
        <is>
          <t>Total Commitment After Call</t>
        </is>
      </c>
      <c r="H3" s="596" t="inlineStr">
        <is>
          <t>Total commitment after bloomingdale transfer</t>
        </is>
      </c>
      <c r="I3" s="596" t="inlineStr">
        <is>
          <t>Commitment % Before call</t>
        </is>
      </c>
      <c r="J3" s="596" t="inlineStr">
        <is>
          <t>Commitment % after call</t>
        </is>
      </c>
      <c r="K3" s="596" t="inlineStr">
        <is>
          <t>Commitment % after Bloomingdale Transfer</t>
        </is>
      </c>
      <c r="M3" s="597" t="n">
        <v>-125602254.41</v>
      </c>
      <c r="N3" s="597">
        <f>SUM(N4:N81)</f>
        <v/>
      </c>
      <c r="O3" s="597">
        <f>SUM(O4:O81)</f>
        <v/>
      </c>
      <c r="P3" s="597" t="n">
        <v>-55914.34</v>
      </c>
      <c r="Q3" s="597" t="n">
        <v>-14438626.3944432</v>
      </c>
      <c r="R3" s="597" t="inlineStr">
        <is>
          <t>Total</t>
        </is>
      </c>
      <c r="S3" s="598" t="n"/>
      <c r="T3" s="599">
        <f>M3</f>
        <v/>
      </c>
      <c r="U3" s="600">
        <f>SUM(U4:U81)</f>
        <v/>
      </c>
      <c r="V3" s="599">
        <f>SUM(V4:V81)</f>
        <v/>
      </c>
      <c r="W3" s="599" t="n">
        <v>-55914.34</v>
      </c>
      <c r="X3" s="599">
        <f>Q3</f>
        <v/>
      </c>
      <c r="Y3" s="601">
        <f>SUM(Y4:Y81)</f>
        <v/>
      </c>
      <c r="Z3" s="599" t="inlineStr">
        <is>
          <t>Total</t>
        </is>
      </c>
      <c r="AA3" s="598" t="n"/>
      <c r="AB3" s="602" t="inlineStr">
        <is>
          <t>A</t>
        </is>
      </c>
      <c r="AC3" s="602" t="n"/>
      <c r="AD3" s="602" t="inlineStr">
        <is>
          <t>B</t>
        </is>
      </c>
      <c r="AE3" s="602" t="inlineStr">
        <is>
          <t>C</t>
        </is>
      </c>
      <c r="AF3" s="602" t="inlineStr">
        <is>
          <t>A + B +C</t>
        </is>
      </c>
      <c r="AG3" s="598" t="n"/>
      <c r="AH3" s="603">
        <f>SUM(AH4:AH81)</f>
        <v/>
      </c>
      <c r="AI3" s="599">
        <f>SUM(AI4:AI81)</f>
        <v/>
      </c>
      <c r="AJ3" s="599">
        <f>SUM(AJ4:AJ82)</f>
        <v/>
      </c>
      <c r="AK3" s="604" t="n"/>
      <c r="AL3" s="605" t="inlineStr">
        <is>
          <t>CHECKING</t>
        </is>
      </c>
      <c r="AM3" s="605" t="n"/>
      <c r="AN3" s="605" t="n"/>
      <c r="AO3" s="606" t="n"/>
      <c r="AP3" s="604" t="n"/>
      <c r="AQ3" s="607">
        <f>SUM(AQ4:AQ81)</f>
        <v/>
      </c>
      <c r="AR3" s="608">
        <f>SUM(AR4:AR81)</f>
        <v/>
      </c>
      <c r="AS3" s="605" t="inlineStr">
        <is>
          <t>CHECKING</t>
        </is>
      </c>
      <c r="AT3" s="609" t="n"/>
      <c r="AU3" s="604" t="n"/>
      <c r="AV3" s="607">
        <f>SUM(AV4:AV81)</f>
        <v/>
      </c>
      <c r="AW3" s="610">
        <f>SUM(AW4:AW82)</f>
        <v/>
      </c>
      <c r="AX3" s="604" t="n"/>
      <c r="AY3" s="603">
        <f>SUM(AY4:AY81)</f>
        <v/>
      </c>
      <c r="AZ3" s="611">
        <f>SUM(AZ4:AZ81)</f>
        <v/>
      </c>
      <c r="BA3" s="604" t="n"/>
    </row>
    <row r="4">
      <c r="A4" s="612" t="inlineStr">
        <is>
          <t>1999 Britta Biesecker Declaration of Trust DTD 5/12/99</t>
        </is>
      </c>
      <c r="B4" s="613" t="n">
        <v>0</v>
      </c>
      <c r="C4" s="613" t="n">
        <v>0</v>
      </c>
      <c r="D4" s="613" t="inlineStr">
        <is>
          <t>BBR</t>
        </is>
      </c>
      <c r="E4" s="614" t="n">
        <v>500000</v>
      </c>
      <c r="F4" s="616">
        <f>E4/$E$86</f>
        <v/>
      </c>
      <c r="G4" s="614">
        <f>E4</f>
        <v/>
      </c>
      <c r="H4" s="614">
        <f>G4</f>
        <v/>
      </c>
      <c r="I4" s="616">
        <f>E4/$E$83</f>
        <v/>
      </c>
      <c r="J4" s="616">
        <f>G4/$G$83</f>
        <v/>
      </c>
      <c r="K4" s="616">
        <f>H4/$H$83</f>
        <v/>
      </c>
      <c r="M4" s="613">
        <f>$M$3*I4</f>
        <v/>
      </c>
      <c r="N4" s="613" t="n">
        <v>-6100.54</v>
      </c>
      <c r="O4" s="613" t="n">
        <v>-1250</v>
      </c>
      <c r="P4" s="613">
        <f>$P$3*I4</f>
        <v/>
      </c>
      <c r="Q4" s="613" t="n">
        <v>-50352.39000000003</v>
      </c>
      <c r="R4" s="613">
        <f>SUM(M4:Q4)</f>
        <v/>
      </c>
      <c r="S4" s="614" t="n"/>
      <c r="T4" s="617">
        <f>$T$3*K4</f>
        <v/>
      </c>
      <c r="U4" s="618" t="n">
        <v>0</v>
      </c>
      <c r="V4" s="617">
        <f>O4+N4+U4</f>
        <v/>
      </c>
      <c r="W4" s="617">
        <f>J4*$W$3</f>
        <v/>
      </c>
      <c r="X4" s="617">
        <f>$X$3*J4</f>
        <v/>
      </c>
      <c r="Y4" s="619">
        <f>X4-Q4</f>
        <v/>
      </c>
      <c r="Z4" s="617">
        <f>T4+W4+X4+V4</f>
        <v/>
      </c>
      <c r="AA4" s="614" t="n"/>
      <c r="AB4" s="620">
        <f>T4/G4</f>
        <v/>
      </c>
      <c r="AC4" s="621">
        <f>V4/G4</f>
        <v/>
      </c>
      <c r="AD4" s="621">
        <f>W4/G4</f>
        <v/>
      </c>
      <c r="AE4" s="621">
        <f>X4/G4</f>
        <v/>
      </c>
      <c r="AF4" s="1006">
        <f>AE4+AD4+AB4</f>
        <v/>
      </c>
      <c r="AG4" s="614" t="n"/>
      <c r="AH4" s="623" t="n"/>
      <c r="AI4" s="617" t="n"/>
      <c r="AJ4" s="617">
        <f>SUM(M4,P4,Q4)-SUM(T4,W4,X4)+AI4</f>
        <v/>
      </c>
      <c r="AK4" s="624" t="n"/>
      <c r="AL4" s="625">
        <f>AJ4</f>
        <v/>
      </c>
      <c r="AM4" s="626">
        <f>AJ4/G4</f>
        <v/>
      </c>
      <c r="AN4" s="626">
        <f>AC4</f>
        <v/>
      </c>
      <c r="AO4" s="627">
        <f>SUM(AM4:AN4)</f>
        <v/>
      </c>
      <c r="AP4" s="624" t="n"/>
      <c r="AQ4" s="628" t="n"/>
      <c r="AR4" s="629" t="n">
        <v>-7256.593029779959</v>
      </c>
      <c r="AS4" s="630">
        <f>AR4</f>
        <v/>
      </c>
      <c r="AT4" s="631">
        <f>AS4/R4</f>
        <v/>
      </c>
      <c r="AU4" s="624" t="n"/>
      <c r="AV4" s="623" t="n"/>
      <c r="AW4" s="632">
        <f>AR4+AJ4</f>
        <v/>
      </c>
      <c r="AX4" s="624" t="n"/>
      <c r="AY4" s="628" t="n"/>
      <c r="AZ4" s="629" t="n"/>
      <c r="BA4" s="624" t="n"/>
    </row>
    <row r="5">
      <c r="A5" s="612" t="inlineStr">
        <is>
          <t>1999 Frederick N Biesecker II Declaration of Trust DTD 5/12/99</t>
        </is>
      </c>
      <c r="B5" s="613" t="n">
        <v>0</v>
      </c>
      <c r="C5" s="613" t="n">
        <v>0</v>
      </c>
      <c r="D5" s="613" t="inlineStr">
        <is>
          <t>BBR</t>
        </is>
      </c>
      <c r="E5" s="614" t="n">
        <v>700000</v>
      </c>
      <c r="F5" s="616">
        <f>E5/$E$86</f>
        <v/>
      </c>
      <c r="G5" s="614">
        <f>E5</f>
        <v/>
      </c>
      <c r="H5" s="614">
        <f>G5</f>
        <v/>
      </c>
      <c r="I5" s="616">
        <f>E5/$E$83</f>
        <v/>
      </c>
      <c r="J5" s="616">
        <f>G5/$G$83</f>
        <v/>
      </c>
      <c r="K5" s="616">
        <f>H5/$H$83</f>
        <v/>
      </c>
      <c r="M5" s="613">
        <f>$M$3*I5</f>
        <v/>
      </c>
      <c r="N5" s="613" t="n">
        <v>-8540.76</v>
      </c>
      <c r="O5" s="613" t="n">
        <v>-1750</v>
      </c>
      <c r="P5" s="613">
        <f>$P$3*I5</f>
        <v/>
      </c>
      <c r="Q5" s="613" t="n">
        <v>-70493.35000000017</v>
      </c>
      <c r="R5" s="613">
        <f>SUM(M5:Q5)</f>
        <v/>
      </c>
      <c r="S5" s="614" t="n"/>
      <c r="T5" s="617">
        <f>$T$3*K5</f>
        <v/>
      </c>
      <c r="U5" s="618" t="n">
        <v>0</v>
      </c>
      <c r="V5" s="617">
        <f>O5+N5+U5</f>
        <v/>
      </c>
      <c r="W5" s="617">
        <f>J5*$W$3</f>
        <v/>
      </c>
      <c r="X5" s="617">
        <f>$X$3*J5</f>
        <v/>
      </c>
      <c r="Y5" s="619">
        <f>X5-Q5</f>
        <v/>
      </c>
      <c r="Z5" s="617">
        <f>T5+W5+X5+V5</f>
        <v/>
      </c>
      <c r="AA5" s="614" t="n"/>
      <c r="AB5" s="633">
        <f>T5/G5</f>
        <v/>
      </c>
      <c r="AC5" s="634">
        <f>V5/G5</f>
        <v/>
      </c>
      <c r="AD5" s="634">
        <f>W5/G5</f>
        <v/>
      </c>
      <c r="AE5" s="634">
        <f>X5/G5</f>
        <v/>
      </c>
      <c r="AF5" s="1007">
        <f>AE5+AD5+AB5</f>
        <v/>
      </c>
      <c r="AG5" s="614" t="n"/>
      <c r="AH5" s="623" t="n"/>
      <c r="AI5" s="617" t="n"/>
      <c r="AJ5" s="617">
        <f>SUM(M5,P5,Q5)-SUM(T5,W5,X5)+AI5</f>
        <v/>
      </c>
      <c r="AK5" s="624" t="n"/>
      <c r="AL5" s="625">
        <f>AJ5</f>
        <v/>
      </c>
      <c r="AM5" s="626">
        <f>AJ5/G5</f>
        <v/>
      </c>
      <c r="AN5" s="626">
        <f>AC5</f>
        <v/>
      </c>
      <c r="AO5" s="627">
        <f>SUM(AM5:AN5)</f>
        <v/>
      </c>
      <c r="AP5" s="624" t="n"/>
      <c r="AQ5" s="623" t="n"/>
      <c r="AR5" s="632" t="n">
        <v>-10159.23024169194</v>
      </c>
      <c r="AS5" s="625">
        <f>AR5</f>
        <v/>
      </c>
      <c r="AT5" s="627">
        <f>AR5/R5</f>
        <v/>
      </c>
      <c r="AU5" s="624" t="n"/>
      <c r="AV5" s="623" t="n"/>
      <c r="AW5" s="632">
        <f>AR5+AJ5</f>
        <v/>
      </c>
      <c r="AX5" s="624" t="n"/>
      <c r="AY5" s="623" t="n"/>
      <c r="AZ5" s="632" t="n"/>
      <c r="BA5" s="624" t="n"/>
    </row>
    <row r="6">
      <c r="A6" s="612" t="inlineStr">
        <is>
          <t>1999 Lissa Biesecker Longacre Declaration of Trust DTD 5/12/99</t>
        </is>
      </c>
      <c r="B6" s="613" t="n">
        <v>0</v>
      </c>
      <c r="C6" s="613" t="n">
        <v>0</v>
      </c>
      <c r="D6" s="613" t="inlineStr">
        <is>
          <t>BBR</t>
        </is>
      </c>
      <c r="E6" s="614" t="n">
        <v>600000</v>
      </c>
      <c r="F6" s="616">
        <f>E6/$E$86</f>
        <v/>
      </c>
      <c r="G6" s="614">
        <f>E6</f>
        <v/>
      </c>
      <c r="H6" s="614">
        <f>G6</f>
        <v/>
      </c>
      <c r="I6" s="616">
        <f>E6/$E$83</f>
        <v/>
      </c>
      <c r="J6" s="616">
        <f>G6/$G$83</f>
        <v/>
      </c>
      <c r="K6" s="616">
        <f>H6/$H$83</f>
        <v/>
      </c>
      <c r="M6" s="613">
        <f>$M$3*I6</f>
        <v/>
      </c>
      <c r="N6" s="613" t="n">
        <v>-7320.65</v>
      </c>
      <c r="O6" s="613" t="n">
        <v>-1500</v>
      </c>
      <c r="P6" s="613">
        <f>$P$3*I6</f>
        <v/>
      </c>
      <c r="Q6" s="613" t="n">
        <v>-60422.86999999992</v>
      </c>
      <c r="R6" s="613">
        <f>SUM(M6:Q6)</f>
        <v/>
      </c>
      <c r="S6" s="614" t="n"/>
      <c r="T6" s="617">
        <f>$T$3*K6</f>
        <v/>
      </c>
      <c r="U6" s="618" t="n">
        <v>0</v>
      </c>
      <c r="V6" s="617">
        <f>O6+N6+U6</f>
        <v/>
      </c>
      <c r="W6" s="617">
        <f>J6*$W$3</f>
        <v/>
      </c>
      <c r="X6" s="617">
        <f>$X$3*J6</f>
        <v/>
      </c>
      <c r="Y6" s="619">
        <f>X6-Q6</f>
        <v/>
      </c>
      <c r="Z6" s="617">
        <f>T6+W6+X6+V6</f>
        <v/>
      </c>
      <c r="AA6" s="614" t="n"/>
      <c r="AB6" s="633">
        <f>T6/G6</f>
        <v/>
      </c>
      <c r="AC6" s="634">
        <f>V6/G6</f>
        <v/>
      </c>
      <c r="AD6" s="634">
        <f>W6/G6</f>
        <v/>
      </c>
      <c r="AE6" s="634">
        <f>X6/G6</f>
        <v/>
      </c>
      <c r="AF6" s="1007">
        <f>AE6+AD6+AB6</f>
        <v/>
      </c>
      <c r="AG6" s="614" t="n"/>
      <c r="AH6" s="623" t="n"/>
      <c r="AI6" s="617" t="n"/>
      <c r="AJ6" s="617">
        <f>SUM(M6,P6,Q6)-SUM(T6,W6,X6)+AI6</f>
        <v/>
      </c>
      <c r="AK6" s="624" t="n"/>
      <c r="AL6" s="625">
        <f>AJ6</f>
        <v/>
      </c>
      <c r="AM6" s="626">
        <f>AJ6/G6</f>
        <v/>
      </c>
      <c r="AN6" s="626">
        <f>AC6</f>
        <v/>
      </c>
      <c r="AO6" s="627">
        <f>SUM(AM6:AN6)</f>
        <v/>
      </c>
      <c r="AP6" s="624" t="n"/>
      <c r="AQ6" s="623" t="n"/>
      <c r="AR6" s="632" t="n">
        <v>-8707.911635735951</v>
      </c>
      <c r="AS6" s="625">
        <f>AR6</f>
        <v/>
      </c>
      <c r="AT6" s="627">
        <f>AR6/R6</f>
        <v/>
      </c>
      <c r="AU6" s="624" t="n"/>
      <c r="AV6" s="623" t="n"/>
      <c r="AW6" s="632">
        <f>AR6+AJ6</f>
        <v/>
      </c>
      <c r="AX6" s="624" t="n"/>
      <c r="AY6" s="623" t="n"/>
      <c r="AZ6" s="632" t="n"/>
      <c r="BA6" s="624" t="n"/>
    </row>
    <row r="7">
      <c r="A7" s="612" t="inlineStr">
        <is>
          <t>Abigail Levy</t>
        </is>
      </c>
      <c r="B7" s="613" t="n">
        <v>0</v>
      </c>
      <c r="C7" s="613" t="n">
        <v>0</v>
      </c>
      <c r="D7" s="613" t="inlineStr">
        <is>
          <t>BBR</t>
        </is>
      </c>
      <c r="E7" s="614" t="n">
        <v>750000</v>
      </c>
      <c r="F7" s="616">
        <f>E7/$E$86</f>
        <v/>
      </c>
      <c r="G7" s="614">
        <f>E7</f>
        <v/>
      </c>
      <c r="H7" s="614">
        <f>G7</f>
        <v/>
      </c>
      <c r="I7" s="616">
        <f>E7/$E$83</f>
        <v/>
      </c>
      <c r="J7" s="616">
        <f>G7/$G$83</f>
        <v/>
      </c>
      <c r="K7" s="616">
        <f>H7/$H$83</f>
        <v/>
      </c>
      <c r="M7" s="613">
        <f>$M$3*I7</f>
        <v/>
      </c>
      <c r="N7" s="613" t="n">
        <v>-9150.82</v>
      </c>
      <c r="O7" s="613" t="n">
        <v>-1875</v>
      </c>
      <c r="P7" s="613">
        <f>$P$3*I7</f>
        <v/>
      </c>
      <c r="Q7" s="613" t="n">
        <v>-75528.58999999994</v>
      </c>
      <c r="R7" s="613">
        <f>SUM(M7:Q7)</f>
        <v/>
      </c>
      <c r="S7" s="614" t="n"/>
      <c r="T7" s="617">
        <f>$T$3*K7</f>
        <v/>
      </c>
      <c r="U7" s="618" t="n">
        <v>0</v>
      </c>
      <c r="V7" s="617">
        <f>O7+N7+U7</f>
        <v/>
      </c>
      <c r="W7" s="617">
        <f>J7*$W$3</f>
        <v/>
      </c>
      <c r="X7" s="617">
        <f>$X$3*J7</f>
        <v/>
      </c>
      <c r="Y7" s="619">
        <f>X7-Q7</f>
        <v/>
      </c>
      <c r="Z7" s="617">
        <f>T7+W7+X7+V7</f>
        <v/>
      </c>
      <c r="AA7" s="614" t="n"/>
      <c r="AB7" s="633">
        <f>T7/G7</f>
        <v/>
      </c>
      <c r="AC7" s="634">
        <f>V7/G7</f>
        <v/>
      </c>
      <c r="AD7" s="634">
        <f>W7/G7</f>
        <v/>
      </c>
      <c r="AE7" s="634">
        <f>X7/G7</f>
        <v/>
      </c>
      <c r="AF7" s="1007">
        <f>AE7+AD7+AB7</f>
        <v/>
      </c>
      <c r="AG7" s="614" t="n"/>
      <c r="AH7" s="623" t="n"/>
      <c r="AI7" s="617" t="n"/>
      <c r="AJ7" s="617">
        <f>SUM(M7,P7,Q7)-SUM(T7,W7,X7)+AI7</f>
        <v/>
      </c>
      <c r="AK7" s="624" t="n"/>
      <c r="AL7" s="625">
        <f>AJ7</f>
        <v/>
      </c>
      <c r="AM7" s="626">
        <f>AJ7/G7</f>
        <v/>
      </c>
      <c r="AN7" s="626">
        <f>AC7</f>
        <v/>
      </c>
      <c r="AO7" s="627">
        <f>SUM(AM7:AN7)</f>
        <v/>
      </c>
      <c r="AP7" s="624" t="n"/>
      <c r="AQ7" s="623" t="n"/>
      <c r="AR7" s="632" t="n">
        <v>-10884.88954466994</v>
      </c>
      <c r="AS7" s="625">
        <f>AR7</f>
        <v/>
      </c>
      <c r="AT7" s="627">
        <f>AR7/R7</f>
        <v/>
      </c>
      <c r="AU7" s="624" t="n"/>
      <c r="AV7" s="623" t="n"/>
      <c r="AW7" s="632">
        <f>AR7+AJ7</f>
        <v/>
      </c>
      <c r="AX7" s="624" t="n"/>
      <c r="AY7" s="623" t="n"/>
      <c r="AZ7" s="632" t="n"/>
      <c r="BA7" s="624" t="n"/>
    </row>
    <row r="8">
      <c r="A8" s="612" t="inlineStr">
        <is>
          <t>AKWT LLC</t>
        </is>
      </c>
      <c r="B8" s="613" t="n">
        <v>78300.31555408845</v>
      </c>
      <c r="C8" s="613" t="n">
        <v>0</v>
      </c>
      <c r="D8" s="613" t="inlineStr">
        <is>
          <t>Standard</t>
        </is>
      </c>
      <c r="E8" s="614" t="n">
        <v>78300.32000000001</v>
      </c>
      <c r="F8" s="616">
        <f>E8/$E$86</f>
        <v/>
      </c>
      <c r="G8" s="614">
        <f>E8</f>
        <v/>
      </c>
      <c r="H8" s="614">
        <f>G8</f>
        <v/>
      </c>
      <c r="I8" s="616">
        <f>E8/$E$83</f>
        <v/>
      </c>
      <c r="J8" s="616">
        <f>G8/$G$83</f>
        <v/>
      </c>
      <c r="K8" s="616">
        <f>H8/$H$83</f>
        <v/>
      </c>
      <c r="M8" s="613">
        <f>$M$3*I8</f>
        <v/>
      </c>
      <c r="N8" s="613" t="n">
        <v>-640.23</v>
      </c>
      <c r="O8" s="613" t="n">
        <v>-293.63</v>
      </c>
      <c r="P8" s="613">
        <f>$P$3*I8</f>
        <v/>
      </c>
      <c r="Q8" s="613" t="n">
        <v>-8102.460000000004</v>
      </c>
      <c r="R8" s="613">
        <f>SUM(M8:Q8)</f>
        <v/>
      </c>
      <c r="S8" s="614" t="n"/>
      <c r="T8" s="617">
        <f>$T$3*K8</f>
        <v/>
      </c>
      <c r="U8" s="618" t="n">
        <v>0</v>
      </c>
      <c r="V8" s="617">
        <f>O8+N8+U8</f>
        <v/>
      </c>
      <c r="W8" s="617">
        <f>J8*$W$3</f>
        <v/>
      </c>
      <c r="X8" s="617">
        <f>$X$3*J8</f>
        <v/>
      </c>
      <c r="Y8" s="619">
        <f>X8-Q8</f>
        <v/>
      </c>
      <c r="Z8" s="617">
        <f>T8+W8+X8+V8</f>
        <v/>
      </c>
      <c r="AA8" s="614" t="n"/>
      <c r="AB8" s="633">
        <f>T8/G8</f>
        <v/>
      </c>
      <c r="AC8" s="634">
        <f>V8/G8</f>
        <v/>
      </c>
      <c r="AD8" s="634">
        <f>W8/G8</f>
        <v/>
      </c>
      <c r="AE8" s="634">
        <f>X8/G8</f>
        <v/>
      </c>
      <c r="AF8" s="1007">
        <f>AE8+AD8+AB8</f>
        <v/>
      </c>
      <c r="AG8" s="614" t="n"/>
      <c r="AH8" s="623" t="n"/>
      <c r="AI8" s="617" t="n"/>
      <c r="AJ8" s="617">
        <f>SUM(M8,P8,Q8)-SUM(T8,W8,X8)+AI8</f>
        <v/>
      </c>
      <c r="AK8" s="624" t="n"/>
      <c r="AL8" s="625">
        <f>AJ8</f>
        <v/>
      </c>
      <c r="AM8" s="626">
        <f>AJ8/G8</f>
        <v/>
      </c>
      <c r="AN8" s="626">
        <f>AC8</f>
        <v/>
      </c>
      <c r="AO8" s="627">
        <f>SUM(AM8:AN8)</f>
        <v/>
      </c>
      <c r="AP8" s="624" t="n"/>
      <c r="AQ8" s="623" t="n"/>
      <c r="AR8" s="632" t="n">
        <v>-1136.387112683081</v>
      </c>
      <c r="AS8" s="625">
        <f>AR8</f>
        <v/>
      </c>
      <c r="AT8" s="627">
        <f>AR8/R8</f>
        <v/>
      </c>
      <c r="AU8" s="624" t="n"/>
      <c r="AV8" s="623" t="n"/>
      <c r="AW8" s="632">
        <f>AR8+AJ8</f>
        <v/>
      </c>
      <c r="AX8" s="624" t="n"/>
      <c r="AY8" s="623" t="n"/>
      <c r="AZ8" s="632" t="n"/>
      <c r="BA8" s="624" t="n"/>
    </row>
    <row r="9">
      <c r="A9" s="612" t="inlineStr">
        <is>
          <t>Alexander S. Bloomingdale</t>
        </is>
      </c>
      <c r="B9" s="613" t="n">
        <v>78300.31555408845</v>
      </c>
      <c r="C9" s="613" t="n">
        <v>65897.63932500752</v>
      </c>
      <c r="D9" s="613" t="inlineStr">
        <is>
          <t>Standard</t>
        </is>
      </c>
      <c r="E9" s="614" t="n">
        <v>144197.96</v>
      </c>
      <c r="F9" s="616">
        <f>E9/$E$86</f>
        <v/>
      </c>
      <c r="G9" s="614">
        <f>E9</f>
        <v/>
      </c>
      <c r="H9" s="614">
        <f>G9</f>
        <v/>
      </c>
      <c r="I9" s="616">
        <f>E9/$E$83</f>
        <v/>
      </c>
      <c r="J9" s="616">
        <f>G9/$G$83</f>
        <v/>
      </c>
      <c r="K9" s="616">
        <f>H9/$H$83</f>
        <v/>
      </c>
      <c r="M9" s="613">
        <f>$M$3*I9</f>
        <v/>
      </c>
      <c r="N9" s="613" t="n">
        <v>-1053.466582065217</v>
      </c>
      <c r="O9" s="613" t="n">
        <v>-540.74</v>
      </c>
      <c r="P9" s="613">
        <f>$P$3*I9</f>
        <v/>
      </c>
      <c r="Q9" s="613" t="n">
        <v>-15047.08341793477</v>
      </c>
      <c r="R9" s="613">
        <f>SUM(M9:Q9)</f>
        <v/>
      </c>
      <c r="S9" s="614" t="n"/>
      <c r="T9" s="617">
        <f>$T$3*K9</f>
        <v/>
      </c>
      <c r="U9" s="618" t="n">
        <v>0</v>
      </c>
      <c r="V9" s="617">
        <f>O9+N9+U9</f>
        <v/>
      </c>
      <c r="W9" s="617">
        <f>J9*$W$3</f>
        <v/>
      </c>
      <c r="X9" s="617">
        <f>$X$3*J9</f>
        <v/>
      </c>
      <c r="Y9" s="619">
        <f>X9-Q9</f>
        <v/>
      </c>
      <c r="Z9" s="617">
        <f>T9+W9+X9+V9</f>
        <v/>
      </c>
      <c r="AA9" s="614" t="n"/>
      <c r="AB9" s="633">
        <f>T9/G9</f>
        <v/>
      </c>
      <c r="AC9" s="634">
        <f>V9/G9</f>
        <v/>
      </c>
      <c r="AD9" s="634">
        <f>W9/G9</f>
        <v/>
      </c>
      <c r="AE9" s="634">
        <f>X9/G9</f>
        <v/>
      </c>
      <c r="AF9" s="1007">
        <f>AE9+AD9+AB9</f>
        <v/>
      </c>
      <c r="AG9" s="614" t="n"/>
      <c r="AH9" s="623" t="n"/>
      <c r="AI9" s="617" t="n"/>
      <c r="AJ9" s="617">
        <f>SUM(M9,P9,Q9)-SUM(T9,W9,X9)+AI9</f>
        <v/>
      </c>
      <c r="AK9" s="624" t="n"/>
      <c r="AL9" s="625">
        <f>AJ9</f>
        <v/>
      </c>
      <c r="AM9" s="626">
        <f>AJ9/G9</f>
        <v/>
      </c>
      <c r="AN9" s="626">
        <f>AC9</f>
        <v/>
      </c>
      <c r="AO9" s="627">
        <f>SUM(AM9:AN9)</f>
        <v/>
      </c>
      <c r="AP9" s="624" t="n"/>
      <c r="AQ9" s="623" t="n"/>
      <c r="AR9" s="632" t="n">
        <v>-2092.771822888978</v>
      </c>
      <c r="AS9" s="625">
        <f>AR9</f>
        <v/>
      </c>
      <c r="AT9" s="627">
        <f>AR9/R9</f>
        <v/>
      </c>
      <c r="AU9" s="624" t="n"/>
      <c r="AV9" s="623" t="n"/>
      <c r="AW9" s="632">
        <f>AR9+AJ9</f>
        <v/>
      </c>
      <c r="AX9" s="624" t="n"/>
      <c r="AY9" s="623" t="n"/>
      <c r="AZ9" s="632" t="n"/>
      <c r="BA9" s="624" t="n"/>
    </row>
    <row r="10">
      <c r="A10" s="612" t="inlineStr">
        <is>
          <t>Alexander Sharpe Moore</t>
        </is>
      </c>
      <c r="B10" s="613" t="n">
        <v>156600.6311081769</v>
      </c>
      <c r="C10" s="613" t="n">
        <v>0</v>
      </c>
      <c r="D10" s="613" t="inlineStr">
        <is>
          <t>Standard</t>
        </is>
      </c>
      <c r="E10" s="614" t="n">
        <v>156600.63</v>
      </c>
      <c r="F10" s="616">
        <f>E10/$E$86</f>
        <v/>
      </c>
      <c r="G10" s="614">
        <f>E10</f>
        <v/>
      </c>
      <c r="H10" s="614">
        <f>G10</f>
        <v/>
      </c>
      <c r="I10" s="616">
        <f>E10/$E$83</f>
        <v/>
      </c>
      <c r="J10" s="616">
        <f>G10/$G$83</f>
        <v/>
      </c>
      <c r="K10" s="616">
        <f>H10/$H$83</f>
        <v/>
      </c>
      <c r="M10" s="613">
        <f>$M$3*I10</f>
        <v/>
      </c>
      <c r="N10" s="613" t="n">
        <v>-1280.45</v>
      </c>
      <c r="O10" s="613" t="n">
        <v>-587.25</v>
      </c>
      <c r="P10" s="613">
        <f>$P$3*I10</f>
        <v/>
      </c>
      <c r="Q10" s="613" t="n">
        <v>-16204.93000000003</v>
      </c>
      <c r="R10" s="613">
        <f>SUM(M10:Q10)</f>
        <v/>
      </c>
      <c r="S10" s="614" t="n"/>
      <c r="T10" s="617">
        <f>$T$3*K10</f>
        <v/>
      </c>
      <c r="U10" s="618" t="n">
        <v>0</v>
      </c>
      <c r="V10" s="617">
        <f>O10+N10+U10</f>
        <v/>
      </c>
      <c r="W10" s="617">
        <f>J10*$W$3</f>
        <v/>
      </c>
      <c r="X10" s="617">
        <f>$X$3*J10</f>
        <v/>
      </c>
      <c r="Y10" s="619">
        <f>X10-Q10</f>
        <v/>
      </c>
      <c r="Z10" s="617">
        <f>T10+W10+X10+V10</f>
        <v/>
      </c>
      <c r="AA10" s="614" t="n"/>
      <c r="AB10" s="633">
        <f>T10/G10</f>
        <v/>
      </c>
      <c r="AC10" s="634">
        <f>V10/G10</f>
        <v/>
      </c>
      <c r="AD10" s="634">
        <f>W10/G10</f>
        <v/>
      </c>
      <c r="AE10" s="634">
        <f>X10/G10</f>
        <v/>
      </c>
      <c r="AF10" s="1007">
        <f>AE10+AD10+AB10</f>
        <v/>
      </c>
      <c r="AG10" s="614" t="n"/>
      <c r="AH10" s="623" t="n"/>
      <c r="AI10" s="617" t="n"/>
      <c r="AJ10" s="617">
        <f>SUM(M10,P10,Q10)-SUM(T10,W10,X10)+AI10</f>
        <v/>
      </c>
      <c r="AK10" s="624" t="n"/>
      <c r="AL10" s="625">
        <f>AJ10</f>
        <v/>
      </c>
      <c r="AM10" s="626">
        <f>AJ10/G10</f>
        <v/>
      </c>
      <c r="AN10" s="626">
        <f>AC10</f>
        <v/>
      </c>
      <c r="AO10" s="627">
        <f>SUM(AM10:AN10)</f>
        <v/>
      </c>
      <c r="AP10" s="624" t="n"/>
      <c r="AQ10" s="623" t="n"/>
      <c r="AR10" s="632" t="n">
        <v>-2272.7740802343</v>
      </c>
      <c r="AS10" s="625">
        <f>AR10</f>
        <v/>
      </c>
      <c r="AT10" s="627">
        <f>AR10/R10</f>
        <v/>
      </c>
      <c r="AU10" s="624" t="n"/>
      <c r="AV10" s="623" t="n"/>
      <c r="AW10" s="632">
        <f>AR10+AJ10</f>
        <v/>
      </c>
      <c r="AX10" s="624" t="n"/>
      <c r="AY10" s="623" t="n"/>
      <c r="AZ10" s="632" t="n"/>
      <c r="BA10" s="624" t="n"/>
    </row>
    <row r="11">
      <c r="A11" s="612" t="inlineStr">
        <is>
          <t>All Dogs Go To Heaven, LLC</t>
        </is>
      </c>
      <c r="B11" s="613" t="n">
        <v>391501.5777704422</v>
      </c>
      <c r="C11" s="613" t="n">
        <v>131795.278650015</v>
      </c>
      <c r="D11" s="613" t="inlineStr">
        <is>
          <t>Standard</t>
        </is>
      </c>
      <c r="E11" s="614" t="n">
        <v>523296.86</v>
      </c>
      <c r="F11" s="616">
        <f>E11/$E$86</f>
        <v/>
      </c>
      <c r="G11" s="614">
        <f>E11</f>
        <v/>
      </c>
      <c r="H11" s="614">
        <f>G11</f>
        <v/>
      </c>
      <c r="I11" s="616">
        <f>E11/$E$83</f>
        <v/>
      </c>
      <c r="J11" s="616">
        <f>G11/$G$83</f>
        <v/>
      </c>
      <c r="K11" s="616">
        <f>H11/$H$83</f>
        <v/>
      </c>
      <c r="M11" s="613">
        <f>$M$3*I11</f>
        <v/>
      </c>
      <c r="N11" s="613" t="n">
        <v>-4027.593164130435</v>
      </c>
      <c r="O11" s="613" t="n">
        <v>-1962.36</v>
      </c>
      <c r="P11" s="613">
        <f>$P$3*I11</f>
        <v/>
      </c>
      <c r="Q11" s="613" t="n">
        <v>-54401.57683586956</v>
      </c>
      <c r="R11" s="613">
        <f>SUM(M11:Q11)</f>
        <v/>
      </c>
      <c r="S11" s="614" t="n"/>
      <c r="T11" s="617">
        <f>$T$3*K11</f>
        <v/>
      </c>
      <c r="U11" s="618" t="n">
        <v>0</v>
      </c>
      <c r="V11" s="617">
        <f>O11+N11+U11</f>
        <v/>
      </c>
      <c r="W11" s="617">
        <f>J11*$W$3</f>
        <v/>
      </c>
      <c r="X11" s="617">
        <f>$X$3*J11</f>
        <v/>
      </c>
      <c r="Y11" s="619">
        <f>X11-Q11</f>
        <v/>
      </c>
      <c r="Z11" s="617">
        <f>T11+W11+X11+V11</f>
        <v/>
      </c>
      <c r="AA11" s="614" t="n"/>
      <c r="AB11" s="633">
        <f>T11/G11</f>
        <v/>
      </c>
      <c r="AC11" s="634">
        <f>V11/G11</f>
        <v/>
      </c>
      <c r="AD11" s="634">
        <f>W11/G11</f>
        <v/>
      </c>
      <c r="AE11" s="634">
        <f>X11/G11</f>
        <v/>
      </c>
      <c r="AF11" s="1007">
        <f>AE11+AD11+AB11</f>
        <v/>
      </c>
      <c r="AG11" s="614" t="n"/>
      <c r="AH11" s="623" t="n"/>
      <c r="AI11" s="617" t="n"/>
      <c r="AJ11" s="617">
        <f>SUM(M11,P11,Q11)-SUM(T11,W11,X11)+AI11</f>
        <v/>
      </c>
      <c r="AK11" s="624" t="n"/>
      <c r="AL11" s="625">
        <f>AJ11</f>
        <v/>
      </c>
      <c r="AM11" s="626">
        <f>AJ11/G11</f>
        <v/>
      </c>
      <c r="AN11" s="626">
        <f>AC11</f>
        <v/>
      </c>
      <c r="AO11" s="627">
        <f>SUM(AM11:AN11)</f>
        <v/>
      </c>
      <c r="AP11" s="624" t="n"/>
      <c r="AQ11" s="623" t="n"/>
      <c r="AR11" s="632" t="n">
        <v>-7594.704693563479</v>
      </c>
      <c r="AS11" s="625">
        <f>AR11</f>
        <v/>
      </c>
      <c r="AT11" s="627">
        <f>AR11/R11</f>
        <v/>
      </c>
      <c r="AU11" s="624" t="n"/>
      <c r="AV11" s="623" t="n"/>
      <c r="AW11" s="632">
        <f>AR11+AJ11</f>
        <v/>
      </c>
      <c r="AX11" s="624" t="n"/>
      <c r="AY11" s="623" t="n"/>
      <c r="AZ11" s="632" t="n"/>
      <c r="BA11" s="624" t="n"/>
    </row>
    <row r="12">
      <c r="A12" s="612" t="inlineStr">
        <is>
          <t>Alten Investments LLC</t>
        </is>
      </c>
      <c r="B12" s="613" t="n">
        <v>0</v>
      </c>
      <c r="C12" s="613" t="n">
        <v>0</v>
      </c>
      <c r="D12" s="613" t="inlineStr">
        <is>
          <t>BBR</t>
        </is>
      </c>
      <c r="E12" s="614" t="n">
        <v>1000000</v>
      </c>
      <c r="F12" s="616">
        <f>E12/$E$86</f>
        <v/>
      </c>
      <c r="G12" s="614">
        <f>E12</f>
        <v/>
      </c>
      <c r="H12" s="614">
        <f>G12</f>
        <v/>
      </c>
      <c r="I12" s="616">
        <f>E12/$E$83</f>
        <v/>
      </c>
      <c r="J12" s="616">
        <f>G12/$G$83</f>
        <v/>
      </c>
      <c r="K12" s="616">
        <f>H12/$H$83</f>
        <v/>
      </c>
      <c r="M12" s="613">
        <f>$M$3*I12</f>
        <v/>
      </c>
      <c r="N12" s="613" t="n">
        <v>-12201.09</v>
      </c>
      <c r="O12" s="613" t="n">
        <v>-2500</v>
      </c>
      <c r="P12" s="613">
        <f>$P$3*I12</f>
        <v/>
      </c>
      <c r="Q12" s="613" t="n">
        <v>-100704.7800000001</v>
      </c>
      <c r="R12" s="613">
        <f>SUM(M12:Q12)</f>
        <v/>
      </c>
      <c r="S12" s="614" t="n"/>
      <c r="T12" s="617">
        <f>$T$3*K12</f>
        <v/>
      </c>
      <c r="U12" s="618" t="n">
        <v>0</v>
      </c>
      <c r="V12" s="617">
        <f>O12+N12+U12</f>
        <v/>
      </c>
      <c r="W12" s="617">
        <f>J12*$W$3</f>
        <v/>
      </c>
      <c r="X12" s="617">
        <f>$X$3*J12</f>
        <v/>
      </c>
      <c r="Y12" s="619">
        <f>X12-Q12</f>
        <v/>
      </c>
      <c r="Z12" s="617">
        <f>T12+W12+X12+V12</f>
        <v/>
      </c>
      <c r="AA12" s="614" t="n"/>
      <c r="AB12" s="633">
        <f>T12/G12</f>
        <v/>
      </c>
      <c r="AC12" s="634">
        <f>V12/G12</f>
        <v/>
      </c>
      <c r="AD12" s="634">
        <f>W12/G12</f>
        <v/>
      </c>
      <c r="AE12" s="634">
        <f>X12/G12</f>
        <v/>
      </c>
      <c r="AF12" s="1007">
        <f>AE12+AD12+AB12</f>
        <v/>
      </c>
      <c r="AG12" s="614" t="n"/>
      <c r="AH12" s="623" t="n"/>
      <c r="AI12" s="617" t="n"/>
      <c r="AJ12" s="617">
        <f>SUM(M12,P12,Q12)-SUM(T12,W12,X12)+AI12</f>
        <v/>
      </c>
      <c r="AK12" s="624" t="n"/>
      <c r="AL12" s="625">
        <f>AJ12</f>
        <v/>
      </c>
      <c r="AM12" s="626">
        <f>AJ12/G12</f>
        <v/>
      </c>
      <c r="AN12" s="626">
        <f>AC12</f>
        <v/>
      </c>
      <c r="AO12" s="627">
        <f>SUM(AM12:AN12)</f>
        <v/>
      </c>
      <c r="AP12" s="624" t="n"/>
      <c r="AQ12" s="623" t="n"/>
      <c r="AR12" s="632" t="n">
        <v>-14513.18605955992</v>
      </c>
      <c r="AS12" s="625">
        <f>AR12</f>
        <v/>
      </c>
      <c r="AT12" s="627">
        <f>AR12/R12</f>
        <v/>
      </c>
      <c r="AU12" s="624" t="n"/>
      <c r="AV12" s="623" t="n"/>
      <c r="AW12" s="632">
        <f>AR12+AJ12</f>
        <v/>
      </c>
      <c r="AX12" s="624" t="n"/>
      <c r="AY12" s="623" t="n"/>
      <c r="AZ12" s="632" t="n"/>
      <c r="BA12" s="624" t="n"/>
    </row>
    <row r="13">
      <c r="A13" s="612" t="inlineStr">
        <is>
          <t>Avery Ryan Klann</t>
        </is>
      </c>
      <c r="B13" s="613" t="n">
        <v>391501.5777704422</v>
      </c>
      <c r="C13" s="613" t="n">
        <v>0</v>
      </c>
      <c r="D13" s="613" t="inlineStr">
        <is>
          <t>Standard</t>
        </is>
      </c>
      <c r="E13" s="614" t="n">
        <v>391501.58</v>
      </c>
      <c r="F13" s="616">
        <f>E13/$E$86</f>
        <v/>
      </c>
      <c r="G13" s="614">
        <f>E13</f>
        <v/>
      </c>
      <c r="H13" s="614">
        <f>G13</f>
        <v/>
      </c>
      <c r="I13" s="616">
        <f>E13/$E$83</f>
        <v/>
      </c>
      <c r="J13" s="616">
        <f>G13/$G$83</f>
        <v/>
      </c>
      <c r="K13" s="616">
        <f>H13/$H$83</f>
        <v/>
      </c>
      <c r="M13" s="613">
        <f>$M$3*I13</f>
        <v/>
      </c>
      <c r="N13" s="613" t="n">
        <v>-3201.12</v>
      </c>
      <c r="O13" s="613" t="n">
        <v>-1468.13</v>
      </c>
      <c r="P13" s="613">
        <f>$P$3*I13</f>
        <v/>
      </c>
      <c r="Q13" s="613" t="n">
        <v>-40512.32999999998</v>
      </c>
      <c r="R13" s="613">
        <f>SUM(M13:Q13)</f>
        <v/>
      </c>
      <c r="S13" s="614" t="n"/>
      <c r="T13" s="617">
        <f>$T$3*K13</f>
        <v/>
      </c>
      <c r="U13" s="618" t="n">
        <v>0</v>
      </c>
      <c r="V13" s="617">
        <f>O13+N13+U13</f>
        <v/>
      </c>
      <c r="W13" s="617">
        <f>J13*$W$3</f>
        <v/>
      </c>
      <c r="X13" s="617">
        <f>$X$3*J13</f>
        <v/>
      </c>
      <c r="Y13" s="619">
        <f>X13-Q13</f>
        <v/>
      </c>
      <c r="Z13" s="617">
        <f>T13+W13+X13+V13</f>
        <v/>
      </c>
      <c r="AA13" s="614" t="n"/>
      <c r="AB13" s="633">
        <f>T13/G13</f>
        <v/>
      </c>
      <c r="AC13" s="634">
        <f>V13/G13</f>
        <v/>
      </c>
      <c r="AD13" s="634">
        <f>W13/G13</f>
        <v/>
      </c>
      <c r="AE13" s="634">
        <f>X13/G13</f>
        <v/>
      </c>
      <c r="AF13" s="1007">
        <f>AE13+AD13+AB13</f>
        <v/>
      </c>
      <c r="AG13" s="614" t="n"/>
      <c r="AH13" s="623" t="n"/>
      <c r="AI13" s="617" t="n"/>
      <c r="AJ13" s="617">
        <f>SUM(M13,P13,Q13)-SUM(T13,W13,X13)+AI13</f>
        <v/>
      </c>
      <c r="AK13" s="624" t="n"/>
      <c r="AL13" s="625">
        <f>AJ13</f>
        <v/>
      </c>
      <c r="AM13" s="626">
        <f>AJ13/G13</f>
        <v/>
      </c>
      <c r="AN13" s="626">
        <f>AC13</f>
        <v/>
      </c>
      <c r="AO13" s="627">
        <f>SUM(AM13:AN13)</f>
        <v/>
      </c>
      <c r="AP13" s="624" t="n"/>
      <c r="AQ13" s="623" t="n"/>
      <c r="AR13" s="632" t="n">
        <v>-5681.935273151683</v>
      </c>
      <c r="AS13" s="625">
        <f>AR13</f>
        <v/>
      </c>
      <c r="AT13" s="627">
        <f>AR13/R13</f>
        <v/>
      </c>
      <c r="AU13" s="624" t="n"/>
      <c r="AV13" s="623" t="n"/>
      <c r="AW13" s="632">
        <f>AR13+AJ13</f>
        <v/>
      </c>
      <c r="AX13" s="624" t="n"/>
      <c r="AY13" s="623" t="n"/>
      <c r="AZ13" s="632" t="n"/>
      <c r="BA13" s="624" t="n"/>
    </row>
    <row r="14">
      <c r="A14" s="612" t="inlineStr">
        <is>
          <t>BBR Real Assets Fund 2024 LLC</t>
        </is>
      </c>
      <c r="B14" s="613" t="n">
        <v>0</v>
      </c>
      <c r="C14" s="613" t="n">
        <v>0</v>
      </c>
      <c r="D14" s="613" t="inlineStr">
        <is>
          <t>BBR</t>
        </is>
      </c>
      <c r="E14" s="614" t="n">
        <v>10000000</v>
      </c>
      <c r="F14" s="616">
        <f>E14/$E$86</f>
        <v/>
      </c>
      <c r="G14" s="614">
        <f>E14</f>
        <v/>
      </c>
      <c r="H14" s="614">
        <f>G14</f>
        <v/>
      </c>
      <c r="I14" s="616">
        <f>E14/$E$83</f>
        <v/>
      </c>
      <c r="J14" s="616">
        <f>G14/$G$83</f>
        <v/>
      </c>
      <c r="K14" s="616">
        <f>H14/$H$83</f>
        <v/>
      </c>
      <c r="M14" s="613">
        <f>$M$3*I14</f>
        <v/>
      </c>
      <c r="N14" s="613" t="n">
        <v>-122010.85</v>
      </c>
      <c r="O14" s="613" t="n">
        <v>-25000</v>
      </c>
      <c r="P14" s="613">
        <f>$P$3*I14</f>
        <v/>
      </c>
      <c r="Q14" s="613" t="n">
        <v>-1007047.829999998</v>
      </c>
      <c r="R14" s="613">
        <f>SUM(M14:Q14)</f>
        <v/>
      </c>
      <c r="S14" s="614" t="n"/>
      <c r="T14" s="617">
        <f>$T$3*K14</f>
        <v/>
      </c>
      <c r="U14" s="618" t="n">
        <v>0</v>
      </c>
      <c r="V14" s="617">
        <f>O14+N14+U14</f>
        <v/>
      </c>
      <c r="W14" s="617">
        <f>J14*$W$3</f>
        <v/>
      </c>
      <c r="X14" s="617">
        <f>$X$3*J14</f>
        <v/>
      </c>
      <c r="Y14" s="619">
        <f>X14-Q14</f>
        <v/>
      </c>
      <c r="Z14" s="617">
        <f>T14+W14+X14+V14</f>
        <v/>
      </c>
      <c r="AA14" s="614" t="n"/>
      <c r="AB14" s="633">
        <f>T14/G14</f>
        <v/>
      </c>
      <c r="AC14" s="634">
        <f>V14/G14</f>
        <v/>
      </c>
      <c r="AD14" s="634">
        <f>W14/G14</f>
        <v/>
      </c>
      <c r="AE14" s="634">
        <f>X14/G14</f>
        <v/>
      </c>
      <c r="AF14" s="1007">
        <f>AE14+AD14+AB14</f>
        <v/>
      </c>
      <c r="AG14" s="614" t="n"/>
      <c r="AH14" s="623" t="n"/>
      <c r="AI14" s="617" t="n"/>
      <c r="AJ14" s="617">
        <f>SUM(M14,P14,Q14)-SUM(T14,W14,X14)+AI14</f>
        <v/>
      </c>
      <c r="AK14" s="624" t="n"/>
      <c r="AL14" s="625">
        <f>AJ14</f>
        <v/>
      </c>
      <c r="AM14" s="626">
        <f>AJ14/G14</f>
        <v/>
      </c>
      <c r="AN14" s="626">
        <f>AC14</f>
        <v/>
      </c>
      <c r="AO14" s="627">
        <f>SUM(AM14:AN14)</f>
        <v/>
      </c>
      <c r="AP14" s="624" t="n"/>
      <c r="AQ14" s="623" t="n"/>
      <c r="AR14" s="632" t="n">
        <v>-145131.8605955992</v>
      </c>
      <c r="AS14" s="625">
        <f>AR14</f>
        <v/>
      </c>
      <c r="AT14" s="627">
        <f>AR14/R14</f>
        <v/>
      </c>
      <c r="AU14" s="624" t="n"/>
      <c r="AV14" s="623" t="n"/>
      <c r="AW14" s="632">
        <f>AR14+AJ14</f>
        <v/>
      </c>
      <c r="AX14" s="624" t="n"/>
      <c r="AY14" s="623" t="n"/>
      <c r="AZ14" s="632" t="n"/>
      <c r="BA14" s="624" t="n"/>
    </row>
    <row r="15">
      <c r="A15" s="612" t="inlineStr">
        <is>
          <t>Belclaire Asset Management, LLC</t>
        </is>
      </c>
      <c r="B15" s="613" t="n">
        <v>783003.1555408844</v>
      </c>
      <c r="C15" s="613" t="n">
        <v>131795.278650015</v>
      </c>
      <c r="D15" s="613" t="inlineStr">
        <is>
          <t>Standard</t>
        </is>
      </c>
      <c r="E15" s="614" t="n">
        <v>914798.4399999999</v>
      </c>
      <c r="F15" s="616">
        <f>E15/$E$86</f>
        <v/>
      </c>
      <c r="G15" s="614">
        <f>E15</f>
        <v/>
      </c>
      <c r="H15" s="614">
        <f>G15</f>
        <v/>
      </c>
      <c r="I15" s="616">
        <f>E15/$E$83</f>
        <v/>
      </c>
      <c r="J15" s="616">
        <f>G15/$G$83</f>
        <v/>
      </c>
      <c r="K15" s="616">
        <f>H15/$H$83</f>
        <v/>
      </c>
      <c r="M15" s="613">
        <f>$M$3*I15</f>
        <v/>
      </c>
      <c r="N15" s="613" t="n">
        <v>-7228.723164130435</v>
      </c>
      <c r="O15" s="613" t="n">
        <v>-3430.49</v>
      </c>
      <c r="P15" s="613">
        <f>$P$3*I15</f>
        <v/>
      </c>
      <c r="Q15" s="613" t="n">
        <v>-94913.89683586954</v>
      </c>
      <c r="R15" s="613">
        <f>SUM(M15:Q15)</f>
        <v/>
      </c>
      <c r="S15" s="614" t="n"/>
      <c r="T15" s="617">
        <f>$T$3*K15</f>
        <v/>
      </c>
      <c r="U15" s="618" t="n">
        <v>0</v>
      </c>
      <c r="V15" s="617">
        <f>O15+N15+U15</f>
        <v/>
      </c>
      <c r="W15" s="617">
        <f>J15*$W$3</f>
        <v/>
      </c>
      <c r="X15" s="617">
        <f>$X$3*J15</f>
        <v/>
      </c>
      <c r="Y15" s="619">
        <f>X15-Q15</f>
        <v/>
      </c>
      <c r="Z15" s="617">
        <f>T15+W15+X15+V15</f>
        <v/>
      </c>
      <c r="AA15" s="614" t="n"/>
      <c r="AB15" s="633">
        <f>T15/G15</f>
        <v/>
      </c>
      <c r="AC15" s="634">
        <f>V15/G15</f>
        <v/>
      </c>
      <c r="AD15" s="634">
        <f>W15/G15</f>
        <v/>
      </c>
      <c r="AE15" s="634">
        <f>X15/G15</f>
        <v/>
      </c>
      <c r="AF15" s="1007">
        <f>AE15+AD15+AB15</f>
        <v/>
      </c>
      <c r="AG15" s="614" t="n"/>
      <c r="AH15" s="623" t="n"/>
      <c r="AI15" s="617" t="n"/>
      <c r="AJ15" s="617">
        <f>SUM(M15,P15,Q15)-SUM(T15,W15,X15)+AI15</f>
        <v/>
      </c>
      <c r="AK15" s="624" t="n"/>
      <c r="AL15" s="625">
        <f>AJ15</f>
        <v/>
      </c>
      <c r="AM15" s="626">
        <f>AJ15/G15</f>
        <v/>
      </c>
      <c r="AN15" s="626">
        <f>AC15</f>
        <v/>
      </c>
      <c r="AO15" s="627">
        <f>SUM(AM15:AN15)</f>
        <v/>
      </c>
      <c r="AP15" s="624" t="n"/>
      <c r="AQ15" s="623" t="n"/>
      <c r="AR15" s="632" t="n">
        <v>-13276.63996671516</v>
      </c>
      <c r="AS15" s="625">
        <f>AR15</f>
        <v/>
      </c>
      <c r="AT15" s="627">
        <f>AR15/R15</f>
        <v/>
      </c>
      <c r="AU15" s="624" t="n"/>
      <c r="AV15" s="623" t="n"/>
      <c r="AW15" s="632">
        <f>AR15+AJ15</f>
        <v/>
      </c>
      <c r="AX15" s="624" t="n"/>
      <c r="AY15" s="623" t="n"/>
      <c r="AZ15" s="632" t="n"/>
      <c r="BA15" s="624" t="n"/>
    </row>
    <row r="16">
      <c r="A16" s="612" t="inlineStr">
        <is>
          <t>Benaiah Inc.</t>
        </is>
      </c>
      <c r="B16" s="613" t="n">
        <v>783003.1555408844</v>
      </c>
      <c r="C16" s="613" t="n">
        <v>131795.278650015</v>
      </c>
      <c r="D16" s="613" t="inlineStr">
        <is>
          <t>Standard</t>
        </is>
      </c>
      <c r="E16" s="614" t="n">
        <v>914798.4399999999</v>
      </c>
      <c r="F16" s="616">
        <f>E16/$E$86</f>
        <v/>
      </c>
      <c r="G16" s="614">
        <f>E16</f>
        <v/>
      </c>
      <c r="H16" s="614">
        <f>G16</f>
        <v/>
      </c>
      <c r="I16" s="616">
        <f>E16/$E$83</f>
        <v/>
      </c>
      <c r="J16" s="616">
        <f>G16/$G$83</f>
        <v/>
      </c>
      <c r="K16" s="616">
        <f>H16/$H$83</f>
        <v/>
      </c>
      <c r="M16" s="613">
        <f>$M$3*I16</f>
        <v/>
      </c>
      <c r="N16" s="613" t="n">
        <v>-7228.723164130435</v>
      </c>
      <c r="O16" s="613" t="n">
        <v>-3430.49</v>
      </c>
      <c r="P16" s="613">
        <f>$P$3*I16</f>
        <v/>
      </c>
      <c r="Q16" s="613" t="n">
        <v>-94913.89683586954</v>
      </c>
      <c r="R16" s="613">
        <f>SUM(M16:Q16)</f>
        <v/>
      </c>
      <c r="S16" s="614" t="n"/>
      <c r="T16" s="617">
        <f>$T$3*K16</f>
        <v/>
      </c>
      <c r="U16" s="618" t="n">
        <v>0</v>
      </c>
      <c r="V16" s="617">
        <f>O16+N16+U16</f>
        <v/>
      </c>
      <c r="W16" s="617">
        <f>J16*$W$3</f>
        <v/>
      </c>
      <c r="X16" s="617">
        <f>$X$3*J16</f>
        <v/>
      </c>
      <c r="Y16" s="619">
        <f>X16-Q16</f>
        <v/>
      </c>
      <c r="Z16" s="617">
        <f>T16+W16+X16+V16</f>
        <v/>
      </c>
      <c r="AA16" s="614" t="n"/>
      <c r="AB16" s="633">
        <f>T16/G16</f>
        <v/>
      </c>
      <c r="AC16" s="634">
        <f>V16/G16</f>
        <v/>
      </c>
      <c r="AD16" s="634">
        <f>W16/G16</f>
        <v/>
      </c>
      <c r="AE16" s="634">
        <f>X16/G16</f>
        <v/>
      </c>
      <c r="AF16" s="1007">
        <f>AE16+AD16+AB16</f>
        <v/>
      </c>
      <c r="AG16" s="614" t="n"/>
      <c r="AH16" s="623" t="n"/>
      <c r="AI16" s="617" t="n"/>
      <c r="AJ16" s="617">
        <f>SUM(M16,P16,Q16)-SUM(T16,W16,X16)+AI16</f>
        <v/>
      </c>
      <c r="AK16" s="624" t="n"/>
      <c r="AL16" s="625">
        <f>AJ16</f>
        <v/>
      </c>
      <c r="AM16" s="626">
        <f>AJ16/G16</f>
        <v/>
      </c>
      <c r="AN16" s="626">
        <f>AC16</f>
        <v/>
      </c>
      <c r="AO16" s="627">
        <f>SUM(AM16:AN16)</f>
        <v/>
      </c>
      <c r="AP16" s="624" t="n"/>
      <c r="AQ16" s="623" t="n"/>
      <c r="AR16" s="632" t="n">
        <v>-13276.63996671516</v>
      </c>
      <c r="AS16" s="625">
        <f>AR16</f>
        <v/>
      </c>
      <c r="AT16" s="627">
        <f>AR16/R16</f>
        <v/>
      </c>
      <c r="AU16" s="624" t="n"/>
      <c r="AV16" s="623" t="n"/>
      <c r="AW16" s="632">
        <f>AR16+AJ16</f>
        <v/>
      </c>
      <c r="AX16" s="624" t="n"/>
      <c r="AY16" s="623" t="n"/>
      <c r="AZ16" s="632" t="n"/>
      <c r="BA16" s="624" t="n"/>
    </row>
    <row r="17">
      <c r="A17" s="612" t="inlineStr">
        <is>
          <t>Benjamin Johnson</t>
        </is>
      </c>
      <c r="B17" s="613" t="n">
        <v>78300.31555408845</v>
      </c>
      <c r="C17" s="613" t="n">
        <v>0</v>
      </c>
      <c r="D17" s="613" t="inlineStr">
        <is>
          <t>Standard</t>
        </is>
      </c>
      <c r="E17" s="614" t="n">
        <v>78300.32000000001</v>
      </c>
      <c r="F17" s="616">
        <f>E17/$E$86</f>
        <v/>
      </c>
      <c r="G17" s="614">
        <f>E17</f>
        <v/>
      </c>
      <c r="H17" s="614">
        <f>G17</f>
        <v/>
      </c>
      <c r="I17" s="616">
        <f>E17/$E$83</f>
        <v/>
      </c>
      <c r="J17" s="616">
        <f>G17/$G$83</f>
        <v/>
      </c>
      <c r="K17" s="616">
        <f>H17/$H$83</f>
        <v/>
      </c>
      <c r="M17" s="613">
        <f>$M$3*I17</f>
        <v/>
      </c>
      <c r="N17" s="613" t="n">
        <v>-640.23</v>
      </c>
      <c r="O17" s="613" t="n">
        <v>-293.63</v>
      </c>
      <c r="P17" s="613">
        <f>$P$3*I17</f>
        <v/>
      </c>
      <c r="Q17" s="613" t="n">
        <v>-8102.460000000004</v>
      </c>
      <c r="R17" s="613">
        <f>SUM(M17:Q17)</f>
        <v/>
      </c>
      <c r="S17" s="614" t="n"/>
      <c r="T17" s="617">
        <f>$T$3*K17</f>
        <v/>
      </c>
      <c r="U17" s="618" t="n">
        <v>0</v>
      </c>
      <c r="V17" s="617">
        <f>O17+N17+U17</f>
        <v/>
      </c>
      <c r="W17" s="617">
        <f>J17*$W$3</f>
        <v/>
      </c>
      <c r="X17" s="617">
        <f>$X$3*J17</f>
        <v/>
      </c>
      <c r="Y17" s="619">
        <f>X17-Q17</f>
        <v/>
      </c>
      <c r="Z17" s="617">
        <f>T17+W17+X17+V17</f>
        <v/>
      </c>
      <c r="AA17" s="614" t="n"/>
      <c r="AB17" s="633">
        <f>T17/G17</f>
        <v/>
      </c>
      <c r="AC17" s="634">
        <f>V17/G17</f>
        <v/>
      </c>
      <c r="AD17" s="634">
        <f>W17/G17</f>
        <v/>
      </c>
      <c r="AE17" s="634">
        <f>X17/G17</f>
        <v/>
      </c>
      <c r="AF17" s="1007">
        <f>AE17+AD17+AB17</f>
        <v/>
      </c>
      <c r="AG17" s="614" t="n"/>
      <c r="AH17" s="623" t="n"/>
      <c r="AI17" s="617" t="n"/>
      <c r="AJ17" s="617">
        <f>SUM(M17,P17,Q17)-SUM(T17,W17,X17)+AI17</f>
        <v/>
      </c>
      <c r="AK17" s="624" t="n"/>
      <c r="AL17" s="625">
        <f>AJ17</f>
        <v/>
      </c>
      <c r="AM17" s="626">
        <f>AJ17/G17</f>
        <v/>
      </c>
      <c r="AN17" s="626">
        <f>AC17</f>
        <v/>
      </c>
      <c r="AO17" s="627">
        <f>SUM(AM17:AN17)</f>
        <v/>
      </c>
      <c r="AP17" s="624" t="n"/>
      <c r="AQ17" s="623" t="n"/>
      <c r="AR17" s="632" t="n">
        <v>-1136.387112683081</v>
      </c>
      <c r="AS17" s="625">
        <f>AR17</f>
        <v/>
      </c>
      <c r="AT17" s="627">
        <f>AR17/R17</f>
        <v/>
      </c>
      <c r="AU17" s="624" t="n"/>
      <c r="AV17" s="623" t="n"/>
      <c r="AW17" s="632">
        <f>AR17+AJ17</f>
        <v/>
      </c>
      <c r="AX17" s="624" t="n"/>
      <c r="AY17" s="623" t="n"/>
      <c r="AZ17" s="632" t="n"/>
      <c r="BA17" s="624" t="n"/>
    </row>
    <row r="18">
      <c r="A18" s="612" t="inlineStr">
        <is>
          <t>Bloomingdale Family Trust Share #3</t>
        </is>
      </c>
      <c r="B18" s="613" t="n">
        <v>234900.9466622653</v>
      </c>
      <c r="C18" s="613" t="n">
        <v>0</v>
      </c>
      <c r="D18" s="613" t="inlineStr">
        <is>
          <t>Standard</t>
        </is>
      </c>
      <c r="E18" s="614" t="n">
        <v>234900.95</v>
      </c>
      <c r="F18" s="616">
        <f>E18/$E$86</f>
        <v/>
      </c>
      <c r="G18" s="614">
        <f>E18</f>
        <v/>
      </c>
      <c r="H18" s="614">
        <f>G18</f>
        <v/>
      </c>
      <c r="I18" s="616">
        <f>E18/$E$83</f>
        <v/>
      </c>
      <c r="J18" s="616">
        <f>G18/$G$83</f>
        <v/>
      </c>
      <c r="K18" s="616">
        <f>H18/$H$83</f>
        <v/>
      </c>
      <c r="M18" s="613">
        <f>$M$3*I18</f>
        <v/>
      </c>
      <c r="N18" s="613" t="n">
        <v>-1920.68</v>
      </c>
      <c r="O18" s="613" t="n">
        <v>-880.88</v>
      </c>
      <c r="P18" s="613">
        <f>$P$3*I18</f>
        <v/>
      </c>
      <c r="Q18" s="613" t="n">
        <v>-24307.39</v>
      </c>
      <c r="R18" s="613">
        <f>SUM(M18:Q18)</f>
        <v/>
      </c>
      <c r="S18" s="614" t="n"/>
      <c r="T18" s="617">
        <f>$T$3*K18</f>
        <v/>
      </c>
      <c r="U18" s="618" t="n">
        <v>0</v>
      </c>
      <c r="V18" s="617">
        <f>O18+N18+U18</f>
        <v/>
      </c>
      <c r="W18" s="617">
        <f>J18*$W$3</f>
        <v/>
      </c>
      <c r="X18" s="617">
        <f>$X$3*J18</f>
        <v/>
      </c>
      <c r="Y18" s="619">
        <f>X18-Q18</f>
        <v/>
      </c>
      <c r="Z18" s="617">
        <f>T18+W18+X18+V18</f>
        <v/>
      </c>
      <c r="AA18" s="614" t="n"/>
      <c r="AB18" s="633">
        <f>T18/G18</f>
        <v/>
      </c>
      <c r="AC18" s="634">
        <f>V18/G18</f>
        <v/>
      </c>
      <c r="AD18" s="634">
        <f>W18/G18</f>
        <v/>
      </c>
      <c r="AE18" s="634">
        <f>X18/G18</f>
        <v/>
      </c>
      <c r="AF18" s="1007">
        <f>AE18+AD18+AB18</f>
        <v/>
      </c>
      <c r="AG18" s="614" t="n"/>
      <c r="AH18" s="623" t="n"/>
      <c r="AI18" s="617" t="n"/>
      <c r="AJ18" s="617">
        <f>SUM(M18,P18,Q18)-SUM(T18,W18,X18)+AI18</f>
        <v/>
      </c>
      <c r="AK18" s="624" t="n"/>
      <c r="AL18" s="625">
        <f>AJ18</f>
        <v/>
      </c>
      <c r="AM18" s="626">
        <f>AJ18/G18</f>
        <v/>
      </c>
      <c r="AN18" s="626">
        <f>AC18</f>
        <v/>
      </c>
      <c r="AO18" s="627">
        <f>SUM(AM18:AN18)</f>
        <v/>
      </c>
      <c r="AP18" s="624" t="n"/>
      <c r="AQ18" s="623" t="n"/>
      <c r="AR18" s="632" t="n">
        <v>-3409.161192917381</v>
      </c>
      <c r="AS18" s="625">
        <f>AR18</f>
        <v/>
      </c>
      <c r="AT18" s="627">
        <f>AR18/R18</f>
        <v/>
      </c>
      <c r="AU18" s="624" t="n"/>
      <c r="AV18" s="623" t="n"/>
      <c r="AW18" s="632">
        <f>AR18+AJ18</f>
        <v/>
      </c>
      <c r="AX18" s="624" t="n"/>
      <c r="AY18" s="623" t="n"/>
      <c r="AZ18" s="632" t="n"/>
      <c r="BA18" s="624" t="n"/>
    </row>
    <row r="19">
      <c r="A19" s="612" t="inlineStr">
        <is>
          <t>Brian Carroll 2011 Long-Term Trust</t>
        </is>
      </c>
      <c r="B19" s="613" t="n">
        <v>0</v>
      </c>
      <c r="C19" s="613" t="n">
        <v>0</v>
      </c>
      <c r="D19" s="613" t="inlineStr">
        <is>
          <t>BBR</t>
        </is>
      </c>
      <c r="E19" s="614" t="n">
        <v>500000</v>
      </c>
      <c r="F19" s="616">
        <f>E19/$E$86</f>
        <v/>
      </c>
      <c r="G19" s="614">
        <f>E19</f>
        <v/>
      </c>
      <c r="H19" s="614">
        <f>G19</f>
        <v/>
      </c>
      <c r="I19" s="616">
        <f>E19/$E$83</f>
        <v/>
      </c>
      <c r="J19" s="616">
        <f>G19/$G$83</f>
        <v/>
      </c>
      <c r="K19" s="616">
        <f>H19/$H$83</f>
        <v/>
      </c>
      <c r="M19" s="613">
        <f>$M$3*I19</f>
        <v/>
      </c>
      <c r="N19" s="613" t="n">
        <v>-6100.54</v>
      </c>
      <c r="O19" s="613" t="n">
        <v>-1250</v>
      </c>
      <c r="P19" s="613">
        <f>$P$3*I19</f>
        <v/>
      </c>
      <c r="Q19" s="613" t="n">
        <v>-50352.39000000003</v>
      </c>
      <c r="R19" s="613">
        <f>SUM(M19:Q19)</f>
        <v/>
      </c>
      <c r="S19" s="614" t="n"/>
      <c r="T19" s="617">
        <f>$T$3*K19</f>
        <v/>
      </c>
      <c r="U19" s="618" t="n">
        <v>0</v>
      </c>
      <c r="V19" s="617">
        <f>O19+N19+U19</f>
        <v/>
      </c>
      <c r="W19" s="617">
        <f>J19*$W$3</f>
        <v/>
      </c>
      <c r="X19" s="617">
        <f>$X$3*J19</f>
        <v/>
      </c>
      <c r="Y19" s="619">
        <f>X19-Q19</f>
        <v/>
      </c>
      <c r="Z19" s="617">
        <f>T19+W19+X19+V19</f>
        <v/>
      </c>
      <c r="AA19" s="614" t="n"/>
      <c r="AB19" s="633">
        <f>T19/G19</f>
        <v/>
      </c>
      <c r="AC19" s="634">
        <f>V19/G19</f>
        <v/>
      </c>
      <c r="AD19" s="634">
        <f>W19/G19</f>
        <v/>
      </c>
      <c r="AE19" s="634">
        <f>X19/G19</f>
        <v/>
      </c>
      <c r="AF19" s="1007">
        <f>AE19+AD19+AB19</f>
        <v/>
      </c>
      <c r="AG19" s="614" t="n"/>
      <c r="AH19" s="623" t="n"/>
      <c r="AI19" s="617" t="n"/>
      <c r="AJ19" s="617">
        <f>SUM(M19,P19,Q19)-SUM(T19,W19,X19)+AI19</f>
        <v/>
      </c>
      <c r="AK19" s="624" t="n"/>
      <c r="AL19" s="625">
        <f>AJ19</f>
        <v/>
      </c>
      <c r="AM19" s="626">
        <f>AJ19/G19</f>
        <v/>
      </c>
      <c r="AN19" s="626">
        <f>AC19</f>
        <v/>
      </c>
      <c r="AO19" s="627">
        <f>SUM(AM19:AN19)</f>
        <v/>
      </c>
      <c r="AP19" s="624" t="n"/>
      <c r="AQ19" s="623" t="n"/>
      <c r="AR19" s="632" t="n">
        <v>-7256.593029779959</v>
      </c>
      <c r="AS19" s="625">
        <f>AR19</f>
        <v/>
      </c>
      <c r="AT19" s="627">
        <f>AR19/R19</f>
        <v/>
      </c>
      <c r="AU19" s="624" t="n"/>
      <c r="AV19" s="623" t="n"/>
      <c r="AW19" s="632">
        <f>AR19+AJ19</f>
        <v/>
      </c>
      <c r="AX19" s="624" t="n"/>
      <c r="AY19" s="623" t="n"/>
      <c r="AZ19" s="632" t="n"/>
      <c r="BA19" s="624" t="n"/>
    </row>
    <row r="20">
      <c r="A20" s="612" t="inlineStr">
        <is>
          <t>Bryan C. White LLC</t>
        </is>
      </c>
      <c r="B20" s="613" t="n">
        <v>195750.7888852211</v>
      </c>
      <c r="C20" s="613" t="n">
        <v>0</v>
      </c>
      <c r="D20" s="613" t="inlineStr">
        <is>
          <t>Standard</t>
        </is>
      </c>
      <c r="E20" s="614" t="n">
        <v>195750.79</v>
      </c>
      <c r="F20" s="616">
        <f>E20/$E$86</f>
        <v/>
      </c>
      <c r="G20" s="614">
        <f>E20</f>
        <v/>
      </c>
      <c r="H20" s="614">
        <f>G20</f>
        <v/>
      </c>
      <c r="I20" s="616">
        <f>E20/$E$83</f>
        <v/>
      </c>
      <c r="J20" s="616">
        <f>G20/$G$83</f>
        <v/>
      </c>
      <c r="K20" s="616">
        <f>H20/$H$83</f>
        <v/>
      </c>
      <c r="M20" s="613">
        <f>$M$3*I20</f>
        <v/>
      </c>
      <c r="N20" s="613" t="n">
        <v>-1600.57</v>
      </c>
      <c r="O20" s="613" t="n">
        <v>-734.0700000000001</v>
      </c>
      <c r="P20" s="613">
        <f>$P$3*I20</f>
        <v/>
      </c>
      <c r="Q20" s="613" t="n">
        <v>-20256.14999999999</v>
      </c>
      <c r="R20" s="613">
        <f>SUM(M20:Q20)</f>
        <v/>
      </c>
      <c r="S20" s="614" t="n"/>
      <c r="T20" s="617">
        <f>$T$3*K20</f>
        <v/>
      </c>
      <c r="U20" s="618" t="n">
        <v>0</v>
      </c>
      <c r="V20" s="617">
        <f>O20+N20+U20</f>
        <v/>
      </c>
      <c r="W20" s="617">
        <f>J20*$W$3</f>
        <v/>
      </c>
      <c r="X20" s="617">
        <f>$X$3*J20</f>
        <v/>
      </c>
      <c r="Y20" s="619">
        <f>X20-Q20</f>
        <v/>
      </c>
      <c r="Z20" s="617">
        <f>T20+W20+X20+V20</f>
        <v/>
      </c>
      <c r="AA20" s="614" t="n"/>
      <c r="AB20" s="633">
        <f>T20/G20</f>
        <v/>
      </c>
      <c r="AC20" s="634">
        <f>V20/G20</f>
        <v/>
      </c>
      <c r="AD20" s="634">
        <f>W20/G20</f>
        <v/>
      </c>
      <c r="AE20" s="634">
        <f>X20/G20</f>
        <v/>
      </c>
      <c r="AF20" s="1007">
        <f>AE20+AD20+AB20</f>
        <v/>
      </c>
      <c r="AG20" s="614" t="n"/>
      <c r="AH20" s="623" t="n"/>
      <c r="AI20" s="617" t="n"/>
      <c r="AJ20" s="617">
        <f>SUM(M20,P20,Q20)-SUM(T20,W20,X20)+AI20</f>
        <v/>
      </c>
      <c r="AK20" s="624" t="n"/>
      <c r="AL20" s="625">
        <f>AJ20</f>
        <v/>
      </c>
      <c r="AM20" s="626">
        <f>AJ20/G20</f>
        <v/>
      </c>
      <c r="AN20" s="626">
        <f>AC20</f>
        <v/>
      </c>
      <c r="AO20" s="627">
        <f>SUM(AM20:AN20)</f>
        <v/>
      </c>
      <c r="AP20" s="624" t="n"/>
      <c r="AQ20" s="623" t="n"/>
      <c r="AR20" s="632" t="n">
        <v>-2840.967636575841</v>
      </c>
      <c r="AS20" s="625">
        <f>AR20</f>
        <v/>
      </c>
      <c r="AT20" s="627">
        <f>AR20/R20</f>
        <v/>
      </c>
      <c r="AU20" s="624" t="n"/>
      <c r="AV20" s="623" t="n"/>
      <c r="AW20" s="632">
        <f>AR20+AJ20</f>
        <v/>
      </c>
      <c r="AX20" s="624" t="n"/>
      <c r="AY20" s="623" t="n"/>
      <c r="AZ20" s="632" t="n"/>
      <c r="BA20" s="624" t="n"/>
    </row>
    <row r="21">
      <c r="A21" s="612" t="inlineStr">
        <is>
          <t>Cameron J. Tringale</t>
        </is>
      </c>
      <c r="B21" s="613" t="n">
        <v>0</v>
      </c>
      <c r="C21" s="613" t="n">
        <v>0</v>
      </c>
      <c r="D21" s="613" t="inlineStr">
        <is>
          <t>Standard</t>
        </is>
      </c>
      <c r="E21" s="614" t="n">
        <v>500000</v>
      </c>
      <c r="F21" s="616">
        <f>E21/$E$86</f>
        <v/>
      </c>
      <c r="G21" s="614">
        <f>E21</f>
        <v/>
      </c>
      <c r="H21" s="614">
        <f>G21</f>
        <v/>
      </c>
      <c r="I21" s="616">
        <f>E21/$E$83</f>
        <v/>
      </c>
      <c r="J21" s="616">
        <f>G21/$G$83</f>
        <v/>
      </c>
      <c r="K21" s="616">
        <f>H21/$H$83</f>
        <v/>
      </c>
      <c r="M21" s="613">
        <f>$M$3*I21</f>
        <v/>
      </c>
      <c r="N21" s="613" t="n">
        <v>-9150.82</v>
      </c>
      <c r="O21" s="613" t="n">
        <v>-1875</v>
      </c>
      <c r="P21" s="613">
        <f>$P$3*I21</f>
        <v/>
      </c>
      <c r="Q21" s="613" t="n">
        <v>-46677.11000000003</v>
      </c>
      <c r="R21" s="613">
        <f>SUM(M21:Q21)</f>
        <v/>
      </c>
      <c r="S21" s="614" t="n"/>
      <c r="T21" s="617">
        <f>$T$3*K21</f>
        <v/>
      </c>
      <c r="U21" s="618" t="n">
        <v>0</v>
      </c>
      <c r="V21" s="617">
        <f>O21+N21+U21</f>
        <v/>
      </c>
      <c r="W21" s="617">
        <f>J21*$W$3</f>
        <v/>
      </c>
      <c r="X21" s="617">
        <f>$X$3*J21</f>
        <v/>
      </c>
      <c r="Y21" s="619">
        <f>X21-Q21</f>
        <v/>
      </c>
      <c r="Z21" s="617">
        <f>T21+W21+X21+V21</f>
        <v/>
      </c>
      <c r="AA21" s="614" t="n"/>
      <c r="AB21" s="633">
        <f>T21/G21</f>
        <v/>
      </c>
      <c r="AC21" s="634">
        <f>V21/G21</f>
        <v/>
      </c>
      <c r="AD21" s="634">
        <f>W21/G21</f>
        <v/>
      </c>
      <c r="AE21" s="634">
        <f>X21/G21</f>
        <v/>
      </c>
      <c r="AF21" s="1007">
        <f>AE21+AD21+AB21</f>
        <v/>
      </c>
      <c r="AG21" s="614" t="n"/>
      <c r="AH21" s="623" t="n"/>
      <c r="AI21" s="617" t="n"/>
      <c r="AJ21" s="617">
        <f>SUM(M21,P21,Q21)-SUM(T21,W21,X21)+AI21</f>
        <v/>
      </c>
      <c r="AK21" s="624" t="n"/>
      <c r="AL21" s="625">
        <f>AJ21</f>
        <v/>
      </c>
      <c r="AM21" s="626">
        <f>AJ21/G21</f>
        <v/>
      </c>
      <c r="AN21" s="626">
        <f>AC21</f>
        <v/>
      </c>
      <c r="AO21" s="627">
        <f>SUM(AM21:AN21)</f>
        <v/>
      </c>
      <c r="AP21" s="624" t="n"/>
      <c r="AQ21" s="623" t="n"/>
      <c r="AR21" s="632" t="n">
        <v>-7256.593029779959</v>
      </c>
      <c r="AS21" s="625">
        <f>AR21</f>
        <v/>
      </c>
      <c r="AT21" s="627">
        <f>AR21/R21</f>
        <v/>
      </c>
      <c r="AU21" s="624" t="n"/>
      <c r="AV21" s="623" t="n"/>
      <c r="AW21" s="632">
        <f>AR21+AJ21</f>
        <v/>
      </c>
      <c r="AX21" s="624" t="n"/>
      <c r="AY21" s="623" t="n"/>
      <c r="AZ21" s="632" t="n"/>
      <c r="BA21" s="624" t="n"/>
    </row>
    <row r="22">
      <c r="A22" s="612" t="inlineStr">
        <is>
          <t>Charing Hatcherville LLC</t>
        </is>
      </c>
      <c r="B22" s="613" t="n">
        <v>50964145.40599024</v>
      </c>
      <c r="C22" s="613" t="n">
        <v>0</v>
      </c>
      <c r="D22" s="613" t="inlineStr">
        <is>
          <t>Standard</t>
        </is>
      </c>
      <c r="E22" s="614" t="n">
        <v>50964145.41</v>
      </c>
      <c r="F22" s="616">
        <f>E22/$E$86</f>
        <v/>
      </c>
      <c r="G22" s="614">
        <f>E22</f>
        <v/>
      </c>
      <c r="H22" s="614">
        <f>G22</f>
        <v/>
      </c>
      <c r="I22" s="616">
        <f>E22/$E$83</f>
        <v/>
      </c>
      <c r="J22" s="616">
        <f>G22/$G$83</f>
        <v/>
      </c>
      <c r="K22" s="616">
        <f>H22/$H$83</f>
        <v/>
      </c>
      <c r="M22" s="613">
        <f>$M$3*I22</f>
        <v/>
      </c>
      <c r="N22" s="613" t="n">
        <v>-416709.63</v>
      </c>
      <c r="O22" s="613" t="n">
        <v>-191115.55</v>
      </c>
      <c r="P22" s="613">
        <f>$P$3*I22</f>
        <v/>
      </c>
      <c r="Q22" s="613" t="n">
        <v>-5273736.19</v>
      </c>
      <c r="R22" s="613">
        <f>SUM(M22:Q22)</f>
        <v/>
      </c>
      <c r="S22" s="614" t="n"/>
      <c r="T22" s="617">
        <f>$T$3*K22</f>
        <v/>
      </c>
      <c r="U22" s="618" t="n">
        <v>0</v>
      </c>
      <c r="V22" s="617">
        <f>O22+N22+U22</f>
        <v/>
      </c>
      <c r="W22" s="617">
        <f>J22*$W$3</f>
        <v/>
      </c>
      <c r="X22" s="617">
        <f>$X$3*J22</f>
        <v/>
      </c>
      <c r="Y22" s="619">
        <f>X22-Q22</f>
        <v/>
      </c>
      <c r="Z22" s="617">
        <f>T22+W22+X22+V22</f>
        <v/>
      </c>
      <c r="AA22" s="614" t="n"/>
      <c r="AB22" s="633">
        <f>T22/G22</f>
        <v/>
      </c>
      <c r="AC22" s="634">
        <f>V22/G22</f>
        <v/>
      </c>
      <c r="AD22" s="634">
        <f>W22/G22</f>
        <v/>
      </c>
      <c r="AE22" s="634">
        <f>X22/G22</f>
        <v/>
      </c>
      <c r="AF22" s="1007">
        <f>AE22+AD22+AB22</f>
        <v/>
      </c>
      <c r="AG22" s="614" t="n"/>
      <c r="AH22" s="623" t="n"/>
      <c r="AI22" s="617" t="n"/>
      <c r="AJ22" s="617">
        <f>SUM(M22,P22,Q22)-SUM(T22,W22,X22)+AI22</f>
        <v/>
      </c>
      <c r="AK22" s="624" t="n"/>
      <c r="AL22" s="625">
        <f>AJ22</f>
        <v/>
      </c>
      <c r="AM22" s="626">
        <f>AJ22/G22</f>
        <v/>
      </c>
      <c r="AN22" s="626">
        <f>AC22</f>
        <v/>
      </c>
      <c r="AO22" s="627">
        <f>SUM(AM22:AN22)</f>
        <v/>
      </c>
      <c r="AP22" s="624" t="n"/>
      <c r="AQ22" s="623" t="n"/>
      <c r="AR22" s="632" t="n">
        <v>-739652.1247017967</v>
      </c>
      <c r="AS22" s="625">
        <f>AR22</f>
        <v/>
      </c>
      <c r="AT22" s="627">
        <f>AR22/R22</f>
        <v/>
      </c>
      <c r="AU22" s="624" t="n"/>
      <c r="AV22" s="623" t="n"/>
      <c r="AW22" s="632">
        <f>AR22+AJ22</f>
        <v/>
      </c>
      <c r="AX22" s="624" t="n"/>
      <c r="AY22" s="623" t="n"/>
      <c r="AZ22" s="632" t="n"/>
      <c r="BA22" s="624" t="n"/>
    </row>
    <row r="23">
      <c r="A23" s="612" t="inlineStr">
        <is>
          <t>Charing Silsbee, LLC</t>
        </is>
      </c>
      <c r="B23" s="613" t="n">
        <v>0</v>
      </c>
      <c r="C23" s="613" t="n">
        <v>6326173.375200721</v>
      </c>
      <c r="D23" s="613" t="inlineStr">
        <is>
          <t>Standard</t>
        </is>
      </c>
      <c r="E23" s="614" t="n">
        <v>6326173.38</v>
      </c>
      <c r="F23" s="616">
        <f>E23/$E$86</f>
        <v/>
      </c>
      <c r="G23" s="614">
        <f>E23</f>
        <v/>
      </c>
      <c r="H23" s="614">
        <f>G23</f>
        <v/>
      </c>
      <c r="I23" s="616">
        <f>E23/$E$83</f>
        <v/>
      </c>
      <c r="J23" s="616">
        <f>G23/$G$83</f>
        <v/>
      </c>
      <c r="K23" s="616">
        <f>H23/$H$83</f>
        <v/>
      </c>
      <c r="M23" s="613">
        <f>$M$3*I23</f>
        <v/>
      </c>
      <c r="N23" s="613" t="n">
        <v>-39670.59100516304</v>
      </c>
      <c r="O23" s="613" t="n">
        <v>-23723.15</v>
      </c>
      <c r="P23" s="613">
        <f>$P$3*I23</f>
        <v/>
      </c>
      <c r="Q23" s="613" t="n">
        <v>-666683.788994837</v>
      </c>
      <c r="R23" s="613">
        <f>SUM(M23:Q23)</f>
        <v/>
      </c>
      <c r="S23" s="614" t="n"/>
      <c r="T23" s="617">
        <f>$T$3*K23</f>
        <v/>
      </c>
      <c r="U23" s="618" t="n">
        <v>0</v>
      </c>
      <c r="V23" s="617">
        <f>O23+N23+U23</f>
        <v/>
      </c>
      <c r="W23" s="617">
        <f>J23*$W$3</f>
        <v/>
      </c>
      <c r="X23" s="617">
        <f>$X$3*J23</f>
        <v/>
      </c>
      <c r="Y23" s="619">
        <f>X23-Q23</f>
        <v/>
      </c>
      <c r="Z23" s="617">
        <f>T23+W23+X23+V23</f>
        <v/>
      </c>
      <c r="AA23" s="614" t="n"/>
      <c r="AB23" s="633">
        <f>T23/G23</f>
        <v/>
      </c>
      <c r="AC23" s="634">
        <f>V23/G23</f>
        <v/>
      </c>
      <c r="AD23" s="634">
        <f>W23/G23</f>
        <v/>
      </c>
      <c r="AE23" s="634">
        <f>X23/G23</f>
        <v/>
      </c>
      <c r="AF23" s="1007">
        <f>AE23+AD23+AB23</f>
        <v/>
      </c>
      <c r="AG23" s="614" t="n"/>
      <c r="AH23" s="623" t="n"/>
      <c r="AI23" s="617" t="n"/>
      <c r="AJ23" s="617">
        <f>SUM(M23,P23,Q23)-SUM(T23,W23,X23)+AI23</f>
        <v/>
      </c>
      <c r="AK23" s="624" t="n"/>
      <c r="AL23" s="625">
        <f>AJ23</f>
        <v/>
      </c>
      <c r="AM23" s="626">
        <f>AJ23/G23</f>
        <v/>
      </c>
      <c r="AN23" s="626">
        <f>AC23</f>
        <v/>
      </c>
      <c r="AO23" s="627">
        <f>SUM(AM23:AN23)</f>
        <v/>
      </c>
      <c r="AP23" s="624" t="n"/>
      <c r="AQ23" s="623" t="n"/>
      <c r="AR23" s="632" t="n">
        <v>-91812.93130897506</v>
      </c>
      <c r="AS23" s="625">
        <f>AR23</f>
        <v/>
      </c>
      <c r="AT23" s="627">
        <f>AR23/R23</f>
        <v/>
      </c>
      <c r="AU23" s="624" t="n"/>
      <c r="AV23" s="623" t="n"/>
      <c r="AW23" s="632">
        <f>AR23+AJ23</f>
        <v/>
      </c>
      <c r="AX23" s="624" t="n"/>
      <c r="AY23" s="623" t="n"/>
      <c r="AZ23" s="632" t="n"/>
      <c r="BA23" s="624" t="n"/>
    </row>
    <row r="24">
      <c r="A24" s="612" t="inlineStr">
        <is>
          <t>Chase F. Monroe</t>
        </is>
      </c>
      <c r="B24" s="613" t="n">
        <v>195750.7888852211</v>
      </c>
      <c r="C24" s="613" t="n">
        <v>0</v>
      </c>
      <c r="D24" s="613" t="inlineStr">
        <is>
          <t>Standard</t>
        </is>
      </c>
      <c r="E24" s="614" t="n">
        <v>195750.79</v>
      </c>
      <c r="F24" s="616">
        <f>E24/$E$86</f>
        <v/>
      </c>
      <c r="G24" s="614">
        <f>E24</f>
        <v/>
      </c>
      <c r="H24" s="614">
        <f>G24</f>
        <v/>
      </c>
      <c r="I24" s="616">
        <f>E24/$E$83</f>
        <v/>
      </c>
      <c r="J24" s="616">
        <f>G24/$G$83</f>
        <v/>
      </c>
      <c r="K24" s="616">
        <f>H24/$H$83</f>
        <v/>
      </c>
      <c r="M24" s="613">
        <f>$M$3*I24</f>
        <v/>
      </c>
      <c r="N24" s="613" t="n">
        <v>-1600.57</v>
      </c>
      <c r="O24" s="613" t="n">
        <v>-734.0700000000001</v>
      </c>
      <c r="P24" s="613">
        <f>$P$3*I24</f>
        <v/>
      </c>
      <c r="Q24" s="613" t="n">
        <v>-20256.14999999999</v>
      </c>
      <c r="R24" s="613">
        <f>SUM(M24:Q24)</f>
        <v/>
      </c>
      <c r="S24" s="614" t="n"/>
      <c r="T24" s="617">
        <f>$T$3*K24</f>
        <v/>
      </c>
      <c r="U24" s="618" t="n">
        <v>0</v>
      </c>
      <c r="V24" s="617">
        <f>O24+N24+U24</f>
        <v/>
      </c>
      <c r="W24" s="617">
        <f>J24*$W$3</f>
        <v/>
      </c>
      <c r="X24" s="617">
        <f>$X$3*J24</f>
        <v/>
      </c>
      <c r="Y24" s="619">
        <f>X24-Q24</f>
        <v/>
      </c>
      <c r="Z24" s="617">
        <f>T24+W24+X24+V24</f>
        <v/>
      </c>
      <c r="AA24" s="614" t="n"/>
      <c r="AB24" s="633">
        <f>T24/G24</f>
        <v/>
      </c>
      <c r="AC24" s="634">
        <f>V24/G24</f>
        <v/>
      </c>
      <c r="AD24" s="634">
        <f>W24/G24</f>
        <v/>
      </c>
      <c r="AE24" s="634">
        <f>X24/G24</f>
        <v/>
      </c>
      <c r="AF24" s="1007">
        <f>AE24+AD24+AB24</f>
        <v/>
      </c>
      <c r="AG24" s="614" t="n"/>
      <c r="AH24" s="623" t="n"/>
      <c r="AI24" s="617" t="n"/>
      <c r="AJ24" s="617">
        <f>SUM(M24,P24,Q24)-SUM(T24,W24,X24)+AI24</f>
        <v/>
      </c>
      <c r="AK24" s="624" t="n"/>
      <c r="AL24" s="625">
        <f>AJ24</f>
        <v/>
      </c>
      <c r="AM24" s="626">
        <f>AJ24/G24</f>
        <v/>
      </c>
      <c r="AN24" s="626">
        <f>AC24</f>
        <v/>
      </c>
      <c r="AO24" s="627">
        <f>SUM(AM24:AN24)</f>
        <v/>
      </c>
      <c r="AP24" s="624" t="n"/>
      <c r="AQ24" s="623" t="n"/>
      <c r="AR24" s="632" t="n">
        <v>-2840.967636575841</v>
      </c>
      <c r="AS24" s="625">
        <f>AR24</f>
        <v/>
      </c>
      <c r="AT24" s="627">
        <f>AR24/R24</f>
        <v/>
      </c>
      <c r="AU24" s="624" t="n"/>
      <c r="AV24" s="623" t="n"/>
      <c r="AW24" s="632">
        <f>AR24+AJ24</f>
        <v/>
      </c>
      <c r="AX24" s="624" t="n"/>
      <c r="AY24" s="623" t="n"/>
      <c r="AZ24" s="632" t="n"/>
      <c r="BA24" s="624" t="n"/>
    </row>
    <row r="25">
      <c r="A25" s="612" t="inlineStr">
        <is>
          <t>Chase The Lion, Inc.</t>
        </is>
      </c>
      <c r="B25" s="613" t="n">
        <v>783003.1555408844</v>
      </c>
      <c r="C25" s="613" t="n">
        <v>329488.1966250376</v>
      </c>
      <c r="D25" s="613" t="inlineStr">
        <is>
          <t>Standard</t>
        </is>
      </c>
      <c r="E25" s="614" t="n">
        <v>1212491.36</v>
      </c>
      <c r="F25" s="616">
        <f>E25/$E$86</f>
        <v/>
      </c>
      <c r="G25" s="614">
        <f>E25</f>
        <v/>
      </c>
      <c r="H25" s="614">
        <f>G25</f>
        <v/>
      </c>
      <c r="I25" s="616">
        <f>E25/$E$83</f>
        <v/>
      </c>
      <c r="J25" s="616">
        <f>G25/$G$83</f>
        <v/>
      </c>
      <c r="K25" s="616">
        <f>H25/$H$83</f>
        <v/>
      </c>
      <c r="M25" s="613">
        <f>$M$3*I25</f>
        <v/>
      </c>
      <c r="N25" s="613" t="n">
        <v>-10298.58291032609</v>
      </c>
      <c r="O25" s="613" t="n">
        <v>-4546.84</v>
      </c>
      <c r="P25" s="613">
        <f>$P$3*I25</f>
        <v/>
      </c>
      <c r="Q25" s="613" t="n">
        <v>-125083.1970896738</v>
      </c>
      <c r="R25" s="613">
        <f>SUM(M25:Q25)</f>
        <v/>
      </c>
      <c r="S25" s="614" t="n"/>
      <c r="T25" s="617">
        <f>$T$3*K25</f>
        <v/>
      </c>
      <c r="U25" s="618" t="n">
        <v>0</v>
      </c>
      <c r="V25" s="617">
        <f>O25+N25+U25</f>
        <v/>
      </c>
      <c r="W25" s="617">
        <f>J25*$W$3</f>
        <v/>
      </c>
      <c r="X25" s="617">
        <f>$X$3*J25</f>
        <v/>
      </c>
      <c r="Y25" s="619">
        <f>X25-Q25</f>
        <v/>
      </c>
      <c r="Z25" s="617">
        <f>T25+W25+X25+V25</f>
        <v/>
      </c>
      <c r="AA25" s="614" t="n"/>
      <c r="AB25" s="633">
        <f>T25/G25</f>
        <v/>
      </c>
      <c r="AC25" s="634">
        <f>V25/G25</f>
        <v/>
      </c>
      <c r="AD25" s="634">
        <f>W25/G25</f>
        <v/>
      </c>
      <c r="AE25" s="634">
        <f>X25/G25</f>
        <v/>
      </c>
      <c r="AF25" s="1007">
        <f>AE25+AD25+AB25</f>
        <v/>
      </c>
      <c r="AG25" s="614" t="n"/>
      <c r="AH25" s="623" t="n"/>
      <c r="AI25" s="617" t="n"/>
      <c r="AJ25" s="617">
        <f>SUM(M25,P25,Q25)-SUM(T25,W25,X25)+AI25</f>
        <v/>
      </c>
      <c r="AK25" s="624" t="n"/>
      <c r="AL25" s="625">
        <f>AJ25</f>
        <v/>
      </c>
      <c r="AM25" s="626">
        <f>AJ25/G25</f>
        <v/>
      </c>
      <c r="AN25" s="626">
        <f>AC25</f>
        <v/>
      </c>
      <c r="AO25" s="627">
        <f>SUM(AM25:AN25)</f>
        <v/>
      </c>
      <c r="AP25" s="624" t="n"/>
      <c r="AQ25" s="623" t="n"/>
      <c r="AR25" s="632" t="n">
        <v>-17597.11270328885</v>
      </c>
      <c r="AS25" s="625">
        <f>AR25</f>
        <v/>
      </c>
      <c r="AT25" s="627">
        <f>AR25/R25</f>
        <v/>
      </c>
      <c r="AU25" s="624" t="n"/>
      <c r="AV25" s="623" t="n"/>
      <c r="AW25" s="632">
        <f>AR25+AJ25</f>
        <v/>
      </c>
      <c r="AX25" s="624" t="n"/>
      <c r="AY25" s="623" t="n"/>
      <c r="AZ25" s="632" t="n"/>
      <c r="BA25" s="624" t="n"/>
    </row>
    <row r="26">
      <c r="A26" s="612" t="inlineStr">
        <is>
          <t>Chris Schaaf</t>
        </is>
      </c>
      <c r="B26" s="613" t="n">
        <v>195750.7888852211</v>
      </c>
      <c r="C26" s="613" t="n">
        <v>0</v>
      </c>
      <c r="D26" s="613" t="inlineStr">
        <is>
          <t>Standard</t>
        </is>
      </c>
      <c r="E26" s="614" t="n">
        <v>195750.79</v>
      </c>
      <c r="F26" s="616">
        <f>E26/$E$86</f>
        <v/>
      </c>
      <c r="G26" s="614">
        <f>E26</f>
        <v/>
      </c>
      <c r="H26" s="614">
        <f>G26</f>
        <v/>
      </c>
      <c r="I26" s="616">
        <f>E26/$E$83</f>
        <v/>
      </c>
      <c r="J26" s="616">
        <f>G26/$G$83</f>
        <v/>
      </c>
      <c r="K26" s="616">
        <f>H26/$H$83</f>
        <v/>
      </c>
      <c r="M26" s="613">
        <f>$M$3*I26</f>
        <v/>
      </c>
      <c r="N26" s="613" t="n">
        <v>-1600.57</v>
      </c>
      <c r="O26" s="613" t="n">
        <v>-734.0700000000001</v>
      </c>
      <c r="P26" s="613">
        <f>$P$3*I26</f>
        <v/>
      </c>
      <c r="Q26" s="613" t="n">
        <v>-20256.14999999999</v>
      </c>
      <c r="R26" s="613">
        <f>SUM(M26:Q26)</f>
        <v/>
      </c>
      <c r="S26" s="614" t="n"/>
      <c r="T26" s="617">
        <f>$T$3*K26</f>
        <v/>
      </c>
      <c r="U26" s="618" t="n">
        <v>0</v>
      </c>
      <c r="V26" s="617">
        <f>O26+N26+U26</f>
        <v/>
      </c>
      <c r="W26" s="617">
        <f>J26*$W$3</f>
        <v/>
      </c>
      <c r="X26" s="617">
        <f>$X$3*J26</f>
        <v/>
      </c>
      <c r="Y26" s="619">
        <f>X26-Q26</f>
        <v/>
      </c>
      <c r="Z26" s="617">
        <f>T26+W26+X26+V26</f>
        <v/>
      </c>
      <c r="AA26" s="614" t="n"/>
      <c r="AB26" s="633">
        <f>T26/G26</f>
        <v/>
      </c>
      <c r="AC26" s="634">
        <f>V26/G26</f>
        <v/>
      </c>
      <c r="AD26" s="634">
        <f>W26/G26</f>
        <v/>
      </c>
      <c r="AE26" s="634">
        <f>X26/G26</f>
        <v/>
      </c>
      <c r="AF26" s="1007">
        <f>AE26+AD26+AB26</f>
        <v/>
      </c>
      <c r="AG26" s="614" t="n"/>
      <c r="AH26" s="623" t="n"/>
      <c r="AI26" s="617" t="n"/>
      <c r="AJ26" s="617">
        <f>SUM(M26,P26,Q26)-SUM(T26,W26,X26)+AI26</f>
        <v/>
      </c>
      <c r="AK26" s="624" t="n"/>
      <c r="AL26" s="625">
        <f>AJ26</f>
        <v/>
      </c>
      <c r="AM26" s="626">
        <f>AJ26/G26</f>
        <v/>
      </c>
      <c r="AN26" s="626">
        <f>AC26</f>
        <v/>
      </c>
      <c r="AO26" s="627">
        <f>SUM(AM26:AN26)</f>
        <v/>
      </c>
      <c r="AP26" s="624" t="n"/>
      <c r="AQ26" s="623" t="n"/>
      <c r="AR26" s="632" t="n">
        <v>-2840.967636575841</v>
      </c>
      <c r="AS26" s="625">
        <f>AR26</f>
        <v/>
      </c>
      <c r="AT26" s="627">
        <f>AR26/R26</f>
        <v/>
      </c>
      <c r="AU26" s="624" t="n"/>
      <c r="AV26" s="623" t="n"/>
      <c r="AW26" s="632">
        <f>AR26+AJ26</f>
        <v/>
      </c>
      <c r="AX26" s="624" t="n"/>
      <c r="AY26" s="623" t="n"/>
      <c r="AZ26" s="632" t="n"/>
      <c r="BA26" s="624" t="n"/>
    </row>
    <row r="27">
      <c r="A27" s="612" t="inlineStr">
        <is>
          <t>Christopher J. Campbell</t>
        </is>
      </c>
      <c r="B27" s="613" t="n">
        <v>0</v>
      </c>
      <c r="C27" s="613" t="n">
        <v>0</v>
      </c>
      <c r="D27" s="613" t="inlineStr">
        <is>
          <t>BBR</t>
        </is>
      </c>
      <c r="E27" s="614" t="n">
        <v>500000</v>
      </c>
      <c r="F27" s="616">
        <f>E27/$E$86</f>
        <v/>
      </c>
      <c r="G27" s="614">
        <f>E27</f>
        <v/>
      </c>
      <c r="H27" s="614">
        <f>G27</f>
        <v/>
      </c>
      <c r="I27" s="616">
        <f>E27/$E$83</f>
        <v/>
      </c>
      <c r="J27" s="616">
        <f>G27/$G$83</f>
        <v/>
      </c>
      <c r="K27" s="616">
        <f>H27/$H$83</f>
        <v/>
      </c>
      <c r="M27" s="613">
        <f>$M$3*I27</f>
        <v/>
      </c>
      <c r="N27" s="613" t="n">
        <v>-6100.54</v>
      </c>
      <c r="O27" s="613" t="n">
        <v>-1250</v>
      </c>
      <c r="P27" s="613">
        <f>$P$3*I27</f>
        <v/>
      </c>
      <c r="Q27" s="613" t="n">
        <v>-50352.39000000003</v>
      </c>
      <c r="R27" s="613">
        <f>SUM(M27:Q27)</f>
        <v/>
      </c>
      <c r="S27" s="614" t="n"/>
      <c r="T27" s="617">
        <f>$T$3*K27</f>
        <v/>
      </c>
      <c r="U27" s="618" t="n">
        <v>0</v>
      </c>
      <c r="V27" s="617">
        <f>O27+N27+U27</f>
        <v/>
      </c>
      <c r="W27" s="617">
        <f>J27*$W$3</f>
        <v/>
      </c>
      <c r="X27" s="617">
        <f>$X$3*J27</f>
        <v/>
      </c>
      <c r="Y27" s="619">
        <f>X27-Q27</f>
        <v/>
      </c>
      <c r="Z27" s="617">
        <f>T27+W27+X27+V27</f>
        <v/>
      </c>
      <c r="AA27" s="614" t="n"/>
      <c r="AB27" s="633">
        <f>T27/G27</f>
        <v/>
      </c>
      <c r="AC27" s="634">
        <f>V27/G27</f>
        <v/>
      </c>
      <c r="AD27" s="634">
        <f>W27/G27</f>
        <v/>
      </c>
      <c r="AE27" s="634">
        <f>X27/G27</f>
        <v/>
      </c>
      <c r="AF27" s="1007">
        <f>AE27+AD27+AB27</f>
        <v/>
      </c>
      <c r="AG27" s="614" t="n"/>
      <c r="AH27" s="623" t="n"/>
      <c r="AI27" s="617" t="n"/>
      <c r="AJ27" s="617">
        <f>SUM(M27,P27,Q27)-SUM(T27,W27,X27)+AI27</f>
        <v/>
      </c>
      <c r="AK27" s="624" t="n"/>
      <c r="AL27" s="625">
        <f>AJ27</f>
        <v/>
      </c>
      <c r="AM27" s="626">
        <f>AJ27/G27</f>
        <v/>
      </c>
      <c r="AN27" s="626">
        <f>AC27</f>
        <v/>
      </c>
      <c r="AO27" s="627">
        <f>SUM(AM27:AN27)</f>
        <v/>
      </c>
      <c r="AP27" s="624" t="n"/>
      <c r="AQ27" s="623" t="n"/>
      <c r="AR27" s="632" t="n">
        <v>-7256.593029779959</v>
      </c>
      <c r="AS27" s="625">
        <f>AR27</f>
        <v/>
      </c>
      <c r="AT27" s="627">
        <f>AR27/R27</f>
        <v/>
      </c>
      <c r="AU27" s="624" t="n"/>
      <c r="AV27" s="623" t="n"/>
      <c r="AW27" s="632">
        <f>AR27+AJ27</f>
        <v/>
      </c>
      <c r="AX27" s="624" t="n"/>
      <c r="AY27" s="623" t="n"/>
      <c r="AZ27" s="632" t="n"/>
      <c r="BA27" s="624" t="n"/>
    </row>
    <row r="28">
      <c r="A28" s="612" t="inlineStr">
        <is>
          <t>Christopher Johnson</t>
        </is>
      </c>
      <c r="B28" s="613" t="n">
        <v>0</v>
      </c>
      <c r="C28" s="613" t="n">
        <v>0</v>
      </c>
      <c r="D28" s="613" t="inlineStr">
        <is>
          <t>Standard</t>
        </is>
      </c>
      <c r="E28" s="614" t="n">
        <v>165897.64</v>
      </c>
      <c r="F28" s="616">
        <f>E28/$E$86</f>
        <v/>
      </c>
      <c r="G28" s="614">
        <f>E28</f>
        <v/>
      </c>
      <c r="H28" s="614">
        <f>G28</f>
        <v/>
      </c>
      <c r="I28" s="616">
        <f>E28/$E$83</f>
        <v/>
      </c>
      <c r="J28" s="616">
        <f>G28/$G$83</f>
        <v/>
      </c>
      <c r="K28" s="616">
        <f>H28/$H$83</f>
        <v/>
      </c>
      <c r="M28" s="613">
        <f>$M$3*I28</f>
        <v/>
      </c>
      <c r="N28" s="613" t="n">
        <v>-2243.396582065217</v>
      </c>
      <c r="O28" s="613" t="n">
        <v>-622.12</v>
      </c>
      <c r="P28" s="613">
        <f>$P$3*I28</f>
        <v/>
      </c>
      <c r="Q28" s="613" t="n">
        <v>-16280.04341793479</v>
      </c>
      <c r="R28" s="613">
        <f>SUM(M28:Q28)</f>
        <v/>
      </c>
      <c r="S28" s="614" t="n"/>
      <c r="T28" s="617">
        <f>$T$3*K28</f>
        <v/>
      </c>
      <c r="U28" s="618" t="n">
        <v>0</v>
      </c>
      <c r="V28" s="617">
        <f>O28+N28+U28</f>
        <v/>
      </c>
      <c r="W28" s="617">
        <f>J28*$W$3</f>
        <v/>
      </c>
      <c r="X28" s="617">
        <f>$X$3*J28</f>
        <v/>
      </c>
      <c r="Y28" s="619">
        <f>X28-Q28</f>
        <v/>
      </c>
      <c r="Z28" s="617">
        <f>T28+W28+X28+V28</f>
        <v/>
      </c>
      <c r="AA28" s="614" t="n"/>
      <c r="AB28" s="633">
        <f>T28/G28</f>
        <v/>
      </c>
      <c r="AC28" s="634">
        <f>V28/G28</f>
        <v/>
      </c>
      <c r="AD28" s="634">
        <f>W28/G28</f>
        <v/>
      </c>
      <c r="AE28" s="634">
        <f>X28/G28</f>
        <v/>
      </c>
      <c r="AF28" s="1007">
        <f>AE28+AD28+AB28</f>
        <v/>
      </c>
      <c r="AG28" s="614" t="n"/>
      <c r="AH28" s="623" t="n"/>
      <c r="AI28" s="617" t="n"/>
      <c r="AJ28" s="617">
        <f>SUM(M28,P28,Q28)-SUM(T28,W28,X28)+AI28</f>
        <v/>
      </c>
      <c r="AK28" s="624" t="n"/>
      <c r="AL28" s="625">
        <f>AJ28</f>
        <v/>
      </c>
      <c r="AM28" s="626">
        <f>AJ28/G28</f>
        <v/>
      </c>
      <c r="AN28" s="626">
        <f>AC28</f>
        <v/>
      </c>
      <c r="AO28" s="627">
        <f>SUM(AM28:AN28)</f>
        <v/>
      </c>
      <c r="AP28" s="624" t="n"/>
      <c r="AQ28" s="623" t="n"/>
      <c r="AR28" s="632" t="n">
        <v>-2407.70331616189</v>
      </c>
      <c r="AS28" s="625">
        <f>AR28</f>
        <v/>
      </c>
      <c r="AT28" s="627">
        <f>AR28/R28</f>
        <v/>
      </c>
      <c r="AU28" s="624" t="n"/>
      <c r="AV28" s="623" t="n"/>
      <c r="AW28" s="632">
        <f>AR28+AJ28</f>
        <v/>
      </c>
      <c r="AX28" s="624" t="n"/>
      <c r="AY28" s="623" t="n"/>
      <c r="AZ28" s="632" t="n"/>
      <c r="BA28" s="624" t="n"/>
    </row>
    <row r="29">
      <c r="A29" s="612" t="inlineStr">
        <is>
          <t>CLIP Sponsor LLC</t>
        </is>
      </c>
      <c r="B29" s="613" t="n">
        <v>4802554.505940961</v>
      </c>
      <c r="C29" s="613" t="n">
        <v>0</v>
      </c>
      <c r="D29" s="613" t="n">
        <v>0</v>
      </c>
      <c r="E29" s="614" t="n">
        <v>4802554.5</v>
      </c>
      <c r="F29" s="616" t="n">
        <v>0</v>
      </c>
      <c r="G29" s="614">
        <f>E29</f>
        <v/>
      </c>
      <c r="H29" s="614">
        <f>G29</f>
        <v/>
      </c>
      <c r="I29" s="616">
        <f>E29/$E$83</f>
        <v/>
      </c>
      <c r="J29" s="616">
        <f>G29/$G$83</f>
        <v/>
      </c>
      <c r="K29" s="616">
        <f>H29/$H$83</f>
        <v/>
      </c>
      <c r="M29" s="613">
        <f>$M$3*I29</f>
        <v/>
      </c>
      <c r="N29" s="613" t="n">
        <v>0</v>
      </c>
      <c r="O29" s="613" t="n">
        <v>0</v>
      </c>
      <c r="P29" s="613">
        <f>$P$3*I29</f>
        <v/>
      </c>
      <c r="Q29" s="613" t="n">
        <v>-554242.97</v>
      </c>
      <c r="R29" s="613">
        <f>SUM(M29:Q29)</f>
        <v/>
      </c>
      <c r="S29" s="614" t="n"/>
      <c r="T29" s="617">
        <f>$T$3*K29</f>
        <v/>
      </c>
      <c r="U29" s="618" t="n">
        <v>0</v>
      </c>
      <c r="V29" s="617">
        <f>O29+N29+U29</f>
        <v/>
      </c>
      <c r="W29" s="617">
        <f>J29*$W$3</f>
        <v/>
      </c>
      <c r="X29" s="617">
        <f>$X$3*J29</f>
        <v/>
      </c>
      <c r="Y29" s="619">
        <f>X29-Q29</f>
        <v/>
      </c>
      <c r="Z29" s="617">
        <f>T29+W29+X29+V29</f>
        <v/>
      </c>
      <c r="AA29" s="614" t="n"/>
      <c r="AB29" s="633">
        <f>T29/G29</f>
        <v/>
      </c>
      <c r="AC29" s="634">
        <f>V29/G29</f>
        <v/>
      </c>
      <c r="AD29" s="634">
        <f>W29/G29</f>
        <v/>
      </c>
      <c r="AE29" s="634">
        <f>X29/G29</f>
        <v/>
      </c>
      <c r="AF29" s="1007">
        <f>AE29+AD29+AB29</f>
        <v/>
      </c>
      <c r="AG29" s="614" t="n"/>
      <c r="AH29" s="623" t="n"/>
      <c r="AI29" s="617" t="n"/>
      <c r="AJ29" s="617">
        <f>SUM(M29,P29,Q29)-SUM(T29,W29,X29)+AI29</f>
        <v/>
      </c>
      <c r="AK29" s="624" t="n"/>
      <c r="AL29" s="625">
        <f>AJ29</f>
        <v/>
      </c>
      <c r="AM29" s="626">
        <f>AJ29/G29</f>
        <v/>
      </c>
      <c r="AN29" s="626">
        <f>AC29</f>
        <v/>
      </c>
      <c r="AO29" s="627">
        <f>SUM(AM29:AN29)</f>
        <v/>
      </c>
      <c r="AP29" s="624" t="n"/>
      <c r="AQ29" s="623" t="n"/>
      <c r="AR29" s="632" t="n">
        <v>0</v>
      </c>
      <c r="AS29" s="625">
        <f>AR29</f>
        <v/>
      </c>
      <c r="AT29" s="627">
        <f>AR29/R29</f>
        <v/>
      </c>
      <c r="AU29" s="624" t="n"/>
      <c r="AV29" s="623" t="n"/>
      <c r="AW29" s="632">
        <f>AR29+AJ29</f>
        <v/>
      </c>
      <c r="AX29" s="624" t="n"/>
      <c r="AY29" s="623" t="n"/>
      <c r="AZ29" s="632" t="n"/>
      <c r="BA29" s="624" t="n"/>
    </row>
    <row r="30">
      <c r="A30" s="612" t="inlineStr">
        <is>
          <t>CLR Silsbee Sponsor LLC</t>
        </is>
      </c>
      <c r="B30" s="613" t="n">
        <v>0</v>
      </c>
      <c r="C30" s="613" t="n">
        <v>369576.6503946845</v>
      </c>
      <c r="D30" s="613" t="n">
        <v>0</v>
      </c>
      <c r="E30" s="614" t="n">
        <v>369576.65</v>
      </c>
      <c r="F30" s="616" t="n">
        <v>0</v>
      </c>
      <c r="G30" s="614">
        <f>E30</f>
        <v/>
      </c>
      <c r="H30" s="614">
        <f>G30</f>
        <v/>
      </c>
      <c r="I30" s="616">
        <f>E30/$E$83</f>
        <v/>
      </c>
      <c r="J30" s="616">
        <f>G30/$G$83</f>
        <v/>
      </c>
      <c r="K30" s="616">
        <f>H30/$H$83</f>
        <v/>
      </c>
      <c r="M30" s="613">
        <f>$M$3*I30</f>
        <v/>
      </c>
      <c r="N30" s="613" t="n">
        <v>0</v>
      </c>
      <c r="O30" s="613" t="n">
        <v>0</v>
      </c>
      <c r="P30" s="613">
        <f>$P$3*I30</f>
        <v/>
      </c>
      <c r="Q30" s="613" t="n">
        <v>-42651.32000000004</v>
      </c>
      <c r="R30" s="613">
        <f>SUM(M30:Q30)</f>
        <v/>
      </c>
      <c r="S30" s="614" t="n"/>
      <c r="T30" s="617">
        <f>$T$3*K30</f>
        <v/>
      </c>
      <c r="U30" s="618" t="n">
        <v>0</v>
      </c>
      <c r="V30" s="617">
        <f>O30+N30+U30</f>
        <v/>
      </c>
      <c r="W30" s="617">
        <f>J30*$W$3</f>
        <v/>
      </c>
      <c r="X30" s="617">
        <f>$X$3*J30</f>
        <v/>
      </c>
      <c r="Y30" s="619">
        <f>X30-Q30</f>
        <v/>
      </c>
      <c r="Z30" s="617">
        <f>T30+W30+X30+V30</f>
        <v/>
      </c>
      <c r="AA30" s="614" t="n"/>
      <c r="AB30" s="633">
        <f>T30/G30</f>
        <v/>
      </c>
      <c r="AC30" s="634">
        <f>V30/G30</f>
        <v/>
      </c>
      <c r="AD30" s="634">
        <f>W30/G30</f>
        <v/>
      </c>
      <c r="AE30" s="634">
        <f>X30/G30</f>
        <v/>
      </c>
      <c r="AF30" s="1007">
        <f>AE30+AD30+AB30</f>
        <v/>
      </c>
      <c r="AG30" s="614" t="n"/>
      <c r="AH30" s="623" t="n"/>
      <c r="AI30" s="617" t="n"/>
      <c r="AJ30" s="617">
        <f>SUM(M30,P30,Q30)-SUM(T30,W30,X30)+AI30</f>
        <v/>
      </c>
      <c r="AK30" s="624" t="n"/>
      <c r="AL30" s="625">
        <f>AJ30</f>
        <v/>
      </c>
      <c r="AM30" s="626">
        <f>AJ30/G30</f>
        <v/>
      </c>
      <c r="AN30" s="626">
        <f>AC30</f>
        <v/>
      </c>
      <c r="AO30" s="627">
        <f>SUM(AM30:AN30)</f>
        <v/>
      </c>
      <c r="AP30" s="624" t="n"/>
      <c r="AQ30" s="623" t="n"/>
      <c r="AR30" s="632" t="n">
        <v>0</v>
      </c>
      <c r="AS30" s="625">
        <f>AR30</f>
        <v/>
      </c>
      <c r="AT30" s="627">
        <f>AR30/R30</f>
        <v/>
      </c>
      <c r="AU30" s="624" t="n"/>
      <c r="AV30" s="623" t="n"/>
      <c r="AW30" s="632">
        <f>AR30+AJ30</f>
        <v/>
      </c>
      <c r="AX30" s="624" t="n"/>
      <c r="AY30" s="623" t="n"/>
      <c r="AZ30" s="632" t="n"/>
      <c r="BA30" s="624" t="n"/>
    </row>
    <row r="31">
      <c r="A31" s="612" t="inlineStr">
        <is>
          <t>Daniel Ross</t>
        </is>
      </c>
      <c r="B31" s="613" t="n">
        <v>156600.6311081769</v>
      </c>
      <c r="C31" s="613" t="n">
        <v>0</v>
      </c>
      <c r="D31" s="613" t="inlineStr">
        <is>
          <t>Standard</t>
        </is>
      </c>
      <c r="E31" s="614" t="n">
        <v>156600.63</v>
      </c>
      <c r="F31" s="616">
        <f>E31/$E$86</f>
        <v/>
      </c>
      <c r="G31" s="614">
        <f>E31</f>
        <v/>
      </c>
      <c r="H31" s="614">
        <f>G31</f>
        <v/>
      </c>
      <c r="I31" s="616">
        <f>E31/$E$83</f>
        <v/>
      </c>
      <c r="J31" s="616">
        <f>G31/$G$83</f>
        <v/>
      </c>
      <c r="K31" s="616">
        <f>H31/$H$83</f>
        <v/>
      </c>
      <c r="M31" s="613">
        <f>$M$3*I31</f>
        <v/>
      </c>
      <c r="N31" s="613" t="n">
        <v>-1280.45</v>
      </c>
      <c r="O31" s="613" t="n">
        <v>-587.25</v>
      </c>
      <c r="P31" s="613">
        <f>$P$3*I31</f>
        <v/>
      </c>
      <c r="Q31" s="613" t="n">
        <v>-16204.93000000003</v>
      </c>
      <c r="R31" s="613">
        <f>SUM(M31:Q31)</f>
        <v/>
      </c>
      <c r="S31" s="614" t="n"/>
      <c r="T31" s="617">
        <f>$T$3*K31</f>
        <v/>
      </c>
      <c r="U31" s="618" t="n">
        <v>0</v>
      </c>
      <c r="V31" s="617">
        <f>O31+N31+U31</f>
        <v/>
      </c>
      <c r="W31" s="617">
        <f>J31*$W$3</f>
        <v/>
      </c>
      <c r="X31" s="617">
        <f>$X$3*J31</f>
        <v/>
      </c>
      <c r="Y31" s="619">
        <f>X31-Q31</f>
        <v/>
      </c>
      <c r="Z31" s="617">
        <f>T31+W31+X31+V31</f>
        <v/>
      </c>
      <c r="AA31" s="614" t="n"/>
      <c r="AB31" s="633">
        <f>T31/G31</f>
        <v/>
      </c>
      <c r="AC31" s="634">
        <f>V31/G31</f>
        <v/>
      </c>
      <c r="AD31" s="634">
        <f>W31/G31</f>
        <v/>
      </c>
      <c r="AE31" s="634">
        <f>X31/G31</f>
        <v/>
      </c>
      <c r="AF31" s="1007">
        <f>AE31+AD31+AB31</f>
        <v/>
      </c>
      <c r="AG31" s="614" t="n"/>
      <c r="AH31" s="623" t="n"/>
      <c r="AI31" s="617" t="n"/>
      <c r="AJ31" s="617">
        <f>SUM(M31,P31,Q31)-SUM(T31,W31,X31)+AI31</f>
        <v/>
      </c>
      <c r="AK31" s="624" t="n"/>
      <c r="AL31" s="625">
        <f>AJ31</f>
        <v/>
      </c>
      <c r="AM31" s="626">
        <f>AJ31/G31</f>
        <v/>
      </c>
      <c r="AN31" s="626">
        <f>AC31</f>
        <v/>
      </c>
      <c r="AO31" s="627">
        <f>SUM(AM31:AN31)</f>
        <v/>
      </c>
      <c r="AP31" s="624" t="n"/>
      <c r="AQ31" s="623" t="n"/>
      <c r="AR31" s="632" t="n">
        <v>-2272.7740802343</v>
      </c>
      <c r="AS31" s="625">
        <f>AR31</f>
        <v/>
      </c>
      <c r="AT31" s="627">
        <f>AR31/R31</f>
        <v/>
      </c>
      <c r="AU31" s="624" t="n"/>
      <c r="AV31" s="623" t="n"/>
      <c r="AW31" s="632">
        <f>AR31+AJ31</f>
        <v/>
      </c>
      <c r="AX31" s="624" t="n"/>
      <c r="AY31" s="623" t="n"/>
      <c r="AZ31" s="632" t="n"/>
      <c r="BA31" s="624" t="n"/>
    </row>
    <row r="32">
      <c r="A32" s="612" t="inlineStr">
        <is>
          <t>Endurance Companies LLC</t>
        </is>
      </c>
      <c r="B32" s="613" t="n">
        <v>0</v>
      </c>
      <c r="C32" s="613" t="n">
        <v>0</v>
      </c>
      <c r="D32" s="613" t="inlineStr">
        <is>
          <t>Standard</t>
        </is>
      </c>
      <c r="E32" s="614" t="n">
        <v>850000</v>
      </c>
      <c r="F32" s="616">
        <f>E32/$E$86</f>
        <v/>
      </c>
      <c r="G32" s="614">
        <f>E32</f>
        <v/>
      </c>
      <c r="H32" s="614">
        <f>G32</f>
        <v/>
      </c>
      <c r="I32" s="616">
        <f>E32/$E$83</f>
        <v/>
      </c>
      <c r="J32" s="616">
        <f>G32/$G$83</f>
        <v/>
      </c>
      <c r="K32" s="616">
        <f>H32/$H$83</f>
        <v/>
      </c>
      <c r="M32" s="613">
        <f>$M$3*I32</f>
        <v/>
      </c>
      <c r="N32" s="613" t="n">
        <v>-15556.39</v>
      </c>
      <c r="O32" s="613" t="n">
        <v>-3187.5</v>
      </c>
      <c r="P32" s="613">
        <f>$P$3*I32</f>
        <v/>
      </c>
      <c r="Q32" s="613" t="n">
        <v>-79351.09000000005</v>
      </c>
      <c r="R32" s="613">
        <f>SUM(M32:Q32)</f>
        <v/>
      </c>
      <c r="S32" s="614" t="n"/>
      <c r="T32" s="617">
        <f>$T$3*K32</f>
        <v/>
      </c>
      <c r="U32" s="618" t="n">
        <v>0</v>
      </c>
      <c r="V32" s="617">
        <f>O32+N32+U32</f>
        <v/>
      </c>
      <c r="W32" s="617">
        <f>J32*$W$3</f>
        <v/>
      </c>
      <c r="X32" s="617">
        <f>$X$3*J32</f>
        <v/>
      </c>
      <c r="Y32" s="619">
        <f>X32-Q32</f>
        <v/>
      </c>
      <c r="Z32" s="617">
        <f>T32+W32+X32+V32</f>
        <v/>
      </c>
      <c r="AA32" s="614" t="n"/>
      <c r="AB32" s="633">
        <f>T32/G32</f>
        <v/>
      </c>
      <c r="AC32" s="634">
        <f>V32/G32</f>
        <v/>
      </c>
      <c r="AD32" s="634">
        <f>W32/G32</f>
        <v/>
      </c>
      <c r="AE32" s="634">
        <f>X32/G32</f>
        <v/>
      </c>
      <c r="AF32" s="1007">
        <f>AE32+AD32+AB32</f>
        <v/>
      </c>
      <c r="AG32" s="614" t="n"/>
      <c r="AH32" s="623" t="n"/>
      <c r="AI32" s="617" t="n"/>
      <c r="AJ32" s="617">
        <f>SUM(M32,P32,Q32)-SUM(T32,W32,X32)+AI32</f>
        <v/>
      </c>
      <c r="AK32" s="624" t="n"/>
      <c r="AL32" s="625">
        <f>AJ32</f>
        <v/>
      </c>
      <c r="AM32" s="626">
        <f>AJ32/G32</f>
        <v/>
      </c>
      <c r="AN32" s="626">
        <f>AC32</f>
        <v/>
      </c>
      <c r="AO32" s="627">
        <f>SUM(AM32:AN32)</f>
        <v/>
      </c>
      <c r="AP32" s="624" t="n"/>
      <c r="AQ32" s="623" t="n"/>
      <c r="AR32" s="632" t="n">
        <v>-12336.20815062593</v>
      </c>
      <c r="AS32" s="625">
        <f>AR32</f>
        <v/>
      </c>
      <c r="AT32" s="627">
        <f>AR32/R32</f>
        <v/>
      </c>
      <c r="AU32" s="624" t="n"/>
      <c r="AV32" s="623" t="n"/>
      <c r="AW32" s="632">
        <f>AR32+AJ32</f>
        <v/>
      </c>
      <c r="AX32" s="624" t="n"/>
      <c r="AY32" s="623" t="n"/>
      <c r="AZ32" s="632" t="n"/>
      <c r="BA32" s="624" t="n"/>
    </row>
    <row r="33">
      <c r="A33" s="612" t="inlineStr">
        <is>
          <t>Forem Capital, LLC</t>
        </is>
      </c>
      <c r="B33" s="613" t="n">
        <v>0</v>
      </c>
      <c r="C33" s="613" t="n">
        <v>0</v>
      </c>
      <c r="D33" s="613" t="n">
        <v>0</v>
      </c>
      <c r="E33" s="614" t="n">
        <v>1500000</v>
      </c>
      <c r="F33" s="616">
        <f>E33/$E$86</f>
        <v/>
      </c>
      <c r="G33" s="614">
        <f>E33</f>
        <v/>
      </c>
      <c r="H33" s="614">
        <f>G33</f>
        <v/>
      </c>
      <c r="I33" s="616">
        <f>E33/$E$83</f>
        <v/>
      </c>
      <c r="J33" s="616">
        <f>G33/$G$83</f>
        <v/>
      </c>
      <c r="K33" s="616">
        <f>H33/$H$83</f>
        <v/>
      </c>
      <c r="M33" s="613">
        <f>$M$3*I33</f>
        <v/>
      </c>
      <c r="N33" s="613" t="n">
        <v>-18301.63</v>
      </c>
      <c r="O33" s="613" t="n">
        <v>-3750</v>
      </c>
      <c r="P33" s="613">
        <f>$P$3*I33</f>
        <v/>
      </c>
      <c r="Q33" s="613" t="n">
        <v>-151057.1700000001</v>
      </c>
      <c r="R33" s="613">
        <f>SUM(M33:Q33)</f>
        <v/>
      </c>
      <c r="S33" s="614" t="n"/>
      <c r="T33" s="617">
        <f>$T$3*K33</f>
        <v/>
      </c>
      <c r="U33" s="618" t="n">
        <v>0</v>
      </c>
      <c r="V33" s="617">
        <f>O33+N33+U33</f>
        <v/>
      </c>
      <c r="W33" s="617">
        <f>J33*$W$3</f>
        <v/>
      </c>
      <c r="X33" s="617">
        <f>$X$3*J33</f>
        <v/>
      </c>
      <c r="Y33" s="619">
        <f>X33-Q33</f>
        <v/>
      </c>
      <c r="Z33" s="617">
        <f>T33+W33+X33+V33</f>
        <v/>
      </c>
      <c r="AA33" s="614" t="n"/>
      <c r="AB33" s="633">
        <f>T33/G33</f>
        <v/>
      </c>
      <c r="AC33" s="634">
        <f>V33/G33</f>
        <v/>
      </c>
      <c r="AD33" s="634">
        <f>W33/G33</f>
        <v/>
      </c>
      <c r="AE33" s="634">
        <f>X33/G33</f>
        <v/>
      </c>
      <c r="AF33" s="1007">
        <f>AE33+AD33+AB33</f>
        <v/>
      </c>
      <c r="AG33" s="614" t="n"/>
      <c r="AH33" s="623" t="n"/>
      <c r="AI33" s="617" t="n"/>
      <c r="AJ33" s="617">
        <f>SUM(M33,P33,Q33)-SUM(T33,W33,X33)+AI33</f>
        <v/>
      </c>
      <c r="AK33" s="624" t="n"/>
      <c r="AL33" s="625">
        <f>AJ33</f>
        <v/>
      </c>
      <c r="AM33" s="626">
        <f>AJ33/G33</f>
        <v/>
      </c>
      <c r="AN33" s="626">
        <f>AC33</f>
        <v/>
      </c>
      <c r="AO33" s="627">
        <f>SUM(AM33:AN33)</f>
        <v/>
      </c>
      <c r="AP33" s="624" t="n"/>
      <c r="AQ33" s="623" t="n"/>
      <c r="AR33" s="632" t="n">
        <v>-21769.77908933988</v>
      </c>
      <c r="AS33" s="625">
        <f>AR33</f>
        <v/>
      </c>
      <c r="AT33" s="627">
        <f>AR33/R33</f>
        <v/>
      </c>
      <c r="AU33" s="624" t="n"/>
      <c r="AV33" s="623" t="n"/>
      <c r="AW33" s="632">
        <f>AR33+AJ33</f>
        <v/>
      </c>
      <c r="AX33" s="624" t="n"/>
      <c r="AY33" s="623" t="n"/>
      <c r="AZ33" s="632" t="n"/>
      <c r="BA33" s="624" t="n"/>
    </row>
    <row r="34">
      <c r="A34" s="612" t="inlineStr">
        <is>
          <t>Francis Brawley</t>
        </is>
      </c>
      <c r="B34" s="613" t="n">
        <v>313201.2622163538</v>
      </c>
      <c r="C34" s="613" t="n">
        <v>0</v>
      </c>
      <c r="D34" s="613" t="inlineStr">
        <is>
          <t>Standard</t>
        </is>
      </c>
      <c r="E34" s="614" t="n">
        <v>313201.26</v>
      </c>
      <c r="F34" s="616">
        <f>E34/$E$86</f>
        <v/>
      </c>
      <c r="G34" s="614">
        <f>E34</f>
        <v/>
      </c>
      <c r="H34" s="614">
        <f>G34</f>
        <v/>
      </c>
      <c r="I34" s="616">
        <f>E34/$E$83</f>
        <v/>
      </c>
      <c r="J34" s="616">
        <f>G34/$G$83</f>
        <v/>
      </c>
      <c r="K34" s="616">
        <f>H34/$H$83</f>
        <v/>
      </c>
      <c r="M34" s="613">
        <f>$M$3*I34</f>
        <v/>
      </c>
      <c r="N34" s="613" t="n">
        <v>-2560.89</v>
      </c>
      <c r="O34" s="613" t="n">
        <v>-1174.5</v>
      </c>
      <c r="P34" s="613">
        <f>$P$3*I34</f>
        <v/>
      </c>
      <c r="Q34" s="613" t="n">
        <v>-32409.87999999995</v>
      </c>
      <c r="R34" s="613">
        <f>SUM(M34:Q34)</f>
        <v/>
      </c>
      <c r="S34" s="614" t="n"/>
      <c r="T34" s="617">
        <f>$T$3*K34</f>
        <v/>
      </c>
      <c r="U34" s="618" t="n">
        <v>0</v>
      </c>
      <c r="V34" s="617">
        <f>O34+N34+U34</f>
        <v/>
      </c>
      <c r="W34" s="617">
        <f>J34*$W$3</f>
        <v/>
      </c>
      <c r="X34" s="617">
        <f>$X$3*J34</f>
        <v/>
      </c>
      <c r="Y34" s="619">
        <f>X34-Q34</f>
        <v/>
      </c>
      <c r="Z34" s="617">
        <f>T34+W34+X34+V34</f>
        <v/>
      </c>
      <c r="AA34" s="614" t="n"/>
      <c r="AB34" s="633">
        <f>T34/G34</f>
        <v/>
      </c>
      <c r="AC34" s="634">
        <f>V34/G34</f>
        <v/>
      </c>
      <c r="AD34" s="634">
        <f>W34/G34</f>
        <v/>
      </c>
      <c r="AE34" s="634">
        <f>X34/G34</f>
        <v/>
      </c>
      <c r="AF34" s="1007">
        <f>AE34+AD34+AB34</f>
        <v/>
      </c>
      <c r="AG34" s="614" t="n"/>
      <c r="AH34" s="623" t="n"/>
      <c r="AI34" s="617" t="n"/>
      <c r="AJ34" s="617">
        <f>SUM(M34,P34,Q34)-SUM(T34,W34,X34)+AI34</f>
        <v/>
      </c>
      <c r="AK34" s="624" t="n"/>
      <c r="AL34" s="625">
        <f>AJ34</f>
        <v/>
      </c>
      <c r="AM34" s="626">
        <f>AJ34/G34</f>
        <v/>
      </c>
      <c r="AN34" s="626">
        <f>AC34</f>
        <v/>
      </c>
      <c r="AO34" s="627">
        <f>SUM(AM34:AN34)</f>
        <v/>
      </c>
      <c r="AP34" s="624" t="n"/>
      <c r="AQ34" s="623" t="n"/>
      <c r="AR34" s="632" t="n">
        <v>-4545.5481604686</v>
      </c>
      <c r="AS34" s="625">
        <f>AR34</f>
        <v/>
      </c>
      <c r="AT34" s="627">
        <f>AR34/R34</f>
        <v/>
      </c>
      <c r="AU34" s="624" t="n"/>
      <c r="AV34" s="623" t="n"/>
      <c r="AW34" s="632">
        <f>AR34+AJ34</f>
        <v/>
      </c>
      <c r="AX34" s="624" t="n"/>
      <c r="AY34" s="623" t="n"/>
      <c r="AZ34" s="632" t="n"/>
      <c r="BA34" s="624" t="n"/>
    </row>
    <row r="35">
      <c r="A35" s="612" t="inlineStr">
        <is>
          <t>Geoffrey and Elizabeth Bloomingdale Living Trust</t>
        </is>
      </c>
      <c r="B35" s="613" t="n">
        <v>234900.9466622653</v>
      </c>
      <c r="C35" s="613" t="n">
        <v>0</v>
      </c>
      <c r="D35" s="613" t="n">
        <v>0</v>
      </c>
      <c r="E35" s="614" t="n">
        <v>234900.95</v>
      </c>
      <c r="F35" s="616">
        <f>E35/$E$86</f>
        <v/>
      </c>
      <c r="G35" s="614">
        <f>E35</f>
        <v/>
      </c>
      <c r="H35" s="614">
        <f>G35</f>
        <v/>
      </c>
      <c r="I35" s="616">
        <f>E35/$E$83</f>
        <v/>
      </c>
      <c r="J35" s="616">
        <f>G35/$G$83</f>
        <v/>
      </c>
      <c r="K35" s="616">
        <f>H35/$H$83</f>
        <v/>
      </c>
      <c r="M35" s="613">
        <f>$M$3*I35</f>
        <v/>
      </c>
      <c r="N35" s="613" t="n">
        <v>-1920.68</v>
      </c>
      <c r="O35" s="613" t="n">
        <v>-880.88</v>
      </c>
      <c r="P35" s="613">
        <f>$P$3*I35</f>
        <v/>
      </c>
      <c r="Q35" s="613" t="n">
        <v>-24307.39</v>
      </c>
      <c r="R35" s="613">
        <f>SUM(M35:Q35)</f>
        <v/>
      </c>
      <c r="S35" s="614" t="n"/>
      <c r="T35" s="617">
        <f>$T$3*K35</f>
        <v/>
      </c>
      <c r="U35" s="618" t="n">
        <v>0</v>
      </c>
      <c r="V35" s="617">
        <f>O35+N35+U35</f>
        <v/>
      </c>
      <c r="W35" s="617">
        <f>J35*$W$3</f>
        <v/>
      </c>
      <c r="X35" s="617">
        <f>$X$3*J35</f>
        <v/>
      </c>
      <c r="Y35" s="619">
        <f>X35-Q35</f>
        <v/>
      </c>
      <c r="Z35" s="617">
        <f>T35+W35+X35+V35</f>
        <v/>
      </c>
      <c r="AA35" s="614" t="n"/>
      <c r="AB35" s="633">
        <f>T35/G35</f>
        <v/>
      </c>
      <c r="AC35" s="634">
        <f>V35/G35</f>
        <v/>
      </c>
      <c r="AD35" s="634">
        <f>W35/G35</f>
        <v/>
      </c>
      <c r="AE35" s="634">
        <f>X35/G35</f>
        <v/>
      </c>
      <c r="AF35" s="1007">
        <f>AE35+AD35+AB35</f>
        <v/>
      </c>
      <c r="AG35" s="614" t="n"/>
      <c r="AH35" s="623" t="n"/>
      <c r="AI35" s="617" t="n"/>
      <c r="AJ35" s="617">
        <f>SUM(M35,P35,Q35)-SUM(T35,W35,X35)+AI35</f>
        <v/>
      </c>
      <c r="AK35" s="624" t="n"/>
      <c r="AL35" s="625">
        <f>AJ35</f>
        <v/>
      </c>
      <c r="AM35" s="626">
        <f>AJ35/G35</f>
        <v/>
      </c>
      <c r="AN35" s="626">
        <f>AC35</f>
        <v/>
      </c>
      <c r="AO35" s="627">
        <f>SUM(AM35:AN35)</f>
        <v/>
      </c>
      <c r="AP35" s="624" t="n"/>
      <c r="AQ35" s="623" t="n"/>
      <c r="AR35" s="632" t="n">
        <v>-3409.161192917381</v>
      </c>
      <c r="AS35" s="625">
        <f>AR35</f>
        <v/>
      </c>
      <c r="AT35" s="627">
        <f>AR35/R35</f>
        <v/>
      </c>
      <c r="AU35" s="624" t="n"/>
      <c r="AV35" s="623" t="n"/>
      <c r="AW35" s="632">
        <f>AR35+AJ35</f>
        <v/>
      </c>
      <c r="AX35" s="624" t="n"/>
      <c r="AY35" s="623" t="n"/>
      <c r="AZ35" s="632" t="n"/>
      <c r="BA35" s="624" t="n"/>
    </row>
    <row r="36">
      <c r="A36" s="612" t="inlineStr">
        <is>
          <t>Greene 2000 Family Trust</t>
        </is>
      </c>
      <c r="B36" s="613" t="n">
        <v>0</v>
      </c>
      <c r="C36" s="613" t="n">
        <v>0</v>
      </c>
      <c r="D36" s="613" t="inlineStr">
        <is>
          <t>BBR</t>
        </is>
      </c>
      <c r="E36" s="614" t="n">
        <v>1000000</v>
      </c>
      <c r="F36" s="616">
        <f>E36/$E$86</f>
        <v/>
      </c>
      <c r="G36" s="614">
        <f>E36</f>
        <v/>
      </c>
      <c r="H36" s="614">
        <f>G36</f>
        <v/>
      </c>
      <c r="I36" s="616">
        <f>E36/$E$83</f>
        <v/>
      </c>
      <c r="J36" s="616">
        <f>G36/$G$83</f>
        <v/>
      </c>
      <c r="K36" s="616">
        <f>H36/$H$83</f>
        <v/>
      </c>
      <c r="M36" s="613">
        <f>$M$3*I36</f>
        <v/>
      </c>
      <c r="N36" s="613" t="n">
        <v>-12201.09</v>
      </c>
      <c r="O36" s="613" t="n">
        <v>-2500</v>
      </c>
      <c r="P36" s="613">
        <f>$P$3*I36</f>
        <v/>
      </c>
      <c r="Q36" s="613" t="n">
        <v>-100704.7800000001</v>
      </c>
      <c r="R36" s="613">
        <f>SUM(M36:Q36)</f>
        <v/>
      </c>
      <c r="S36" s="614" t="n"/>
      <c r="T36" s="617">
        <f>$T$3*K36</f>
        <v/>
      </c>
      <c r="U36" s="618" t="n">
        <v>0</v>
      </c>
      <c r="V36" s="617">
        <f>O36+N36+U36</f>
        <v/>
      </c>
      <c r="W36" s="617">
        <f>J36*$W$3</f>
        <v/>
      </c>
      <c r="X36" s="617">
        <f>$X$3*J36</f>
        <v/>
      </c>
      <c r="Y36" s="619">
        <f>X36-Q36</f>
        <v/>
      </c>
      <c r="Z36" s="617">
        <f>T36+W36+X36+V36</f>
        <v/>
      </c>
      <c r="AA36" s="614" t="n"/>
      <c r="AB36" s="633">
        <f>T36/G36</f>
        <v/>
      </c>
      <c r="AC36" s="634">
        <f>V36/G36</f>
        <v/>
      </c>
      <c r="AD36" s="634">
        <f>W36/G36</f>
        <v/>
      </c>
      <c r="AE36" s="634">
        <f>X36/G36</f>
        <v/>
      </c>
      <c r="AF36" s="1007">
        <f>AE36+AD36+AB36</f>
        <v/>
      </c>
      <c r="AG36" s="614" t="n"/>
      <c r="AH36" s="623" t="n"/>
      <c r="AI36" s="617" t="n"/>
      <c r="AJ36" s="617">
        <f>SUM(M36,P36,Q36)-SUM(T36,W36,X36)+AI36</f>
        <v/>
      </c>
      <c r="AK36" s="624" t="n"/>
      <c r="AL36" s="625">
        <f>AJ36</f>
        <v/>
      </c>
      <c r="AM36" s="626">
        <f>AJ36/G36</f>
        <v/>
      </c>
      <c r="AN36" s="626">
        <f>AC36</f>
        <v/>
      </c>
      <c r="AO36" s="627">
        <f>SUM(AM36:AN36)</f>
        <v/>
      </c>
      <c r="AP36" s="624" t="n"/>
      <c r="AQ36" s="623" t="n"/>
      <c r="AR36" s="632" t="n">
        <v>-14513.18605955992</v>
      </c>
      <c r="AS36" s="625">
        <f>AR36</f>
        <v/>
      </c>
      <c r="AT36" s="627">
        <f>AR36/R36</f>
        <v/>
      </c>
      <c r="AU36" s="624" t="n"/>
      <c r="AV36" s="623" t="n"/>
      <c r="AW36" s="632">
        <f>AR36+AJ36</f>
        <v/>
      </c>
      <c r="AX36" s="624" t="n"/>
      <c r="AY36" s="623" t="n"/>
      <c r="AZ36" s="632" t="n"/>
      <c r="BA36" s="624" t="n"/>
    </row>
    <row r="37">
      <c r="A37" s="612" t="inlineStr">
        <is>
          <t>Greene Marital Trust</t>
        </is>
      </c>
      <c r="B37" s="613" t="n">
        <v>0</v>
      </c>
      <c r="C37" s="613" t="n">
        <v>0</v>
      </c>
      <c r="D37" s="613" t="inlineStr">
        <is>
          <t>BBR</t>
        </is>
      </c>
      <c r="E37" s="614" t="n">
        <v>1000000</v>
      </c>
      <c r="F37" s="616">
        <f>E37/$E$86</f>
        <v/>
      </c>
      <c r="G37" s="614">
        <f>E37</f>
        <v/>
      </c>
      <c r="H37" s="614">
        <f>G37</f>
        <v/>
      </c>
      <c r="I37" s="616">
        <f>E37/$E$83</f>
        <v/>
      </c>
      <c r="J37" s="616">
        <f>G37/$G$83</f>
        <v/>
      </c>
      <c r="K37" s="616">
        <f>H37/$H$83</f>
        <v/>
      </c>
      <c r="M37" s="613">
        <f>$M$3*I37</f>
        <v/>
      </c>
      <c r="N37" s="613" t="n">
        <v>-12201.09</v>
      </c>
      <c r="O37" s="613" t="n">
        <v>-2500</v>
      </c>
      <c r="P37" s="613">
        <f>$P$3*I37</f>
        <v/>
      </c>
      <c r="Q37" s="613" t="n">
        <v>-100704.7800000001</v>
      </c>
      <c r="R37" s="613">
        <f>SUM(M37:Q37)</f>
        <v/>
      </c>
      <c r="S37" s="614" t="n"/>
      <c r="T37" s="617">
        <f>$T$3*K37</f>
        <v/>
      </c>
      <c r="U37" s="618" t="n">
        <v>0</v>
      </c>
      <c r="V37" s="617">
        <f>O37+N37+U37</f>
        <v/>
      </c>
      <c r="W37" s="617">
        <f>J37*$W$3</f>
        <v/>
      </c>
      <c r="X37" s="617">
        <f>$X$3*J37</f>
        <v/>
      </c>
      <c r="Y37" s="619">
        <f>X37-Q37</f>
        <v/>
      </c>
      <c r="Z37" s="617">
        <f>T37+W37+X37+V37</f>
        <v/>
      </c>
      <c r="AA37" s="614" t="n"/>
      <c r="AB37" s="633">
        <f>T37/G37</f>
        <v/>
      </c>
      <c r="AC37" s="634">
        <f>V37/G37</f>
        <v/>
      </c>
      <c r="AD37" s="634">
        <f>W37/G37</f>
        <v/>
      </c>
      <c r="AE37" s="634">
        <f>X37/G37</f>
        <v/>
      </c>
      <c r="AF37" s="1007">
        <f>AE37+AD37+AB37</f>
        <v/>
      </c>
      <c r="AG37" s="614" t="n"/>
      <c r="AH37" s="623" t="n"/>
      <c r="AI37" s="617" t="n"/>
      <c r="AJ37" s="617">
        <f>SUM(M37,P37,Q37)-SUM(T37,W37,X37)+AI37</f>
        <v/>
      </c>
      <c r="AK37" s="624" t="n"/>
      <c r="AL37" s="625">
        <f>AJ37</f>
        <v/>
      </c>
      <c r="AM37" s="626">
        <f>AJ37/G37</f>
        <v/>
      </c>
      <c r="AN37" s="626">
        <f>AC37</f>
        <v/>
      </c>
      <c r="AO37" s="627">
        <f>SUM(AM37:AN37)</f>
        <v/>
      </c>
      <c r="AP37" s="624" t="n"/>
      <c r="AQ37" s="623" t="n"/>
      <c r="AR37" s="632" t="n">
        <v>-14513.18605955992</v>
      </c>
      <c r="AS37" s="625">
        <f>AR37</f>
        <v/>
      </c>
      <c r="AT37" s="627">
        <f>AR37/R37</f>
        <v/>
      </c>
      <c r="AU37" s="624" t="n"/>
      <c r="AV37" s="623" t="n"/>
      <c r="AW37" s="632">
        <f>AR37+AJ37</f>
        <v/>
      </c>
      <c r="AX37" s="624" t="n"/>
      <c r="AY37" s="623" t="n"/>
      <c r="AZ37" s="632" t="n"/>
      <c r="BA37" s="624" t="n"/>
    </row>
    <row r="38">
      <c r="A38" s="612" t="inlineStr">
        <is>
          <t>Gregory Brent Wood</t>
        </is>
      </c>
      <c r="B38" s="613" t="n">
        <v>156600.6311081769</v>
      </c>
      <c r="C38" s="613" t="n">
        <v>0</v>
      </c>
      <c r="D38" s="613" t="inlineStr">
        <is>
          <t>Standard</t>
        </is>
      </c>
      <c r="E38" s="614" t="n">
        <v>156600.63</v>
      </c>
      <c r="F38" s="616">
        <f>E38/$E$86</f>
        <v/>
      </c>
      <c r="G38" s="614">
        <f>E38</f>
        <v/>
      </c>
      <c r="H38" s="614">
        <f>G38</f>
        <v/>
      </c>
      <c r="I38" s="616">
        <f>E38/$E$83</f>
        <v/>
      </c>
      <c r="J38" s="616">
        <f>G38/$G$83</f>
        <v/>
      </c>
      <c r="K38" s="616">
        <f>H38/$H$83</f>
        <v/>
      </c>
      <c r="M38" s="613">
        <f>$M$3*I38</f>
        <v/>
      </c>
      <c r="N38" s="613" t="n">
        <v>-1280.45</v>
      </c>
      <c r="O38" s="613" t="n">
        <v>-587.25</v>
      </c>
      <c r="P38" s="613">
        <f>$P$3*I38</f>
        <v/>
      </c>
      <c r="Q38" s="613" t="n">
        <v>-16204.93000000003</v>
      </c>
      <c r="R38" s="613">
        <f>SUM(M38:Q38)</f>
        <v/>
      </c>
      <c r="S38" s="614" t="n"/>
      <c r="T38" s="617">
        <f>$T$3*K38</f>
        <v/>
      </c>
      <c r="U38" s="618" t="n">
        <v>0</v>
      </c>
      <c r="V38" s="617">
        <f>O38+N38+U38</f>
        <v/>
      </c>
      <c r="W38" s="617">
        <f>J38*$W$3</f>
        <v/>
      </c>
      <c r="X38" s="617">
        <f>$X$3*J38</f>
        <v/>
      </c>
      <c r="Y38" s="619">
        <f>X38-Q38</f>
        <v/>
      </c>
      <c r="Z38" s="617">
        <f>T38+W38+X38+V38</f>
        <v/>
      </c>
      <c r="AA38" s="614" t="n"/>
      <c r="AB38" s="633">
        <f>T38/G38</f>
        <v/>
      </c>
      <c r="AC38" s="634">
        <f>V38/G38</f>
        <v/>
      </c>
      <c r="AD38" s="634">
        <f>W38/G38</f>
        <v/>
      </c>
      <c r="AE38" s="634">
        <f>X38/G38</f>
        <v/>
      </c>
      <c r="AF38" s="1007">
        <f>AE38+AD38+AB38</f>
        <v/>
      </c>
      <c r="AG38" s="614" t="n"/>
      <c r="AH38" s="623" t="n"/>
      <c r="AI38" s="617" t="n"/>
      <c r="AJ38" s="617">
        <f>SUM(M38,P38,Q38)-SUM(T38,W38,X38)+AI38</f>
        <v/>
      </c>
      <c r="AK38" s="624" t="n"/>
      <c r="AL38" s="625">
        <f>AJ38</f>
        <v/>
      </c>
      <c r="AM38" s="626">
        <f>AJ38/G38</f>
        <v/>
      </c>
      <c r="AN38" s="626">
        <f>AC38</f>
        <v/>
      </c>
      <c r="AO38" s="627">
        <f>SUM(AM38:AN38)</f>
        <v/>
      </c>
      <c r="AP38" s="624" t="n"/>
      <c r="AQ38" s="623" t="n"/>
      <c r="AR38" s="632" t="n">
        <v>-2272.7740802343</v>
      </c>
      <c r="AS38" s="625">
        <f>AR38</f>
        <v/>
      </c>
      <c r="AT38" s="627">
        <f>AR38/R38</f>
        <v/>
      </c>
      <c r="AU38" s="624" t="n"/>
      <c r="AV38" s="623" t="n"/>
      <c r="AW38" s="632">
        <f>AR38+AJ38</f>
        <v/>
      </c>
      <c r="AX38" s="624" t="n"/>
      <c r="AY38" s="623" t="n"/>
      <c r="AZ38" s="632" t="n"/>
      <c r="BA38" s="624" t="n"/>
    </row>
    <row r="39">
      <c r="A39" s="612" t="inlineStr">
        <is>
          <t>Hundley Family Trust</t>
        </is>
      </c>
      <c r="B39" s="613" t="n">
        <v>0</v>
      </c>
      <c r="C39" s="613" t="n">
        <v>0</v>
      </c>
      <c r="D39" s="613" t="inlineStr">
        <is>
          <t>Standard</t>
        </is>
      </c>
      <c r="E39" s="614" t="n">
        <v>200000</v>
      </c>
      <c r="F39" s="616">
        <f>E39/$E$86</f>
        <v/>
      </c>
      <c r="G39" s="614">
        <f>E39</f>
        <v/>
      </c>
      <c r="H39" s="614">
        <f>G39</f>
        <v/>
      </c>
      <c r="I39" s="616">
        <f>E39/$E$83</f>
        <v/>
      </c>
      <c r="J39" s="616">
        <f>G39/$G$83</f>
        <v/>
      </c>
      <c r="K39" s="616">
        <f>H39/$H$83</f>
        <v/>
      </c>
      <c r="M39" s="613">
        <f>$M$3*I39</f>
        <v/>
      </c>
      <c r="N39" s="613" t="n">
        <v>-3660.33</v>
      </c>
      <c r="O39" s="613" t="n">
        <v>-750</v>
      </c>
      <c r="P39" s="613">
        <f>$P$3*I39</f>
        <v/>
      </c>
      <c r="Q39" s="613" t="n">
        <v>-18670.84999999999</v>
      </c>
      <c r="R39" s="613">
        <f>SUM(M39:Q39)</f>
        <v/>
      </c>
      <c r="S39" s="614" t="n"/>
      <c r="T39" s="617">
        <f>$T$3*K39</f>
        <v/>
      </c>
      <c r="U39" s="618" t="n">
        <v>0</v>
      </c>
      <c r="V39" s="617">
        <f>O39+N39+U39</f>
        <v/>
      </c>
      <c r="W39" s="617">
        <f>J39*$W$3</f>
        <v/>
      </c>
      <c r="X39" s="617">
        <f>$X$3*J39</f>
        <v/>
      </c>
      <c r="Y39" s="619">
        <f>X39-Q39</f>
        <v/>
      </c>
      <c r="Z39" s="617">
        <f>T39+W39+X39+V39</f>
        <v/>
      </c>
      <c r="AA39" s="614" t="n"/>
      <c r="AB39" s="633">
        <f>T39/G39</f>
        <v/>
      </c>
      <c r="AC39" s="634">
        <f>V39/G39</f>
        <v/>
      </c>
      <c r="AD39" s="634">
        <f>W39/G39</f>
        <v/>
      </c>
      <c r="AE39" s="634">
        <f>X39/G39</f>
        <v/>
      </c>
      <c r="AF39" s="1007">
        <f>AE39+AD39+AB39</f>
        <v/>
      </c>
      <c r="AG39" s="614" t="n"/>
      <c r="AH39" s="623" t="n"/>
      <c r="AI39" s="617" t="n"/>
      <c r="AJ39" s="617">
        <f>SUM(M39,P39,Q39)-SUM(T39,W39,X39)+AI39</f>
        <v/>
      </c>
      <c r="AK39" s="624" t="n"/>
      <c r="AL39" s="625">
        <f>AJ39</f>
        <v/>
      </c>
      <c r="AM39" s="626">
        <f>AJ39/G39</f>
        <v/>
      </c>
      <c r="AN39" s="626">
        <f>AC39</f>
        <v/>
      </c>
      <c r="AO39" s="627">
        <f>SUM(AM39:AN39)</f>
        <v/>
      </c>
      <c r="AP39" s="624" t="n"/>
      <c r="AQ39" s="623" t="n"/>
      <c r="AR39" s="632" t="n">
        <v>-2902.637211911984</v>
      </c>
      <c r="AS39" s="625">
        <f>AR39</f>
        <v/>
      </c>
      <c r="AT39" s="627">
        <f>AR39/R39</f>
        <v/>
      </c>
      <c r="AU39" s="624" t="n"/>
      <c r="AV39" s="623" t="n"/>
      <c r="AW39" s="632">
        <f>AR39+AJ39</f>
        <v/>
      </c>
      <c r="AX39" s="624" t="n"/>
      <c r="AY39" s="623" t="n"/>
      <c r="AZ39" s="632" t="n"/>
      <c r="BA39" s="624" t="n"/>
    </row>
    <row r="40">
      <c r="A40" s="612" t="inlineStr">
        <is>
          <t>In God We Trust 2017 Living Trust</t>
        </is>
      </c>
      <c r="B40" s="613" t="n">
        <v>0</v>
      </c>
      <c r="C40" s="613" t="n">
        <v>0</v>
      </c>
      <c r="D40" s="613" t="inlineStr">
        <is>
          <t>Standard</t>
        </is>
      </c>
      <c r="E40" s="614" t="n">
        <v>100000</v>
      </c>
      <c r="F40" s="616">
        <f>E40/$E$86</f>
        <v/>
      </c>
      <c r="G40" s="614">
        <f>E40</f>
        <v/>
      </c>
      <c r="H40" s="614">
        <f>G40</f>
        <v/>
      </c>
      <c r="I40" s="616">
        <f>E40/$E$83</f>
        <v/>
      </c>
      <c r="J40" s="616">
        <f>G40/$G$83</f>
        <v/>
      </c>
      <c r="K40" s="616">
        <f>H40/$H$83</f>
        <v/>
      </c>
      <c r="M40" s="613">
        <f>$M$3*I40</f>
        <v/>
      </c>
      <c r="N40" s="613" t="n">
        <v>-1830.16</v>
      </c>
      <c r="O40" s="613" t="n">
        <v>-375</v>
      </c>
      <c r="P40" s="613">
        <f>$P$3*I40</f>
        <v/>
      </c>
      <c r="Q40" s="613" t="n">
        <v>-9335.429999999993</v>
      </c>
      <c r="R40" s="613">
        <f>SUM(M40:Q40)</f>
        <v/>
      </c>
      <c r="S40" s="614" t="n"/>
      <c r="T40" s="617">
        <f>$T$3*K40</f>
        <v/>
      </c>
      <c r="U40" s="618" t="n">
        <v>0</v>
      </c>
      <c r="V40" s="617">
        <f>O40+N40+U40</f>
        <v/>
      </c>
      <c r="W40" s="617">
        <f>J40*$W$3</f>
        <v/>
      </c>
      <c r="X40" s="617">
        <f>$X$3*J40</f>
        <v/>
      </c>
      <c r="Y40" s="619">
        <f>X40-Q40</f>
        <v/>
      </c>
      <c r="Z40" s="617">
        <f>T40+W40+X40+V40</f>
        <v/>
      </c>
      <c r="AA40" s="614" t="n"/>
      <c r="AB40" s="633">
        <f>T40/G40</f>
        <v/>
      </c>
      <c r="AC40" s="634">
        <f>V40/G40</f>
        <v/>
      </c>
      <c r="AD40" s="634">
        <f>W40/G40</f>
        <v/>
      </c>
      <c r="AE40" s="634">
        <f>X40/G40</f>
        <v/>
      </c>
      <c r="AF40" s="1007">
        <f>AE40+AD40+AB40</f>
        <v/>
      </c>
      <c r="AG40" s="614" t="n"/>
      <c r="AH40" s="623" t="n"/>
      <c r="AI40" s="617" t="n"/>
      <c r="AJ40" s="617">
        <f>SUM(M40,P40,Q40)-SUM(T40,W40,X40)+AI40</f>
        <v/>
      </c>
      <c r="AK40" s="624" t="n"/>
      <c r="AL40" s="625">
        <f>AJ40</f>
        <v/>
      </c>
      <c r="AM40" s="626">
        <f>AJ40/G40</f>
        <v/>
      </c>
      <c r="AN40" s="626">
        <f>AC40</f>
        <v/>
      </c>
      <c r="AO40" s="627">
        <f>SUM(AM40:AN40)</f>
        <v/>
      </c>
      <c r="AP40" s="624" t="n"/>
      <c r="AQ40" s="623" t="n"/>
      <c r="AR40" s="632" t="n">
        <v>-1451.318605955992</v>
      </c>
      <c r="AS40" s="625">
        <f>AR40</f>
        <v/>
      </c>
      <c r="AT40" s="627">
        <f>AR40/R40</f>
        <v/>
      </c>
      <c r="AU40" s="624" t="n"/>
      <c r="AV40" s="623" t="n"/>
      <c r="AW40" s="632">
        <f>AR40+AJ40</f>
        <v/>
      </c>
      <c r="AX40" s="624" t="n"/>
      <c r="AY40" s="623" t="n"/>
      <c r="AZ40" s="632" t="n"/>
      <c r="BA40" s="624" t="n"/>
    </row>
    <row r="41">
      <c r="A41" s="612" t="inlineStr">
        <is>
          <t>James Campbell and Patricia Campbell</t>
        </is>
      </c>
      <c r="B41" s="613" t="n">
        <v>156600.6311081769</v>
      </c>
      <c r="C41" s="613" t="n">
        <v>0</v>
      </c>
      <c r="D41" s="613" t="n">
        <v>0</v>
      </c>
      <c r="E41" s="614" t="n">
        <v>156600.63</v>
      </c>
      <c r="F41" s="616">
        <f>E41/$E$86</f>
        <v/>
      </c>
      <c r="G41" s="614">
        <f>E41</f>
        <v/>
      </c>
      <c r="H41" s="614">
        <f>G41</f>
        <v/>
      </c>
      <c r="I41" s="616">
        <f>E41/$E$83</f>
        <v/>
      </c>
      <c r="J41" s="616">
        <f>G41/$G$83</f>
        <v/>
      </c>
      <c r="K41" s="616">
        <f>H41/$H$83</f>
        <v/>
      </c>
      <c r="M41" s="613">
        <f>$M$3*I41</f>
        <v/>
      </c>
      <c r="N41" s="613" t="n">
        <v>-1280.45</v>
      </c>
      <c r="O41" s="613" t="n">
        <v>-587.25</v>
      </c>
      <c r="P41" s="613">
        <f>$P$3*I41</f>
        <v/>
      </c>
      <c r="Q41" s="613" t="n">
        <v>-16204.93000000003</v>
      </c>
      <c r="R41" s="613">
        <f>SUM(M41:Q41)</f>
        <v/>
      </c>
      <c r="S41" s="614" t="n"/>
      <c r="T41" s="617">
        <f>$T$3*K41</f>
        <v/>
      </c>
      <c r="U41" s="618" t="n">
        <v>0</v>
      </c>
      <c r="V41" s="617">
        <f>O41+N41+U41</f>
        <v/>
      </c>
      <c r="W41" s="617">
        <f>J41*$W$3</f>
        <v/>
      </c>
      <c r="X41" s="617">
        <f>$X$3*J41</f>
        <v/>
      </c>
      <c r="Y41" s="619">
        <f>X41-Q41</f>
        <v/>
      </c>
      <c r="Z41" s="617">
        <f>T41+W41+X41+V41</f>
        <v/>
      </c>
      <c r="AA41" s="614" t="n"/>
      <c r="AB41" s="633">
        <f>T41/G41</f>
        <v/>
      </c>
      <c r="AC41" s="634">
        <f>V41/G41</f>
        <v/>
      </c>
      <c r="AD41" s="634">
        <f>W41/G41</f>
        <v/>
      </c>
      <c r="AE41" s="634">
        <f>X41/G41</f>
        <v/>
      </c>
      <c r="AF41" s="1007">
        <f>AE41+AD41+AB41</f>
        <v/>
      </c>
      <c r="AG41" s="614" t="n"/>
      <c r="AH41" s="623" t="n"/>
      <c r="AI41" s="617" t="n"/>
      <c r="AJ41" s="617">
        <f>SUM(M41,P41,Q41)-SUM(T41,W41,X41)+AI41</f>
        <v/>
      </c>
      <c r="AK41" s="624" t="n"/>
      <c r="AL41" s="625">
        <f>AJ41</f>
        <v/>
      </c>
      <c r="AM41" s="626">
        <f>AJ41/G41</f>
        <v/>
      </c>
      <c r="AN41" s="626">
        <f>AC41</f>
        <v/>
      </c>
      <c r="AO41" s="627">
        <f>SUM(AM41:AN41)</f>
        <v/>
      </c>
      <c r="AP41" s="624" t="n"/>
      <c r="AQ41" s="623" t="n"/>
      <c r="AR41" s="632" t="n">
        <v>-2272.7740802343</v>
      </c>
      <c r="AS41" s="625">
        <f>AR41</f>
        <v/>
      </c>
      <c r="AT41" s="627">
        <f>AR41/R41</f>
        <v/>
      </c>
      <c r="AU41" s="624" t="n"/>
      <c r="AV41" s="623" t="n"/>
      <c r="AW41" s="632">
        <f>AR41+AJ41</f>
        <v/>
      </c>
      <c r="AX41" s="624" t="n"/>
      <c r="AY41" s="623" t="n"/>
      <c r="AZ41" s="632" t="n"/>
      <c r="BA41" s="624" t="n"/>
    </row>
    <row r="42">
      <c r="A42" s="612" t="inlineStr">
        <is>
          <t>James Kane</t>
        </is>
      </c>
      <c r="B42" s="613" t="n">
        <v>156600.6311081769</v>
      </c>
      <c r="C42" s="613" t="n">
        <v>0</v>
      </c>
      <c r="D42" s="613" t="inlineStr">
        <is>
          <t>Standard</t>
        </is>
      </c>
      <c r="E42" s="614" t="n">
        <v>156600.63</v>
      </c>
      <c r="F42" s="616">
        <f>E42/$E$86</f>
        <v/>
      </c>
      <c r="G42" s="614">
        <f>E42</f>
        <v/>
      </c>
      <c r="H42" s="614">
        <f>G42</f>
        <v/>
      </c>
      <c r="I42" s="616">
        <f>E42/$E$83</f>
        <v/>
      </c>
      <c r="J42" s="616">
        <f>G42/$G$83</f>
        <v/>
      </c>
      <c r="K42" s="616">
        <f>H42/$H$83</f>
        <v/>
      </c>
      <c r="M42" s="613">
        <f>$M$3*I42</f>
        <v/>
      </c>
      <c r="N42" s="613" t="n">
        <v>-1280.45</v>
      </c>
      <c r="O42" s="613" t="n">
        <v>-587.25</v>
      </c>
      <c r="P42" s="613">
        <f>$P$3*I42</f>
        <v/>
      </c>
      <c r="Q42" s="613" t="n">
        <v>-16204.93000000003</v>
      </c>
      <c r="R42" s="613">
        <f>SUM(M42:Q42)</f>
        <v/>
      </c>
      <c r="S42" s="614" t="n"/>
      <c r="T42" s="617">
        <f>$T$3*K42</f>
        <v/>
      </c>
      <c r="U42" s="618" t="n">
        <v>0</v>
      </c>
      <c r="V42" s="617">
        <f>O42+N42+U42</f>
        <v/>
      </c>
      <c r="W42" s="617">
        <f>J42*$W$3</f>
        <v/>
      </c>
      <c r="X42" s="617">
        <f>$X$3*J42</f>
        <v/>
      </c>
      <c r="Y42" s="619">
        <f>X42-Q42</f>
        <v/>
      </c>
      <c r="Z42" s="617">
        <f>T42+W42+X42+V42</f>
        <v/>
      </c>
      <c r="AA42" s="614" t="n"/>
      <c r="AB42" s="633">
        <f>T42/G42</f>
        <v/>
      </c>
      <c r="AC42" s="634">
        <f>V42/G42</f>
        <v/>
      </c>
      <c r="AD42" s="634">
        <f>W42/G42</f>
        <v/>
      </c>
      <c r="AE42" s="634">
        <f>X42/G42</f>
        <v/>
      </c>
      <c r="AF42" s="1007">
        <f>AE42+AD42+AB42</f>
        <v/>
      </c>
      <c r="AG42" s="614" t="n"/>
      <c r="AH42" s="623" t="n"/>
      <c r="AI42" s="617" t="n"/>
      <c r="AJ42" s="617">
        <f>SUM(M42,P42,Q42)-SUM(T42,W42,X42)+AI42</f>
        <v/>
      </c>
      <c r="AK42" s="624" t="n"/>
      <c r="AL42" s="625">
        <f>AJ42</f>
        <v/>
      </c>
      <c r="AM42" s="626">
        <f>AJ42/G42</f>
        <v/>
      </c>
      <c r="AN42" s="626">
        <f>AC42</f>
        <v/>
      </c>
      <c r="AO42" s="627">
        <f>SUM(AM42:AN42)</f>
        <v/>
      </c>
      <c r="AP42" s="624" t="n"/>
      <c r="AQ42" s="623" t="n"/>
      <c r="AR42" s="632" t="n">
        <v>-2272.7740802343</v>
      </c>
      <c r="AS42" s="625">
        <f>AR42</f>
        <v/>
      </c>
      <c r="AT42" s="627">
        <f>AR42/R42</f>
        <v/>
      </c>
      <c r="AU42" s="624" t="n"/>
      <c r="AV42" s="623" t="n"/>
      <c r="AW42" s="632">
        <f>AR42+AJ42</f>
        <v/>
      </c>
      <c r="AX42" s="624" t="n"/>
      <c r="AY42" s="623" t="n"/>
      <c r="AZ42" s="632" t="n"/>
      <c r="BA42" s="624" t="n"/>
    </row>
    <row r="43">
      <c r="A43" s="612" t="inlineStr">
        <is>
          <t>James Thorp</t>
        </is>
      </c>
      <c r="B43" s="613" t="n">
        <v>195750.7888852211</v>
      </c>
      <c r="C43" s="613" t="n">
        <v>0</v>
      </c>
      <c r="D43" s="613" t="inlineStr">
        <is>
          <t>Standard</t>
        </is>
      </c>
      <c r="E43" s="614" t="n">
        <v>195750.79</v>
      </c>
      <c r="F43" s="616">
        <f>E43/$E$86</f>
        <v/>
      </c>
      <c r="G43" s="614">
        <f>E43</f>
        <v/>
      </c>
      <c r="H43" s="614">
        <f>G43</f>
        <v/>
      </c>
      <c r="I43" s="616">
        <f>E43/$E$83</f>
        <v/>
      </c>
      <c r="J43" s="616">
        <f>G43/$G$83</f>
        <v/>
      </c>
      <c r="K43" s="616">
        <f>H43/$H$83</f>
        <v/>
      </c>
      <c r="M43" s="613">
        <f>$M$3*I43</f>
        <v/>
      </c>
      <c r="N43" s="613" t="n">
        <v>-1600.57</v>
      </c>
      <c r="O43" s="613" t="n">
        <v>-734.0700000000001</v>
      </c>
      <c r="P43" s="613">
        <f>$P$3*I43</f>
        <v/>
      </c>
      <c r="Q43" s="613" t="n">
        <v>-20256.14999999999</v>
      </c>
      <c r="R43" s="613">
        <f>SUM(M43:Q43)</f>
        <v/>
      </c>
      <c r="S43" s="614" t="n"/>
      <c r="T43" s="617">
        <f>$T$3*K43</f>
        <v/>
      </c>
      <c r="U43" s="618" t="n">
        <v>0</v>
      </c>
      <c r="V43" s="617">
        <f>O43+N43+U43</f>
        <v/>
      </c>
      <c r="W43" s="617">
        <f>J43*$W$3</f>
        <v/>
      </c>
      <c r="X43" s="617">
        <f>$X$3*J43</f>
        <v/>
      </c>
      <c r="Y43" s="619">
        <f>X43-Q43</f>
        <v/>
      </c>
      <c r="Z43" s="617">
        <f>T43+W43+X43+V43</f>
        <v/>
      </c>
      <c r="AA43" s="614" t="n"/>
      <c r="AB43" s="633">
        <f>T43/G43</f>
        <v/>
      </c>
      <c r="AC43" s="634">
        <f>V43/G43</f>
        <v/>
      </c>
      <c r="AD43" s="634">
        <f>W43/G43</f>
        <v/>
      </c>
      <c r="AE43" s="634">
        <f>X43/G43</f>
        <v/>
      </c>
      <c r="AF43" s="1007">
        <f>AE43+AD43+AB43</f>
        <v/>
      </c>
      <c r="AG43" s="614" t="n"/>
      <c r="AH43" s="623" t="n"/>
      <c r="AI43" s="617" t="n"/>
      <c r="AJ43" s="617">
        <f>SUM(M43,P43,Q43)-SUM(T43,W43,X43)+AI43</f>
        <v/>
      </c>
      <c r="AK43" s="624" t="n"/>
      <c r="AL43" s="625">
        <f>AJ43</f>
        <v/>
      </c>
      <c r="AM43" s="626">
        <f>AJ43/G43</f>
        <v/>
      </c>
      <c r="AN43" s="626">
        <f>AC43</f>
        <v/>
      </c>
      <c r="AO43" s="627">
        <f>SUM(AM43:AN43)</f>
        <v/>
      </c>
      <c r="AP43" s="624" t="n"/>
      <c r="AQ43" s="623" t="n"/>
      <c r="AR43" s="632" t="n">
        <v>-2840.967636575841</v>
      </c>
      <c r="AS43" s="625">
        <f>AR43</f>
        <v/>
      </c>
      <c r="AT43" s="627">
        <f>AR43/R43</f>
        <v/>
      </c>
      <c r="AU43" s="624" t="n"/>
      <c r="AV43" s="623" t="n"/>
      <c r="AW43" s="632">
        <f>AR43+AJ43</f>
        <v/>
      </c>
      <c r="AX43" s="624" t="n"/>
      <c r="AY43" s="623" t="n"/>
      <c r="AZ43" s="632" t="n"/>
      <c r="BA43" s="624" t="n"/>
    </row>
    <row r="44">
      <c r="A44" s="612" t="inlineStr">
        <is>
          <t>Jeffrey A. Lipsitz Revocable Trust</t>
        </is>
      </c>
      <c r="B44" s="613" t="n">
        <v>0</v>
      </c>
      <c r="C44" s="613" t="n">
        <v>0</v>
      </c>
      <c r="D44" s="613" t="inlineStr">
        <is>
          <t>BBR</t>
        </is>
      </c>
      <c r="E44" s="614" t="n">
        <v>1000000</v>
      </c>
      <c r="F44" s="616">
        <f>E44/$E$86</f>
        <v/>
      </c>
      <c r="G44" s="614">
        <f>E44</f>
        <v/>
      </c>
      <c r="H44" s="614">
        <f>G44</f>
        <v/>
      </c>
      <c r="I44" s="616">
        <f>E44/$E$83</f>
        <v/>
      </c>
      <c r="J44" s="616">
        <f>G44/$G$83</f>
        <v/>
      </c>
      <c r="K44" s="616">
        <f>H44/$H$83</f>
        <v/>
      </c>
      <c r="M44" s="613">
        <f>$M$3*I44</f>
        <v/>
      </c>
      <c r="N44" s="613" t="n">
        <v>-12201.09</v>
      </c>
      <c r="O44" s="613" t="n">
        <v>-2500</v>
      </c>
      <c r="P44" s="613">
        <f>$P$3*I44</f>
        <v/>
      </c>
      <c r="Q44" s="613" t="n">
        <v>-100704.7800000001</v>
      </c>
      <c r="R44" s="613">
        <f>SUM(M44:Q44)</f>
        <v/>
      </c>
      <c r="S44" s="614" t="n"/>
      <c r="T44" s="617">
        <f>$T$3*K44</f>
        <v/>
      </c>
      <c r="U44" s="618" t="n">
        <v>0</v>
      </c>
      <c r="V44" s="617">
        <f>O44+N44+U44</f>
        <v/>
      </c>
      <c r="W44" s="617">
        <f>J44*$W$3</f>
        <v/>
      </c>
      <c r="X44" s="617">
        <f>$X$3*J44</f>
        <v/>
      </c>
      <c r="Y44" s="619">
        <f>X44-Q44</f>
        <v/>
      </c>
      <c r="Z44" s="617">
        <f>T44+W44+X44+V44</f>
        <v/>
      </c>
      <c r="AA44" s="614" t="n"/>
      <c r="AB44" s="633">
        <f>T44/G44</f>
        <v/>
      </c>
      <c r="AC44" s="634">
        <f>V44/G44</f>
        <v/>
      </c>
      <c r="AD44" s="634">
        <f>W44/G44</f>
        <v/>
      </c>
      <c r="AE44" s="634">
        <f>X44/G44</f>
        <v/>
      </c>
      <c r="AF44" s="1007">
        <f>AE44+AD44+AB44</f>
        <v/>
      </c>
      <c r="AG44" s="614" t="n"/>
      <c r="AH44" s="623" t="n"/>
      <c r="AI44" s="617" t="n"/>
      <c r="AJ44" s="617">
        <f>SUM(M44,P44,Q44)-SUM(T44,W44,X44)+AI44</f>
        <v/>
      </c>
      <c r="AK44" s="624" t="n"/>
      <c r="AL44" s="625">
        <f>AJ44</f>
        <v/>
      </c>
      <c r="AM44" s="626">
        <f>AJ44/G44</f>
        <v/>
      </c>
      <c r="AN44" s="626">
        <f>AC44</f>
        <v/>
      </c>
      <c r="AO44" s="627">
        <f>SUM(AM44:AN44)</f>
        <v/>
      </c>
      <c r="AP44" s="624" t="n"/>
      <c r="AQ44" s="623" t="n"/>
      <c r="AR44" s="632" t="n">
        <v>-14513.18605955992</v>
      </c>
      <c r="AS44" s="625">
        <f>AR44</f>
        <v/>
      </c>
      <c r="AT44" s="627">
        <f>AR44/R44</f>
        <v/>
      </c>
      <c r="AU44" s="624" t="n"/>
      <c r="AV44" s="623" t="n"/>
      <c r="AW44" s="632">
        <f>AR44+AJ44</f>
        <v/>
      </c>
      <c r="AX44" s="624" t="n"/>
      <c r="AY44" s="623" t="n"/>
      <c r="AZ44" s="632" t="n"/>
      <c r="BA44" s="624" t="n"/>
    </row>
    <row r="45">
      <c r="A45" s="612" t="inlineStr">
        <is>
          <t>Jeffrey D Furber Revocable Trust</t>
        </is>
      </c>
      <c r="B45" s="613" t="n">
        <v>0</v>
      </c>
      <c r="C45" s="613" t="n">
        <v>0</v>
      </c>
      <c r="D45" s="613" t="inlineStr">
        <is>
          <t>BBR</t>
        </is>
      </c>
      <c r="E45" s="614" t="n">
        <v>500000</v>
      </c>
      <c r="F45" s="616">
        <f>E45/$E$86</f>
        <v/>
      </c>
      <c r="G45" s="614">
        <f>E45</f>
        <v/>
      </c>
      <c r="H45" s="614">
        <f>G45</f>
        <v/>
      </c>
      <c r="I45" s="616">
        <f>E45/$E$83</f>
        <v/>
      </c>
      <c r="J45" s="616">
        <f>G45/$G$83</f>
        <v/>
      </c>
      <c r="K45" s="616">
        <f>H45/$H$83</f>
        <v/>
      </c>
      <c r="M45" s="613">
        <f>$M$3*I45</f>
        <v/>
      </c>
      <c r="N45" s="613" t="n">
        <v>-6100.54</v>
      </c>
      <c r="O45" s="613" t="n">
        <v>-1250</v>
      </c>
      <c r="P45" s="613">
        <f>$P$3*I45</f>
        <v/>
      </c>
      <c r="Q45" s="613" t="n">
        <v>-50352.39000000003</v>
      </c>
      <c r="R45" s="613">
        <f>SUM(M45:Q45)</f>
        <v/>
      </c>
      <c r="S45" s="614" t="n"/>
      <c r="T45" s="617">
        <f>$T$3*K45</f>
        <v/>
      </c>
      <c r="U45" s="618" t="n">
        <v>0</v>
      </c>
      <c r="V45" s="617">
        <f>O45+N45+U45</f>
        <v/>
      </c>
      <c r="W45" s="617">
        <f>J45*$W$3</f>
        <v/>
      </c>
      <c r="X45" s="617">
        <f>$X$3*J45</f>
        <v/>
      </c>
      <c r="Y45" s="619">
        <f>X45-Q45</f>
        <v/>
      </c>
      <c r="Z45" s="617">
        <f>T45+W45+X45+V45</f>
        <v/>
      </c>
      <c r="AA45" s="614" t="n"/>
      <c r="AB45" s="633">
        <f>T45/G45</f>
        <v/>
      </c>
      <c r="AC45" s="634">
        <f>V45/G45</f>
        <v/>
      </c>
      <c r="AD45" s="634">
        <f>W45/G45</f>
        <v/>
      </c>
      <c r="AE45" s="634">
        <f>X45/G45</f>
        <v/>
      </c>
      <c r="AF45" s="1007">
        <f>AE45+AD45+AB45</f>
        <v/>
      </c>
      <c r="AG45" s="614" t="n"/>
      <c r="AH45" s="623" t="n"/>
      <c r="AI45" s="617" t="n"/>
      <c r="AJ45" s="617">
        <f>SUM(M45,P45,Q45)-SUM(T45,W45,X45)+AI45</f>
        <v/>
      </c>
      <c r="AK45" s="624" t="n"/>
      <c r="AL45" s="625">
        <f>AJ45</f>
        <v/>
      </c>
      <c r="AM45" s="626">
        <f>AJ45/G45</f>
        <v/>
      </c>
      <c r="AN45" s="626">
        <f>AC45</f>
        <v/>
      </c>
      <c r="AO45" s="627">
        <f>SUM(AM45:AN45)</f>
        <v/>
      </c>
      <c r="AP45" s="624" t="n"/>
      <c r="AQ45" s="623" t="n"/>
      <c r="AR45" s="632" t="n">
        <v>-7256.593029779959</v>
      </c>
      <c r="AS45" s="625">
        <f>AR45</f>
        <v/>
      </c>
      <c r="AT45" s="627">
        <f>AR45/R45</f>
        <v/>
      </c>
      <c r="AU45" s="624" t="n"/>
      <c r="AV45" s="623" t="n"/>
      <c r="AW45" s="632">
        <f>AR45+AJ45</f>
        <v/>
      </c>
      <c r="AX45" s="624" t="n"/>
      <c r="AY45" s="623" t="n"/>
      <c r="AZ45" s="632" t="n"/>
      <c r="BA45" s="624" t="n"/>
    </row>
    <row r="46">
      <c r="A46" s="612" t="inlineStr">
        <is>
          <t>Jeremy M. Jacobs Trust U/A/D April 1, 1973 fbo Margaret L. Reichenback</t>
        </is>
      </c>
      <c r="B46" s="613" t="n">
        <v>0</v>
      </c>
      <c r="C46" s="613" t="n">
        <v>0</v>
      </c>
      <c r="D46" s="613" t="inlineStr">
        <is>
          <t>BBR</t>
        </is>
      </c>
      <c r="E46" s="614" t="n">
        <v>1500000</v>
      </c>
      <c r="F46" s="616">
        <f>E46/$E$86</f>
        <v/>
      </c>
      <c r="G46" s="614">
        <f>E46</f>
        <v/>
      </c>
      <c r="H46" s="614">
        <f>G46</f>
        <v/>
      </c>
      <c r="I46" s="616">
        <f>E46/$E$83</f>
        <v/>
      </c>
      <c r="J46" s="616">
        <f>G46/$G$83</f>
        <v/>
      </c>
      <c r="K46" s="616">
        <f>H46/$H$83</f>
        <v/>
      </c>
      <c r="M46" s="613">
        <f>$M$3*I46</f>
        <v/>
      </c>
      <c r="N46" s="613" t="n">
        <v>-18301.63</v>
      </c>
      <c r="O46" s="613" t="n">
        <v>-3750</v>
      </c>
      <c r="P46" s="613">
        <f>$P$3*I46</f>
        <v/>
      </c>
      <c r="Q46" s="613" t="n">
        <v>-151057.1700000001</v>
      </c>
      <c r="R46" s="613">
        <f>SUM(M46:Q46)</f>
        <v/>
      </c>
      <c r="S46" s="614" t="n"/>
      <c r="T46" s="617">
        <f>$T$3*K46</f>
        <v/>
      </c>
      <c r="U46" s="618" t="n">
        <v>0</v>
      </c>
      <c r="V46" s="617">
        <f>O46+N46+U46</f>
        <v/>
      </c>
      <c r="W46" s="617">
        <f>J46*$W$3</f>
        <v/>
      </c>
      <c r="X46" s="617">
        <f>$X$3*J46</f>
        <v/>
      </c>
      <c r="Y46" s="619">
        <f>X46-Q46</f>
        <v/>
      </c>
      <c r="Z46" s="617">
        <f>T46+W46+X46+V46</f>
        <v/>
      </c>
      <c r="AA46" s="614" t="n"/>
      <c r="AB46" s="633">
        <f>T46/G46</f>
        <v/>
      </c>
      <c r="AC46" s="634">
        <f>V46/G46</f>
        <v/>
      </c>
      <c r="AD46" s="634">
        <f>W46/G46</f>
        <v/>
      </c>
      <c r="AE46" s="634">
        <f>X46/G46</f>
        <v/>
      </c>
      <c r="AF46" s="1007">
        <f>AE46+AD46+AB46</f>
        <v/>
      </c>
      <c r="AG46" s="614" t="n"/>
      <c r="AH46" s="623" t="n"/>
      <c r="AI46" s="617" t="n"/>
      <c r="AJ46" s="617">
        <f>SUM(M46,P46,Q46)-SUM(T46,W46,X46)+AI46</f>
        <v/>
      </c>
      <c r="AK46" s="624" t="n"/>
      <c r="AL46" s="625">
        <f>AJ46</f>
        <v/>
      </c>
      <c r="AM46" s="626">
        <f>AJ46/G46</f>
        <v/>
      </c>
      <c r="AN46" s="626">
        <f>AC46</f>
        <v/>
      </c>
      <c r="AO46" s="627">
        <f>SUM(AM46:AN46)</f>
        <v/>
      </c>
      <c r="AP46" s="624" t="n"/>
      <c r="AQ46" s="623" t="n"/>
      <c r="AR46" s="632" t="n">
        <v>-21769.77908933988</v>
      </c>
      <c r="AS46" s="625">
        <f>AR46</f>
        <v/>
      </c>
      <c r="AT46" s="627">
        <f>AR46/R46</f>
        <v/>
      </c>
      <c r="AU46" s="624" t="n"/>
      <c r="AV46" s="623" t="n"/>
      <c r="AW46" s="632">
        <f>AR46+AJ46</f>
        <v/>
      </c>
      <c r="AX46" s="624" t="n"/>
      <c r="AY46" s="623" t="n"/>
      <c r="AZ46" s="632" t="n"/>
      <c r="BA46" s="624" t="n"/>
    </row>
    <row r="47">
      <c r="A47" s="612" t="inlineStr">
        <is>
          <t>John Mark Comer</t>
        </is>
      </c>
      <c r="B47" s="613" t="n">
        <v>0</v>
      </c>
      <c r="C47" s="613" t="n">
        <v>0</v>
      </c>
      <c r="D47" s="613" t="inlineStr">
        <is>
          <t>Standard</t>
        </is>
      </c>
      <c r="E47" s="614" t="n">
        <v>100000</v>
      </c>
      <c r="F47" s="616">
        <f>E47/$E$86</f>
        <v/>
      </c>
      <c r="G47" s="614">
        <f>E47</f>
        <v/>
      </c>
      <c r="H47" s="614">
        <f>G47</f>
        <v/>
      </c>
      <c r="I47" s="616">
        <f>E47/$E$83</f>
        <v/>
      </c>
      <c r="J47" s="616">
        <f>G47/$G$83</f>
        <v/>
      </c>
      <c r="K47" s="616">
        <f>H47/$H$83</f>
        <v/>
      </c>
      <c r="M47" s="613">
        <f>$M$3*I47</f>
        <v/>
      </c>
      <c r="N47" s="613" t="n">
        <v>-1830.16</v>
      </c>
      <c r="O47" s="613" t="n">
        <v>-375</v>
      </c>
      <c r="P47" s="613">
        <f>$P$3*I47</f>
        <v/>
      </c>
      <c r="Q47" s="613" t="n">
        <v>-9335.429999999993</v>
      </c>
      <c r="R47" s="613">
        <f>SUM(M47:Q47)</f>
        <v/>
      </c>
      <c r="S47" s="614" t="n"/>
      <c r="T47" s="617">
        <f>$T$3*K47</f>
        <v/>
      </c>
      <c r="U47" s="618" t="n">
        <v>0</v>
      </c>
      <c r="V47" s="617">
        <f>O47+N47+U47</f>
        <v/>
      </c>
      <c r="W47" s="617">
        <f>J47*$W$3</f>
        <v/>
      </c>
      <c r="X47" s="617">
        <f>$X$3*J47</f>
        <v/>
      </c>
      <c r="Y47" s="619">
        <f>X47-Q47</f>
        <v/>
      </c>
      <c r="Z47" s="617">
        <f>T47+W47+X47+V47</f>
        <v/>
      </c>
      <c r="AA47" s="614" t="n"/>
      <c r="AB47" s="633">
        <f>T47/G47</f>
        <v/>
      </c>
      <c r="AC47" s="634">
        <f>V47/G47</f>
        <v/>
      </c>
      <c r="AD47" s="634">
        <f>W47/G47</f>
        <v/>
      </c>
      <c r="AE47" s="634">
        <f>X47/G47</f>
        <v/>
      </c>
      <c r="AF47" s="1007">
        <f>AE47+AD47+AB47</f>
        <v/>
      </c>
      <c r="AG47" s="614" t="n"/>
      <c r="AH47" s="623" t="n"/>
      <c r="AI47" s="617" t="n"/>
      <c r="AJ47" s="617">
        <f>SUM(M47,P47,Q47)-SUM(T47,W47,X47)+AI47</f>
        <v/>
      </c>
      <c r="AK47" s="624" t="n"/>
      <c r="AL47" s="625">
        <f>AJ47</f>
        <v/>
      </c>
      <c r="AM47" s="626">
        <f>AJ47/G47</f>
        <v/>
      </c>
      <c r="AN47" s="626">
        <f>AC47</f>
        <v/>
      </c>
      <c r="AO47" s="627">
        <f>SUM(AM47:AN47)</f>
        <v/>
      </c>
      <c r="AP47" s="624" t="n"/>
      <c r="AQ47" s="623" t="n"/>
      <c r="AR47" s="632" t="n">
        <v>-1451.318605955992</v>
      </c>
      <c r="AS47" s="625">
        <f>AR47</f>
        <v/>
      </c>
      <c r="AT47" s="627">
        <f>AR47/R47</f>
        <v/>
      </c>
      <c r="AU47" s="624" t="n"/>
      <c r="AV47" s="623" t="n"/>
      <c r="AW47" s="632">
        <f>AR47+AJ47</f>
        <v/>
      </c>
      <c r="AX47" s="624" t="n"/>
      <c r="AY47" s="623" t="n"/>
      <c r="AZ47" s="632" t="n"/>
      <c r="BA47" s="624" t="n"/>
    </row>
    <row r="48">
      <c r="A48" s="612" t="inlineStr">
        <is>
          <t>Landscape I, LP</t>
        </is>
      </c>
      <c r="B48" s="613" t="n">
        <v>0</v>
      </c>
      <c r="C48" s="613" t="n">
        <v>0</v>
      </c>
      <c r="D48" s="613" t="inlineStr">
        <is>
          <t>BBR</t>
        </is>
      </c>
      <c r="E48" s="614" t="n">
        <v>750000</v>
      </c>
      <c r="F48" s="616">
        <f>E48/$E$86</f>
        <v/>
      </c>
      <c r="G48" s="614">
        <f>E48</f>
        <v/>
      </c>
      <c r="H48" s="614">
        <f>G48</f>
        <v/>
      </c>
      <c r="I48" s="616">
        <f>E48/$E$83</f>
        <v/>
      </c>
      <c r="J48" s="616">
        <f>G48/$G$83</f>
        <v/>
      </c>
      <c r="K48" s="616">
        <f>H48/$H$83</f>
        <v/>
      </c>
      <c r="M48" s="613">
        <f>$M$3*I48</f>
        <v/>
      </c>
      <c r="N48" s="613" t="n">
        <v>-9150.82</v>
      </c>
      <c r="O48" s="613" t="n">
        <v>-1875</v>
      </c>
      <c r="P48" s="613">
        <f>$P$3*I48</f>
        <v/>
      </c>
      <c r="Q48" s="613" t="n">
        <v>-75528.58999999994</v>
      </c>
      <c r="R48" s="613">
        <f>SUM(M48:Q48)</f>
        <v/>
      </c>
      <c r="S48" s="614" t="n"/>
      <c r="T48" s="617">
        <f>$T$3*K48</f>
        <v/>
      </c>
      <c r="U48" s="618" t="n">
        <v>0</v>
      </c>
      <c r="V48" s="617">
        <f>O48+N48+U48</f>
        <v/>
      </c>
      <c r="W48" s="617">
        <f>J48*$W$3</f>
        <v/>
      </c>
      <c r="X48" s="617">
        <f>$X$3*J48</f>
        <v/>
      </c>
      <c r="Y48" s="619">
        <f>X48-Q48</f>
        <v/>
      </c>
      <c r="Z48" s="617">
        <f>T48+W48+X48+V48</f>
        <v/>
      </c>
      <c r="AA48" s="614" t="n"/>
      <c r="AB48" s="633">
        <f>T48/G48</f>
        <v/>
      </c>
      <c r="AC48" s="634">
        <f>V48/G48</f>
        <v/>
      </c>
      <c r="AD48" s="634">
        <f>W48/G48</f>
        <v/>
      </c>
      <c r="AE48" s="634">
        <f>X48/G48</f>
        <v/>
      </c>
      <c r="AF48" s="1007">
        <f>AE48+AD48+AB48</f>
        <v/>
      </c>
      <c r="AG48" s="614" t="n"/>
      <c r="AH48" s="623" t="n"/>
      <c r="AI48" s="617" t="n"/>
      <c r="AJ48" s="617">
        <f>SUM(M48,P48,Q48)-SUM(T48,W48,X48)+AI48</f>
        <v/>
      </c>
      <c r="AK48" s="624" t="n"/>
      <c r="AL48" s="625">
        <f>AJ48</f>
        <v/>
      </c>
      <c r="AM48" s="626">
        <f>AJ48/G48</f>
        <v/>
      </c>
      <c r="AN48" s="626">
        <f>AC48</f>
        <v/>
      </c>
      <c r="AO48" s="627">
        <f>SUM(AM48:AN48)</f>
        <v/>
      </c>
      <c r="AP48" s="624" t="n"/>
      <c r="AQ48" s="623" t="n"/>
      <c r="AR48" s="632" t="n">
        <v>-10884.88954466994</v>
      </c>
      <c r="AS48" s="625">
        <f>AR48</f>
        <v/>
      </c>
      <c r="AT48" s="627">
        <f>AR48/R48</f>
        <v/>
      </c>
      <c r="AU48" s="624" t="n"/>
      <c r="AV48" s="623" t="n"/>
      <c r="AW48" s="632">
        <f>AR48+AJ48</f>
        <v/>
      </c>
      <c r="AX48" s="624" t="n"/>
      <c r="AY48" s="623" t="n"/>
      <c r="AZ48" s="632" t="n"/>
      <c r="BA48" s="624" t="n"/>
    </row>
    <row r="49">
      <c r="A49" s="612" t="inlineStr">
        <is>
          <t>Lisa Bell Trust, Elisabeth B. Bell, Trustee</t>
        </is>
      </c>
      <c r="B49" s="613" t="n">
        <v>234900.9466622653</v>
      </c>
      <c r="C49" s="613" t="n">
        <v>0</v>
      </c>
      <c r="D49" s="613" t="n">
        <v>0</v>
      </c>
      <c r="E49" s="614" t="n">
        <v>234900.95</v>
      </c>
      <c r="F49" s="616">
        <f>E49/$E$86</f>
        <v/>
      </c>
      <c r="G49" s="614">
        <f>E49</f>
        <v/>
      </c>
      <c r="H49" s="614">
        <f>G49</f>
        <v/>
      </c>
      <c r="I49" s="616">
        <f>E49/$E$83</f>
        <v/>
      </c>
      <c r="J49" s="616">
        <f>G49/$G$83</f>
        <v/>
      </c>
      <c r="K49" s="616">
        <f>H49/$H$83</f>
        <v/>
      </c>
      <c r="M49" s="613">
        <f>$M$3*I49</f>
        <v/>
      </c>
      <c r="N49" s="613" t="n">
        <v>-1920.68</v>
      </c>
      <c r="O49" s="613" t="n">
        <v>-880.88</v>
      </c>
      <c r="P49" s="613">
        <f>$P$3*I49</f>
        <v/>
      </c>
      <c r="Q49" s="613" t="n">
        <v>-24307.39</v>
      </c>
      <c r="R49" s="613">
        <f>SUM(M49:Q49)</f>
        <v/>
      </c>
      <c r="S49" s="614" t="n"/>
      <c r="T49" s="617">
        <f>$T$3*K49</f>
        <v/>
      </c>
      <c r="U49" s="618" t="n">
        <v>0</v>
      </c>
      <c r="V49" s="617">
        <f>O49+N49+U49</f>
        <v/>
      </c>
      <c r="W49" s="617">
        <f>J49*$W$3</f>
        <v/>
      </c>
      <c r="X49" s="617">
        <f>$X$3*J49</f>
        <v/>
      </c>
      <c r="Y49" s="619">
        <f>X49-Q49</f>
        <v/>
      </c>
      <c r="Z49" s="617">
        <f>T49+W49+X49+V49</f>
        <v/>
      </c>
      <c r="AA49" s="614" t="n"/>
      <c r="AB49" s="633">
        <f>T49/G49</f>
        <v/>
      </c>
      <c r="AC49" s="634">
        <f>V49/G49</f>
        <v/>
      </c>
      <c r="AD49" s="634">
        <f>W49/G49</f>
        <v/>
      </c>
      <c r="AE49" s="634">
        <f>X49/G49</f>
        <v/>
      </c>
      <c r="AF49" s="1007">
        <f>AE49+AD49+AB49</f>
        <v/>
      </c>
      <c r="AG49" s="614" t="n"/>
      <c r="AH49" s="623" t="n"/>
      <c r="AI49" s="617" t="n"/>
      <c r="AJ49" s="617">
        <f>SUM(M49,P49,Q49)-SUM(T49,W49,X49)+AI49</f>
        <v/>
      </c>
      <c r="AK49" s="624" t="n"/>
      <c r="AL49" s="625">
        <f>AJ49</f>
        <v/>
      </c>
      <c r="AM49" s="626">
        <f>AJ49/G49</f>
        <v/>
      </c>
      <c r="AN49" s="626">
        <f>AC49</f>
        <v/>
      </c>
      <c r="AO49" s="627">
        <f>SUM(AM49:AN49)</f>
        <v/>
      </c>
      <c r="AP49" s="624" t="n"/>
      <c r="AQ49" s="623" t="n"/>
      <c r="AR49" s="632" t="n">
        <v>-3409.161192917381</v>
      </c>
      <c r="AS49" s="625">
        <f>AR49</f>
        <v/>
      </c>
      <c r="AT49" s="627">
        <f>AR49/R49</f>
        <v/>
      </c>
      <c r="AU49" s="624" t="n"/>
      <c r="AV49" s="623" t="n"/>
      <c r="AW49" s="632">
        <f>AR49+AJ49</f>
        <v/>
      </c>
      <c r="AX49" s="624" t="n"/>
      <c r="AY49" s="623" t="n"/>
      <c r="AZ49" s="632" t="n"/>
      <c r="BA49" s="624" t="n"/>
    </row>
    <row r="50">
      <c r="A50" s="612" t="inlineStr">
        <is>
          <t>Madten Investments LLC</t>
        </is>
      </c>
      <c r="B50" s="613" t="n">
        <v>0</v>
      </c>
      <c r="C50" s="613" t="n">
        <v>0</v>
      </c>
      <c r="D50" s="613" t="inlineStr">
        <is>
          <t>BBR</t>
        </is>
      </c>
      <c r="E50" s="614" t="n">
        <v>1000000</v>
      </c>
      <c r="F50" s="616">
        <f>E50/$E$86</f>
        <v/>
      </c>
      <c r="G50" s="614">
        <f>E50</f>
        <v/>
      </c>
      <c r="H50" s="614">
        <f>G50</f>
        <v/>
      </c>
      <c r="I50" s="616">
        <f>E50/$E$83</f>
        <v/>
      </c>
      <c r="J50" s="616">
        <f>G50/$G$83</f>
        <v/>
      </c>
      <c r="K50" s="616">
        <f>H50/$H$83</f>
        <v/>
      </c>
      <c r="M50" s="613">
        <f>$M$3*I50</f>
        <v/>
      </c>
      <c r="N50" s="613" t="n">
        <v>-12201.09</v>
      </c>
      <c r="O50" s="613" t="n">
        <v>-2500</v>
      </c>
      <c r="P50" s="613">
        <f>$P$3*I50</f>
        <v/>
      </c>
      <c r="Q50" s="613" t="n">
        <v>-100704.7800000001</v>
      </c>
      <c r="R50" s="613">
        <f>SUM(M50:Q50)</f>
        <v/>
      </c>
      <c r="S50" s="614" t="n"/>
      <c r="T50" s="617">
        <f>$T$3*K50</f>
        <v/>
      </c>
      <c r="U50" s="618" t="n">
        <v>0</v>
      </c>
      <c r="V50" s="617">
        <f>O50+N50+U50</f>
        <v/>
      </c>
      <c r="W50" s="617">
        <f>J50*$W$3</f>
        <v/>
      </c>
      <c r="X50" s="617">
        <f>$X$3*J50</f>
        <v/>
      </c>
      <c r="Y50" s="619">
        <f>X50-Q50</f>
        <v/>
      </c>
      <c r="Z50" s="617">
        <f>T50+W50+X50+V50</f>
        <v/>
      </c>
      <c r="AA50" s="614" t="n"/>
      <c r="AB50" s="633">
        <f>T50/G50</f>
        <v/>
      </c>
      <c r="AC50" s="634">
        <f>V50/G50</f>
        <v/>
      </c>
      <c r="AD50" s="634">
        <f>W50/G50</f>
        <v/>
      </c>
      <c r="AE50" s="634">
        <f>X50/G50</f>
        <v/>
      </c>
      <c r="AF50" s="1007">
        <f>AE50+AD50+AB50</f>
        <v/>
      </c>
      <c r="AG50" s="614" t="n"/>
      <c r="AH50" s="623" t="n"/>
      <c r="AI50" s="617" t="n"/>
      <c r="AJ50" s="617">
        <f>SUM(M50,P50,Q50)-SUM(T50,W50,X50)+AI50</f>
        <v/>
      </c>
      <c r="AK50" s="624" t="n"/>
      <c r="AL50" s="625">
        <f>AJ50</f>
        <v/>
      </c>
      <c r="AM50" s="626">
        <f>AJ50/G50</f>
        <v/>
      </c>
      <c r="AN50" s="626">
        <f>AC50</f>
        <v/>
      </c>
      <c r="AO50" s="627">
        <f>SUM(AM50:AN50)</f>
        <v/>
      </c>
      <c r="AP50" s="624" t="n"/>
      <c r="AQ50" s="623" t="n"/>
      <c r="AR50" s="632" t="n">
        <v>-14513.18605955992</v>
      </c>
      <c r="AS50" s="625">
        <f>AR50</f>
        <v/>
      </c>
      <c r="AT50" s="627">
        <f>AR50/R50</f>
        <v/>
      </c>
      <c r="AU50" s="624" t="n"/>
      <c r="AV50" s="623" t="n"/>
      <c r="AW50" s="632">
        <f>AR50+AJ50</f>
        <v/>
      </c>
      <c r="AX50" s="624" t="n"/>
      <c r="AY50" s="623" t="n"/>
      <c r="AZ50" s="632" t="n"/>
      <c r="BA50" s="624" t="n"/>
    </row>
    <row r="51">
      <c r="A51" s="612" t="inlineStr">
        <is>
          <t>Matt McCoy</t>
        </is>
      </c>
      <c r="B51" s="613" t="n">
        <v>117450.4733311327</v>
      </c>
      <c r="C51" s="613" t="n">
        <v>0</v>
      </c>
      <c r="D51" s="613" t="inlineStr">
        <is>
          <t>Standard</t>
        </is>
      </c>
      <c r="E51" s="614" t="n">
        <v>117450.47</v>
      </c>
      <c r="F51" s="616">
        <f>E51/$E$86</f>
        <v/>
      </c>
      <c r="G51" s="614">
        <f>E51</f>
        <v/>
      </c>
      <c r="H51" s="614">
        <f>G51</f>
        <v/>
      </c>
      <c r="I51" s="616">
        <f>E51/$E$83</f>
        <v/>
      </c>
      <c r="J51" s="616">
        <f>G51/$G$83</f>
        <v/>
      </c>
      <c r="K51" s="616">
        <f>H51/$H$83</f>
        <v/>
      </c>
      <c r="M51" s="613">
        <f>$M$3*I51</f>
        <v/>
      </c>
      <c r="N51" s="613" t="n">
        <v>-960.33</v>
      </c>
      <c r="O51" s="613" t="n">
        <v>-440.44</v>
      </c>
      <c r="P51" s="613">
        <f>$P$3*I51</f>
        <v/>
      </c>
      <c r="Q51" s="613" t="n">
        <v>-12153.69999999999</v>
      </c>
      <c r="R51" s="613">
        <f>SUM(M51:Q51)</f>
        <v/>
      </c>
      <c r="S51" s="614" t="n"/>
      <c r="T51" s="617">
        <f>$T$3*K51</f>
        <v/>
      </c>
      <c r="U51" s="618" t="n">
        <v>0</v>
      </c>
      <c r="V51" s="617">
        <f>O51+N51+U51</f>
        <v/>
      </c>
      <c r="W51" s="617">
        <f>J51*$W$3</f>
        <v/>
      </c>
      <c r="X51" s="617">
        <f>$X$3*J51</f>
        <v/>
      </c>
      <c r="Y51" s="619">
        <f>X51-Q51</f>
        <v/>
      </c>
      <c r="Z51" s="617">
        <f>T51+W51+X51+V51</f>
        <v/>
      </c>
      <c r="AA51" s="614" t="n"/>
      <c r="AB51" s="633">
        <f>T51/G51</f>
        <v/>
      </c>
      <c r="AC51" s="634">
        <f>V51/G51</f>
        <v/>
      </c>
      <c r="AD51" s="634">
        <f>W51/G51</f>
        <v/>
      </c>
      <c r="AE51" s="634">
        <f>X51/G51</f>
        <v/>
      </c>
      <c r="AF51" s="1007">
        <f>AE51+AD51+AB51</f>
        <v/>
      </c>
      <c r="AG51" s="614" t="n"/>
      <c r="AH51" s="623" t="n"/>
      <c r="AI51" s="617" t="n"/>
      <c r="AJ51" s="617">
        <f>SUM(M51,P51,Q51)-SUM(T51,W51,X51)+AI51</f>
        <v/>
      </c>
      <c r="AK51" s="624" t="n"/>
      <c r="AL51" s="625">
        <f>AJ51</f>
        <v/>
      </c>
      <c r="AM51" s="626">
        <f>AJ51/G51</f>
        <v/>
      </c>
      <c r="AN51" s="626">
        <f>AC51</f>
        <v/>
      </c>
      <c r="AO51" s="627">
        <f>SUM(AM51:AN51)</f>
        <v/>
      </c>
      <c r="AP51" s="624" t="n"/>
      <c r="AQ51" s="623" t="n"/>
      <c r="AR51" s="632" t="n">
        <v>-1704.580523892761</v>
      </c>
      <c r="AS51" s="625">
        <f>AR51</f>
        <v/>
      </c>
      <c r="AT51" s="627">
        <f>AR51/R51</f>
        <v/>
      </c>
      <c r="AU51" s="624" t="n"/>
      <c r="AV51" s="623" t="n"/>
      <c r="AW51" s="632">
        <f>AR51+AJ51</f>
        <v/>
      </c>
      <c r="AX51" s="624" t="n"/>
      <c r="AY51" s="623" t="n"/>
      <c r="AZ51" s="632" t="n"/>
      <c r="BA51" s="624" t="n"/>
    </row>
    <row r="52">
      <c r="A52" s="612" t="inlineStr">
        <is>
          <t>Matterhorn Holdings, LLC</t>
        </is>
      </c>
      <c r="B52" s="613" t="n">
        <v>0</v>
      </c>
      <c r="C52" s="613" t="n">
        <v>0</v>
      </c>
      <c r="D52" s="613" t="inlineStr">
        <is>
          <t>Standard</t>
        </is>
      </c>
      <c r="E52" s="614" t="n">
        <v>100000</v>
      </c>
      <c r="F52" s="616">
        <f>E52/$E$86</f>
        <v/>
      </c>
      <c r="G52" s="614">
        <f>E52</f>
        <v/>
      </c>
      <c r="H52" s="614">
        <f>G52</f>
        <v/>
      </c>
      <c r="I52" s="616">
        <f>E52/$E$83</f>
        <v/>
      </c>
      <c r="J52" s="616">
        <f>G52/$G$83</f>
        <v/>
      </c>
      <c r="K52" s="616">
        <f>H52/$H$83</f>
        <v/>
      </c>
      <c r="M52" s="613">
        <f>$M$3*I52</f>
        <v/>
      </c>
      <c r="N52" s="613" t="n">
        <v>-1830.16</v>
      </c>
      <c r="O52" s="613" t="n">
        <v>-375</v>
      </c>
      <c r="P52" s="613">
        <f>$P$3*I52</f>
        <v/>
      </c>
      <c r="Q52" s="613" t="n">
        <v>-9335.429999999993</v>
      </c>
      <c r="R52" s="613">
        <f>SUM(M52:Q52)</f>
        <v/>
      </c>
      <c r="S52" s="614" t="n"/>
      <c r="T52" s="617">
        <f>$T$3*K52</f>
        <v/>
      </c>
      <c r="U52" s="618" t="n">
        <v>0</v>
      </c>
      <c r="V52" s="617">
        <f>O52+N52+U52</f>
        <v/>
      </c>
      <c r="W52" s="617">
        <f>J52*$W$3</f>
        <v/>
      </c>
      <c r="X52" s="617">
        <f>$X$3*J52</f>
        <v/>
      </c>
      <c r="Y52" s="619">
        <f>X52-Q52</f>
        <v/>
      </c>
      <c r="Z52" s="617">
        <f>T52+W52+X52+V52</f>
        <v/>
      </c>
      <c r="AA52" s="614" t="n"/>
      <c r="AB52" s="633">
        <f>T52/G52</f>
        <v/>
      </c>
      <c r="AC52" s="634">
        <f>V52/G52</f>
        <v/>
      </c>
      <c r="AD52" s="634">
        <f>W52/G52</f>
        <v/>
      </c>
      <c r="AE52" s="634">
        <f>X52/G52</f>
        <v/>
      </c>
      <c r="AF52" s="1007">
        <f>AE52+AD52+AB52</f>
        <v/>
      </c>
      <c r="AG52" s="614" t="n"/>
      <c r="AH52" s="623" t="n"/>
      <c r="AI52" s="617" t="n"/>
      <c r="AJ52" s="617">
        <f>SUM(M52,P52,Q52)-SUM(T52,W52,X52)+AI52</f>
        <v/>
      </c>
      <c r="AK52" s="624" t="n"/>
      <c r="AL52" s="625">
        <f>AJ52</f>
        <v/>
      </c>
      <c r="AM52" s="626">
        <f>AJ52/G52</f>
        <v/>
      </c>
      <c r="AN52" s="626">
        <f>AC52</f>
        <v/>
      </c>
      <c r="AO52" s="627">
        <f>SUM(AM52:AN52)</f>
        <v/>
      </c>
      <c r="AP52" s="624" t="n"/>
      <c r="AQ52" s="623" t="n"/>
      <c r="AR52" s="632" t="n">
        <v>-1451.318605955992</v>
      </c>
      <c r="AS52" s="625">
        <f>AR52</f>
        <v/>
      </c>
      <c r="AT52" s="627">
        <f>AR52/R52</f>
        <v/>
      </c>
      <c r="AU52" s="624" t="n"/>
      <c r="AV52" s="623" t="n"/>
      <c r="AW52" s="632">
        <f>AR52+AJ52</f>
        <v/>
      </c>
      <c r="AX52" s="624" t="n"/>
      <c r="AY52" s="623" t="n"/>
      <c r="AZ52" s="632" t="n"/>
      <c r="BA52" s="624" t="n"/>
    </row>
    <row r="53">
      <c r="A53" s="612" t="inlineStr">
        <is>
          <t>Max O. Reinbach III</t>
        </is>
      </c>
      <c r="B53" s="613" t="n">
        <v>78300.31555408845</v>
      </c>
      <c r="C53" s="613" t="n">
        <v>0</v>
      </c>
      <c r="D53" s="613" t="n">
        <v>0</v>
      </c>
      <c r="E53" s="614" t="n">
        <v>78300.32000000001</v>
      </c>
      <c r="F53" s="616">
        <f>E53/$E$86</f>
        <v/>
      </c>
      <c r="G53" s="614">
        <f>E53</f>
        <v/>
      </c>
      <c r="H53" s="614">
        <f>G53</f>
        <v/>
      </c>
      <c r="I53" s="616">
        <f>E53/$E$83</f>
        <v/>
      </c>
      <c r="J53" s="616">
        <f>G53/$G$83</f>
        <v/>
      </c>
      <c r="K53" s="616">
        <f>H53/$H$83</f>
        <v/>
      </c>
      <c r="M53" s="613">
        <f>$M$3*I53</f>
        <v/>
      </c>
      <c r="N53" s="613" t="n">
        <v>-640.23</v>
      </c>
      <c r="O53" s="613" t="n">
        <v>-293.63</v>
      </c>
      <c r="P53" s="613">
        <f>$P$3*I53</f>
        <v/>
      </c>
      <c r="Q53" s="613" t="n">
        <v>-8102.460000000004</v>
      </c>
      <c r="R53" s="613">
        <f>SUM(M53:Q53)</f>
        <v/>
      </c>
      <c r="S53" s="614" t="n"/>
      <c r="T53" s="617">
        <f>$T$3*K53</f>
        <v/>
      </c>
      <c r="U53" s="618" t="n">
        <v>0</v>
      </c>
      <c r="V53" s="617">
        <f>O53+N53+U53</f>
        <v/>
      </c>
      <c r="W53" s="617">
        <f>J53*$W$3</f>
        <v/>
      </c>
      <c r="X53" s="617">
        <f>$X$3*J53</f>
        <v/>
      </c>
      <c r="Y53" s="619">
        <f>X53-Q53</f>
        <v/>
      </c>
      <c r="Z53" s="617">
        <f>T53+W53+X53+V53</f>
        <v/>
      </c>
      <c r="AA53" s="614" t="n"/>
      <c r="AB53" s="633">
        <f>T53/G53</f>
        <v/>
      </c>
      <c r="AC53" s="634">
        <f>V53/G53</f>
        <v/>
      </c>
      <c r="AD53" s="634">
        <f>W53/G53</f>
        <v/>
      </c>
      <c r="AE53" s="634">
        <f>X53/G53</f>
        <v/>
      </c>
      <c r="AF53" s="1007">
        <f>AE53+AD53+AB53</f>
        <v/>
      </c>
      <c r="AG53" s="614" t="n"/>
      <c r="AH53" s="623" t="n"/>
      <c r="AI53" s="617" t="n"/>
      <c r="AJ53" s="617">
        <f>SUM(M53,P53,Q53)-SUM(T53,W53,X53)+AI53</f>
        <v/>
      </c>
      <c r="AK53" s="624" t="n"/>
      <c r="AL53" s="625">
        <f>AJ53</f>
        <v/>
      </c>
      <c r="AM53" s="626">
        <f>AJ53/G53</f>
        <v/>
      </c>
      <c r="AN53" s="626">
        <f>AC53</f>
        <v/>
      </c>
      <c r="AO53" s="627">
        <f>SUM(AM53:AN53)</f>
        <v/>
      </c>
      <c r="AP53" s="624" t="n"/>
      <c r="AQ53" s="623" t="n"/>
      <c r="AR53" s="632" t="n">
        <v>-1136.387112683081</v>
      </c>
      <c r="AS53" s="625">
        <f>AR53</f>
        <v/>
      </c>
      <c r="AT53" s="627">
        <f>AR53/R53</f>
        <v/>
      </c>
      <c r="AU53" s="624" t="n"/>
      <c r="AV53" s="623" t="n"/>
      <c r="AW53" s="632">
        <f>AR53+AJ53</f>
        <v/>
      </c>
      <c r="AX53" s="624" t="n"/>
      <c r="AY53" s="623" t="n"/>
      <c r="AZ53" s="632" t="n"/>
      <c r="BA53" s="624" t="n"/>
    </row>
    <row r="54">
      <c r="A54" s="612" t="inlineStr">
        <is>
          <t>Meghann C. Robinson</t>
        </is>
      </c>
      <c r="B54" s="613" t="n">
        <v>783003.1555408844</v>
      </c>
      <c r="C54" s="613" t="n">
        <v>0</v>
      </c>
      <c r="D54" s="613" t="n">
        <v>0</v>
      </c>
      <c r="E54" s="614" t="n">
        <v>783003.16</v>
      </c>
      <c r="F54" s="616">
        <f>E54/$E$86</f>
        <v/>
      </c>
      <c r="G54" s="614">
        <f>E54</f>
        <v/>
      </c>
      <c r="H54" s="614">
        <f>G54</f>
        <v/>
      </c>
      <c r="I54" s="616">
        <f>E54/$E$83</f>
        <v/>
      </c>
      <c r="J54" s="616">
        <f>G54/$G$83</f>
        <v/>
      </c>
      <c r="K54" s="616">
        <f>H54/$H$83</f>
        <v/>
      </c>
      <c r="M54" s="613">
        <f>$M$3*I54</f>
        <v/>
      </c>
      <c r="N54" s="613" t="n">
        <v>-6402.25</v>
      </c>
      <c r="O54" s="613" t="n">
        <v>-2936.26</v>
      </c>
      <c r="P54" s="613">
        <f>$P$3*I54</f>
        <v/>
      </c>
      <c r="Q54" s="613" t="n">
        <v>-81024.63999999996</v>
      </c>
      <c r="R54" s="613">
        <f>SUM(M54:Q54)</f>
        <v/>
      </c>
      <c r="S54" s="614" t="n"/>
      <c r="T54" s="617">
        <f>$T$3*K54</f>
        <v/>
      </c>
      <c r="U54" s="618" t="n">
        <v>0</v>
      </c>
      <c r="V54" s="617">
        <f>O54+N54+U54</f>
        <v/>
      </c>
      <c r="W54" s="617">
        <f>J54*$W$3</f>
        <v/>
      </c>
      <c r="X54" s="617">
        <f>$X$3*J54</f>
        <v/>
      </c>
      <c r="Y54" s="619">
        <f>X54-Q54</f>
        <v/>
      </c>
      <c r="Z54" s="617">
        <f>T54+W54+X54+V54</f>
        <v/>
      </c>
      <c r="AA54" s="614" t="n"/>
      <c r="AB54" s="633">
        <f>T54/G54</f>
        <v/>
      </c>
      <c r="AC54" s="634">
        <f>V54/G54</f>
        <v/>
      </c>
      <c r="AD54" s="634">
        <f>W54/G54</f>
        <v/>
      </c>
      <c r="AE54" s="634">
        <f>X54/G54</f>
        <v/>
      </c>
      <c r="AF54" s="1007">
        <f>AE54+AD54+AB54</f>
        <v/>
      </c>
      <c r="AG54" s="614" t="n"/>
      <c r="AH54" s="623" t="n"/>
      <c r="AI54" s="617" t="n"/>
      <c r="AJ54" s="617">
        <f>SUM(M54,P54,Q54)-SUM(T54,W54,X54)+AI54</f>
        <v/>
      </c>
      <c r="AK54" s="624" t="n"/>
      <c r="AL54" s="625">
        <f>AJ54</f>
        <v/>
      </c>
      <c r="AM54" s="626">
        <f>AJ54/G54</f>
        <v/>
      </c>
      <c r="AN54" s="626">
        <f>AC54</f>
        <v/>
      </c>
      <c r="AO54" s="627">
        <f>SUM(AM54:AN54)</f>
        <v/>
      </c>
      <c r="AP54" s="624" t="n"/>
      <c r="AQ54" s="623" t="n"/>
      <c r="AR54" s="632" t="n">
        <v>-11363.87054630337</v>
      </c>
      <c r="AS54" s="625">
        <f>AR54</f>
        <v/>
      </c>
      <c r="AT54" s="627">
        <f>AR54/R54</f>
        <v/>
      </c>
      <c r="AU54" s="624" t="n"/>
      <c r="AV54" s="623" t="n"/>
      <c r="AW54" s="632">
        <f>AR54+AJ54</f>
        <v/>
      </c>
      <c r="AX54" s="624" t="n"/>
      <c r="AY54" s="623" t="n"/>
      <c r="AZ54" s="632" t="n"/>
      <c r="BA54" s="624" t="n"/>
    </row>
    <row r="55">
      <c r="A55" s="612" t="inlineStr">
        <is>
          <t>Nahas Investments II LLC</t>
        </is>
      </c>
      <c r="B55" s="613" t="n">
        <v>391501.5777704422</v>
      </c>
      <c r="C55" s="613" t="n">
        <v>0</v>
      </c>
      <c r="D55" s="613" t="inlineStr">
        <is>
          <t>Standard</t>
        </is>
      </c>
      <c r="E55" s="614" t="n">
        <v>391501.58</v>
      </c>
      <c r="F55" s="616">
        <f>E55/$E$86</f>
        <v/>
      </c>
      <c r="G55" s="614">
        <f>E55</f>
        <v/>
      </c>
      <c r="H55" s="614">
        <f>G55</f>
        <v/>
      </c>
      <c r="I55" s="616">
        <f>E55/$E$83</f>
        <v/>
      </c>
      <c r="J55" s="616">
        <f>G55/$G$83</f>
        <v/>
      </c>
      <c r="K55" s="616">
        <f>H55/$H$83</f>
        <v/>
      </c>
      <c r="M55" s="613">
        <f>$M$3*I55</f>
        <v/>
      </c>
      <c r="N55" s="613" t="n">
        <v>-3201.12</v>
      </c>
      <c r="O55" s="613" t="n">
        <v>-1468.13</v>
      </c>
      <c r="P55" s="613">
        <f>$P$3*I55</f>
        <v/>
      </c>
      <c r="Q55" s="613" t="n">
        <v>-40512.32999999998</v>
      </c>
      <c r="R55" s="613">
        <f>SUM(M55:Q55)</f>
        <v/>
      </c>
      <c r="S55" s="614" t="n"/>
      <c r="T55" s="617">
        <f>$T$3*K55</f>
        <v/>
      </c>
      <c r="U55" s="618" t="n">
        <v>0</v>
      </c>
      <c r="V55" s="617">
        <f>O55+N55+U55</f>
        <v/>
      </c>
      <c r="W55" s="617">
        <f>J55*$W$3</f>
        <v/>
      </c>
      <c r="X55" s="617">
        <f>$X$3*J55</f>
        <v/>
      </c>
      <c r="Y55" s="619">
        <f>X55-Q55</f>
        <v/>
      </c>
      <c r="Z55" s="617">
        <f>T55+W55+X55+V55</f>
        <v/>
      </c>
      <c r="AA55" s="614" t="n"/>
      <c r="AB55" s="633">
        <f>T55/G55</f>
        <v/>
      </c>
      <c r="AC55" s="634">
        <f>V55/G55</f>
        <v/>
      </c>
      <c r="AD55" s="634">
        <f>W55/G55</f>
        <v/>
      </c>
      <c r="AE55" s="634">
        <f>X55/G55</f>
        <v/>
      </c>
      <c r="AF55" s="1007">
        <f>AE55+AD55+AB55</f>
        <v/>
      </c>
      <c r="AG55" s="614" t="n"/>
      <c r="AH55" s="623" t="n"/>
      <c r="AI55" s="617" t="n"/>
      <c r="AJ55" s="617">
        <f>SUM(M55,P55,Q55)-SUM(T55,W55,X55)+AI55</f>
        <v/>
      </c>
      <c r="AK55" s="624" t="n"/>
      <c r="AL55" s="625">
        <f>AJ55</f>
        <v/>
      </c>
      <c r="AM55" s="626">
        <f>AJ55/G55</f>
        <v/>
      </c>
      <c r="AN55" s="626">
        <f>AC55</f>
        <v/>
      </c>
      <c r="AO55" s="627">
        <f>SUM(AM55:AN55)</f>
        <v/>
      </c>
      <c r="AP55" s="624" t="n"/>
      <c r="AQ55" s="623" t="n"/>
      <c r="AR55" s="632" t="n">
        <v>-5681.935273151683</v>
      </c>
      <c r="AS55" s="625">
        <f>AR55</f>
        <v/>
      </c>
      <c r="AT55" s="627">
        <f>AR55/R55</f>
        <v/>
      </c>
      <c r="AU55" s="624" t="n"/>
      <c r="AV55" s="623" t="n"/>
      <c r="AW55" s="632">
        <f>AR55+AJ55</f>
        <v/>
      </c>
      <c r="AX55" s="624" t="n"/>
      <c r="AY55" s="623" t="n"/>
      <c r="AZ55" s="632" t="n"/>
      <c r="BA55" s="624" t="n"/>
    </row>
    <row r="56">
      <c r="A56" s="636" t="inlineStr">
        <is>
          <t>Odyssey Holdings, LLC</t>
        </is>
      </c>
      <c r="B56" s="613" t="n">
        <v>0</v>
      </c>
      <c r="C56" s="613" t="n">
        <v>444388.6385049071</v>
      </c>
      <c r="D56" s="613" t="n">
        <v>0</v>
      </c>
      <c r="E56" s="614" t="n">
        <v>703163.8799999999</v>
      </c>
      <c r="F56" s="616" t="n">
        <v>0</v>
      </c>
      <c r="G56" s="614">
        <f>E56</f>
        <v/>
      </c>
      <c r="H56" s="614">
        <f>G56</f>
        <v/>
      </c>
      <c r="I56" s="616">
        <f>E56/$E$83</f>
        <v/>
      </c>
      <c r="J56" s="616">
        <f>G56/$G$83</f>
        <v/>
      </c>
      <c r="K56" s="616">
        <f>H56/$H$83</f>
        <v/>
      </c>
      <c r="M56" s="613">
        <f>$M$3*I56</f>
        <v/>
      </c>
      <c r="N56" s="613" t="n">
        <v>0</v>
      </c>
      <c r="O56" s="613" t="n">
        <v>0</v>
      </c>
      <c r="P56" s="613">
        <f>$P$3*I56</f>
        <v/>
      </c>
      <c r="Q56" s="613" t="n">
        <v>-137246.1899999999</v>
      </c>
      <c r="R56" s="613">
        <f>SUM(M56:Q56)</f>
        <v/>
      </c>
      <c r="S56" s="614" t="n"/>
      <c r="T56" s="617">
        <f>$T$3*K56</f>
        <v/>
      </c>
      <c r="U56" s="618" t="n">
        <v>0</v>
      </c>
      <c r="V56" s="617">
        <f>O56+N56+U56</f>
        <v/>
      </c>
      <c r="W56" s="617">
        <f>J56*$W$3</f>
        <v/>
      </c>
      <c r="X56" s="617">
        <f>$X$3*J56</f>
        <v/>
      </c>
      <c r="Y56" s="619">
        <f>X56-Q56</f>
        <v/>
      </c>
      <c r="Z56" s="617">
        <f>T56+W56+X56+V56</f>
        <v/>
      </c>
      <c r="AA56" s="614" t="n"/>
      <c r="AB56" s="633">
        <f>T56/G56</f>
        <v/>
      </c>
      <c r="AC56" s="634">
        <f>V56/G56</f>
        <v/>
      </c>
      <c r="AD56" s="634">
        <f>W56/G56</f>
        <v/>
      </c>
      <c r="AE56" s="634">
        <f>X56/G56</f>
        <v/>
      </c>
      <c r="AF56" s="1007">
        <f>AE56+AD56+AB56</f>
        <v/>
      </c>
      <c r="AG56" s="614" t="n"/>
      <c r="AH56" s="623" t="n"/>
      <c r="AI56" s="617" t="n"/>
      <c r="AJ56" s="617">
        <f>SUM(M56,P56,Q56)-SUM(T56,W56,X56)+AI56</f>
        <v/>
      </c>
      <c r="AK56" s="624" t="n"/>
      <c r="AL56" s="625">
        <f>AJ56</f>
        <v/>
      </c>
      <c r="AM56" s="626">
        <f>AJ56/(G56)</f>
        <v/>
      </c>
      <c r="AN56" s="626">
        <f>AC56</f>
        <v/>
      </c>
      <c r="AO56" s="627">
        <f>SUM(AM56:AN56)</f>
        <v/>
      </c>
      <c r="AP56" s="624" t="n"/>
      <c r="AQ56" s="623" t="n"/>
      <c r="AR56" s="637" t="n">
        <v>0</v>
      </c>
      <c r="AS56" s="638">
        <f>AR56</f>
        <v/>
      </c>
      <c r="AT56" s="639">
        <f>AR56/R56</f>
        <v/>
      </c>
      <c r="AU56" s="624" t="n"/>
      <c r="AV56" s="623" t="n"/>
      <c r="AW56" s="632">
        <f>AR56+AJ56</f>
        <v/>
      </c>
      <c r="AX56" s="624" t="n"/>
      <c r="AY56" s="623" t="n"/>
      <c r="AZ56" s="632">
        <f>-AY83</f>
        <v/>
      </c>
      <c r="BA56" s="624" t="n"/>
    </row>
    <row r="57">
      <c r="A57" s="612" t="inlineStr">
        <is>
          <t>Pease River Holdings LLC</t>
        </is>
      </c>
      <c r="B57" s="613" t="n">
        <v>78300.31555408845</v>
      </c>
      <c r="C57" s="613" t="n">
        <v>0</v>
      </c>
      <c r="D57" s="613" t="inlineStr">
        <is>
          <t>Standard</t>
        </is>
      </c>
      <c r="E57" s="614" t="n">
        <v>78300.32000000001</v>
      </c>
      <c r="F57" s="616">
        <f>E57/$E$86</f>
        <v/>
      </c>
      <c r="G57" s="614">
        <f>E57</f>
        <v/>
      </c>
      <c r="H57" s="614">
        <f>G57</f>
        <v/>
      </c>
      <c r="I57" s="616">
        <f>E57/$E$83</f>
        <v/>
      </c>
      <c r="J57" s="616">
        <f>G57/$G$83</f>
        <v/>
      </c>
      <c r="K57" s="616">
        <f>H57/$H$83</f>
        <v/>
      </c>
      <c r="M57" s="613">
        <f>$M$3*I57</f>
        <v/>
      </c>
      <c r="N57" s="613" t="n">
        <v>-640.23</v>
      </c>
      <c r="O57" s="613" t="n">
        <v>-293.63</v>
      </c>
      <c r="P57" s="613">
        <f>$P$3*I57</f>
        <v/>
      </c>
      <c r="Q57" s="613" t="n">
        <v>-8102.460000000004</v>
      </c>
      <c r="R57" s="613">
        <f>SUM(M57:Q57)</f>
        <v/>
      </c>
      <c r="S57" s="614" t="n"/>
      <c r="T57" s="617">
        <f>$T$3*K57</f>
        <v/>
      </c>
      <c r="U57" s="618" t="n">
        <v>0</v>
      </c>
      <c r="V57" s="617">
        <f>O57+N57+U57</f>
        <v/>
      </c>
      <c r="W57" s="617">
        <f>J57*$W$3</f>
        <v/>
      </c>
      <c r="X57" s="617">
        <f>$X$3*J57</f>
        <v/>
      </c>
      <c r="Y57" s="619">
        <f>X57-Q57</f>
        <v/>
      </c>
      <c r="Z57" s="617">
        <f>T57+W57+X57+V57</f>
        <v/>
      </c>
      <c r="AA57" s="614" t="n"/>
      <c r="AB57" s="633">
        <f>T57/G57</f>
        <v/>
      </c>
      <c r="AC57" s="634">
        <f>V57/G57</f>
        <v/>
      </c>
      <c r="AD57" s="634">
        <f>W57/G57</f>
        <v/>
      </c>
      <c r="AE57" s="634">
        <f>X57/G57</f>
        <v/>
      </c>
      <c r="AF57" s="1007">
        <f>AE57+AD57+AB57</f>
        <v/>
      </c>
      <c r="AG57" s="614" t="n"/>
      <c r="AH57" s="623" t="n"/>
      <c r="AI57" s="617" t="n"/>
      <c r="AJ57" s="617">
        <f>SUM(M57,P57,Q57)-SUM(T57,W57,X57)+AI57</f>
        <v/>
      </c>
      <c r="AK57" s="624" t="n"/>
      <c r="AL57" s="625">
        <f>AJ57</f>
        <v/>
      </c>
      <c r="AM57" s="626">
        <f>AJ57/G57</f>
        <v/>
      </c>
      <c r="AN57" s="626">
        <f>AC57</f>
        <v/>
      </c>
      <c r="AO57" s="627">
        <f>SUM(AM57:AN57)</f>
        <v/>
      </c>
      <c r="AP57" s="624" t="n"/>
      <c r="AQ57" s="623" t="n"/>
      <c r="AR57" s="632" t="n">
        <v>-1136.387112683081</v>
      </c>
      <c r="AS57" s="625">
        <f>AR57</f>
        <v/>
      </c>
      <c r="AT57" s="627">
        <f>AR57/R57</f>
        <v/>
      </c>
      <c r="AU57" s="624" t="n"/>
      <c r="AV57" s="623" t="n"/>
      <c r="AW57" s="632">
        <f>AR57+AJ57</f>
        <v/>
      </c>
      <c r="AX57" s="624" t="n"/>
      <c r="AY57" s="623" t="n"/>
      <c r="AZ57" s="632" t="n"/>
      <c r="BA57" s="624" t="n"/>
    </row>
    <row r="58">
      <c r="A58" s="612" t="inlineStr">
        <is>
          <t>PT Burros, LLC</t>
        </is>
      </c>
      <c r="B58" s="613" t="n">
        <v>0</v>
      </c>
      <c r="C58" s="613" t="n">
        <v>329488.1966250376</v>
      </c>
      <c r="D58" s="613" t="inlineStr">
        <is>
          <t>Standard</t>
        </is>
      </c>
      <c r="E58" s="614" t="n">
        <v>329488.2</v>
      </c>
      <c r="F58" s="616">
        <f>E58/$E$86</f>
        <v/>
      </c>
      <c r="G58" s="614">
        <f>E58</f>
        <v/>
      </c>
      <c r="H58" s="614">
        <f>G58</f>
        <v/>
      </c>
      <c r="I58" s="616">
        <f>E58/$E$83</f>
        <v/>
      </c>
      <c r="J58" s="616">
        <f>G58/$G$83</f>
        <v/>
      </c>
      <c r="K58" s="616">
        <f>H58/$H$83</f>
        <v/>
      </c>
      <c r="M58" s="613">
        <f>$M$3*I58</f>
        <v/>
      </c>
      <c r="N58" s="613" t="n">
        <v>-2066.172910326087</v>
      </c>
      <c r="O58" s="613" t="n">
        <v>-1235.58</v>
      </c>
      <c r="P58" s="613">
        <f>$P$3*I58</f>
        <v/>
      </c>
      <c r="Q58" s="613" t="n">
        <v>-34723.11708967388</v>
      </c>
      <c r="R58" s="613">
        <f>SUM(M58:Q58)</f>
        <v/>
      </c>
      <c r="S58" s="614" t="n"/>
      <c r="T58" s="617">
        <f>$T$3*K58</f>
        <v/>
      </c>
      <c r="U58" s="618" t="n">
        <v>0</v>
      </c>
      <c r="V58" s="617">
        <f>O58+N58+U58</f>
        <v/>
      </c>
      <c r="W58" s="617">
        <f>J58*$W$3</f>
        <v/>
      </c>
      <c r="X58" s="617">
        <f>$X$3*J58</f>
        <v/>
      </c>
      <c r="Y58" s="619">
        <f>X58-Q58</f>
        <v/>
      </c>
      <c r="Z58" s="617">
        <f>T58+W58+X58+V58</f>
        <v/>
      </c>
      <c r="AA58" s="614" t="n"/>
      <c r="AB58" s="633">
        <f>T58/G58</f>
        <v/>
      </c>
      <c r="AC58" s="634">
        <f>V58/G58</f>
        <v/>
      </c>
      <c r="AD58" s="634">
        <f>W58/G58</f>
        <v/>
      </c>
      <c r="AE58" s="634">
        <f>X58/G58</f>
        <v/>
      </c>
      <c r="AF58" s="1007">
        <f>AE58+AD58+AB58</f>
        <v/>
      </c>
      <c r="AG58" s="614" t="n"/>
      <c r="AH58" s="623" t="n"/>
      <c r="AI58" s="617" t="n"/>
      <c r="AJ58" s="617">
        <f>SUM(M58,P58,Q58)-SUM(T58,W58,X58)+AI58</f>
        <v/>
      </c>
      <c r="AK58" s="624" t="n"/>
      <c r="AL58" s="625">
        <f>AJ58</f>
        <v/>
      </c>
      <c r="AM58" s="626">
        <f>AJ58/G58</f>
        <v/>
      </c>
      <c r="AN58" s="626">
        <f>AC58</f>
        <v/>
      </c>
      <c r="AO58" s="627">
        <f>SUM(AM58:AN58)</f>
        <v/>
      </c>
      <c r="AP58" s="624" t="n"/>
      <c r="AQ58" s="623" t="n"/>
      <c r="AR58" s="632" t="n">
        <v>-4781.92355102949</v>
      </c>
      <c r="AS58" s="625">
        <f>AR58</f>
        <v/>
      </c>
      <c r="AT58" s="627">
        <f>AR58/R58</f>
        <v/>
      </c>
      <c r="AU58" s="624" t="n"/>
      <c r="AV58" s="623" t="n"/>
      <c r="AW58" s="632">
        <f>AR58+AJ58</f>
        <v/>
      </c>
      <c r="AX58" s="624" t="n"/>
      <c r="AY58" s="623" t="n"/>
      <c r="AZ58" s="632" t="n"/>
      <c r="BA58" s="624" t="n"/>
    </row>
    <row r="59">
      <c r="A59" s="612" t="inlineStr">
        <is>
          <t>Robert D. Falese III</t>
        </is>
      </c>
      <c r="B59" s="613" t="n">
        <v>548102.2088786191</v>
      </c>
      <c r="C59" s="613" t="n">
        <v>329488.1966250376</v>
      </c>
      <c r="D59" s="613" t="inlineStr">
        <is>
          <t>Standard</t>
        </is>
      </c>
      <c r="E59" s="614" t="n">
        <v>877590.41</v>
      </c>
      <c r="F59" s="616">
        <f>E59/$E$86</f>
        <v/>
      </c>
      <c r="G59" s="614">
        <f>E59</f>
        <v/>
      </c>
      <c r="H59" s="614">
        <f>G59</f>
        <v/>
      </c>
      <c r="I59" s="616">
        <f>E59/$E$83</f>
        <v/>
      </c>
      <c r="J59" s="616">
        <f>G59/$G$83</f>
        <v/>
      </c>
      <c r="K59" s="616">
        <f>H59/$H$83</f>
        <v/>
      </c>
      <c r="M59" s="613">
        <f>$M$3*I59</f>
        <v/>
      </c>
      <c r="N59" s="613" t="n">
        <v>-6547.742910326087</v>
      </c>
      <c r="O59" s="613" t="n">
        <v>-3290.96</v>
      </c>
      <c r="P59" s="613">
        <f>$P$3*I59</f>
        <v/>
      </c>
      <c r="Q59" s="613" t="n">
        <v>-91440.37708967393</v>
      </c>
      <c r="R59" s="613">
        <f>SUM(M59:Q59)</f>
        <v/>
      </c>
      <c r="S59" s="614" t="n"/>
      <c r="T59" s="617">
        <f>$T$3*K59</f>
        <v/>
      </c>
      <c r="U59" s="618" t="n">
        <v>0</v>
      </c>
      <c r="V59" s="617">
        <f>O59+N59+U59</f>
        <v/>
      </c>
      <c r="W59" s="617">
        <f>J59*$W$3</f>
        <v/>
      </c>
      <c r="X59" s="617">
        <f>$X$3*J59</f>
        <v/>
      </c>
      <c r="Y59" s="619">
        <f>X59-Q59</f>
        <v/>
      </c>
      <c r="Z59" s="617">
        <f>T59+W59+X59+V59</f>
        <v/>
      </c>
      <c r="AA59" s="614" t="n"/>
      <c r="AB59" s="633">
        <f>T59/G59</f>
        <v/>
      </c>
      <c r="AC59" s="634">
        <f>V59/G59</f>
        <v/>
      </c>
      <c r="AD59" s="634">
        <f>W59/G59</f>
        <v/>
      </c>
      <c r="AE59" s="634">
        <f>X59/G59</f>
        <v/>
      </c>
      <c r="AF59" s="1007">
        <f>AE59+AD59+AB59</f>
        <v/>
      </c>
      <c r="AG59" s="614" t="n"/>
      <c r="AH59" s="623" t="n"/>
      <c r="AI59" s="617" t="n"/>
      <c r="AJ59" s="617">
        <f>SUM(M59,P59,Q59)-SUM(T59,W59,X59)+AI59</f>
        <v/>
      </c>
      <c r="AK59" s="624" t="n"/>
      <c r="AL59" s="625">
        <f>AJ59</f>
        <v/>
      </c>
      <c r="AM59" s="626">
        <f>AJ59/G59</f>
        <v/>
      </c>
      <c r="AN59" s="626">
        <f>AC59</f>
        <v/>
      </c>
      <c r="AO59" s="627">
        <f>SUM(AM59:AN59)</f>
        <v/>
      </c>
      <c r="AP59" s="624" t="n"/>
      <c r="AQ59" s="623" t="n"/>
      <c r="AR59" s="632" t="n">
        <v>-12736.63290441547</v>
      </c>
      <c r="AS59" s="625">
        <f>AR59</f>
        <v/>
      </c>
      <c r="AT59" s="627">
        <f>AR59/R59</f>
        <v/>
      </c>
      <c r="AU59" s="624" t="n"/>
      <c r="AV59" s="623" t="n"/>
      <c r="AW59" s="632">
        <f>AR59+AJ59</f>
        <v/>
      </c>
      <c r="AX59" s="624" t="n"/>
      <c r="AY59" s="623" t="n"/>
      <c r="AZ59" s="632" t="n"/>
      <c r="BA59" s="624" t="n"/>
    </row>
    <row r="60">
      <c r="A60" s="612" t="inlineStr">
        <is>
          <t>Robert Parker Yates</t>
        </is>
      </c>
      <c r="B60" s="613" t="n">
        <v>39150.15777704422</v>
      </c>
      <c r="C60" s="613" t="n">
        <v>0</v>
      </c>
      <c r="D60" s="613" t="inlineStr">
        <is>
          <t>Standard</t>
        </is>
      </c>
      <c r="E60" s="614" t="n">
        <v>39150.16</v>
      </c>
      <c r="F60" s="616">
        <f>E60/$E$86</f>
        <v/>
      </c>
      <c r="G60" s="614">
        <f>E60</f>
        <v/>
      </c>
      <c r="H60" s="614">
        <f>G60</f>
        <v/>
      </c>
      <c r="I60" s="616">
        <f>E60/$E$83</f>
        <v/>
      </c>
      <c r="J60" s="616">
        <f>G60/$G$83</f>
        <v/>
      </c>
      <c r="K60" s="616">
        <f>H60/$H$83</f>
        <v/>
      </c>
      <c r="M60" s="613">
        <f>$M$3*I60</f>
        <v/>
      </c>
      <c r="N60" s="613" t="n">
        <v>-320.11</v>
      </c>
      <c r="O60" s="613" t="n">
        <v>-146.81</v>
      </c>
      <c r="P60" s="613">
        <f>$P$3*I60</f>
        <v/>
      </c>
      <c r="Q60" s="613" t="n">
        <v>-4051.240000000002</v>
      </c>
      <c r="R60" s="613">
        <f>SUM(M60:Q60)</f>
        <v/>
      </c>
      <c r="S60" s="614" t="n"/>
      <c r="T60" s="617">
        <f>$T$3*K60</f>
        <v/>
      </c>
      <c r="U60" s="618" t="n">
        <v>0</v>
      </c>
      <c r="V60" s="617">
        <f>O60+N60+U60</f>
        <v/>
      </c>
      <c r="W60" s="617">
        <f>J60*$W$3</f>
        <v/>
      </c>
      <c r="X60" s="617">
        <f>$X$3*J60</f>
        <v/>
      </c>
      <c r="Y60" s="619">
        <f>X60-Q60</f>
        <v/>
      </c>
      <c r="Z60" s="617">
        <f>T60+W60+X60+V60</f>
        <v/>
      </c>
      <c r="AA60" s="614" t="n"/>
      <c r="AB60" s="633">
        <f>T60/G60</f>
        <v/>
      </c>
      <c r="AC60" s="634">
        <f>V60/G60</f>
        <v/>
      </c>
      <c r="AD60" s="634">
        <f>W60/G60</f>
        <v/>
      </c>
      <c r="AE60" s="634">
        <f>X60/G60</f>
        <v/>
      </c>
      <c r="AF60" s="1007">
        <f>AE60+AD60+AB60</f>
        <v/>
      </c>
      <c r="AG60" s="614" t="n"/>
      <c r="AH60" s="623" t="n"/>
      <c r="AI60" s="617" t="n"/>
      <c r="AJ60" s="617">
        <f>SUM(M60,P60,Q60)-SUM(T60,W60,X60)+AI60</f>
        <v/>
      </c>
      <c r="AK60" s="624" t="n"/>
      <c r="AL60" s="625">
        <f>AJ60</f>
        <v/>
      </c>
      <c r="AM60" s="626">
        <f>AJ60/G60</f>
        <v/>
      </c>
      <c r="AN60" s="626">
        <f>AC60</f>
        <v/>
      </c>
      <c r="AO60" s="627">
        <f>SUM(AM60:AN60)</f>
        <v/>
      </c>
      <c r="AP60" s="624" t="n"/>
      <c r="AQ60" s="623" t="n"/>
      <c r="AR60" s="632" t="n">
        <v>-568.1935563415403</v>
      </c>
      <c r="AS60" s="625">
        <f>AR60</f>
        <v/>
      </c>
      <c r="AT60" s="627">
        <f>AR60/R60</f>
        <v/>
      </c>
      <c r="AU60" s="624" t="n"/>
      <c r="AV60" s="623" t="n"/>
      <c r="AW60" s="632">
        <f>AR60+AJ60</f>
        <v/>
      </c>
      <c r="AX60" s="624" t="n"/>
      <c r="AY60" s="623" t="n"/>
      <c r="AZ60" s="632" t="n"/>
      <c r="BA60" s="624" t="n"/>
    </row>
    <row r="61">
      <c r="A61" s="612" t="inlineStr">
        <is>
          <t>Robert S. Shafir &amp; Donna R. Shafir TEN/COM</t>
        </is>
      </c>
      <c r="B61" s="613" t="n">
        <v>0</v>
      </c>
      <c r="C61" s="613" t="n">
        <v>0</v>
      </c>
      <c r="D61" s="613" t="inlineStr">
        <is>
          <t>BBR</t>
        </is>
      </c>
      <c r="E61" s="614" t="n">
        <v>1500000</v>
      </c>
      <c r="F61" s="616">
        <f>E61/$E$86</f>
        <v/>
      </c>
      <c r="G61" s="614">
        <f>E61</f>
        <v/>
      </c>
      <c r="H61" s="614">
        <f>G61</f>
        <v/>
      </c>
      <c r="I61" s="616">
        <f>E61/$E$83</f>
        <v/>
      </c>
      <c r="J61" s="616">
        <f>G61/$G$83</f>
        <v/>
      </c>
      <c r="K61" s="616">
        <f>H61/$H$83</f>
        <v/>
      </c>
      <c r="M61" s="613">
        <f>$M$3*I61</f>
        <v/>
      </c>
      <c r="N61" s="613" t="n">
        <v>-18301.63</v>
      </c>
      <c r="O61" s="613" t="n">
        <v>-3750</v>
      </c>
      <c r="P61" s="613">
        <f>$P$3*I61</f>
        <v/>
      </c>
      <c r="Q61" s="613" t="n">
        <v>-151057.1700000001</v>
      </c>
      <c r="R61" s="613">
        <f>SUM(M61:Q61)</f>
        <v/>
      </c>
      <c r="S61" s="614" t="n"/>
      <c r="T61" s="617">
        <f>$T$3*K61</f>
        <v/>
      </c>
      <c r="U61" s="618" t="n">
        <v>0</v>
      </c>
      <c r="V61" s="617">
        <f>O61+N61+U61</f>
        <v/>
      </c>
      <c r="W61" s="617">
        <f>J61*$W$3</f>
        <v/>
      </c>
      <c r="X61" s="617">
        <f>$X$3*J61</f>
        <v/>
      </c>
      <c r="Y61" s="619">
        <f>X61-Q61</f>
        <v/>
      </c>
      <c r="Z61" s="617">
        <f>T61+W61+X61+V61</f>
        <v/>
      </c>
      <c r="AA61" s="614" t="n"/>
      <c r="AB61" s="633">
        <f>T61/G61</f>
        <v/>
      </c>
      <c r="AC61" s="634">
        <f>V61/G61</f>
        <v/>
      </c>
      <c r="AD61" s="634">
        <f>W61/G61</f>
        <v/>
      </c>
      <c r="AE61" s="634">
        <f>X61/G61</f>
        <v/>
      </c>
      <c r="AF61" s="1007">
        <f>AE61+AD61+AB61</f>
        <v/>
      </c>
      <c r="AG61" s="614" t="n"/>
      <c r="AH61" s="623" t="n"/>
      <c r="AI61" s="617" t="n"/>
      <c r="AJ61" s="617">
        <f>SUM(M61,P61,Q61)-SUM(T61,W61,X61)+AI61</f>
        <v/>
      </c>
      <c r="AK61" s="624" t="n"/>
      <c r="AL61" s="625">
        <f>AJ61</f>
        <v/>
      </c>
      <c r="AM61" s="626">
        <f>AJ61/G61</f>
        <v/>
      </c>
      <c r="AN61" s="626">
        <f>AC61</f>
        <v/>
      </c>
      <c r="AO61" s="627">
        <f>SUM(AM61:AN61)</f>
        <v/>
      </c>
      <c r="AP61" s="624" t="n"/>
      <c r="AQ61" s="623" t="n"/>
      <c r="AR61" s="632" t="n">
        <v>-21769.77908933988</v>
      </c>
      <c r="AS61" s="625">
        <f>AR61</f>
        <v/>
      </c>
      <c r="AT61" s="627">
        <f>AR61/R61</f>
        <v/>
      </c>
      <c r="AU61" s="624" t="n"/>
      <c r="AV61" s="623" t="n"/>
      <c r="AW61" s="632">
        <f>AR61+AJ61</f>
        <v/>
      </c>
      <c r="AX61" s="624" t="n"/>
      <c r="AY61" s="623" t="n"/>
      <c r="AZ61" s="632" t="n"/>
      <c r="BA61" s="624" t="n"/>
    </row>
    <row r="62">
      <c r="A62" s="612" t="inlineStr">
        <is>
          <t>Robert S. Shafir 2011 Children's Trust</t>
        </is>
      </c>
      <c r="B62" s="613" t="n">
        <v>0</v>
      </c>
      <c r="C62" s="613" t="n">
        <v>0</v>
      </c>
      <c r="D62" s="613" t="inlineStr">
        <is>
          <t>BBR</t>
        </is>
      </c>
      <c r="E62" s="614" t="n">
        <v>1000000</v>
      </c>
      <c r="F62" s="616">
        <f>E62/$E$86</f>
        <v/>
      </c>
      <c r="G62" s="614">
        <f>E62</f>
        <v/>
      </c>
      <c r="H62" s="614">
        <f>G62</f>
        <v/>
      </c>
      <c r="I62" s="616">
        <f>E62/$E$83</f>
        <v/>
      </c>
      <c r="J62" s="616">
        <f>G62/$G$83</f>
        <v/>
      </c>
      <c r="K62" s="616">
        <f>H62/$H$83</f>
        <v/>
      </c>
      <c r="M62" s="613">
        <f>$M$3*I62</f>
        <v/>
      </c>
      <c r="N62" s="613" t="n">
        <v>-12201.09</v>
      </c>
      <c r="O62" s="613" t="n">
        <v>-2500</v>
      </c>
      <c r="P62" s="613">
        <f>$P$3*I62</f>
        <v/>
      </c>
      <c r="Q62" s="613" t="n">
        <v>-100704.7800000001</v>
      </c>
      <c r="R62" s="613">
        <f>SUM(M62:Q62)</f>
        <v/>
      </c>
      <c r="S62" s="614" t="n"/>
      <c r="T62" s="617">
        <f>$T$3*K62</f>
        <v/>
      </c>
      <c r="U62" s="618" t="n">
        <v>0</v>
      </c>
      <c r="V62" s="617">
        <f>O62+N62+U62</f>
        <v/>
      </c>
      <c r="W62" s="617">
        <f>J62*$W$3</f>
        <v/>
      </c>
      <c r="X62" s="617">
        <f>$X$3*J62</f>
        <v/>
      </c>
      <c r="Y62" s="619">
        <f>X62-Q62</f>
        <v/>
      </c>
      <c r="Z62" s="617">
        <f>T62+W62+X62+V62</f>
        <v/>
      </c>
      <c r="AA62" s="614" t="n"/>
      <c r="AB62" s="633">
        <f>T62/G62</f>
        <v/>
      </c>
      <c r="AC62" s="634">
        <f>V62/G62</f>
        <v/>
      </c>
      <c r="AD62" s="634">
        <f>W62/G62</f>
        <v/>
      </c>
      <c r="AE62" s="634">
        <f>X62/G62</f>
        <v/>
      </c>
      <c r="AF62" s="1007">
        <f>AE62+AD62+AB62</f>
        <v/>
      </c>
      <c r="AG62" s="614" t="n"/>
      <c r="AH62" s="623" t="n"/>
      <c r="AI62" s="617" t="n"/>
      <c r="AJ62" s="617">
        <f>SUM(M62,P62,Q62)-SUM(T62,W62,X62)+AI62</f>
        <v/>
      </c>
      <c r="AK62" s="624" t="n"/>
      <c r="AL62" s="625">
        <f>AJ62</f>
        <v/>
      </c>
      <c r="AM62" s="626">
        <f>AJ62/G62</f>
        <v/>
      </c>
      <c r="AN62" s="626">
        <f>AC62</f>
        <v/>
      </c>
      <c r="AO62" s="627">
        <f>SUM(AM62:AN62)</f>
        <v/>
      </c>
      <c r="AP62" s="624" t="n"/>
      <c r="AQ62" s="623" t="n"/>
      <c r="AR62" s="632" t="n">
        <v>-14513.18605955992</v>
      </c>
      <c r="AS62" s="625">
        <f>AR62</f>
        <v/>
      </c>
      <c r="AT62" s="627">
        <f>AR62/R62</f>
        <v/>
      </c>
      <c r="AU62" s="624" t="n"/>
      <c r="AV62" s="623" t="n"/>
      <c r="AW62" s="632">
        <f>AR62+AJ62</f>
        <v/>
      </c>
      <c r="AX62" s="624" t="n"/>
      <c r="AY62" s="623" t="n"/>
      <c r="AZ62" s="632" t="n"/>
      <c r="BA62" s="624" t="n"/>
    </row>
    <row r="63">
      <c r="A63" s="612" t="inlineStr">
        <is>
          <t>Romar Partners, LP</t>
        </is>
      </c>
      <c r="B63" s="613" t="n">
        <v>0</v>
      </c>
      <c r="C63" s="613" t="n">
        <v>0</v>
      </c>
      <c r="D63" s="613" t="inlineStr">
        <is>
          <t>BBR</t>
        </is>
      </c>
      <c r="E63" s="614" t="n">
        <v>1000000</v>
      </c>
      <c r="F63" s="616">
        <f>E63/$E$86</f>
        <v/>
      </c>
      <c r="G63" s="614">
        <f>E63</f>
        <v/>
      </c>
      <c r="H63" s="614">
        <f>G63</f>
        <v/>
      </c>
      <c r="I63" s="616">
        <f>E63/$E$83</f>
        <v/>
      </c>
      <c r="J63" s="616">
        <f>G63/$G$83</f>
        <v/>
      </c>
      <c r="K63" s="616">
        <f>H63/$H$83</f>
        <v/>
      </c>
      <c r="M63" s="613">
        <f>$M$3*I63</f>
        <v/>
      </c>
      <c r="N63" s="613" t="n">
        <v>-12201.09</v>
      </c>
      <c r="O63" s="613" t="n">
        <v>-2500</v>
      </c>
      <c r="P63" s="613">
        <f>$P$3*I63</f>
        <v/>
      </c>
      <c r="Q63" s="613" t="n">
        <v>-100704.7800000001</v>
      </c>
      <c r="R63" s="613">
        <f>SUM(M63:Q63)</f>
        <v/>
      </c>
      <c r="S63" s="614" t="n"/>
      <c r="T63" s="617">
        <f>$T$3*K63</f>
        <v/>
      </c>
      <c r="U63" s="618" t="n">
        <v>0</v>
      </c>
      <c r="V63" s="617">
        <f>O63+N63+U63</f>
        <v/>
      </c>
      <c r="W63" s="617">
        <f>J63*$W$3</f>
        <v/>
      </c>
      <c r="X63" s="617">
        <f>$X$3*J63</f>
        <v/>
      </c>
      <c r="Y63" s="619">
        <f>X63-Q63</f>
        <v/>
      </c>
      <c r="Z63" s="617">
        <f>T63+W63+X63+V63</f>
        <v/>
      </c>
      <c r="AA63" s="614" t="n"/>
      <c r="AB63" s="633">
        <f>T63/G63</f>
        <v/>
      </c>
      <c r="AC63" s="634">
        <f>V63/G63</f>
        <v/>
      </c>
      <c r="AD63" s="634">
        <f>W63/G63</f>
        <v/>
      </c>
      <c r="AE63" s="634">
        <f>X63/G63</f>
        <v/>
      </c>
      <c r="AF63" s="1007">
        <f>AE63+AD63+AB63</f>
        <v/>
      </c>
      <c r="AG63" s="614" t="n"/>
      <c r="AH63" s="623" t="n"/>
      <c r="AI63" s="617" t="n"/>
      <c r="AJ63" s="617">
        <f>SUM(M63,P63,Q63)-SUM(T63,W63,X63)+AI63</f>
        <v/>
      </c>
      <c r="AK63" s="624" t="n"/>
      <c r="AL63" s="625">
        <f>AJ63</f>
        <v/>
      </c>
      <c r="AM63" s="626">
        <f>AJ63/G63</f>
        <v/>
      </c>
      <c r="AN63" s="626">
        <f>AC63</f>
        <v/>
      </c>
      <c r="AO63" s="627">
        <f>SUM(AM63:AN63)</f>
        <v/>
      </c>
      <c r="AP63" s="624" t="n"/>
      <c r="AQ63" s="623" t="n"/>
      <c r="AR63" s="632" t="n">
        <v>-14513.18605955992</v>
      </c>
      <c r="AS63" s="625">
        <f>AR63</f>
        <v/>
      </c>
      <c r="AT63" s="627">
        <f>AR63/R63</f>
        <v/>
      </c>
      <c r="AU63" s="624" t="n"/>
      <c r="AV63" s="623" t="n"/>
      <c r="AW63" s="632">
        <f>AR63+AJ63</f>
        <v/>
      </c>
      <c r="AX63" s="624" t="n"/>
      <c r="AY63" s="623" t="n"/>
      <c r="AZ63" s="632" t="n"/>
      <c r="BA63" s="624" t="n"/>
    </row>
    <row r="64">
      <c r="A64" s="612" t="inlineStr">
        <is>
          <t>Steven and Chani Laufer 2012 Dynasty Trust</t>
        </is>
      </c>
      <c r="B64" s="613" t="n">
        <v>0</v>
      </c>
      <c r="C64" s="613" t="n">
        <v>0</v>
      </c>
      <c r="D64" s="613" t="inlineStr">
        <is>
          <t>BBR</t>
        </is>
      </c>
      <c r="E64" s="614" t="n">
        <v>2000000</v>
      </c>
      <c r="F64" s="616">
        <f>E64/$E$86</f>
        <v/>
      </c>
      <c r="G64" s="614">
        <f>E64</f>
        <v/>
      </c>
      <c r="H64" s="614">
        <f>G64</f>
        <v/>
      </c>
      <c r="I64" s="616">
        <f>E64/$E$83</f>
        <v/>
      </c>
      <c r="J64" s="616">
        <f>G64/$G$83</f>
        <v/>
      </c>
      <c r="K64" s="616">
        <f>H64/$H$83</f>
        <v/>
      </c>
      <c r="M64" s="613">
        <f>$M$3*I64</f>
        <v/>
      </c>
      <c r="N64" s="613" t="n">
        <v>-24402.17</v>
      </c>
      <c r="O64" s="613" t="n">
        <v>-5000</v>
      </c>
      <c r="P64" s="613">
        <f>$P$3*I64</f>
        <v/>
      </c>
      <c r="Q64" s="613" t="n">
        <v>-201409.5599999999</v>
      </c>
      <c r="R64" s="613">
        <f>SUM(M64:Q64)</f>
        <v/>
      </c>
      <c r="S64" s="614" t="n"/>
      <c r="T64" s="617">
        <f>$T$3*K64</f>
        <v/>
      </c>
      <c r="U64" s="618" t="n">
        <v>0</v>
      </c>
      <c r="V64" s="617">
        <f>O64+N64+U64</f>
        <v/>
      </c>
      <c r="W64" s="617">
        <f>J64*$W$3</f>
        <v/>
      </c>
      <c r="X64" s="617">
        <f>$X$3*J64</f>
        <v/>
      </c>
      <c r="Y64" s="619">
        <f>X64-Q64</f>
        <v/>
      </c>
      <c r="Z64" s="617">
        <f>T64+W64+X64+V64</f>
        <v/>
      </c>
      <c r="AA64" s="614" t="n"/>
      <c r="AB64" s="633">
        <f>T64/G64</f>
        <v/>
      </c>
      <c r="AC64" s="634">
        <f>V64/G64</f>
        <v/>
      </c>
      <c r="AD64" s="634">
        <f>W64/G64</f>
        <v/>
      </c>
      <c r="AE64" s="634">
        <f>X64/G64</f>
        <v/>
      </c>
      <c r="AF64" s="1007">
        <f>AE64+AD64+AB64</f>
        <v/>
      </c>
      <c r="AG64" s="614" t="n"/>
      <c r="AH64" s="623" t="n"/>
      <c r="AI64" s="617" t="n"/>
      <c r="AJ64" s="617">
        <f>SUM(M64,P64,Q64)-SUM(T64,W64,X64)+AI64</f>
        <v/>
      </c>
      <c r="AK64" s="624" t="n"/>
      <c r="AL64" s="625">
        <f>AJ64</f>
        <v/>
      </c>
      <c r="AM64" s="626">
        <f>AJ64/G64</f>
        <v/>
      </c>
      <c r="AN64" s="626">
        <f>AC64</f>
        <v/>
      </c>
      <c r="AO64" s="627">
        <f>SUM(AM64:AN64)</f>
        <v/>
      </c>
      <c r="AP64" s="624" t="n"/>
      <c r="AQ64" s="623" t="n"/>
      <c r="AR64" s="632" t="n">
        <v>-29026.37211911983</v>
      </c>
      <c r="AS64" s="625">
        <f>AR64</f>
        <v/>
      </c>
      <c r="AT64" s="627">
        <f>AR64/R64</f>
        <v/>
      </c>
      <c r="AU64" s="624" t="n"/>
      <c r="AV64" s="623" t="n"/>
      <c r="AW64" s="632">
        <f>AR64+AJ64</f>
        <v/>
      </c>
      <c r="AX64" s="624" t="n"/>
      <c r="AY64" s="623" t="n"/>
      <c r="AZ64" s="632" t="n"/>
      <c r="BA64" s="624" t="n"/>
    </row>
    <row r="65">
      <c r="A65" s="612" t="inlineStr">
        <is>
          <t>Steven M. Laufer 2012 Trust</t>
        </is>
      </c>
      <c r="B65" s="613" t="n">
        <v>0</v>
      </c>
      <c r="C65" s="613" t="n">
        <v>0</v>
      </c>
      <c r="D65" s="613" t="inlineStr">
        <is>
          <t>BBR</t>
        </is>
      </c>
      <c r="E65" s="614" t="n">
        <v>1000000</v>
      </c>
      <c r="F65" s="616">
        <f>E65/$E$86</f>
        <v/>
      </c>
      <c r="G65" s="614">
        <f>E65</f>
        <v/>
      </c>
      <c r="H65" s="614">
        <f>G65</f>
        <v/>
      </c>
      <c r="I65" s="616">
        <f>E65/$E$83</f>
        <v/>
      </c>
      <c r="J65" s="616">
        <f>G65/$G$83</f>
        <v/>
      </c>
      <c r="K65" s="616">
        <f>H65/$H$83</f>
        <v/>
      </c>
      <c r="M65" s="613">
        <f>$M$3*I65</f>
        <v/>
      </c>
      <c r="N65" s="613" t="n">
        <v>-12201.09</v>
      </c>
      <c r="O65" s="613" t="n">
        <v>-2500</v>
      </c>
      <c r="P65" s="613">
        <f>$P$3*I65</f>
        <v/>
      </c>
      <c r="Q65" s="613" t="n">
        <v>-100704.7800000001</v>
      </c>
      <c r="R65" s="613">
        <f>SUM(M65:Q65)</f>
        <v/>
      </c>
      <c r="S65" s="614" t="n"/>
      <c r="T65" s="617">
        <f>$T$3*K65</f>
        <v/>
      </c>
      <c r="U65" s="618" t="n">
        <v>0</v>
      </c>
      <c r="V65" s="617">
        <f>O65+N65+U65</f>
        <v/>
      </c>
      <c r="W65" s="617">
        <f>J65*$W$3</f>
        <v/>
      </c>
      <c r="X65" s="617">
        <f>$X$3*J65</f>
        <v/>
      </c>
      <c r="Y65" s="619">
        <f>X65-Q65</f>
        <v/>
      </c>
      <c r="Z65" s="617">
        <f>T65+W65+X65+V65</f>
        <v/>
      </c>
      <c r="AA65" s="614" t="n"/>
      <c r="AB65" s="633">
        <f>T65/G65</f>
        <v/>
      </c>
      <c r="AC65" s="634">
        <f>V65/G65</f>
        <v/>
      </c>
      <c r="AD65" s="634">
        <f>W65/G65</f>
        <v/>
      </c>
      <c r="AE65" s="634">
        <f>X65/G65</f>
        <v/>
      </c>
      <c r="AF65" s="1007">
        <f>AE65+AD65+AB65</f>
        <v/>
      </c>
      <c r="AG65" s="614" t="n"/>
      <c r="AH65" s="623" t="n"/>
      <c r="AI65" s="617" t="n"/>
      <c r="AJ65" s="617">
        <f>SUM(M65,P65,Q65)-SUM(T65,W65,X65)+AI65</f>
        <v/>
      </c>
      <c r="AK65" s="624" t="n"/>
      <c r="AL65" s="625">
        <f>AJ65</f>
        <v/>
      </c>
      <c r="AM65" s="626">
        <f>AJ65/G65</f>
        <v/>
      </c>
      <c r="AN65" s="626">
        <f>AC65</f>
        <v/>
      </c>
      <c r="AO65" s="627">
        <f>SUM(AM65:AN65)</f>
        <v/>
      </c>
      <c r="AP65" s="624" t="n"/>
      <c r="AQ65" s="623" t="n"/>
      <c r="AR65" s="632" t="n">
        <v>-14513.18605955992</v>
      </c>
      <c r="AS65" s="625">
        <f>AR65</f>
        <v/>
      </c>
      <c r="AT65" s="627">
        <f>AR65/R65</f>
        <v/>
      </c>
      <c r="AU65" s="624" t="n"/>
      <c r="AV65" s="623" t="n"/>
      <c r="AW65" s="632">
        <f>AR65+AJ65</f>
        <v/>
      </c>
      <c r="AX65" s="624" t="n"/>
      <c r="AY65" s="623" t="n"/>
      <c r="AZ65" s="632" t="n"/>
      <c r="BA65" s="624" t="n"/>
    </row>
    <row r="66">
      <c r="A66" s="612" t="inlineStr">
        <is>
          <t>Stewart Tate</t>
        </is>
      </c>
      <c r="B66" s="613" t="n">
        <v>391501.5777704422</v>
      </c>
      <c r="C66" s="613" t="n">
        <v>131795.278650015</v>
      </c>
      <c r="D66" s="613" t="inlineStr">
        <is>
          <t>Standard</t>
        </is>
      </c>
      <c r="E66" s="614" t="n">
        <v>523296.86</v>
      </c>
      <c r="F66" s="616">
        <f>E66/$E$86</f>
        <v/>
      </c>
      <c r="G66" s="614">
        <f>E66</f>
        <v/>
      </c>
      <c r="H66" s="614">
        <f>G66</f>
        <v/>
      </c>
      <c r="I66" s="616">
        <f>E66/$E$83</f>
        <v/>
      </c>
      <c r="J66" s="616">
        <f>G66/$G$83</f>
        <v/>
      </c>
      <c r="K66" s="616">
        <f>H66/$H$83</f>
        <v/>
      </c>
      <c r="M66" s="613">
        <f>$M$3*I66</f>
        <v/>
      </c>
      <c r="N66" s="613" t="n">
        <v>-4027.593164130435</v>
      </c>
      <c r="O66" s="613" t="n">
        <v>-1962.36</v>
      </c>
      <c r="P66" s="613">
        <f>$P$3*I66</f>
        <v/>
      </c>
      <c r="Q66" s="613" t="n">
        <v>-54401.57683586956</v>
      </c>
      <c r="R66" s="613">
        <f>SUM(M66:Q66)</f>
        <v/>
      </c>
      <c r="S66" s="614" t="n"/>
      <c r="T66" s="617">
        <f>$T$3*K66</f>
        <v/>
      </c>
      <c r="U66" s="618" t="n">
        <v>0</v>
      </c>
      <c r="V66" s="617">
        <f>O66+N66+U66</f>
        <v/>
      </c>
      <c r="W66" s="617">
        <f>J66*$W$3</f>
        <v/>
      </c>
      <c r="X66" s="617">
        <f>$X$3*J66</f>
        <v/>
      </c>
      <c r="Y66" s="619">
        <f>X66-Q66</f>
        <v/>
      </c>
      <c r="Z66" s="617">
        <f>T66+W66+X66+V66</f>
        <v/>
      </c>
      <c r="AA66" s="614" t="n"/>
      <c r="AB66" s="633">
        <f>T66/G66</f>
        <v/>
      </c>
      <c r="AC66" s="634">
        <f>V66/G66</f>
        <v/>
      </c>
      <c r="AD66" s="634">
        <f>W66/G66</f>
        <v/>
      </c>
      <c r="AE66" s="634">
        <f>X66/G66</f>
        <v/>
      </c>
      <c r="AF66" s="1007">
        <f>AE66+AD66+AB66</f>
        <v/>
      </c>
      <c r="AG66" s="614" t="n"/>
      <c r="AH66" s="623" t="n"/>
      <c r="AI66" s="617" t="n"/>
      <c r="AJ66" s="617">
        <f>SUM(M66,P66,Q66)-SUM(T66,W66,X66)+AI66</f>
        <v/>
      </c>
      <c r="AK66" s="624" t="n"/>
      <c r="AL66" s="625">
        <f>AJ66</f>
        <v/>
      </c>
      <c r="AM66" s="626">
        <f>AJ66/G66</f>
        <v/>
      </c>
      <c r="AN66" s="626">
        <f>AC66</f>
        <v/>
      </c>
      <c r="AO66" s="627">
        <f>SUM(AM66:AN66)</f>
        <v/>
      </c>
      <c r="AP66" s="624" t="n"/>
      <c r="AQ66" s="623" t="n"/>
      <c r="AR66" s="632" t="n">
        <v>-7594.704693563479</v>
      </c>
      <c r="AS66" s="625">
        <f>AR66</f>
        <v/>
      </c>
      <c r="AT66" s="627">
        <f>AR66/R66</f>
        <v/>
      </c>
      <c r="AU66" s="624" t="n"/>
      <c r="AV66" s="623" t="n"/>
      <c r="AW66" s="632">
        <f>AR66+AJ66</f>
        <v/>
      </c>
      <c r="AX66" s="624" t="n"/>
      <c r="AY66" s="623" t="n"/>
      <c r="AZ66" s="632" t="n"/>
      <c r="BA66" s="624" t="n"/>
    </row>
    <row r="67">
      <c r="A67" s="612" t="inlineStr">
        <is>
          <t>TC Wilson Family Trust</t>
        </is>
      </c>
      <c r="B67" s="613" t="n">
        <v>156600.6311081769</v>
      </c>
      <c r="C67" s="613" t="n">
        <v>0</v>
      </c>
      <c r="D67" s="613" t="inlineStr">
        <is>
          <t>Standard</t>
        </is>
      </c>
      <c r="E67" s="614" t="n">
        <v>156600.63</v>
      </c>
      <c r="F67" s="616">
        <f>E67/$E$86</f>
        <v/>
      </c>
      <c r="G67" s="614">
        <f>E67</f>
        <v/>
      </c>
      <c r="H67" s="614">
        <f>G67</f>
        <v/>
      </c>
      <c r="I67" s="616">
        <f>E67/$E$83</f>
        <v/>
      </c>
      <c r="J67" s="616">
        <f>G67/$G$83</f>
        <v/>
      </c>
      <c r="K67" s="616">
        <f>H67/$H$83</f>
        <v/>
      </c>
      <c r="M67" s="613">
        <f>$M$3*I67</f>
        <v/>
      </c>
      <c r="N67" s="613" t="n">
        <v>-1280.45</v>
      </c>
      <c r="O67" s="613" t="n">
        <v>-587.25</v>
      </c>
      <c r="P67" s="613">
        <f>$P$3*I67</f>
        <v/>
      </c>
      <c r="Q67" s="613" t="n">
        <v>-16204.93000000003</v>
      </c>
      <c r="R67" s="613">
        <f>SUM(M67:Q67)</f>
        <v/>
      </c>
      <c r="S67" s="614" t="n"/>
      <c r="T67" s="617">
        <f>$T$3*K67</f>
        <v/>
      </c>
      <c r="U67" s="618" t="n">
        <v>0</v>
      </c>
      <c r="V67" s="617">
        <f>O67+N67+U67</f>
        <v/>
      </c>
      <c r="W67" s="617">
        <f>J67*$W$3</f>
        <v/>
      </c>
      <c r="X67" s="617">
        <f>$X$3*J67</f>
        <v/>
      </c>
      <c r="Y67" s="619">
        <f>X67-Q67</f>
        <v/>
      </c>
      <c r="Z67" s="617">
        <f>T67+W67+X67+V67</f>
        <v/>
      </c>
      <c r="AA67" s="614" t="n"/>
      <c r="AB67" s="633">
        <f>T67/G67</f>
        <v/>
      </c>
      <c r="AC67" s="634">
        <f>V67/G67</f>
        <v/>
      </c>
      <c r="AD67" s="634">
        <f>W67/G67</f>
        <v/>
      </c>
      <c r="AE67" s="634">
        <f>X67/G67</f>
        <v/>
      </c>
      <c r="AF67" s="1007">
        <f>AE67+AD67+AB67</f>
        <v/>
      </c>
      <c r="AG67" s="614" t="n"/>
      <c r="AH67" s="623" t="n"/>
      <c r="AI67" s="617" t="n"/>
      <c r="AJ67" s="617">
        <f>SUM(M67,P67,Q67)-SUM(T67,W67,X67)+AI67</f>
        <v/>
      </c>
      <c r="AK67" s="624" t="n"/>
      <c r="AL67" s="625">
        <f>AJ67</f>
        <v/>
      </c>
      <c r="AM67" s="626">
        <f>AJ67/G67</f>
        <v/>
      </c>
      <c r="AN67" s="626">
        <f>AC67</f>
        <v/>
      </c>
      <c r="AO67" s="627">
        <f>SUM(AM67:AN67)</f>
        <v/>
      </c>
      <c r="AP67" s="624" t="n"/>
      <c r="AQ67" s="623" t="n"/>
      <c r="AR67" s="632" t="n">
        <v>-2272.7740802343</v>
      </c>
      <c r="AS67" s="625">
        <f>AR67</f>
        <v/>
      </c>
      <c r="AT67" s="627">
        <f>AR67/R67</f>
        <v/>
      </c>
      <c r="AU67" s="624" t="n"/>
      <c r="AV67" s="623" t="n"/>
      <c r="AW67" s="632">
        <f>AR67+AJ67</f>
        <v/>
      </c>
      <c r="AX67" s="624" t="n"/>
      <c r="AY67" s="623" t="n"/>
      <c r="AZ67" s="632" t="n"/>
      <c r="BA67" s="624" t="n"/>
    </row>
    <row r="68">
      <c r="A68" s="612" t="inlineStr">
        <is>
          <t>Terminal Refrigerating &amp; Warehousing Corp.</t>
        </is>
      </c>
      <c r="B68" s="613" t="n">
        <v>0</v>
      </c>
      <c r="C68" s="613" t="n">
        <v>0</v>
      </c>
      <c r="D68" s="613" t="inlineStr">
        <is>
          <t>BBR</t>
        </is>
      </c>
      <c r="E68" s="614" t="n">
        <v>2000000</v>
      </c>
      <c r="F68" s="616">
        <f>E68/$E$86</f>
        <v/>
      </c>
      <c r="G68" s="614">
        <f>E68</f>
        <v/>
      </c>
      <c r="H68" s="614">
        <f>G68</f>
        <v/>
      </c>
      <c r="I68" s="616">
        <f>E68/$E$83</f>
        <v/>
      </c>
      <c r="J68" s="616">
        <f>G68/$G$83</f>
        <v/>
      </c>
      <c r="K68" s="616">
        <f>H68/$H$83</f>
        <v/>
      </c>
      <c r="M68" s="613">
        <f>$M$3*I68</f>
        <v/>
      </c>
      <c r="N68" s="613" t="n">
        <v>-24402.17</v>
      </c>
      <c r="O68" s="613" t="n">
        <v>-5000</v>
      </c>
      <c r="P68" s="613">
        <f>$P$3*I68</f>
        <v/>
      </c>
      <c r="Q68" s="613" t="n">
        <v>-201409.5599999999</v>
      </c>
      <c r="R68" s="613">
        <f>SUM(M68:Q68)</f>
        <v/>
      </c>
      <c r="S68" s="614" t="n"/>
      <c r="T68" s="617">
        <f>$T$3*K68</f>
        <v/>
      </c>
      <c r="U68" s="618" t="n">
        <v>0</v>
      </c>
      <c r="V68" s="617">
        <f>O68+N68+U68</f>
        <v/>
      </c>
      <c r="W68" s="617">
        <f>J68*$W$3</f>
        <v/>
      </c>
      <c r="X68" s="617">
        <f>$X$3*J68</f>
        <v/>
      </c>
      <c r="Y68" s="619">
        <f>X68-Q68</f>
        <v/>
      </c>
      <c r="Z68" s="617">
        <f>T68+W68+X68+V68</f>
        <v/>
      </c>
      <c r="AA68" s="614" t="n"/>
      <c r="AB68" s="633">
        <f>T68/G68</f>
        <v/>
      </c>
      <c r="AC68" s="634">
        <f>V68/G68</f>
        <v/>
      </c>
      <c r="AD68" s="634">
        <f>W68/G68</f>
        <v/>
      </c>
      <c r="AE68" s="634">
        <f>X68/G68</f>
        <v/>
      </c>
      <c r="AF68" s="1007">
        <f>AE68+AD68+AB68</f>
        <v/>
      </c>
      <c r="AG68" s="614" t="n"/>
      <c r="AH68" s="623" t="n"/>
      <c r="AI68" s="617" t="n"/>
      <c r="AJ68" s="617">
        <f>SUM(M68,P68,Q68)-SUM(T68,W68,X68)+AI68</f>
        <v/>
      </c>
      <c r="AK68" s="624" t="n"/>
      <c r="AL68" s="625">
        <f>AJ68</f>
        <v/>
      </c>
      <c r="AM68" s="626">
        <f>AJ68/G68</f>
        <v/>
      </c>
      <c r="AN68" s="626">
        <f>AC68</f>
        <v/>
      </c>
      <c r="AO68" s="627">
        <f>SUM(AM68:AN68)</f>
        <v/>
      </c>
      <c r="AP68" s="624" t="n"/>
      <c r="AQ68" s="623" t="n"/>
      <c r="AR68" s="632" t="n">
        <v>-29026.37211911983</v>
      </c>
      <c r="AS68" s="625">
        <f>AR68</f>
        <v/>
      </c>
      <c r="AT68" s="627">
        <f>AR68/R68</f>
        <v/>
      </c>
      <c r="AU68" s="624" t="n"/>
      <c r="AV68" s="623" t="n"/>
      <c r="AW68" s="632">
        <f>AR68+AJ68</f>
        <v/>
      </c>
      <c r="AX68" s="624" t="n"/>
      <c r="AY68" s="623" t="n"/>
      <c r="AZ68" s="632" t="n"/>
      <c r="BA68" s="624" t="n"/>
    </row>
    <row r="69">
      <c r="A69" s="612" t="inlineStr">
        <is>
          <t>The 2015 Pipe Reality Delaware Trust</t>
        </is>
      </c>
      <c r="B69" s="613" t="n">
        <v>0</v>
      </c>
      <c r="C69" s="613" t="n">
        <v>0</v>
      </c>
      <c r="D69" s="613" t="inlineStr">
        <is>
          <t>BBR</t>
        </is>
      </c>
      <c r="E69" s="614" t="n">
        <v>1000000</v>
      </c>
      <c r="F69" s="616">
        <f>E69/$E$86</f>
        <v/>
      </c>
      <c r="G69" s="614">
        <f>E69</f>
        <v/>
      </c>
      <c r="H69" s="614">
        <f>G69</f>
        <v/>
      </c>
      <c r="I69" s="616">
        <f>E69/$E$83</f>
        <v/>
      </c>
      <c r="J69" s="616">
        <f>G69/$G$83</f>
        <v/>
      </c>
      <c r="K69" s="616">
        <f>H69/$H$83</f>
        <v/>
      </c>
      <c r="M69" s="613">
        <f>$M$3*I69</f>
        <v/>
      </c>
      <c r="N69" s="613" t="n">
        <v>-12201.09</v>
      </c>
      <c r="O69" s="613" t="n">
        <v>-2500</v>
      </c>
      <c r="P69" s="613">
        <f>$P$3*I69</f>
        <v/>
      </c>
      <c r="Q69" s="613" t="n">
        <v>-100704.7800000001</v>
      </c>
      <c r="R69" s="613">
        <f>SUM(M69:Q69)</f>
        <v/>
      </c>
      <c r="S69" s="614" t="n"/>
      <c r="T69" s="617">
        <f>$T$3*K69</f>
        <v/>
      </c>
      <c r="U69" s="618" t="n">
        <v>0</v>
      </c>
      <c r="V69" s="617">
        <f>O69+N69+U69</f>
        <v/>
      </c>
      <c r="W69" s="617">
        <f>J69*$W$3</f>
        <v/>
      </c>
      <c r="X69" s="617">
        <f>$X$3*J69</f>
        <v/>
      </c>
      <c r="Y69" s="619">
        <f>X69-Q69</f>
        <v/>
      </c>
      <c r="Z69" s="617">
        <f>T69+W69+X69+V69</f>
        <v/>
      </c>
      <c r="AA69" s="614" t="n"/>
      <c r="AB69" s="633">
        <f>T69/G69</f>
        <v/>
      </c>
      <c r="AC69" s="634">
        <f>V69/G69</f>
        <v/>
      </c>
      <c r="AD69" s="634">
        <f>W69/G69</f>
        <v/>
      </c>
      <c r="AE69" s="634">
        <f>X69/G69</f>
        <v/>
      </c>
      <c r="AF69" s="1007">
        <f>AE69+AD69+AB69</f>
        <v/>
      </c>
      <c r="AG69" s="614" t="n"/>
      <c r="AH69" s="623" t="n"/>
      <c r="AI69" s="617" t="n"/>
      <c r="AJ69" s="617">
        <f>SUM(M69,P69,Q69)-SUM(T69,W69,X69)+AI69</f>
        <v/>
      </c>
      <c r="AK69" s="624" t="n"/>
      <c r="AL69" s="625">
        <f>AJ69</f>
        <v/>
      </c>
      <c r="AM69" s="626">
        <f>AJ69/G69</f>
        <v/>
      </c>
      <c r="AN69" s="626">
        <f>AC69</f>
        <v/>
      </c>
      <c r="AO69" s="627">
        <f>SUM(AM69:AN69)</f>
        <v/>
      </c>
      <c r="AP69" s="624" t="n"/>
      <c r="AQ69" s="623" t="n"/>
      <c r="AR69" s="632" t="n">
        <v>-14513.18605955992</v>
      </c>
      <c r="AS69" s="625">
        <f>AR69</f>
        <v/>
      </c>
      <c r="AT69" s="627">
        <f>AR69/R69</f>
        <v/>
      </c>
      <c r="AU69" s="624" t="n"/>
      <c r="AV69" s="623" t="n"/>
      <c r="AW69" s="632">
        <f>AR69+AJ69</f>
        <v/>
      </c>
      <c r="AX69" s="624" t="n"/>
      <c r="AY69" s="623" t="n"/>
      <c r="AZ69" s="632" t="n"/>
      <c r="BA69" s="624" t="n"/>
    </row>
    <row r="70">
      <c r="A70" s="612" t="inlineStr">
        <is>
          <t>The David L. Schnadig 2017 Trust</t>
        </is>
      </c>
      <c r="B70" s="613" t="n">
        <v>0</v>
      </c>
      <c r="C70" s="613" t="n">
        <v>0</v>
      </c>
      <c r="D70" s="613" t="inlineStr">
        <is>
          <t>BBR</t>
        </is>
      </c>
      <c r="E70" s="614" t="n">
        <v>1000000</v>
      </c>
      <c r="F70" s="616">
        <f>E70/$E$86</f>
        <v/>
      </c>
      <c r="G70" s="614">
        <f>E70</f>
        <v/>
      </c>
      <c r="H70" s="614">
        <f>G70</f>
        <v/>
      </c>
      <c r="I70" s="616">
        <f>E70/$E$83</f>
        <v/>
      </c>
      <c r="J70" s="616">
        <f>G70/$G$83</f>
        <v/>
      </c>
      <c r="K70" s="616">
        <f>H70/$H$83</f>
        <v/>
      </c>
      <c r="M70" s="613">
        <f>$M$3*I70</f>
        <v/>
      </c>
      <c r="N70" s="613" t="n">
        <v>-12201.09</v>
      </c>
      <c r="O70" s="613" t="n">
        <v>-2500</v>
      </c>
      <c r="P70" s="613">
        <f>$P$3*I70</f>
        <v/>
      </c>
      <c r="Q70" s="613" t="n">
        <v>-100704.7800000001</v>
      </c>
      <c r="R70" s="613">
        <f>SUM(M70:Q70)</f>
        <v/>
      </c>
      <c r="S70" s="614" t="n"/>
      <c r="T70" s="617">
        <f>$T$3*K70</f>
        <v/>
      </c>
      <c r="U70" s="618" t="n">
        <v>0</v>
      </c>
      <c r="V70" s="617">
        <f>O70+N70+U70</f>
        <v/>
      </c>
      <c r="W70" s="617">
        <f>J70*$W$3</f>
        <v/>
      </c>
      <c r="X70" s="617">
        <f>$X$3*J70</f>
        <v/>
      </c>
      <c r="Y70" s="619">
        <f>X70-Q70</f>
        <v/>
      </c>
      <c r="Z70" s="617">
        <f>T70+W70+X70+V70</f>
        <v/>
      </c>
      <c r="AA70" s="614" t="n"/>
      <c r="AB70" s="633">
        <f>T70/G70</f>
        <v/>
      </c>
      <c r="AC70" s="634">
        <f>V70/G70</f>
        <v/>
      </c>
      <c r="AD70" s="634">
        <f>W70/G70</f>
        <v/>
      </c>
      <c r="AE70" s="634">
        <f>X70/G70</f>
        <v/>
      </c>
      <c r="AF70" s="1007">
        <f>AE70+AD70+AB70</f>
        <v/>
      </c>
      <c r="AG70" s="614" t="n"/>
      <c r="AH70" s="623" t="n"/>
      <c r="AI70" s="617" t="n"/>
      <c r="AJ70" s="617">
        <f>SUM(M70,P70,Q70)-SUM(T70,W70,X70)+AI70</f>
        <v/>
      </c>
      <c r="AK70" s="624" t="n"/>
      <c r="AL70" s="625">
        <f>AJ70</f>
        <v/>
      </c>
      <c r="AM70" s="626">
        <f>AJ70/G70</f>
        <v/>
      </c>
      <c r="AN70" s="626">
        <f>AC70</f>
        <v/>
      </c>
      <c r="AO70" s="627">
        <f>SUM(AM70:AN70)</f>
        <v/>
      </c>
      <c r="AP70" s="624" t="n"/>
      <c r="AQ70" s="623" t="n"/>
      <c r="AR70" s="632" t="n">
        <v>-14513.18605955992</v>
      </c>
      <c r="AS70" s="625">
        <f>AR70</f>
        <v/>
      </c>
      <c r="AT70" s="627">
        <f>AR70/R70</f>
        <v/>
      </c>
      <c r="AU70" s="624" t="n"/>
      <c r="AV70" s="623" t="n"/>
      <c r="AW70" s="632">
        <f>AR70+AJ70</f>
        <v/>
      </c>
      <c r="AX70" s="624" t="n"/>
      <c r="AY70" s="623" t="n"/>
      <c r="AZ70" s="632" t="n"/>
      <c r="BA70" s="624" t="n"/>
    </row>
    <row r="71">
      <c r="A71" s="612" t="inlineStr">
        <is>
          <t>The Diane Rosen 2021 Irrevocable Family Trust</t>
        </is>
      </c>
      <c r="B71" s="613" t="n">
        <v>0</v>
      </c>
      <c r="C71" s="613" t="n">
        <v>0</v>
      </c>
      <c r="D71" s="613" t="inlineStr">
        <is>
          <t>BBR</t>
        </is>
      </c>
      <c r="E71" s="614" t="n">
        <v>600000</v>
      </c>
      <c r="F71" s="616">
        <f>E71/$E$86</f>
        <v/>
      </c>
      <c r="G71" s="614">
        <f>E71</f>
        <v/>
      </c>
      <c r="H71" s="614">
        <f>G71</f>
        <v/>
      </c>
      <c r="I71" s="616">
        <f>E71/$E$83</f>
        <v/>
      </c>
      <c r="J71" s="616">
        <f>G71/$G$83</f>
        <v/>
      </c>
      <c r="K71" s="616">
        <f>H71/$H$83</f>
        <v/>
      </c>
      <c r="M71" s="613">
        <f>$M$3*I71</f>
        <v/>
      </c>
      <c r="N71" s="613" t="n">
        <v>-7320.65</v>
      </c>
      <c r="O71" s="613" t="n">
        <v>-1500</v>
      </c>
      <c r="P71" s="613">
        <f>$P$3*I71</f>
        <v/>
      </c>
      <c r="Q71" s="613" t="n">
        <v>-60422.86999999992</v>
      </c>
      <c r="R71" s="613">
        <f>SUM(M71:Q71)</f>
        <v/>
      </c>
      <c r="S71" s="614" t="n"/>
      <c r="T71" s="617">
        <f>$T$3*K71</f>
        <v/>
      </c>
      <c r="U71" s="618" t="n">
        <v>0</v>
      </c>
      <c r="V71" s="617">
        <f>O71+N71+U71</f>
        <v/>
      </c>
      <c r="W71" s="617">
        <f>J71*$W$3</f>
        <v/>
      </c>
      <c r="X71" s="617">
        <f>$X$3*J71</f>
        <v/>
      </c>
      <c r="Y71" s="619">
        <f>X71-Q71</f>
        <v/>
      </c>
      <c r="Z71" s="617">
        <f>T71+W71+X71+V71</f>
        <v/>
      </c>
      <c r="AA71" s="614" t="n"/>
      <c r="AB71" s="633">
        <f>T71/G71</f>
        <v/>
      </c>
      <c r="AC71" s="634">
        <f>V71/G71</f>
        <v/>
      </c>
      <c r="AD71" s="634">
        <f>W71/G71</f>
        <v/>
      </c>
      <c r="AE71" s="634">
        <f>X71/G71</f>
        <v/>
      </c>
      <c r="AF71" s="1007">
        <f>AE71+AD71+AB71</f>
        <v/>
      </c>
      <c r="AG71" s="614" t="n"/>
      <c r="AH71" s="623" t="n"/>
      <c r="AI71" s="617" t="n"/>
      <c r="AJ71" s="617">
        <f>SUM(M71,P71,Q71)-SUM(T71,W71,X71)+AI71</f>
        <v/>
      </c>
      <c r="AK71" s="624" t="n"/>
      <c r="AL71" s="625">
        <f>AJ71</f>
        <v/>
      </c>
      <c r="AM71" s="626">
        <f>AJ71/G71</f>
        <v/>
      </c>
      <c r="AN71" s="626">
        <f>AC71</f>
        <v/>
      </c>
      <c r="AO71" s="627">
        <f>SUM(AM71:AN71)</f>
        <v/>
      </c>
      <c r="AP71" s="624" t="n"/>
      <c r="AQ71" s="623" t="n"/>
      <c r="AR71" s="632" t="n">
        <v>-8707.911635735951</v>
      </c>
      <c r="AS71" s="625">
        <f>AR71</f>
        <v/>
      </c>
      <c r="AT71" s="627">
        <f>AR71/R71</f>
        <v/>
      </c>
      <c r="AU71" s="624" t="n"/>
      <c r="AV71" s="623" t="n"/>
      <c r="AW71" s="632">
        <f>AR71+AJ71</f>
        <v/>
      </c>
      <c r="AX71" s="624" t="n"/>
      <c r="AY71" s="623" t="n"/>
      <c r="AZ71" s="632" t="n"/>
      <c r="BA71" s="624" t="n"/>
    </row>
    <row r="72">
      <c r="A72" s="612" t="inlineStr">
        <is>
          <t>The Mark T. Kirchdorfer 2015 Family Delaware Dynasty Trust</t>
        </is>
      </c>
      <c r="B72" s="613" t="n">
        <v>0</v>
      </c>
      <c r="C72" s="613" t="n">
        <v>0</v>
      </c>
      <c r="D72" s="613" t="inlineStr">
        <is>
          <t>BBR</t>
        </is>
      </c>
      <c r="E72" s="614" t="n">
        <v>1000000</v>
      </c>
      <c r="F72" s="616">
        <f>E72/$E$86</f>
        <v/>
      </c>
      <c r="G72" s="614">
        <f>E72</f>
        <v/>
      </c>
      <c r="H72" s="614">
        <f>G72</f>
        <v/>
      </c>
      <c r="I72" s="616">
        <f>E72/$E$83</f>
        <v/>
      </c>
      <c r="J72" s="616">
        <f>G72/$G$83</f>
        <v/>
      </c>
      <c r="K72" s="616">
        <f>H72/$H$83</f>
        <v/>
      </c>
      <c r="M72" s="613">
        <f>$M$3*I72</f>
        <v/>
      </c>
      <c r="N72" s="613" t="n">
        <v>-12201.09</v>
      </c>
      <c r="O72" s="613" t="n">
        <v>-2500</v>
      </c>
      <c r="P72" s="613">
        <f>$P$3*I72</f>
        <v/>
      </c>
      <c r="Q72" s="613" t="n">
        <v>-100704.7800000001</v>
      </c>
      <c r="R72" s="613">
        <f>SUM(M72:Q72)</f>
        <v/>
      </c>
      <c r="S72" s="614" t="n"/>
      <c r="T72" s="617">
        <f>$T$3*K72</f>
        <v/>
      </c>
      <c r="U72" s="618" t="n">
        <v>0</v>
      </c>
      <c r="V72" s="617">
        <f>O72+N72+U72</f>
        <v/>
      </c>
      <c r="W72" s="617">
        <f>J72*$W$3</f>
        <v/>
      </c>
      <c r="X72" s="617">
        <f>$X$3*J72</f>
        <v/>
      </c>
      <c r="Y72" s="619">
        <f>X72-Q72</f>
        <v/>
      </c>
      <c r="Z72" s="617">
        <f>T72+W72+X72+V72</f>
        <v/>
      </c>
      <c r="AA72" s="614" t="n"/>
      <c r="AB72" s="633">
        <f>T72/G72</f>
        <v/>
      </c>
      <c r="AC72" s="634">
        <f>V72/G72</f>
        <v/>
      </c>
      <c r="AD72" s="634">
        <f>W72/G72</f>
        <v/>
      </c>
      <c r="AE72" s="634">
        <f>X72/G72</f>
        <v/>
      </c>
      <c r="AF72" s="1007">
        <f>AE72+AD72+AB72</f>
        <v/>
      </c>
      <c r="AG72" s="614" t="n"/>
      <c r="AH72" s="623" t="n"/>
      <c r="AI72" s="617" t="n"/>
      <c r="AJ72" s="617">
        <f>SUM(M72,P72,Q72)-SUM(T72,W72,X72)+AI72</f>
        <v/>
      </c>
      <c r="AK72" s="624" t="n"/>
      <c r="AL72" s="625">
        <f>AJ72</f>
        <v/>
      </c>
      <c r="AM72" s="626">
        <f>AJ72/G72</f>
        <v/>
      </c>
      <c r="AN72" s="626">
        <f>AC72</f>
        <v/>
      </c>
      <c r="AO72" s="627">
        <f>SUM(AM72:AN72)</f>
        <v/>
      </c>
      <c r="AP72" s="624" t="n"/>
      <c r="AQ72" s="623" t="n"/>
      <c r="AR72" s="632" t="n">
        <v>-14513.18605955992</v>
      </c>
      <c r="AS72" s="625">
        <f>AR72</f>
        <v/>
      </c>
      <c r="AT72" s="627">
        <f>AR72/R72</f>
        <v/>
      </c>
      <c r="AU72" s="624" t="n"/>
      <c r="AV72" s="623" t="n"/>
      <c r="AW72" s="632">
        <f>AR72+AJ72</f>
        <v/>
      </c>
      <c r="AX72" s="624" t="n"/>
      <c r="AY72" s="623" t="n"/>
      <c r="AZ72" s="632" t="n"/>
      <c r="BA72" s="624" t="n"/>
    </row>
    <row r="73">
      <c r="A73" s="612" t="inlineStr">
        <is>
          <t>University of Southern California</t>
        </is>
      </c>
      <c r="B73" s="613" t="n">
        <v>0</v>
      </c>
      <c r="C73" s="613" t="n">
        <v>0</v>
      </c>
      <c r="D73" s="613" t="inlineStr">
        <is>
          <t>USC</t>
        </is>
      </c>
      <c r="E73" s="614" t="n">
        <v>20000000</v>
      </c>
      <c r="F73" s="616">
        <f>E73/$E$86</f>
        <v/>
      </c>
      <c r="G73" s="614">
        <f>E73</f>
        <v/>
      </c>
      <c r="H73" s="614">
        <f>G73</f>
        <v/>
      </c>
      <c r="I73" s="616">
        <f>E73/$E$83</f>
        <v/>
      </c>
      <c r="J73" s="616">
        <f>G73/$G$83</f>
        <v/>
      </c>
      <c r="K73" s="616">
        <f>H73/$H$83</f>
        <v/>
      </c>
      <c r="M73" s="613">
        <f>$M$3*I73</f>
        <v/>
      </c>
      <c r="N73" s="613" t="n">
        <v>-294021.74</v>
      </c>
      <c r="O73" s="613" t="n">
        <v>-75000</v>
      </c>
      <c r="P73" s="613">
        <f>$P$3*I73</f>
        <v/>
      </c>
      <c r="Q73" s="613" t="n">
        <v>-1939095.619999997</v>
      </c>
      <c r="R73" s="613">
        <f>SUM(M73:Q73)</f>
        <v/>
      </c>
      <c r="S73" s="614" t="n"/>
      <c r="T73" s="617">
        <f>$T$3*K73</f>
        <v/>
      </c>
      <c r="U73" s="618" t="n">
        <v>0</v>
      </c>
      <c r="V73" s="617">
        <f>O73+N73+U73</f>
        <v/>
      </c>
      <c r="W73" s="617">
        <f>J73*$W$3</f>
        <v/>
      </c>
      <c r="X73" s="617">
        <f>$X$3*J73</f>
        <v/>
      </c>
      <c r="Y73" s="619">
        <f>X73-Q73</f>
        <v/>
      </c>
      <c r="Z73" s="617">
        <f>T73+W73+X73+V73</f>
        <v/>
      </c>
      <c r="AA73" s="614" t="n"/>
      <c r="AB73" s="633">
        <f>T73/G73</f>
        <v/>
      </c>
      <c r="AC73" s="634">
        <f>V73/G73</f>
        <v/>
      </c>
      <c r="AD73" s="634">
        <f>W73/G73</f>
        <v/>
      </c>
      <c r="AE73" s="634">
        <f>X73/G73</f>
        <v/>
      </c>
      <c r="AF73" s="1007">
        <f>AE73+AD73+AB73</f>
        <v/>
      </c>
      <c r="AG73" s="614" t="n"/>
      <c r="AH73" s="623" t="n"/>
      <c r="AI73" s="617" t="n"/>
      <c r="AJ73" s="617">
        <f>SUM(M73,P73,Q73)-SUM(T73,W73,X73)+AI73</f>
        <v/>
      </c>
      <c r="AK73" s="624" t="n"/>
      <c r="AL73" s="625">
        <f>AJ73</f>
        <v/>
      </c>
      <c r="AM73" s="626">
        <f>AJ73/G73</f>
        <v/>
      </c>
      <c r="AN73" s="626">
        <f>AC73</f>
        <v/>
      </c>
      <c r="AO73" s="627">
        <f>SUM(AM73:AN73)</f>
        <v/>
      </c>
      <c r="AP73" s="624" t="n"/>
      <c r="AQ73" s="623" t="n"/>
      <c r="AR73" s="632" t="n">
        <v>-290263.7211911984</v>
      </c>
      <c r="AS73" s="625">
        <f>AR73</f>
        <v/>
      </c>
      <c r="AT73" s="627">
        <f>AR73/R73</f>
        <v/>
      </c>
      <c r="AU73" s="624" t="n"/>
      <c r="AV73" s="623" t="n"/>
      <c r="AW73" s="632">
        <f>AR73+AJ73</f>
        <v/>
      </c>
      <c r="AX73" s="624" t="n"/>
      <c r="AY73" s="623" t="n"/>
      <c r="AZ73" s="632" t="n"/>
      <c r="BA73" s="624" t="n"/>
    </row>
    <row r="74">
      <c r="A74" s="612" t="inlineStr">
        <is>
          <t>Walker D. Zimmerman</t>
        </is>
      </c>
      <c r="B74" s="613" t="n">
        <v>0</v>
      </c>
      <c r="C74" s="613" t="n">
        <v>0</v>
      </c>
      <c r="D74" s="613" t="inlineStr">
        <is>
          <t>Standard</t>
        </is>
      </c>
      <c r="E74" s="614" t="n">
        <v>250000</v>
      </c>
      <c r="F74" s="616">
        <f>E74/$E$86</f>
        <v/>
      </c>
      <c r="G74" s="614">
        <f>E74</f>
        <v/>
      </c>
      <c r="H74" s="614">
        <f>G74</f>
        <v/>
      </c>
      <c r="I74" s="616">
        <f>E74/$E$83</f>
        <v/>
      </c>
      <c r="J74" s="616">
        <f>G74/$G$83</f>
        <v/>
      </c>
      <c r="K74" s="616">
        <f>H74/$H$83</f>
        <v/>
      </c>
      <c r="M74" s="613">
        <f>$M$3*I74</f>
        <v/>
      </c>
      <c r="N74" s="613" t="n">
        <v>-4575.41</v>
      </c>
      <c r="O74" s="613" t="n">
        <v>-937.5</v>
      </c>
      <c r="P74" s="613">
        <f>$P$3*I74</f>
        <v/>
      </c>
      <c r="Q74" s="613" t="n">
        <v>-23338.56000000001</v>
      </c>
      <c r="R74" s="613">
        <f>SUM(M74:Q74)</f>
        <v/>
      </c>
      <c r="S74" s="614" t="n"/>
      <c r="T74" s="617">
        <f>$T$3*K74</f>
        <v/>
      </c>
      <c r="U74" s="618" t="n">
        <v>0</v>
      </c>
      <c r="V74" s="617">
        <f>O74+N74+U74</f>
        <v/>
      </c>
      <c r="W74" s="617">
        <f>J74*$W$3</f>
        <v/>
      </c>
      <c r="X74" s="617">
        <f>$X$3*J74</f>
        <v/>
      </c>
      <c r="Y74" s="619">
        <f>X74-Q74</f>
        <v/>
      </c>
      <c r="Z74" s="617">
        <f>T74+W74+X74+V74</f>
        <v/>
      </c>
      <c r="AA74" s="614" t="n"/>
      <c r="AB74" s="633">
        <f>T74/G74</f>
        <v/>
      </c>
      <c r="AC74" s="634">
        <f>V74/G74</f>
        <v/>
      </c>
      <c r="AD74" s="634">
        <f>W74/G74</f>
        <v/>
      </c>
      <c r="AE74" s="634">
        <f>X74/G74</f>
        <v/>
      </c>
      <c r="AF74" s="1007">
        <f>AE74+AD74+AB74</f>
        <v/>
      </c>
      <c r="AG74" s="614" t="n"/>
      <c r="AH74" s="623" t="n"/>
      <c r="AI74" s="617" t="n"/>
      <c r="AJ74" s="617">
        <f>SUM(M74,P74,Q74)-SUM(T74,W74,X74)+AI74</f>
        <v/>
      </c>
      <c r="AK74" s="624" t="n"/>
      <c r="AL74" s="625">
        <f>AJ74</f>
        <v/>
      </c>
      <c r="AM74" s="626">
        <f>AJ74/G74</f>
        <v/>
      </c>
      <c r="AN74" s="626">
        <f>AC74</f>
        <v/>
      </c>
      <c r="AO74" s="627">
        <f>SUM(AM74:AN74)</f>
        <v/>
      </c>
      <c r="AP74" s="624" t="n"/>
      <c r="AQ74" s="623" t="n"/>
      <c r="AR74" s="632" t="n">
        <v>-3628.296514889979</v>
      </c>
      <c r="AS74" s="625">
        <f>AR74</f>
        <v/>
      </c>
      <c r="AT74" s="627">
        <f>AR74/R74</f>
        <v/>
      </c>
      <c r="AU74" s="624" t="n"/>
      <c r="AV74" s="623" t="n"/>
      <c r="AW74" s="632">
        <f>AR74+AJ74</f>
        <v/>
      </c>
      <c r="AX74" s="624" t="n"/>
      <c r="AY74" s="623" t="n"/>
      <c r="AZ74" s="632" t="n"/>
      <c r="BA74" s="624" t="n"/>
    </row>
    <row r="75">
      <c r="A75" s="612" t="inlineStr">
        <is>
          <t>Wilson Family Trust DTD 3-6-1987</t>
        </is>
      </c>
      <c r="B75" s="613" t="n">
        <v>313201.2622163538</v>
      </c>
      <c r="C75" s="613" t="n">
        <v>0</v>
      </c>
      <c r="D75" s="613" t="inlineStr">
        <is>
          <t>Standard</t>
        </is>
      </c>
      <c r="E75" s="614" t="n">
        <v>313201.26</v>
      </c>
      <c r="F75" s="616">
        <f>E75/$E$86</f>
        <v/>
      </c>
      <c r="G75" s="614">
        <f>E75</f>
        <v/>
      </c>
      <c r="H75" s="614">
        <f>G75</f>
        <v/>
      </c>
      <c r="I75" s="616">
        <f>E75/$E$83</f>
        <v/>
      </c>
      <c r="J75" s="616">
        <f>G75/$G$83</f>
        <v/>
      </c>
      <c r="K75" s="616">
        <f>H75/$H$83</f>
        <v/>
      </c>
      <c r="M75" s="613">
        <f>$M$3*I75</f>
        <v/>
      </c>
      <c r="N75" s="613" t="n">
        <v>-2560.89</v>
      </c>
      <c r="O75" s="613" t="n">
        <v>-1174.5</v>
      </c>
      <c r="P75" s="613">
        <f>$P$3*I75</f>
        <v/>
      </c>
      <c r="Q75" s="613" t="n">
        <v>-32409.87999999995</v>
      </c>
      <c r="R75" s="613">
        <f>SUM(M75:Q75)</f>
        <v/>
      </c>
      <c r="S75" s="614" t="n"/>
      <c r="T75" s="617">
        <f>$T$3*K75</f>
        <v/>
      </c>
      <c r="U75" s="618" t="n">
        <v>0</v>
      </c>
      <c r="V75" s="617">
        <f>O75+N75+U75</f>
        <v/>
      </c>
      <c r="W75" s="617">
        <f>J75*$W$3</f>
        <v/>
      </c>
      <c r="X75" s="617">
        <f>$X$3*J75</f>
        <v/>
      </c>
      <c r="Y75" s="619">
        <f>X75-Q75</f>
        <v/>
      </c>
      <c r="Z75" s="617">
        <f>T75+W75+X75+V75</f>
        <v/>
      </c>
      <c r="AA75" s="614" t="n"/>
      <c r="AB75" s="633">
        <f>T75/G75</f>
        <v/>
      </c>
      <c r="AC75" s="634">
        <f>V75/G75</f>
        <v/>
      </c>
      <c r="AD75" s="634">
        <f>W75/G75</f>
        <v/>
      </c>
      <c r="AE75" s="634">
        <f>X75/G75</f>
        <v/>
      </c>
      <c r="AF75" s="1007">
        <f>AE75+AD75+AB75</f>
        <v/>
      </c>
      <c r="AG75" s="614" t="n"/>
      <c r="AH75" s="623" t="n"/>
      <c r="AI75" s="617" t="n"/>
      <c r="AJ75" s="617">
        <f>SUM(M75,P75,Q75)-SUM(T75,W75,X75)+AI75</f>
        <v/>
      </c>
      <c r="AK75" s="624" t="n"/>
      <c r="AL75" s="625">
        <f>AJ75</f>
        <v/>
      </c>
      <c r="AM75" s="626">
        <f>AJ75/G75</f>
        <v/>
      </c>
      <c r="AN75" s="626">
        <f>AC75</f>
        <v/>
      </c>
      <c r="AO75" s="627">
        <f>SUM(AM75:AN75)</f>
        <v/>
      </c>
      <c r="AP75" s="624" t="n"/>
      <c r="AQ75" s="623" t="n"/>
      <c r="AR75" s="632" t="n">
        <v>-4545.5481604686</v>
      </c>
      <c r="AS75" s="625">
        <f>AR75</f>
        <v/>
      </c>
      <c r="AT75" s="627">
        <f>AR75/R75</f>
        <v/>
      </c>
      <c r="AU75" s="624" t="n"/>
      <c r="AV75" s="623" t="n"/>
      <c r="AW75" s="632">
        <f>AR75+AJ75</f>
        <v/>
      </c>
      <c r="AX75" s="624" t="n"/>
      <c r="AY75" s="623" t="n"/>
      <c r="AZ75" s="632" t="n"/>
      <c r="BA75" s="624" t="n"/>
    </row>
    <row r="76">
      <c r="A76" s="612" t="inlineStr">
        <is>
          <t>Wilson GST Exempt Trust</t>
        </is>
      </c>
      <c r="B76" s="613" t="n">
        <v>313201.2622163538</v>
      </c>
      <c r="C76" s="613" t="n">
        <v>0</v>
      </c>
      <c r="D76" s="613" t="inlineStr">
        <is>
          <t>Standard</t>
        </is>
      </c>
      <c r="E76" s="614" t="n">
        <v>313201.26</v>
      </c>
      <c r="F76" s="616">
        <f>E76/$E$86</f>
        <v/>
      </c>
      <c r="G76" s="614">
        <f>E76</f>
        <v/>
      </c>
      <c r="H76" s="614">
        <f>G76</f>
        <v/>
      </c>
      <c r="I76" s="616">
        <f>E76/$E$83</f>
        <v/>
      </c>
      <c r="J76" s="616">
        <f>G76/$G$83</f>
        <v/>
      </c>
      <c r="K76" s="616">
        <f>H76/$H$83</f>
        <v/>
      </c>
      <c r="M76" s="613">
        <f>$M$3*I76</f>
        <v/>
      </c>
      <c r="N76" s="613" t="n">
        <v>-2560.89</v>
      </c>
      <c r="O76" s="613" t="n">
        <v>-1174.5</v>
      </c>
      <c r="P76" s="613">
        <f>$P$3*I76</f>
        <v/>
      </c>
      <c r="Q76" s="613" t="n">
        <v>-32409.87999999995</v>
      </c>
      <c r="R76" s="613">
        <f>SUM(M76:Q76)</f>
        <v/>
      </c>
      <c r="S76" s="614" t="n"/>
      <c r="T76" s="617">
        <f>$T$3*K76</f>
        <v/>
      </c>
      <c r="U76" s="618" t="n">
        <v>0</v>
      </c>
      <c r="V76" s="617">
        <f>O76+N76+U76</f>
        <v/>
      </c>
      <c r="W76" s="617">
        <f>J76*$W$3</f>
        <v/>
      </c>
      <c r="X76" s="617">
        <f>$X$3*J76</f>
        <v/>
      </c>
      <c r="Y76" s="619">
        <f>X76-Q76</f>
        <v/>
      </c>
      <c r="Z76" s="617">
        <f>T76+W76+X76+V76</f>
        <v/>
      </c>
      <c r="AA76" s="614" t="n"/>
      <c r="AB76" s="633">
        <f>T76/G76</f>
        <v/>
      </c>
      <c r="AC76" s="634">
        <f>V76/G76</f>
        <v/>
      </c>
      <c r="AD76" s="634">
        <f>W76/G76</f>
        <v/>
      </c>
      <c r="AE76" s="634">
        <f>X76/G76</f>
        <v/>
      </c>
      <c r="AF76" s="1007">
        <f>AE76+AD76+AB76</f>
        <v/>
      </c>
      <c r="AG76" s="614" t="n"/>
      <c r="AH76" s="623" t="n"/>
      <c r="AI76" s="617" t="n"/>
      <c r="AJ76" s="617">
        <f>SUM(M76,P76,Q76)-SUM(T76,W76,X76)+AI76</f>
        <v/>
      </c>
      <c r="AK76" s="624" t="n"/>
      <c r="AL76" s="625">
        <f>AJ76</f>
        <v/>
      </c>
      <c r="AM76" s="626">
        <f>AJ76/G76</f>
        <v/>
      </c>
      <c r="AN76" s="626">
        <f>AC76</f>
        <v/>
      </c>
      <c r="AO76" s="627">
        <f>SUM(AM76:AN76)</f>
        <v/>
      </c>
      <c r="AP76" s="624" t="n"/>
      <c r="AQ76" s="623" t="n"/>
      <c r="AR76" s="632" t="n">
        <v>-4545.5481604686</v>
      </c>
      <c r="AS76" s="625">
        <f>AR76</f>
        <v/>
      </c>
      <c r="AT76" s="627">
        <f>AR76/R76</f>
        <v/>
      </c>
      <c r="AU76" s="624" t="n"/>
      <c r="AV76" s="623" t="n"/>
      <c r="AW76" s="632">
        <f>AR76+AJ76</f>
        <v/>
      </c>
      <c r="AX76" s="624" t="n"/>
      <c r="AY76" s="623" t="n"/>
      <c r="AZ76" s="632" t="n"/>
      <c r="BA76" s="624" t="n"/>
    </row>
    <row r="77">
      <c r="A77" s="640" t="inlineStr">
        <is>
          <t>Texas Emerging Managers Private Markets Program, L.P. (2025-1 RE Investment Series)</t>
        </is>
      </c>
      <c r="B77" s="641" t="n">
        <v>0</v>
      </c>
      <c r="C77" s="641" t="n">
        <v>0</v>
      </c>
      <c r="D77" s="641" t="inlineStr">
        <is>
          <t>Standard</t>
        </is>
      </c>
      <c r="E77" s="641" t="n">
        <v>0</v>
      </c>
      <c r="F77" s="642">
        <f>E77/$E$86</f>
        <v/>
      </c>
      <c r="G77" s="641" t="n">
        <v>5000000</v>
      </c>
      <c r="H77" s="641">
        <f>G77</f>
        <v/>
      </c>
      <c r="I77" s="643" t="n">
        <v>0</v>
      </c>
      <c r="J77" s="642">
        <f>G77/$G$83</f>
        <v/>
      </c>
      <c r="K77" s="642">
        <f>H77/$H$83</f>
        <v/>
      </c>
      <c r="M77" s="641">
        <f>$M$3*I77</f>
        <v/>
      </c>
      <c r="N77" s="641" t="n">
        <v>0</v>
      </c>
      <c r="O77" s="641" t="n">
        <v>0</v>
      </c>
      <c r="P77" s="641" t="n">
        <v>0</v>
      </c>
      <c r="Q77" s="641" t="n">
        <v>0</v>
      </c>
      <c r="R77" s="641" t="n">
        <v>0</v>
      </c>
      <c r="S77" s="641" t="n"/>
      <c r="T77" s="641">
        <f>$T$3*K77</f>
        <v/>
      </c>
      <c r="U77" s="641" t="n">
        <v>-73505.43478260869</v>
      </c>
      <c r="V77" s="641">
        <f>O77+N77+U77</f>
        <v/>
      </c>
      <c r="W77" s="641">
        <f>J77*$W$3</f>
        <v/>
      </c>
      <c r="X77" s="641">
        <f>$X$3*J77</f>
        <v/>
      </c>
      <c r="Y77" s="641">
        <f>X77-Q77</f>
        <v/>
      </c>
      <c r="Z77" s="641">
        <f>T77+W77+X77+V77</f>
        <v/>
      </c>
      <c r="AA77" s="641" t="n"/>
      <c r="AB77" s="644">
        <f>T77/G77</f>
        <v/>
      </c>
      <c r="AC77" s="645">
        <f>V77/G77</f>
        <v/>
      </c>
      <c r="AD77" s="645">
        <f>W77/G77</f>
        <v/>
      </c>
      <c r="AE77" s="645">
        <f>X77/G77</f>
        <v/>
      </c>
      <c r="AF77" s="1008">
        <f>AE77+AD77+AB77</f>
        <v/>
      </c>
      <c r="AG77" s="641" t="n"/>
      <c r="AH77" s="647">
        <f>-T77-W77-X77</f>
        <v/>
      </c>
      <c r="AI77" s="648" t="n"/>
      <c r="AJ77" s="641">
        <f>SUM(M77,P77,Q77)-SUM(T77,W77,X77)+AI77</f>
        <v/>
      </c>
      <c r="AK77" s="649" t="n"/>
      <c r="AL77" s="650">
        <f>-G77+AH77-V77</f>
        <v/>
      </c>
      <c r="AM77" s="651">
        <f>AL77/G77</f>
        <v/>
      </c>
      <c r="AN77" s="651">
        <f>AC77</f>
        <v/>
      </c>
      <c r="AO77" s="652">
        <f>SUM(AM77:AN77)</f>
        <v/>
      </c>
      <c r="AP77" s="624" t="n"/>
      <c r="AQ77" s="653" t="n">
        <v>207827.6871171307</v>
      </c>
      <c r="AR77" s="654" t="n">
        <v>0</v>
      </c>
      <c r="AS77" s="650">
        <f>AR77</f>
        <v/>
      </c>
      <c r="AT77" s="652" t="n">
        <v>0</v>
      </c>
      <c r="AU77" s="624" t="n"/>
      <c r="AV77" s="653">
        <f>AH77+AQ77</f>
        <v/>
      </c>
      <c r="AW77" s="654" t="n">
        <v>0</v>
      </c>
      <c r="AX77" s="624" t="n"/>
      <c r="AY77" s="653" t="n">
        <v>3699.672424061942</v>
      </c>
      <c r="AZ77" s="654">
        <f>$AQ$3*-P77</f>
        <v/>
      </c>
      <c r="BA77" s="624" t="n"/>
    </row>
    <row r="78">
      <c r="A78" s="640" t="inlineStr">
        <is>
          <t>GCM Grosvenor NJ RE Emerging Managers Program, LP (2023-1 Investment Series)</t>
        </is>
      </c>
      <c r="B78" s="641" t="n">
        <v>0</v>
      </c>
      <c r="C78" s="641" t="n">
        <v>0</v>
      </c>
      <c r="D78" s="641" t="inlineStr">
        <is>
          <t>Standard</t>
        </is>
      </c>
      <c r="E78" s="641" t="n">
        <v>0</v>
      </c>
      <c r="F78" s="642">
        <f>E78/$E$86</f>
        <v/>
      </c>
      <c r="G78" s="641" t="n">
        <v>7500000</v>
      </c>
      <c r="H78" s="641">
        <f>G78</f>
        <v/>
      </c>
      <c r="I78" s="643" t="n">
        <v>0</v>
      </c>
      <c r="J78" s="642">
        <f>G78/$G$83</f>
        <v/>
      </c>
      <c r="K78" s="642">
        <f>H78/$H$83</f>
        <v/>
      </c>
      <c r="M78" s="641">
        <f>$M$3*I78</f>
        <v/>
      </c>
      <c r="N78" s="641" t="n">
        <v>0</v>
      </c>
      <c r="O78" s="641" t="n">
        <v>0</v>
      </c>
      <c r="P78" s="641" t="n">
        <v>0</v>
      </c>
      <c r="Q78" s="641" t="n">
        <v>0</v>
      </c>
      <c r="R78" s="641" t="n">
        <v>0</v>
      </c>
      <c r="S78" s="641" t="n"/>
      <c r="T78" s="641">
        <f>$T$3*K78</f>
        <v/>
      </c>
      <c r="U78" s="641" t="n">
        <v>-110258.1521739131</v>
      </c>
      <c r="V78" s="641">
        <f>O78+N78+U78</f>
        <v/>
      </c>
      <c r="W78" s="641">
        <f>J78*$W$3</f>
        <v/>
      </c>
      <c r="X78" s="641">
        <f>$X$3*J78</f>
        <v/>
      </c>
      <c r="Y78" s="641">
        <f>X78-Q78</f>
        <v/>
      </c>
      <c r="Z78" s="641">
        <f>T78+W78+X78+V78</f>
        <v/>
      </c>
      <c r="AA78" s="641" t="n"/>
      <c r="AB78" s="644">
        <f>T78/G78</f>
        <v/>
      </c>
      <c r="AC78" s="645">
        <f>V78/G78</f>
        <v/>
      </c>
      <c r="AD78" s="645">
        <f>W78/G78</f>
        <v/>
      </c>
      <c r="AE78" s="645">
        <f>X78/G78</f>
        <v/>
      </c>
      <c r="AF78" s="1008">
        <f>AE78+AD78+AB78</f>
        <v/>
      </c>
      <c r="AG78" s="641" t="n"/>
      <c r="AH78" s="647">
        <f>-T78-W78-X78</f>
        <v/>
      </c>
      <c r="AI78" s="648" t="n"/>
      <c r="AJ78" s="641">
        <f>SUM(M78,P78,Q78)-SUM(T78,W78,X78)+AI78</f>
        <v/>
      </c>
      <c r="AK78" s="649" t="n"/>
      <c r="AL78" s="650">
        <f>-G78+AH78-V78</f>
        <v/>
      </c>
      <c r="AM78" s="651">
        <f>AL78/G78</f>
        <v/>
      </c>
      <c r="AN78" s="651">
        <f>AC78</f>
        <v/>
      </c>
      <c r="AO78" s="652">
        <f>SUM(AM78:AN78)</f>
        <v/>
      </c>
      <c r="AP78" s="624" t="n"/>
      <c r="AQ78" s="653" t="n">
        <v>311741.530675696</v>
      </c>
      <c r="AR78" s="654" t="n">
        <v>0</v>
      </c>
      <c r="AS78" s="650">
        <f>AR78</f>
        <v/>
      </c>
      <c r="AT78" s="652" t="n">
        <v>0</v>
      </c>
      <c r="AU78" s="624" t="n"/>
      <c r="AV78" s="653">
        <f>AH78+AQ78</f>
        <v/>
      </c>
      <c r="AW78" s="654" t="n">
        <v>0</v>
      </c>
      <c r="AX78" s="624" t="n"/>
      <c r="AY78" s="653" t="n">
        <v>5549.508636092913</v>
      </c>
      <c r="AZ78" s="654">
        <f>$AQ$3*-P78</f>
        <v/>
      </c>
      <c r="BA78" s="624" t="n"/>
    </row>
    <row r="79">
      <c r="A79" s="640" t="inlineStr">
        <is>
          <t>GCM Grosvenor - NYSTRS Real Estate Investment Partners, L.P. (2024-1 Series)</t>
        </is>
      </c>
      <c r="B79" s="641" t="n">
        <v>0</v>
      </c>
      <c r="C79" s="641" t="n">
        <v>0</v>
      </c>
      <c r="D79" s="641" t="inlineStr">
        <is>
          <t>Standard</t>
        </is>
      </c>
      <c r="E79" s="641" t="n">
        <v>0</v>
      </c>
      <c r="F79" s="642">
        <f>E79/$E$86</f>
        <v/>
      </c>
      <c r="G79" s="641" t="n">
        <v>5000000</v>
      </c>
      <c r="H79" s="641">
        <f>G79</f>
        <v/>
      </c>
      <c r="I79" s="643" t="n">
        <v>0</v>
      </c>
      <c r="J79" s="642">
        <f>G79/$G$83</f>
        <v/>
      </c>
      <c r="K79" s="642">
        <f>H79/$H$83</f>
        <v/>
      </c>
      <c r="M79" s="641">
        <f>$M$3*I79</f>
        <v/>
      </c>
      <c r="N79" s="641" t="n">
        <v>0</v>
      </c>
      <c r="O79" s="641" t="n">
        <v>0</v>
      </c>
      <c r="P79" s="641" t="n">
        <v>0</v>
      </c>
      <c r="Q79" s="641" t="n">
        <v>0</v>
      </c>
      <c r="R79" s="641" t="n">
        <v>0</v>
      </c>
      <c r="S79" s="641" t="n"/>
      <c r="T79" s="641">
        <f>$T$3*K79</f>
        <v/>
      </c>
      <c r="U79" s="641" t="n">
        <v>-73505.43478260869</v>
      </c>
      <c r="V79" s="641">
        <f>O79+N79+U79</f>
        <v/>
      </c>
      <c r="W79" s="641">
        <f>J79*$W$3</f>
        <v/>
      </c>
      <c r="X79" s="641">
        <f>$X$3*J79</f>
        <v/>
      </c>
      <c r="Y79" s="641">
        <f>X79-Q79</f>
        <v/>
      </c>
      <c r="Z79" s="641">
        <f>T79+W79+X79+V79</f>
        <v/>
      </c>
      <c r="AA79" s="641" t="n"/>
      <c r="AB79" s="644">
        <f>T79/G79</f>
        <v/>
      </c>
      <c r="AC79" s="645">
        <f>V79/G79</f>
        <v/>
      </c>
      <c r="AD79" s="645">
        <f>W79/G79</f>
        <v/>
      </c>
      <c r="AE79" s="645">
        <f>X79/G79</f>
        <v/>
      </c>
      <c r="AF79" s="1008">
        <f>AE79+AD79+AB79</f>
        <v/>
      </c>
      <c r="AG79" s="641" t="n"/>
      <c r="AH79" s="647">
        <f>-T79-W79-X79</f>
        <v/>
      </c>
      <c r="AI79" s="648" t="n"/>
      <c r="AJ79" s="641">
        <f>SUM(M79,P79,Q79)-SUM(T79,W79,X79)+AI79</f>
        <v/>
      </c>
      <c r="AK79" s="649" t="n"/>
      <c r="AL79" s="650">
        <f>-G79+AH79-V79</f>
        <v/>
      </c>
      <c r="AM79" s="651">
        <f>AL79/G79</f>
        <v/>
      </c>
      <c r="AN79" s="651">
        <f>AC79</f>
        <v/>
      </c>
      <c r="AO79" s="652">
        <f>SUM(AM79:AN79)</f>
        <v/>
      </c>
      <c r="AP79" s="624" t="n"/>
      <c r="AQ79" s="653" t="n">
        <v>207827.6871171307</v>
      </c>
      <c r="AR79" s="654" t="n">
        <v>0</v>
      </c>
      <c r="AS79" s="650">
        <f>AR79</f>
        <v/>
      </c>
      <c r="AT79" s="652" t="n">
        <v>0</v>
      </c>
      <c r="AU79" s="624" t="n"/>
      <c r="AV79" s="653">
        <f>AH79+AQ79</f>
        <v/>
      </c>
      <c r="AW79" s="654" t="n">
        <v>0</v>
      </c>
      <c r="AX79" s="624" t="n"/>
      <c r="AY79" s="653" t="n">
        <v>3699.672424061942</v>
      </c>
      <c r="AZ79" s="654">
        <f>$AQ$3*-P79</f>
        <v/>
      </c>
      <c r="BA79" s="624" t="n"/>
    </row>
    <row r="80">
      <c r="A80" s="640" t="inlineStr">
        <is>
          <t>CRPTF-GCM Middle-Market RE Partnership, L.P. (2025-01 Investment Series)</t>
        </is>
      </c>
      <c r="B80" s="641" t="n">
        <v>0</v>
      </c>
      <c r="C80" s="641" t="n">
        <v>0</v>
      </c>
      <c r="D80" s="641" t="inlineStr">
        <is>
          <t>Standard</t>
        </is>
      </c>
      <c r="E80" s="641" t="n">
        <v>0</v>
      </c>
      <c r="F80" s="642">
        <f>E80/$E$86</f>
        <v/>
      </c>
      <c r="G80" s="641" t="n">
        <v>30000000</v>
      </c>
      <c r="H80" s="641">
        <f>G80</f>
        <v/>
      </c>
      <c r="I80" s="643" t="n">
        <v>0</v>
      </c>
      <c r="J80" s="642">
        <f>G80/$G$83</f>
        <v/>
      </c>
      <c r="K80" s="642">
        <f>H80/$H$83</f>
        <v/>
      </c>
      <c r="M80" s="641">
        <f>$M$3*I80</f>
        <v/>
      </c>
      <c r="N80" s="641" t="n">
        <v>0</v>
      </c>
      <c r="O80" s="641" t="n">
        <v>0</v>
      </c>
      <c r="P80" s="641" t="n">
        <v>0</v>
      </c>
      <c r="Q80" s="641" t="n">
        <v>0</v>
      </c>
      <c r="R80" s="641" t="n">
        <v>0</v>
      </c>
      <c r="S80" s="641" t="n"/>
      <c r="T80" s="641">
        <f>$T$3*K80</f>
        <v/>
      </c>
      <c r="U80" s="641" t="n">
        <v>-441032.6086956522</v>
      </c>
      <c r="V80" s="641">
        <f>O80+N80+U80</f>
        <v/>
      </c>
      <c r="W80" s="641">
        <f>J80*$W$3</f>
        <v/>
      </c>
      <c r="X80" s="641">
        <f>$X$3*J80</f>
        <v/>
      </c>
      <c r="Y80" s="641">
        <f>X80-Q80</f>
        <v/>
      </c>
      <c r="Z80" s="641">
        <f>T80+W80+X80+V80</f>
        <v/>
      </c>
      <c r="AA80" s="641" t="n"/>
      <c r="AB80" s="644">
        <f>T80/G80</f>
        <v/>
      </c>
      <c r="AC80" s="645">
        <f>V80/G80</f>
        <v/>
      </c>
      <c r="AD80" s="645">
        <f>W80/G80</f>
        <v/>
      </c>
      <c r="AE80" s="645">
        <f>X80/G80</f>
        <v/>
      </c>
      <c r="AF80" s="1008">
        <f>AE80+AD80+AB80</f>
        <v/>
      </c>
      <c r="AG80" s="641" t="n"/>
      <c r="AH80" s="647">
        <f>-T80-W80-X80</f>
        <v/>
      </c>
      <c r="AI80" s="648" t="n"/>
      <c r="AJ80" s="641">
        <f>SUM(M80,P80,Q80)-SUM(T80,W80,X80)+AI80</f>
        <v/>
      </c>
      <c r="AK80" s="649" t="n"/>
      <c r="AL80" s="650">
        <f>-G80+AH80-V80</f>
        <v/>
      </c>
      <c r="AM80" s="651">
        <f>AL80/G80</f>
        <v/>
      </c>
      <c r="AN80" s="651">
        <f>AC80</f>
        <v/>
      </c>
      <c r="AO80" s="652">
        <f>SUM(AM80:AN80)</f>
        <v/>
      </c>
      <c r="AP80" s="624" t="n"/>
      <c r="AQ80" s="653" t="n">
        <v>1246966.122702784</v>
      </c>
      <c r="AR80" s="654" t="n">
        <v>0</v>
      </c>
      <c r="AS80" s="650">
        <f>AR80</f>
        <v/>
      </c>
      <c r="AT80" s="652" t="n">
        <v>0</v>
      </c>
      <c r="AU80" s="624" t="n"/>
      <c r="AV80" s="653">
        <f>AH80+AQ80</f>
        <v/>
      </c>
      <c r="AW80" s="654" t="n">
        <v>0</v>
      </c>
      <c r="AX80" s="624" t="n"/>
      <c r="AY80" s="653" t="n">
        <v>22198.03454437165</v>
      </c>
      <c r="AZ80" s="654">
        <f>$AQ$3*-P80</f>
        <v/>
      </c>
      <c r="BA80" s="624" t="n"/>
    </row>
    <row r="81">
      <c r="A81" s="612" t="inlineStr">
        <is>
          <t>Legacy Knight Strategic Opportunities Fund LLC - CL Rail Series</t>
        </is>
      </c>
      <c r="B81" s="613" t="n">
        <v>0</v>
      </c>
      <c r="C81" s="613" t="n">
        <v>0</v>
      </c>
      <c r="D81" s="613" t="inlineStr">
        <is>
          <t>Standard</t>
        </is>
      </c>
      <c r="E81" s="614" t="n">
        <v>10000000</v>
      </c>
      <c r="F81" s="616">
        <f>E81/$E$86</f>
        <v/>
      </c>
      <c r="G81" s="614">
        <f>E81</f>
        <v/>
      </c>
      <c r="H81" s="614">
        <f>G81</f>
        <v/>
      </c>
      <c r="I81" s="616">
        <f>E81/$E$83</f>
        <v/>
      </c>
      <c r="J81" s="616">
        <f>G81/$G$83</f>
        <v/>
      </c>
      <c r="K81" s="616">
        <f>H81/$H$83</f>
        <v/>
      </c>
      <c r="M81" s="613">
        <f>$M$3*I81</f>
        <v/>
      </c>
      <c r="N81" s="613" t="n">
        <v>-183016.3</v>
      </c>
      <c r="O81" s="613" t="n">
        <v>-37500</v>
      </c>
      <c r="P81" s="613">
        <f>$P$3*I81</f>
        <v/>
      </c>
      <c r="Q81" s="613" t="n">
        <v>-933542.379999999</v>
      </c>
      <c r="R81" s="613">
        <f>SUM(M81:Q81)</f>
        <v/>
      </c>
      <c r="S81" s="614" t="n"/>
      <c r="T81" s="617">
        <f>$T$3*K81</f>
        <v/>
      </c>
      <c r="U81" s="618" t="n">
        <v>0</v>
      </c>
      <c r="V81" s="617">
        <f>O81+N81+U81</f>
        <v/>
      </c>
      <c r="W81" s="617">
        <f>J81*$W$3</f>
        <v/>
      </c>
      <c r="X81" s="617">
        <f>$X$3*J81</f>
        <v/>
      </c>
      <c r="Y81" s="619">
        <f>X81-Q81</f>
        <v/>
      </c>
      <c r="Z81" s="617">
        <f>T81+W81+X81+V81</f>
        <v/>
      </c>
      <c r="AA81" s="614" t="n"/>
      <c r="AB81" s="633">
        <f>T81/G81</f>
        <v/>
      </c>
      <c r="AC81" s="634">
        <f>V81/G81</f>
        <v/>
      </c>
      <c r="AD81" s="634">
        <f>W81/G81</f>
        <v/>
      </c>
      <c r="AE81" s="634">
        <f>X81/G81</f>
        <v/>
      </c>
      <c r="AF81" s="1007">
        <f>AE81+AD81+AB81</f>
        <v/>
      </c>
      <c r="AG81" s="614" t="n"/>
      <c r="AH81" s="623" t="n"/>
      <c r="AI81" s="617" t="n"/>
      <c r="AJ81" s="617">
        <f>SUM(M81,P81,Q81)-SUM(T81,W81,X81)+AI81</f>
        <v/>
      </c>
      <c r="AK81" s="624" t="n"/>
      <c r="AL81" s="625">
        <f>AJ81</f>
        <v/>
      </c>
      <c r="AM81" s="626">
        <f>AJ81/G81</f>
        <v/>
      </c>
      <c r="AN81" s="626">
        <f>AC81</f>
        <v/>
      </c>
      <c r="AO81" s="627">
        <f>SUM(AM81:AN81)</f>
        <v/>
      </c>
      <c r="AP81" s="624" t="n"/>
      <c r="AQ81" s="623" t="n"/>
      <c r="AR81" s="632" t="n">
        <v>-145131.8605955992</v>
      </c>
      <c r="AS81" s="625">
        <f>AR81</f>
        <v/>
      </c>
      <c r="AT81" s="627">
        <f>AR81/R81</f>
        <v/>
      </c>
      <c r="AU81" s="624" t="n"/>
      <c r="AV81" s="623" t="n"/>
      <c r="AW81" s="632">
        <f>AR81+AJ81</f>
        <v/>
      </c>
      <c r="AX81" s="624" t="n"/>
      <c r="AY81" s="623" t="n"/>
      <c r="AZ81" s="632" t="n"/>
      <c r="BA81" s="624" t="n"/>
    </row>
    <row r="82">
      <c r="A82" s="655" t="inlineStr">
        <is>
          <t>Argos Holdings, LLC</t>
        </is>
      </c>
      <c r="B82" s="656" t="n"/>
      <c r="C82" s="656" t="n"/>
      <c r="D82" s="656" t="n"/>
      <c r="E82" s="657" t="n">
        <v>391501.58</v>
      </c>
      <c r="F82" s="658">
        <f>E82/$E$86</f>
        <v/>
      </c>
      <c r="G82" s="657">
        <f>E82</f>
        <v/>
      </c>
      <c r="H82" s="657">
        <f>E82</f>
        <v/>
      </c>
      <c r="I82" s="660">
        <f>E82/$E$83</f>
        <v/>
      </c>
      <c r="J82" s="660">
        <f>G82/$G$83</f>
        <v/>
      </c>
      <c r="K82" s="660">
        <f>H82/$H$83</f>
        <v/>
      </c>
      <c r="M82" s="656">
        <f>$M$3*I82</f>
        <v/>
      </c>
      <c r="N82" s="656" t="n">
        <v>-3201.12</v>
      </c>
      <c r="O82" s="656" t="n">
        <v>-1468.13</v>
      </c>
      <c r="P82" s="656">
        <f>$P$3*I82</f>
        <v/>
      </c>
      <c r="Q82" s="656" t="n">
        <v>-40512.32999999998</v>
      </c>
      <c r="R82" s="656">
        <f>SUM(M82:Q82)</f>
        <v/>
      </c>
      <c r="S82" s="657" t="n"/>
      <c r="T82" s="661">
        <f>$T$3*K82</f>
        <v/>
      </c>
      <c r="U82" s="662" t="n">
        <v>0</v>
      </c>
      <c r="V82" s="661">
        <f>O82+N82+U82</f>
        <v/>
      </c>
      <c r="W82" s="661">
        <f>J82*$W$3</f>
        <v/>
      </c>
      <c r="X82" s="661">
        <f>$X$3*J82</f>
        <v/>
      </c>
      <c r="Y82" s="663">
        <f>X82-Q82</f>
        <v/>
      </c>
      <c r="Z82" s="661">
        <f>T82+W82+X82+V82</f>
        <v/>
      </c>
      <c r="AA82" s="657" t="n"/>
      <c r="AB82" s="664">
        <f>T82/H82</f>
        <v/>
      </c>
      <c r="AC82" s="665">
        <f>V82/H82</f>
        <v/>
      </c>
      <c r="AD82" s="665">
        <f>W82/G82</f>
        <v/>
      </c>
      <c r="AE82" s="665">
        <f>X82/G82</f>
        <v/>
      </c>
      <c r="AF82" s="1009">
        <f>AE82+AD82+AB82</f>
        <v/>
      </c>
      <c r="AG82" s="657" t="n"/>
      <c r="AH82" s="667" t="n"/>
      <c r="AI82" s="661" t="n"/>
      <c r="AJ82" s="661">
        <f>SUM(M82,P82,Q82)-SUM(T82,W82,X82)+AI82</f>
        <v/>
      </c>
      <c r="AK82" s="668" t="n"/>
      <c r="AL82" s="669">
        <f>AJ82</f>
        <v/>
      </c>
      <c r="AM82" s="670">
        <f>AJ82/H82</f>
        <v/>
      </c>
      <c r="AN82" s="670">
        <f>AC82</f>
        <v/>
      </c>
      <c r="AO82" s="671">
        <f>SUM(AM82:AN82)</f>
        <v/>
      </c>
      <c r="AP82" s="668" t="n"/>
      <c r="AQ82" s="667" t="n"/>
      <c r="AR82" s="672" t="n">
        <v>-5681.935273151683</v>
      </c>
      <c r="AS82" s="669">
        <f>AR82</f>
        <v/>
      </c>
      <c r="AT82" s="671">
        <f>AR82/R82</f>
        <v/>
      </c>
      <c r="AU82" s="668" t="n"/>
      <c r="AV82" s="667" t="n"/>
      <c r="AW82" s="672">
        <f>AR82+AJ82</f>
        <v/>
      </c>
      <c r="AX82" s="668" t="n"/>
      <c r="AY82" s="667" t="n"/>
      <c r="AZ82" s="672" t="n"/>
      <c r="BA82" s="624" t="n"/>
    </row>
    <row r="83">
      <c r="B83" s="673">
        <f>SUM(B4:B81)</f>
        <v/>
      </c>
      <c r="C83" s="673">
        <f>SUM(C4:C81)</f>
        <v/>
      </c>
      <c r="D83" s="673" t="n"/>
      <c r="E83" s="674">
        <f>SUM(E4:E82)</f>
        <v/>
      </c>
      <c r="F83" s="675">
        <f>SUM(F4:F82)</f>
        <v/>
      </c>
      <c r="G83" s="674">
        <f>SUM(G4:G82)</f>
        <v/>
      </c>
      <c r="H83" s="674">
        <f>SUM(H4:H82)</f>
        <v/>
      </c>
      <c r="I83" s="675">
        <f>SUM(I4:I82)</f>
        <v/>
      </c>
      <c r="J83" s="675">
        <f>SUM(J4:J82)</f>
        <v/>
      </c>
      <c r="K83" s="675">
        <f>SUM(K4:K82)</f>
        <v/>
      </c>
      <c r="M83" s="673">
        <f>SUM(M4:M82)</f>
        <v/>
      </c>
      <c r="N83" s="673">
        <f>SUM(N4:N82)</f>
        <v/>
      </c>
      <c r="O83" s="673">
        <f>SUM(O4:O82)</f>
        <v/>
      </c>
      <c r="P83" s="673">
        <f>SUM(P4:P82)</f>
        <v/>
      </c>
      <c r="Q83" s="673">
        <f>SUM(Q4:Q82)</f>
        <v/>
      </c>
      <c r="R83" s="673">
        <f>SUM(R4:R82)</f>
        <v/>
      </c>
      <c r="S83" s="674" t="n"/>
      <c r="T83" s="676">
        <f>SUM(T4:T82)</f>
        <v/>
      </c>
      <c r="U83" s="676">
        <f>SUM(U4:U82)</f>
        <v/>
      </c>
      <c r="V83" s="676">
        <f>SUM(V4:V82)</f>
        <v/>
      </c>
      <c r="W83" s="676">
        <f>SUM(W4:W82)</f>
        <v/>
      </c>
      <c r="X83" s="676">
        <f>SUM(X4:X82)</f>
        <v/>
      </c>
      <c r="Y83" s="676">
        <f>SUM(Y4:Y82)</f>
        <v/>
      </c>
      <c r="Z83" s="676">
        <f>SUM(Z4:Z82)</f>
        <v/>
      </c>
      <c r="AA83" s="674" t="n"/>
      <c r="AB83" s="674" t="n"/>
      <c r="AC83" s="1010" t="n"/>
      <c r="AD83" s="674" t="n"/>
      <c r="AE83" s="674" t="n"/>
      <c r="AG83" s="674" t="n"/>
      <c r="AH83" s="676">
        <f>SUM(AH4:AH81)</f>
        <v/>
      </c>
      <c r="AI83" s="676" t="n"/>
      <c r="AJ83" s="676">
        <f>SUM(AJ4:AJ82)</f>
        <v/>
      </c>
      <c r="AK83" s="678" t="n"/>
      <c r="AL83" s="674">
        <f>SUM(AL4:AL81)</f>
        <v/>
      </c>
      <c r="AP83" s="678" t="n"/>
      <c r="AQ83" s="676">
        <f>SUM(AQ4:AQ81)</f>
        <v/>
      </c>
      <c r="AR83" s="676">
        <f>SUM(AR4:AR82)</f>
        <v/>
      </c>
      <c r="AS83" s="674">
        <f>SUM(AS4:AS81)</f>
        <v/>
      </c>
      <c r="AU83" s="678" t="n"/>
      <c r="AV83" s="676">
        <f>SUM(AV4:AV81)</f>
        <v/>
      </c>
      <c r="AW83" s="676">
        <f>SUM(AW4:AW82)</f>
        <v/>
      </c>
      <c r="AX83" s="678" t="n"/>
      <c r="AY83" s="676">
        <f>SUM(AY4:AY81)</f>
        <v/>
      </c>
      <c r="AZ83" s="676">
        <f>SUM(AZ4:AZ81)</f>
        <v/>
      </c>
      <c r="BA83" s="678" t="n"/>
    </row>
    <row r="84">
      <c r="R84" s="624">
        <f>R83+E83</f>
        <v/>
      </c>
      <c r="Z84" s="614" t="n"/>
    </row>
    <row r="85">
      <c r="A85" s="679" t="inlineStr">
        <is>
          <t>GP Commit</t>
        </is>
      </c>
      <c r="B85" s="624" t="n"/>
      <c r="C85" s="624" t="n"/>
      <c r="E85" s="624">
        <f>E30+E29+E56</f>
        <v/>
      </c>
      <c r="H85" s="624" t="n"/>
      <c r="N85" s="680" t="n"/>
      <c r="O85" s="681" t="n"/>
      <c r="P85" s="681" t="n"/>
      <c r="Q85" s="681" t="n"/>
      <c r="R85" s="573" t="inlineStr">
        <is>
          <t xml:space="preserve"> </t>
        </is>
      </c>
      <c r="S85" s="682" t="n"/>
      <c r="X85" s="679" t="inlineStr">
        <is>
          <t>Increase in contributions</t>
        </is>
      </c>
      <c r="Y85" s="573" t="inlineStr">
        <is>
          <t>Difference</t>
        </is>
      </c>
      <c r="Z85" s="683">
        <f>Z83-R83</f>
        <v/>
      </c>
      <c r="AJ85" s="678" t="n"/>
      <c r="AK85" s="679" t="inlineStr">
        <is>
          <t>Total commitment</t>
        </is>
      </c>
      <c r="AL85" s="684">
        <f>AL83+Z83</f>
        <v/>
      </c>
      <c r="AR85" s="614" t="n"/>
    </row>
    <row r="86">
      <c r="A86" s="679" t="inlineStr">
        <is>
          <t>LP Capital (after Bloomingdale Transfer)</t>
        </is>
      </c>
      <c r="E86" s="624">
        <f>E83-E85</f>
        <v/>
      </c>
      <c r="H86" s="624" t="n"/>
      <c r="S86" s="685" t="n"/>
      <c r="AV86" s="686" t="inlineStr">
        <is>
          <t>Recon to total called</t>
        </is>
      </c>
      <c r="AW86" s="686" t="n"/>
    </row>
    <row r="87">
      <c r="O87" s="687" t="n"/>
      <c r="X87" s="685" t="n"/>
      <c r="Z87" s="624" t="n"/>
      <c r="AV87" s="624">
        <f>AV83</f>
        <v/>
      </c>
      <c r="AW87" s="688" t="inlineStr">
        <is>
          <t>Total disributed to LPs</t>
        </is>
      </c>
    </row>
    <row r="88">
      <c r="AV88" s="624">
        <f>-U83</f>
        <v/>
      </c>
      <c r="AW88" s="688" t="inlineStr">
        <is>
          <t>Total management fees called</t>
        </is>
      </c>
    </row>
    <row r="89">
      <c r="W89" s="689" t="n"/>
      <c r="X89" s="690" t="inlineStr">
        <is>
          <t>Total non-management fee contributions</t>
        </is>
      </c>
      <c r="Y89" s="689" t="n"/>
      <c r="Z89" s="618" t="n">
        <v>140096795.19</v>
      </c>
      <c r="AV89" s="668">
        <f>AY83</f>
        <v/>
      </c>
      <c r="AW89" s="688" t="inlineStr">
        <is>
          <t>Total management fee interest</t>
        </is>
      </c>
    </row>
    <row r="90">
      <c r="W90" s="689" t="n"/>
      <c r="X90" s="690" t="inlineStr">
        <is>
          <t>ITD management fees</t>
        </is>
      </c>
      <c r="Y90" s="689" t="n"/>
      <c r="Z90" s="618" t="n">
        <v>1954982.21</v>
      </c>
      <c r="AV90" s="624">
        <f>SUM(AV87:AV89)</f>
        <v/>
      </c>
      <c r="AW90" s="688" t="inlineStr">
        <is>
          <t>Total called</t>
        </is>
      </c>
    </row>
    <row r="91">
      <c r="W91" s="689" t="n"/>
      <c r="X91" s="690" t="inlineStr">
        <is>
          <t>GCM manamgenet fees</t>
        </is>
      </c>
      <c r="Y91" s="689" t="n"/>
      <c r="Z91" s="662" t="n">
        <v>698301.6304347826</v>
      </c>
      <c r="AV91" s="668" t="n">
        <v>-37905089.54371928</v>
      </c>
      <c r="AW91" s="688" t="inlineStr">
        <is>
          <t>Total call from GCM</t>
        </is>
      </c>
    </row>
    <row r="92">
      <c r="O92" s="691" t="n"/>
      <c r="W92" s="689" t="n"/>
      <c r="X92" s="690" t="inlineStr">
        <is>
          <t>Total invested capital post close</t>
        </is>
      </c>
      <c r="Y92" s="689" t="n"/>
      <c r="Z92" s="692">
        <f>SUM(Z89:Z91)</f>
        <v/>
      </c>
      <c r="AV92" s="624">
        <f>SUM(AV90:AV91)</f>
        <v/>
      </c>
      <c r="AW92" s="688" t="inlineStr">
        <is>
          <t>Difference</t>
        </is>
      </c>
    </row>
    <row r="94">
      <c r="F94" s="678" t="n"/>
      <c r="I94" s="693" t="inlineStr">
        <is>
          <t>Recap - Contributions - Investments</t>
        </is>
      </c>
      <c r="J94" s="694" t="n"/>
      <c r="K94" s="694" t="n"/>
      <c r="L94" s="694" t="n"/>
      <c r="M94" s="694" t="n"/>
      <c r="N94" s="694" t="n"/>
      <c r="O94" s="694" t="n"/>
      <c r="P94" s="695" t="n"/>
      <c r="Q94" s="694" t="n"/>
      <c r="R94" s="696" t="n"/>
      <c r="Z94" s="624">
        <f>Z92+Z83</f>
        <v/>
      </c>
    </row>
    <row r="95">
      <c r="I95" s="697" t="n"/>
      <c r="N95" s="685" t="n"/>
      <c r="O95" s="698" t="inlineStr">
        <is>
          <t>Total Contribution - Investments</t>
        </is>
      </c>
      <c r="P95" s="614" t="n"/>
      <c r="Q95" s="624">
        <f>T83+X83+W3</f>
        <v/>
      </c>
      <c r="R95" s="699" t="n"/>
    </row>
    <row r="96">
      <c r="I96" s="697" t="n"/>
      <c r="N96" s="685" t="n"/>
      <c r="O96" s="698" t="inlineStr">
        <is>
          <t>Total per Closing Interest Tab</t>
        </is>
      </c>
      <c r="P96" s="614" t="n"/>
      <c r="Q96" s="668" t="n">
        <v>140096794.4467555</v>
      </c>
      <c r="R96" s="699" t="n"/>
    </row>
    <row r="97">
      <c r="I97" s="697" t="n"/>
      <c r="N97" s="679" t="n"/>
      <c r="O97" s="700" t="inlineStr">
        <is>
          <t>Difference</t>
        </is>
      </c>
      <c r="P97" s="674" t="n"/>
      <c r="Q97" s="624">
        <f>SUM(Q95:Q96)</f>
        <v/>
      </c>
      <c r="R97" s="699" t="n"/>
      <c r="X97" s="678" t="n"/>
    </row>
    <row r="98">
      <c r="I98" s="697" t="n"/>
      <c r="R98" s="699" t="n"/>
      <c r="AG98" s="701" t="n"/>
    </row>
    <row r="99">
      <c r="F99" s="702" t="n"/>
      <c r="I99" s="703" t="inlineStr">
        <is>
          <t>Total Contributions (non-management fees) by Partner</t>
        </is>
      </c>
      <c r="J99" s="704" t="n"/>
      <c r="K99" s="704" t="n"/>
      <c r="L99" s="704" t="n"/>
      <c r="M99" s="704" t="n"/>
      <c r="N99" s="704" t="n"/>
      <c r="O99" s="704" t="n"/>
      <c r="P99" s="705" t="n"/>
      <c r="Q99" s="704" t="n"/>
      <c r="R99" s="706" t="n"/>
      <c r="AG99" s="614" t="n"/>
    </row>
    <row r="100">
      <c r="I100" s="697" t="n"/>
      <c r="O100" s="685" t="inlineStr">
        <is>
          <t>Texas Emerging Managers Private Markets Program, L.P. (2025-1 RE Investment Series)</t>
        </is>
      </c>
      <c r="Q100" s="624">
        <f>T77+X77+W77</f>
        <v/>
      </c>
      <c r="R100" s="699" t="n"/>
      <c r="AG100" s="614" t="n"/>
    </row>
    <row r="101">
      <c r="I101" s="697" t="n"/>
      <c r="O101" s="685" t="inlineStr">
        <is>
          <t>GCM Grosvenor NJ RE Emerging Managers Program, LP (2023-1 Investment Series)</t>
        </is>
      </c>
      <c r="Q101" s="624">
        <f>T78+X78+W78</f>
        <v/>
      </c>
      <c r="R101" s="699" t="n"/>
      <c r="AG101" s="674" t="n"/>
    </row>
    <row r="102">
      <c r="I102" s="697" t="n"/>
      <c r="O102" s="685" t="inlineStr">
        <is>
          <t>GCM Grosvenor - NYSTRS Real Estate Investment Partners, L.P. (2024-1 Series)</t>
        </is>
      </c>
      <c r="Q102" s="624">
        <f>T79+X79+W79</f>
        <v/>
      </c>
      <c r="R102" s="699" t="n"/>
    </row>
    <row r="103">
      <c r="I103" s="697" t="n"/>
      <c r="O103" s="685" t="inlineStr">
        <is>
          <t>CRPTF-GCM Middle-Market RE Partnership, L.P. (2025-01 Investment Series)</t>
        </is>
      </c>
      <c r="Q103" s="668">
        <f>T80+X80+W80</f>
        <v/>
      </c>
      <c r="R103" s="699" t="n"/>
      <c r="AG103" s="691" t="n"/>
    </row>
    <row r="104">
      <c r="I104" s="697" t="n"/>
      <c r="O104" s="679" t="inlineStr">
        <is>
          <t>Total</t>
        </is>
      </c>
      <c r="Q104" s="674">
        <f>SUM(Q100:Q103)</f>
        <v/>
      </c>
      <c r="R104" s="699" t="n"/>
    </row>
    <row r="105">
      <c r="I105" s="697" t="n"/>
      <c r="O105" s="685" t="inlineStr">
        <is>
          <t>Per closing interest tab</t>
        </is>
      </c>
      <c r="Q105" s="674" t="n">
        <v>35197277.82235931</v>
      </c>
      <c r="R105" s="699" t="n"/>
    </row>
    <row r="106">
      <c r="I106" s="707" t="n"/>
      <c r="J106" s="708" t="n"/>
      <c r="K106" s="708" t="n"/>
      <c r="L106" s="708" t="n"/>
      <c r="M106" s="708" t="n"/>
      <c r="N106" s="708" t="n"/>
      <c r="O106" s="708" t="n"/>
      <c r="P106" s="708" t="n"/>
      <c r="Q106" s="668">
        <f>SUM(Q104:Q105)</f>
        <v/>
      </c>
      <c r="R106" s="709" t="n"/>
    </row>
  </sheetData>
  <pageMargins left="0.7" right="0.7" top="0.75" bottom="0.75" header="0.3" footer="0.3"/>
</worksheet>
</file>

<file path=xl/worksheets/sheet12.xml><?xml version="1.0" encoding="utf-8"?>
<worksheet xmlns="http://schemas.openxmlformats.org/spreadsheetml/2006/main">
  <sheetPr>
    <tabColor theme="0" tint="-0.249977111117893"/>
    <outlinePr summaryBelow="1" summaryRight="1"/>
    <pageSetUpPr/>
  </sheetPr>
  <dimension ref="A1:H51"/>
  <sheetViews>
    <sheetView workbookViewId="0">
      <selection activeCell="A1" sqref="A1"/>
    </sheetView>
  </sheetViews>
  <sheetFormatPr baseColWidth="8" defaultRowHeight="15"/>
  <cols>
    <col width="43.42578125" bestFit="1" customWidth="1" style="128" min="1" max="1"/>
    <col width="20.42578125" customWidth="1" style="128" min="2" max="5"/>
    <col width="15.140625" bestFit="1" customWidth="1" style="759" min="6" max="6"/>
    <col width="17.28515625" bestFit="1" customWidth="1" style="759" min="8" max="8"/>
  </cols>
  <sheetData>
    <row r="1">
      <c r="A1" s="123" t="inlineStr">
        <is>
          <t>SCHEDULE B</t>
        </is>
      </c>
      <c r="B1" s="124" t="n"/>
      <c r="C1" s="124" t="n"/>
      <c r="D1" s="124" t="n"/>
      <c r="E1" s="124" t="n"/>
    </row>
    <row r="2" ht="28.5" customHeight="1" s="759">
      <c r="A2" s="125" t="inlineStr">
        <is>
          <t>INVESTORS, ROLLOVER VALUE, CAPITAL COMMITMENTS, CAPITAL 
CONTRIBUTIONS, PROFITS INTERESTS (IN THE PARTNERSHIP)</t>
        </is>
      </c>
      <c r="B2" s="124" t="n"/>
      <c r="C2" s="124" t="n"/>
      <c r="D2" s="124" t="n"/>
      <c r="E2" s="124" t="n"/>
    </row>
    <row r="3">
      <c r="A3" s="126" t="n"/>
      <c r="B3" s="124" t="n"/>
      <c r="C3" s="124" t="n"/>
      <c r="D3" s="124" t="n"/>
      <c r="E3" s="124" t="n"/>
    </row>
    <row r="4">
      <c r="A4" s="123" t="inlineStr">
        <is>
          <t>AS OF THE ROLLOVER DATE</t>
        </is>
      </c>
      <c r="B4" s="124" t="n"/>
      <c r="C4" s="124" t="n"/>
      <c r="D4" s="124" t="n"/>
      <c r="E4" s="124" t="n"/>
    </row>
    <row r="5">
      <c r="A5" s="127" t="n"/>
    </row>
    <row r="6">
      <c r="A6" s="129" t="inlineStr">
        <is>
          <t>Capital Interests in the Partnership</t>
        </is>
      </c>
    </row>
    <row r="7">
      <c r="A7" s="127" t="n"/>
    </row>
    <row r="8" ht="28.5" customHeight="1" s="759">
      <c r="A8" s="130" t="inlineStr">
        <is>
          <t>Name of Investor</t>
        </is>
      </c>
      <c r="B8" s="130" t="inlineStr">
        <is>
          <t>Rollover Value</t>
        </is>
      </c>
      <c r="C8" s="130" t="inlineStr">
        <is>
          <t>Capital Commitment</t>
        </is>
      </c>
      <c r="D8" s="130" t="inlineStr">
        <is>
          <t>Capital Account</t>
        </is>
      </c>
      <c r="E8" s="130" t="inlineStr">
        <is>
          <t>Capital Contributions</t>
        </is>
      </c>
    </row>
    <row r="9">
      <c r="A9" s="141" t="inlineStr">
        <is>
          <t>AKWT LLC</t>
        </is>
      </c>
      <c r="B9" s="1011" t="n">
        <v>78300.31555408845</v>
      </c>
      <c r="C9" s="1012" t="n">
        <v>78300.31555408845</v>
      </c>
      <c r="D9" s="1011" t="n">
        <v>77739.34610124622</v>
      </c>
      <c r="E9" s="1013" t="n">
        <v>78300.31555408845</v>
      </c>
      <c r="F9" s="761">
        <f>_xlfn.XLOOKUP(A9,'Subsequent Close - OLD B4 25k'!A:A,'Subsequent Close - OLD B4 25k'!B:B,0,FALSE)</f>
        <v/>
      </c>
    </row>
    <row r="10">
      <c r="A10" s="141" t="inlineStr">
        <is>
          <t>Alexander S. Bloomingdale</t>
        </is>
      </c>
      <c r="B10" s="1011" t="n">
        <v>78300.31555408845</v>
      </c>
      <c r="C10" s="1012" t="n">
        <v>78300.31555408845</v>
      </c>
      <c r="D10" s="1011" t="n">
        <v>77739.19758521089</v>
      </c>
      <c r="E10" s="1013" t="n">
        <v>78300.31555408845</v>
      </c>
      <c r="F10" s="761">
        <f>_xlfn.XLOOKUP(A10,'Subsequent Close - OLD B4 25k'!A:A,'Subsequent Close - OLD B4 25k'!B:B,0,FALSE)</f>
        <v/>
      </c>
    </row>
    <row r="11">
      <c r="A11" s="141" t="inlineStr">
        <is>
          <t>Alexander Sharpe Moore</t>
        </is>
      </c>
      <c r="B11" s="1011" t="n">
        <v>156600.6311081769</v>
      </c>
      <c r="C11" s="1012" t="n">
        <v>156600.6311081769</v>
      </c>
      <c r="D11" s="1011" t="n">
        <v>155478.6922024924</v>
      </c>
      <c r="E11" s="1013" t="n">
        <v>156600.6311081769</v>
      </c>
      <c r="F11" s="761">
        <f>_xlfn.XLOOKUP(A11,'Subsequent Close - OLD B4 25k'!A:A,'Subsequent Close - OLD B4 25k'!B:B,0,FALSE)</f>
        <v/>
      </c>
    </row>
    <row r="12">
      <c r="A12" s="141" t="inlineStr">
        <is>
          <t>All Dogs Go To Heaven, LLC</t>
        </is>
      </c>
      <c r="B12" s="1011" t="n">
        <v>391501.5777704422</v>
      </c>
      <c r="C12" s="1012" t="n">
        <v>391501.5777704422</v>
      </c>
      <c r="D12" s="1011" t="n">
        <v>388696.3212603451</v>
      </c>
      <c r="E12" s="1013" t="n">
        <v>391501.5777704422</v>
      </c>
      <c r="F12" s="761">
        <f>_xlfn.XLOOKUP(A12,'Subsequent Close - OLD B4 25k'!A:A,'Subsequent Close - OLD B4 25k'!B:B,0,FALSE)</f>
        <v/>
      </c>
    </row>
    <row r="13">
      <c r="A13" s="141" t="inlineStr">
        <is>
          <t>Avery Ryan Klann</t>
        </is>
      </c>
      <c r="B13" s="1011" t="n">
        <v>391501.5777704422</v>
      </c>
      <c r="C13" s="1012" t="n">
        <v>391501.5777704422</v>
      </c>
      <c r="D13" s="1011" t="n">
        <v>388696.7305062309</v>
      </c>
      <c r="E13" s="1013" t="n">
        <v>391501.5777704422</v>
      </c>
      <c r="F13" s="761">
        <f>_xlfn.XLOOKUP(A13,'Subsequent Close - OLD B4 25k'!A:A,'Subsequent Close - OLD B4 25k'!B:B,0,FALSE)</f>
        <v/>
      </c>
    </row>
    <row r="14">
      <c r="A14" s="141" t="inlineStr">
        <is>
          <t>Belclaire Asset Management, LLC</t>
        </is>
      </c>
      <c r="B14" s="1011" t="n">
        <v>783003.1555408844</v>
      </c>
      <c r="C14" s="1012" t="n">
        <v>783003.1555408844</v>
      </c>
      <c r="D14" s="1011" t="n">
        <v>777392.9928064012</v>
      </c>
      <c r="E14" s="1013" t="n">
        <v>783003.1555408844</v>
      </c>
      <c r="F14" s="761">
        <f>_xlfn.XLOOKUP(A14,'Subsequent Close - OLD B4 25k'!A:A,'Subsequent Close - OLD B4 25k'!B:B,0,FALSE)</f>
        <v/>
      </c>
    </row>
    <row r="15">
      <c r="A15" s="141" t="inlineStr">
        <is>
          <t>Benaiah Inc.</t>
        </is>
      </c>
      <c r="B15" s="1011" t="n">
        <v>783003.1555408844</v>
      </c>
      <c r="C15" s="1012" t="n">
        <v>783003.1555408844</v>
      </c>
      <c r="D15" s="1011" t="n">
        <v>777392.9928064012</v>
      </c>
      <c r="E15" s="1013" t="n">
        <v>783003.1555408844</v>
      </c>
      <c r="F15" s="761">
        <f>_xlfn.XLOOKUP(A15,'Subsequent Close - OLD B4 25k'!A:A,'Subsequent Close - OLD B4 25k'!B:B,0,FALSE)</f>
        <v/>
      </c>
    </row>
    <row r="16">
      <c r="A16" s="141" t="inlineStr">
        <is>
          <t>Benjamin Johnson</t>
        </is>
      </c>
      <c r="B16" s="1011" t="n">
        <v>78300.31555408845</v>
      </c>
      <c r="C16" s="1012" t="n">
        <v>78300.31555408845</v>
      </c>
      <c r="D16" s="1011" t="n">
        <v>77739.34610124622</v>
      </c>
      <c r="E16" s="1013" t="n">
        <v>78300.31555408845</v>
      </c>
      <c r="F16" s="761">
        <f>_xlfn.XLOOKUP(A16,'Subsequent Close - OLD B4 25k'!A:A,'Subsequent Close - OLD B4 25k'!B:B,0,FALSE)</f>
        <v/>
      </c>
    </row>
    <row r="17">
      <c r="A17" s="141" t="inlineStr">
        <is>
          <t>Bloomingdale Family Trust Share #3</t>
        </is>
      </c>
      <c r="B17" s="1014" t="n">
        <v>234900.9466622653</v>
      </c>
      <c r="C17" s="1012" t="n">
        <v>234900.9466622653</v>
      </c>
      <c r="D17" s="1011" t="n">
        <v>233218.0383037386</v>
      </c>
      <c r="E17" s="1013" t="n">
        <v>234900.9466622653</v>
      </c>
      <c r="F17" s="761">
        <f>_xlfn.XLOOKUP(A17,'Subsequent Close - OLD B4 25k'!A:A,'Subsequent Close - OLD B4 25k'!B:B,0,FALSE)</f>
        <v/>
      </c>
    </row>
    <row r="18">
      <c r="A18" s="141" t="inlineStr">
        <is>
          <t>Bryan C. White LLC</t>
        </is>
      </c>
      <c r="B18" s="1014" t="n">
        <v>195750.7888852211</v>
      </c>
      <c r="C18" s="1012" t="n">
        <v>195750.7888852211</v>
      </c>
      <c r="D18" s="1011" t="n">
        <v>194348.3652531155</v>
      </c>
      <c r="E18" s="1013" t="n">
        <v>195750.7888852211</v>
      </c>
      <c r="F18" s="761">
        <f>_xlfn.XLOOKUP(A18,'Subsequent Close - OLD B4 25k'!A:A,'Subsequent Close - OLD B4 25k'!B:B,0,FALSE)</f>
        <v/>
      </c>
    </row>
    <row r="19">
      <c r="A19" s="141" t="inlineStr">
        <is>
          <t>Charing Hatcherville LLC</t>
        </is>
      </c>
      <c r="B19" s="1014" t="n">
        <v>50964145.40599024</v>
      </c>
      <c r="C19" s="1012" t="n">
        <v>50964145.40599024</v>
      </c>
      <c r="D19" s="1011" t="n">
        <v>50670445.25868042</v>
      </c>
      <c r="E19" s="1013" t="n">
        <v>50964145.40599024</v>
      </c>
      <c r="F19" s="761">
        <f>_xlfn.XLOOKUP(A19,'Subsequent Close - OLD B4 25k'!A:A,'Subsequent Close - OLD B4 25k'!B:B,0,FALSE)</f>
        <v/>
      </c>
    </row>
    <row r="20">
      <c r="A20" s="141" t="inlineStr">
        <is>
          <t>Chase F. Monroe</t>
        </is>
      </c>
      <c r="B20" s="1011" t="n">
        <v>195750.7888852211</v>
      </c>
      <c r="C20" s="1012" t="n">
        <v>195750.7888852211</v>
      </c>
      <c r="D20" s="1011" t="n">
        <v>194348.3652531155</v>
      </c>
      <c r="E20" s="1013" t="n">
        <v>195750.7888852211</v>
      </c>
      <c r="F20" s="761">
        <f>_xlfn.XLOOKUP(A20,'Subsequent Close - OLD B4 25k'!A:A,'Subsequent Close - OLD B4 25k'!B:B,0,FALSE)</f>
        <v/>
      </c>
    </row>
    <row r="21">
      <c r="A21" s="141" t="inlineStr">
        <is>
          <t>Chase The Lion, Inc.</t>
        </is>
      </c>
      <c r="B21" s="1011" t="n">
        <v>783003.1555408844</v>
      </c>
      <c r="C21" s="1012" t="n">
        <v>783003.1555408844</v>
      </c>
      <c r="D21" s="1011" t="n">
        <v>777392.498501225</v>
      </c>
      <c r="E21" s="1013" t="n">
        <v>783003.1555408844</v>
      </c>
      <c r="F21" s="761">
        <f>_xlfn.XLOOKUP(A21,'Subsequent Close - OLD B4 25k'!A:A,'Subsequent Close - OLD B4 25k'!B:B,0,FALSE)</f>
        <v/>
      </c>
    </row>
    <row r="22">
      <c r="A22" s="141" t="inlineStr">
        <is>
          <t>Chris Schaaf</t>
        </is>
      </c>
      <c r="B22" s="1011" t="n">
        <v>195750.7888852211</v>
      </c>
      <c r="C22" s="1012" t="n">
        <v>195750.7888852211</v>
      </c>
      <c r="D22" s="1011" t="n">
        <v>194348.3652531155</v>
      </c>
      <c r="E22" s="1013" t="n">
        <v>195750.7888852211</v>
      </c>
      <c r="F22" s="761">
        <f>_xlfn.XLOOKUP(A22,'Subsequent Close - OLD B4 25k'!A:A,'Subsequent Close - OLD B4 25k'!B:B,0,FALSE)</f>
        <v/>
      </c>
    </row>
    <row r="23">
      <c r="A23" s="141" t="inlineStr">
        <is>
          <t>CLIP Sponsor LLC</t>
        </is>
      </c>
      <c r="B23" s="1011" t="n">
        <v>1566006.311081769</v>
      </c>
      <c r="C23" s="1012" t="n">
        <v>1566006.311081769</v>
      </c>
      <c r="D23" s="1011" t="n">
        <v>1561370.979705998</v>
      </c>
      <c r="E23" s="1013" t="n">
        <v>1566006.311081769</v>
      </c>
      <c r="F23" s="761">
        <f>_xlfn.XLOOKUP(A23,'Subsequent Close - OLD B4 25k'!A:A,'Subsequent Close - OLD B4 25k'!B:B,0,FALSE)</f>
        <v/>
      </c>
    </row>
    <row r="24">
      <c r="A24" s="141" t="inlineStr">
        <is>
          <t>Daniel Ross</t>
        </is>
      </c>
      <c r="B24" s="1011" t="n">
        <v>156600.6311081769</v>
      </c>
      <c r="C24" s="1012" t="n">
        <v>156600.6311081769</v>
      </c>
      <c r="D24" s="1011" t="n">
        <v>155478.6922024924</v>
      </c>
      <c r="E24" s="1013" t="n">
        <v>156600.6311081769</v>
      </c>
      <c r="F24" s="761">
        <f>_xlfn.XLOOKUP(A24,'Subsequent Close - OLD B4 25k'!A:A,'Subsequent Close - OLD B4 25k'!B:B,0,FALSE)</f>
        <v/>
      </c>
    </row>
    <row r="25">
      <c r="A25" s="141" t="inlineStr">
        <is>
          <t>Francis Brawley</t>
        </is>
      </c>
      <c r="B25" s="1011" t="n">
        <v>313201.2622163538</v>
      </c>
      <c r="C25" s="1012" t="n">
        <v>313201.2622163538</v>
      </c>
      <c r="D25" s="1011" t="n">
        <v>310957.3844049849</v>
      </c>
      <c r="E25" s="1013" t="n">
        <v>313201.2622163538</v>
      </c>
      <c r="F25" s="761">
        <f>_xlfn.XLOOKUP(A25,'Subsequent Close - OLD B4 25k'!A:A,'Subsequent Close - OLD B4 25k'!B:B,0,FALSE)</f>
        <v/>
      </c>
    </row>
    <row r="26">
      <c r="A26" s="141" t="inlineStr">
        <is>
          <t>Geoffrey and Elizabeth Bloomingdale Living Trust</t>
        </is>
      </c>
      <c r="B26" s="1011" t="n">
        <v>234900.9466622653</v>
      </c>
      <c r="C26" s="1012" t="n">
        <v>234900.9466622653</v>
      </c>
      <c r="D26" s="1011" t="n">
        <v>233218.0383037386</v>
      </c>
      <c r="E26" s="1013" t="n">
        <v>234900.9466622653</v>
      </c>
      <c r="F26" s="761">
        <f>_xlfn.XLOOKUP(A26,'Subsequent Close - OLD B4 25k'!A:A,'Subsequent Close - OLD B4 25k'!B:B,0,FALSE)</f>
        <v/>
      </c>
    </row>
    <row r="27">
      <c r="A27" s="141" t="inlineStr">
        <is>
          <t>Gregory Brent Wood</t>
        </is>
      </c>
      <c r="B27" s="1011" t="n">
        <v>156600.6311081769</v>
      </c>
      <c r="C27" s="1012" t="n">
        <v>156600.6311081769</v>
      </c>
      <c r="D27" s="1011" t="n">
        <v>155478.6922024924</v>
      </c>
      <c r="E27" s="1013" t="n">
        <v>156600.6311081769</v>
      </c>
      <c r="F27" s="761">
        <f>_xlfn.XLOOKUP(A27,'Subsequent Close - OLD B4 25k'!A:A,'Subsequent Close - OLD B4 25k'!B:B,0,FALSE)</f>
        <v/>
      </c>
    </row>
    <row r="28">
      <c r="A28" s="141" t="inlineStr">
        <is>
          <t>James and Natalie Bloomingdale</t>
        </is>
      </c>
      <c r="B28" s="1011" t="n">
        <v>391501.5777704422</v>
      </c>
      <c r="C28" s="1012" t="n">
        <v>391501.5777704422</v>
      </c>
      <c r="D28" s="1011" t="n">
        <v>388696.7305062309</v>
      </c>
      <c r="E28" s="1013" t="n">
        <v>391501.5777704422</v>
      </c>
      <c r="F28" s="761">
        <f>_xlfn.XLOOKUP(A28,'Subsequent Close - OLD B4 25k'!A:A,'Subsequent Close - OLD B4 25k'!B:B,0,FALSE)</f>
        <v/>
      </c>
    </row>
    <row r="29">
      <c r="A29" s="141" t="inlineStr">
        <is>
          <t>James Campbell and Patricia Campbell</t>
        </is>
      </c>
      <c r="B29" s="1011" t="n">
        <v>156600.6311081769</v>
      </c>
      <c r="C29" s="1012" t="n">
        <v>156600.6311081769</v>
      </c>
      <c r="D29" s="1011" t="n">
        <v>155478.6922024924</v>
      </c>
      <c r="E29" s="1013" t="n">
        <v>156600.6311081769</v>
      </c>
      <c r="F29" s="761">
        <f>_xlfn.XLOOKUP(A29,'Subsequent Close - OLD B4 25k'!A:A,'Subsequent Close - OLD B4 25k'!B:B,0,FALSE)</f>
        <v/>
      </c>
    </row>
    <row r="30">
      <c r="A30" s="141" t="inlineStr">
        <is>
          <t>James Kane</t>
        </is>
      </c>
      <c r="B30" s="1011" t="n">
        <v>156600.6311081769</v>
      </c>
      <c r="C30" s="1012" t="n">
        <v>156600.6311081769</v>
      </c>
      <c r="D30" s="1011" t="n">
        <v>155478.6922024924</v>
      </c>
      <c r="E30" s="1013" t="n">
        <v>156600.6311081769</v>
      </c>
      <c r="F30" s="761">
        <f>_xlfn.XLOOKUP(A30,'Subsequent Close - OLD B4 25k'!A:A,'Subsequent Close - OLD B4 25k'!B:B,0,FALSE)</f>
        <v/>
      </c>
    </row>
    <row r="31">
      <c r="A31" s="141" t="inlineStr">
        <is>
          <t>James Thorp</t>
        </is>
      </c>
      <c r="B31" s="1011" t="n">
        <v>195750.7888852211</v>
      </c>
      <c r="C31" s="1012" t="n">
        <v>195750.7888852211</v>
      </c>
      <c r="D31" s="1011" t="n">
        <v>194348.3652531155</v>
      </c>
      <c r="E31" s="1013" t="n">
        <v>195750.7888852211</v>
      </c>
      <c r="F31" s="761">
        <f>_xlfn.XLOOKUP(A31,'Subsequent Close - OLD B4 25k'!A:A,'Subsequent Close - OLD B4 25k'!B:B,0,FALSE)</f>
        <v/>
      </c>
    </row>
    <row r="32">
      <c r="A32" s="141" t="inlineStr">
        <is>
          <t>Lisa Bell Trust, Elisabeth B. Bell, Trustee</t>
        </is>
      </c>
      <c r="B32" s="1011" t="n">
        <v>234900.9466622653</v>
      </c>
      <c r="C32" s="1012" t="n">
        <v>234900.9466622653</v>
      </c>
      <c r="D32" s="1011" t="n">
        <v>233218.0383037386</v>
      </c>
      <c r="E32" s="1013" t="n">
        <v>234900.9466622653</v>
      </c>
      <c r="F32" s="761">
        <f>_xlfn.XLOOKUP(A32,'Subsequent Close - OLD B4 25k'!A:A,'Subsequent Close - OLD B4 25k'!B:B,0,FALSE)</f>
        <v/>
      </c>
    </row>
    <row r="33">
      <c r="A33" s="141" t="inlineStr">
        <is>
          <t>Matt McCoy</t>
        </is>
      </c>
      <c r="B33" s="1011" t="n">
        <v>117450.4733311327</v>
      </c>
      <c r="C33" s="1012" t="n">
        <v>117450.4733311327</v>
      </c>
      <c r="D33" s="1011" t="n">
        <v>116609.0191518693</v>
      </c>
      <c r="E33" s="1013" t="n">
        <v>117450.4733311327</v>
      </c>
      <c r="F33" s="761">
        <f>_xlfn.XLOOKUP(A33,'Subsequent Close - OLD B4 25k'!A:A,'Subsequent Close - OLD B4 25k'!B:B,0,FALSE)</f>
        <v/>
      </c>
    </row>
    <row r="34">
      <c r="A34" s="141" t="inlineStr">
        <is>
          <t>Max O. Reinbach III</t>
        </is>
      </c>
      <c r="B34" s="1011" t="n">
        <v>78300.31555408845</v>
      </c>
      <c r="C34" s="1012" t="n">
        <v>78300.31555408845</v>
      </c>
      <c r="D34" s="1011" t="n">
        <v>77739.34610124622</v>
      </c>
      <c r="E34" s="1013" t="n">
        <v>78300.31555408845</v>
      </c>
      <c r="F34" s="761">
        <f>_xlfn.XLOOKUP(A34,'Subsequent Close - OLD B4 25k'!A:A,'Subsequent Close - OLD B4 25k'!B:B,0,FALSE)</f>
        <v/>
      </c>
    </row>
    <row r="35">
      <c r="A35" s="141" t="inlineStr">
        <is>
          <t>Meghann C. Robinson</t>
        </is>
      </c>
      <c r="B35" s="1011" t="n">
        <v>783003.1555408844</v>
      </c>
      <c r="C35" s="1012" t="n">
        <v>783003.1555408844</v>
      </c>
      <c r="D35" s="1011" t="n">
        <v>777393.4610124618</v>
      </c>
      <c r="E35" s="1013" t="n">
        <v>783003.1555408844</v>
      </c>
      <c r="F35" s="761">
        <f>_xlfn.XLOOKUP(A35,'Subsequent Close - OLD B4 25k'!A:A,'Subsequent Close - OLD B4 25k'!B:B,0,FALSE)</f>
        <v/>
      </c>
    </row>
    <row r="36">
      <c r="A36" s="141" t="inlineStr">
        <is>
          <t>Nahas Investments II LLC</t>
        </is>
      </c>
      <c r="B36" s="1011" t="n">
        <v>391501.5777704422</v>
      </c>
      <c r="C36" s="1012" t="n">
        <v>391501.5777704422</v>
      </c>
      <c r="D36" s="1011" t="n">
        <v>388696.7305062309</v>
      </c>
      <c r="E36" s="1013" t="n">
        <v>391501.5777704422</v>
      </c>
      <c r="F36" s="761">
        <f>_xlfn.XLOOKUP(A36,'Subsequent Close - OLD B4 25k'!A:A,'Subsequent Close - OLD B4 25k'!B:B,0,FALSE)</f>
        <v/>
      </c>
    </row>
    <row r="37">
      <c r="A37" s="141" t="inlineStr">
        <is>
          <t>Pease River Holdings LLC</t>
        </is>
      </c>
      <c r="B37" s="1011" t="n">
        <v>78300.31555408845</v>
      </c>
      <c r="C37" s="1012" t="n">
        <v>78300.31555408845</v>
      </c>
      <c r="D37" s="1011" t="n">
        <v>77739.34610124622</v>
      </c>
      <c r="E37" s="1013" t="n">
        <v>78300.31555408845</v>
      </c>
      <c r="F37" s="761">
        <f>_xlfn.XLOOKUP(A37,'Subsequent Close - OLD B4 25k'!A:A,'Subsequent Close - OLD B4 25k'!B:B,0,FALSE)</f>
        <v/>
      </c>
    </row>
    <row r="38">
      <c r="A38" s="141" t="inlineStr">
        <is>
          <t>Robert D. Falese III</t>
        </is>
      </c>
      <c r="B38" s="1011" t="n">
        <v>548102.2088786191</v>
      </c>
      <c r="C38" s="1012" t="n">
        <v>548102.2088786191</v>
      </c>
      <c r="D38" s="1011" t="n">
        <v>544174.5686089122</v>
      </c>
      <c r="E38" s="1013" t="n">
        <v>548102.2088786191</v>
      </c>
      <c r="F38" s="761">
        <f>_xlfn.XLOOKUP(A38,'Subsequent Close - OLD B4 25k'!A:A,'Subsequent Close - OLD B4 25k'!B:B,0,FALSE)</f>
        <v/>
      </c>
    </row>
    <row r="39">
      <c r="A39" s="141" t="inlineStr">
        <is>
          <t>Robert Parker Yates</t>
        </is>
      </c>
      <c r="B39" s="1011" t="n">
        <v>39150.15777704422</v>
      </c>
      <c r="C39" s="1012" t="n">
        <v>39150.15777704422</v>
      </c>
      <c r="D39" s="1011" t="n">
        <v>38869.67305062311</v>
      </c>
      <c r="E39" s="1013" t="n">
        <v>39150.15777704422</v>
      </c>
      <c r="F39" s="761">
        <f>_xlfn.XLOOKUP(A39,'Subsequent Close - OLD B4 25k'!A:A,'Subsequent Close - OLD B4 25k'!B:B,0,FALSE)</f>
        <v/>
      </c>
    </row>
    <row r="40">
      <c r="A40" s="141" t="inlineStr">
        <is>
          <t>Stewart Tate</t>
        </is>
      </c>
      <c r="B40" s="1011" t="n">
        <v>391501.5777704422</v>
      </c>
      <c r="C40" s="1012" t="n">
        <v>391501.5777704422</v>
      </c>
      <c r="D40" s="1011" t="n">
        <v>388696.3212603451</v>
      </c>
      <c r="E40" s="1013" t="n">
        <v>391501.5777704422</v>
      </c>
      <c r="F40" s="761">
        <f>_xlfn.XLOOKUP(A40,'Subsequent Close - OLD B4 25k'!A:A,'Subsequent Close - OLD B4 25k'!B:B,0,FALSE)</f>
        <v/>
      </c>
    </row>
    <row r="41">
      <c r="A41" s="141" t="inlineStr">
        <is>
          <t>TC Wilson Family Trust</t>
        </is>
      </c>
      <c r="B41" s="1011" t="n">
        <v>156600.6311081769</v>
      </c>
      <c r="C41" s="1012" t="n">
        <v>156600.6311081769</v>
      </c>
      <c r="D41" s="1011" t="n">
        <v>155478.6922024924</v>
      </c>
      <c r="E41" s="1013" t="n">
        <v>156600.6311081769</v>
      </c>
      <c r="F41" s="761">
        <f>_xlfn.XLOOKUP(A41,'Subsequent Close - OLD B4 25k'!A:A,'Subsequent Close - OLD B4 25k'!B:B,0,FALSE)</f>
        <v/>
      </c>
    </row>
    <row r="42">
      <c r="A42" s="141" t="inlineStr">
        <is>
          <t>Wilson Family Trust DTD 3-6-1987</t>
        </is>
      </c>
      <c r="B42" s="1011" t="n">
        <v>313201.2622163538</v>
      </c>
      <c r="C42" s="1012" t="n">
        <v>313201.2622163538</v>
      </c>
      <c r="D42" s="1011" t="n">
        <v>310957.385</v>
      </c>
      <c r="E42" s="1013" t="n">
        <v>313201.2622163538</v>
      </c>
      <c r="F42" s="761">
        <f>_xlfn.XLOOKUP(A42,'Subsequent Close - OLD B4 25k'!A:A,'Subsequent Close - OLD B4 25k'!B:B,0,FALSE)</f>
        <v/>
      </c>
    </row>
    <row r="43">
      <c r="A43" s="141" t="inlineStr">
        <is>
          <t>Wilson GST Exempt Trust</t>
        </is>
      </c>
      <c r="B43" s="1011" t="n">
        <v>313201.2622163538</v>
      </c>
      <c r="C43" s="1012" t="n">
        <v>313201.2622163538</v>
      </c>
      <c r="D43" s="135" t="n">
        <v>310957.385</v>
      </c>
      <c r="E43" s="1013" t="n">
        <v>313201.2622163538</v>
      </c>
      <c r="F43" s="761">
        <f>_xlfn.XLOOKUP(A43,'Subsequent Close - OLD B4 25k'!A:A,'Subsequent Close - OLD B4 25k'!B:B,0,FALSE)</f>
        <v/>
      </c>
    </row>
    <row r="44">
      <c r="A44" s="142" t="inlineStr">
        <is>
          <t>Total:</t>
        </is>
      </c>
      <c r="B44" s="1015">
        <f>SUM(B9:B43)</f>
        <v/>
      </c>
      <c r="C44" s="1015">
        <f>SUM(C9:C43)</f>
        <v/>
      </c>
      <c r="D44" s="138">
        <f>SUM(D9:D43)</f>
        <v/>
      </c>
      <c r="E44" s="1015">
        <f>SUM(E9:E43)</f>
        <v/>
      </c>
    </row>
    <row r="45">
      <c r="H45" s="1016" t="n"/>
    </row>
    <row r="46">
      <c r="A46" s="129" t="inlineStr">
        <is>
          <t>Profits Interests in the Partnership</t>
        </is>
      </c>
    </row>
    <row r="48" ht="28.5" customHeight="1" s="759">
      <c r="A48" s="130" t="inlineStr">
        <is>
          <t>Name of Investor</t>
        </is>
      </c>
      <c r="B48" s="130" t="inlineStr">
        <is>
          <t>Rollover Value</t>
        </is>
      </c>
      <c r="C48" s="130" t="inlineStr">
        <is>
          <t>Profits Interests Value</t>
        </is>
      </c>
    </row>
    <row r="49">
      <c r="A49" s="131" t="inlineStr">
        <is>
          <t>CLIP Sponsor LLC</t>
        </is>
      </c>
      <c r="B49" s="1011" t="n">
        <v>3236548.194859192</v>
      </c>
      <c r="C49" s="1012">
        <f>+B49</f>
        <v/>
      </c>
      <c r="F49" s="1017">
        <f>B44+B49</f>
        <v/>
      </c>
    </row>
    <row r="50">
      <c r="F50" t="n">
        <v>65688915.05992468</v>
      </c>
    </row>
    <row r="51">
      <c r="F51" s="1017">
        <f>F50-F49</f>
        <v/>
      </c>
    </row>
  </sheetData>
  <pageMargins left="0.7" right="0.7" top="0.75" bottom="0.75" header="0.3" footer="0.3"/>
  <pageSetup orientation="portrait"/>
</worksheet>
</file>

<file path=xl/worksheets/sheet13.xml><?xml version="1.0" encoding="utf-8"?>
<worksheet xmlns="http://schemas.openxmlformats.org/spreadsheetml/2006/main">
  <sheetPr>
    <tabColor theme="0" tint="-0.249977111117893"/>
    <outlinePr summaryBelow="1" summaryRight="1"/>
    <pageSetUpPr/>
  </sheetPr>
  <dimension ref="B1:I26"/>
  <sheetViews>
    <sheetView workbookViewId="0">
      <selection activeCell="A1" sqref="A1"/>
    </sheetView>
  </sheetViews>
  <sheetFormatPr baseColWidth="8" defaultRowHeight="15"/>
  <cols>
    <col width="22.42578125" customWidth="1" style="759" min="1" max="1"/>
    <col width="20.42578125" customWidth="1" style="128" min="2" max="6"/>
    <col width="13.28515625" bestFit="1" customWidth="1" style="759" min="7" max="7"/>
    <col width="15.85546875" bestFit="1" customWidth="1" style="759" min="9" max="9"/>
  </cols>
  <sheetData>
    <row r="1">
      <c r="B1" s="123" t="inlineStr">
        <is>
          <t>SCHEDULE B</t>
        </is>
      </c>
      <c r="C1" s="124" t="n"/>
      <c r="D1" s="124" t="n"/>
      <c r="E1" s="124" t="n"/>
      <c r="F1" s="124" t="n"/>
    </row>
    <row r="2" ht="28.5" customHeight="1" s="759">
      <c r="B2" s="125" t="inlineStr">
        <is>
          <t>INVESTORS, ROLLOVER VALUE, CAPITAL COMMITMENTS, CAPITAL 
CONTRIBUTIONS, PROFITS INTERESTS (IN THE PARTNERSHIP)</t>
        </is>
      </c>
      <c r="C2" s="124" t="n"/>
      <c r="D2" s="124" t="n"/>
      <c r="E2" s="124" t="n"/>
      <c r="F2" s="124" t="n"/>
    </row>
    <row r="3">
      <c r="B3" s="126" t="n"/>
      <c r="C3" s="124" t="n"/>
      <c r="D3" s="124" t="n"/>
      <c r="E3" s="124" t="n"/>
      <c r="F3" s="124" t="n"/>
    </row>
    <row r="4">
      <c r="B4" s="123" t="inlineStr">
        <is>
          <t>AS OF THE ROLLOVER DATE</t>
        </is>
      </c>
      <c r="C4" s="124" t="n"/>
      <c r="D4" s="124" t="n"/>
      <c r="E4" s="124" t="n"/>
      <c r="F4" s="124" t="n"/>
    </row>
    <row r="5">
      <c r="B5" s="127" t="n"/>
    </row>
    <row r="6">
      <c r="B6" s="129" t="inlineStr">
        <is>
          <t>Capital Interests in the Partnership</t>
        </is>
      </c>
    </row>
    <row r="7">
      <c r="B7" s="127" t="n"/>
    </row>
    <row r="8" ht="28.5" customHeight="1" s="759">
      <c r="B8" s="130" t="inlineStr">
        <is>
          <t>Name of Investor</t>
        </is>
      </c>
      <c r="C8" s="130" t="inlineStr">
        <is>
          <t>Rollover Value</t>
        </is>
      </c>
      <c r="D8" s="130" t="inlineStr">
        <is>
          <t>Capital Commitment</t>
        </is>
      </c>
      <c r="E8" s="130" t="inlineStr">
        <is>
          <t>Capital Account</t>
        </is>
      </c>
      <c r="F8" s="130" t="inlineStr">
        <is>
          <t>Capital Contributions</t>
        </is>
      </c>
    </row>
    <row r="9" ht="30" customHeight="1" s="759">
      <c r="B9" s="131" t="inlineStr">
        <is>
          <t>Alexander S. Bloomingdale</t>
        </is>
      </c>
      <c r="C9" s="1011" t="n">
        <v>65897.63932500752</v>
      </c>
      <c r="D9" s="1012" t="n">
        <v>65897.63932500752</v>
      </c>
      <c r="E9" s="1011" t="n">
        <v>65517.8038312415</v>
      </c>
      <c r="F9" s="1011" t="n">
        <v>65897.63932500752</v>
      </c>
      <c r="G9" s="761">
        <f>_xlfn.XLOOKUP(B9,'Subsequent Close - OLD B4 25k'!A:A,'Subsequent Close - OLD B4 25k'!C:C,0,FALSE)</f>
        <v/>
      </c>
    </row>
    <row r="10" ht="30" customHeight="1" s="759">
      <c r="B10" s="131" t="inlineStr">
        <is>
          <t>All Dogs Go To Heaven, LLC</t>
        </is>
      </c>
      <c r="C10" s="1011" t="n">
        <v>131795.278650015</v>
      </c>
      <c r="D10" s="1012" t="n">
        <v>131795.278650015</v>
      </c>
      <c r="E10" s="1011" t="n">
        <v>131035.7198762982</v>
      </c>
      <c r="F10" s="1011" t="n">
        <v>131795.278650015</v>
      </c>
      <c r="G10" s="761">
        <f>_xlfn.XLOOKUP(B10,'Subsequent Close - OLD B4 25k'!A:A,'Subsequent Close - OLD B4 25k'!C:C,0,FALSE)</f>
        <v/>
      </c>
    </row>
    <row r="11" ht="30" customHeight="1" s="759">
      <c r="B11" s="131" t="inlineStr">
        <is>
          <t>Belclaire Asset Management, LLC</t>
        </is>
      </c>
      <c r="C11" s="1011" t="n">
        <v>131795.278650015</v>
      </c>
      <c r="D11" s="1012" t="n">
        <v>131795.278650015</v>
      </c>
      <c r="E11" s="1011" t="n">
        <v>131035.7788364731</v>
      </c>
      <c r="F11" s="1011" t="n">
        <v>131795.278650015</v>
      </c>
      <c r="G11" s="761">
        <f>_xlfn.XLOOKUP(B11,'Subsequent Close - OLD B4 25k'!A:A,'Subsequent Close - OLD B4 25k'!C:C,0,FALSE)</f>
        <v/>
      </c>
    </row>
    <row r="12">
      <c r="B12" s="131" t="inlineStr">
        <is>
          <t>Benaiah Inc.</t>
        </is>
      </c>
      <c r="C12" s="1011" t="n">
        <v>131795.278650015</v>
      </c>
      <c r="D12" s="1012" t="n">
        <v>131795.278650015</v>
      </c>
      <c r="E12" s="1011" t="n">
        <v>131035.7788364731</v>
      </c>
      <c r="F12" s="1011" t="n">
        <v>131795.278650015</v>
      </c>
      <c r="G12" s="761">
        <f>_xlfn.XLOOKUP(B12,'Subsequent Close - OLD B4 25k'!A:A,'Subsequent Close - OLD B4 25k'!C:C,0,FALSE)</f>
        <v/>
      </c>
    </row>
    <row r="13">
      <c r="B13" s="131" t="inlineStr">
        <is>
          <t>Charing Silsbee, LLC</t>
        </is>
      </c>
      <c r="C13" s="1011" t="n">
        <v>6326173.375200721</v>
      </c>
      <c r="D13" s="1012" t="n">
        <v>6326173.375200721</v>
      </c>
      <c r="E13" s="1011" t="n">
        <v>6295612.637875726</v>
      </c>
      <c r="F13" s="1011" t="n">
        <v>6326173.375200721</v>
      </c>
      <c r="G13" s="761">
        <f>_xlfn.XLOOKUP(B13,'Subsequent Close - OLD B4 25k'!A:A,'Subsequent Close - OLD B4 25k'!C:C,0,FALSE)</f>
        <v/>
      </c>
    </row>
    <row r="14">
      <c r="B14" s="131" t="inlineStr">
        <is>
          <t>Chase The Lion, Inc.</t>
        </is>
      </c>
      <c r="C14" s="1011" t="n">
        <v>329488.1966250376</v>
      </c>
      <c r="D14" s="1012" t="n">
        <v>329488.1966250376</v>
      </c>
      <c r="E14" s="1011" t="n">
        <v>327589.2390872685</v>
      </c>
      <c r="F14" s="1011" t="n">
        <v>329488.1966250376</v>
      </c>
      <c r="G14" s="761">
        <f>_xlfn.XLOOKUP(B14,'Subsequent Close - OLD B4 25k'!A:A,'Subsequent Close - OLD B4 25k'!C:C,0,FALSE)</f>
        <v/>
      </c>
    </row>
    <row r="15">
      <c r="B15" s="131" t="inlineStr">
        <is>
          <t>Chris Johnson</t>
        </is>
      </c>
      <c r="C15" s="1011" t="n">
        <v>65897.63932500752</v>
      </c>
      <c r="D15" s="1012" t="n">
        <v>65897.63932500752</v>
      </c>
      <c r="E15" s="1011" t="n">
        <v>65517.65531520618</v>
      </c>
      <c r="F15" s="1011" t="n">
        <v>65897.63932500752</v>
      </c>
      <c r="G15" s="761">
        <f>_xlfn.XLOOKUP(B15,'Subsequent Close - OLD B4 25k'!A:A,'Subsequent Close - OLD B4 25k'!C:C,0,FALSE)</f>
        <v/>
      </c>
    </row>
    <row r="16" ht="30" customHeight="1" s="759">
      <c r="B16" s="131" t="inlineStr">
        <is>
          <t>Odyssey Holdings, LLC</t>
        </is>
      </c>
      <c r="C16" s="1011" t="n">
        <v>444388.6385049071</v>
      </c>
      <c r="D16" s="1012" t="n">
        <v>444388.6385049071</v>
      </c>
      <c r="E16" s="1011" t="n">
        <v>443073.261558773</v>
      </c>
      <c r="F16" s="1011" t="n">
        <v>444388.6385049071</v>
      </c>
      <c r="G16" s="761">
        <f>_xlfn.XLOOKUP(B16,'Subsequent Close - OLD B4 25k'!A:A,'Subsequent Close - OLD B4 25k'!C:C,0,FALSE)</f>
        <v/>
      </c>
    </row>
    <row r="17">
      <c r="B17" s="131" t="inlineStr">
        <is>
          <t>PT Burros, LLC</t>
        </is>
      </c>
      <c r="C17" s="1011" t="n">
        <v>329488.1966250376</v>
      </c>
      <c r="D17" s="1012" t="n">
        <v>329488.1966250376</v>
      </c>
      <c r="E17" s="1011" t="n">
        <v>327588.2765760309</v>
      </c>
      <c r="F17" s="1011" t="n">
        <v>329488.1966250376</v>
      </c>
      <c r="G17" s="761">
        <f>_xlfn.XLOOKUP(B17,'Subsequent Close - OLD B4 25k'!A:A,'Subsequent Close - OLD B4 25k'!C:C,0,FALSE)</f>
        <v/>
      </c>
    </row>
    <row r="18">
      <c r="B18" s="131" t="inlineStr">
        <is>
          <t>Robert D. Falese III</t>
        </is>
      </c>
      <c r="C18" s="1011" t="n">
        <v>329488.1966250376</v>
      </c>
      <c r="D18" s="1012" t="n">
        <v>329488.1966250376</v>
      </c>
      <c r="E18" s="1011" t="n">
        <v>327589.1306758419</v>
      </c>
      <c r="F18" s="1011" t="n">
        <v>329488.1966250376</v>
      </c>
      <c r="G18" s="761">
        <f>_xlfn.XLOOKUP(B18,'Subsequent Close - OLD B4 25k'!A:A,'Subsequent Close - OLD B4 25k'!C:C,0,FALSE)</f>
        <v/>
      </c>
    </row>
    <row r="19">
      <c r="B19" s="131" t="inlineStr">
        <is>
          <t>Stewart Tate</t>
        </is>
      </c>
      <c r="C19" s="1011" t="n">
        <v>131795.278650015</v>
      </c>
      <c r="D19" s="1012" t="n">
        <v>131795.278650015</v>
      </c>
      <c r="E19" s="1011" t="n">
        <v>131035.7198762982</v>
      </c>
      <c r="F19" s="1011" t="n">
        <v>131795.278650015</v>
      </c>
      <c r="G19" s="761">
        <f>_xlfn.XLOOKUP(B19,'Subsequent Close - OLD B4 25k'!A:A,'Subsequent Close - OLD B4 25k'!C:C,0,FALSE)</f>
        <v/>
      </c>
    </row>
    <row r="20">
      <c r="B20" s="131" t="n"/>
      <c r="C20" s="1011" t="n"/>
      <c r="D20" s="1012" t="n"/>
      <c r="E20" s="135" t="n"/>
      <c r="F20" s="1018" t="n"/>
    </row>
    <row r="21">
      <c r="B21" s="136" t="inlineStr">
        <is>
          <t>Total:</t>
        </is>
      </c>
      <c r="C21" s="1015">
        <f>SUM(C9:C20)</f>
        <v/>
      </c>
      <c r="D21" s="1015">
        <f>SUM(D9:D20)</f>
        <v/>
      </c>
      <c r="E21" s="138">
        <f>SUM(E9:E20)</f>
        <v/>
      </c>
      <c r="F21" s="1015">
        <f>SUM(F9:F20)</f>
        <v/>
      </c>
      <c r="I21" s="1016">
        <f>C21+C26</f>
        <v/>
      </c>
    </row>
    <row r="23">
      <c r="B23" s="129" t="inlineStr">
        <is>
          <t>Profits Interests in the Partnership</t>
        </is>
      </c>
    </row>
    <row r="25" ht="28.5" customHeight="1" s="759">
      <c r="B25" s="130" t="inlineStr">
        <is>
          <t>Name of Investor</t>
        </is>
      </c>
      <c r="C25" s="130" t="inlineStr">
        <is>
          <t>Rollover Value</t>
        </is>
      </c>
      <c r="D25" s="130" t="inlineStr">
        <is>
          <t>Profits Interests Value</t>
        </is>
      </c>
    </row>
    <row r="26" ht="30" customHeight="1" s="759">
      <c r="B26" s="131" t="inlineStr">
        <is>
          <t>CLR Silsbee Sponsor LLC</t>
        </is>
      </c>
      <c r="C26" s="1011" t="n">
        <v>369576.6503946845</v>
      </c>
      <c r="D26" s="1012">
        <f>+C26</f>
        <v/>
      </c>
    </row>
  </sheetData>
  <pageMargins left="0.7" right="0.7" top="0.75" bottom="0.75" header="0.3" footer="0.3"/>
  <pageSetup orientation="portrait"/>
</worksheet>
</file>

<file path=xl/worksheets/sheet14.xml><?xml version="1.0" encoding="utf-8"?>
<worksheet xmlns="http://schemas.openxmlformats.org/spreadsheetml/2006/main">
  <sheetPr>
    <tabColor theme="3" tint="0.3999755851924192"/>
    <outlinePr summaryBelow="1" summaryRight="1"/>
    <pageSetUpPr/>
  </sheetPr>
  <dimension ref="A1:S80"/>
  <sheetViews>
    <sheetView topLeftCell="A44" workbookViewId="0">
      <selection activeCell="A61" sqref="A61"/>
    </sheetView>
  </sheetViews>
  <sheetFormatPr baseColWidth="8" defaultRowHeight="15"/>
  <sheetData>
    <row r="1">
      <c r="A1" t="inlineStr">
        <is>
          <t>Investing Entity</t>
        </is>
      </c>
      <c r="B1" t="inlineStr">
        <is>
          <t>Investing Entity ID</t>
        </is>
      </c>
      <c r="C1" t="inlineStr">
        <is>
          <t>Position ID</t>
        </is>
      </c>
      <c r="D1" t="inlineStr">
        <is>
          <t>Start Date</t>
        </is>
      </c>
      <c r="E1" t="inlineStr">
        <is>
          <t>Membership</t>
        </is>
      </c>
      <c r="F1" t="inlineStr">
        <is>
          <t>Ownership</t>
        </is>
      </c>
      <c r="G1" t="inlineStr">
        <is>
          <t>Committed</t>
        </is>
      </c>
      <c r="H1" t="inlineStr">
        <is>
          <t>Contributed</t>
        </is>
      </c>
      <c r="I1" t="inlineStr">
        <is>
          <t>Distributed</t>
        </is>
      </c>
      <c r="J1" t="inlineStr">
        <is>
          <t>Unreturned Capital</t>
        </is>
      </c>
      <c r="K1" t="inlineStr">
        <is>
          <t>Accrued Balance</t>
        </is>
      </c>
      <c r="L1" t="inlineStr">
        <is>
          <t>Net Equity</t>
        </is>
      </c>
      <c r="M1" t="inlineStr">
        <is>
          <t>Accredited</t>
        </is>
      </c>
      <c r="N1" t="inlineStr">
        <is>
          <t>Tax Address</t>
        </is>
      </c>
      <c r="O1" t="inlineStr">
        <is>
          <t>Street Address</t>
        </is>
      </c>
      <c r="P1" t="inlineStr">
        <is>
          <t>City</t>
        </is>
      </c>
      <c r="Q1" t="inlineStr">
        <is>
          <t>State</t>
        </is>
      </c>
      <c r="R1" t="inlineStr">
        <is>
          <t>Zip</t>
        </is>
      </c>
      <c r="S1" t="inlineStr">
        <is>
          <t>Associated Contacts</t>
        </is>
      </c>
    </row>
    <row r="2">
      <c r="A2" t="inlineStr">
        <is>
          <t>CLIP Sponsor LLC</t>
        </is>
      </c>
      <c r="E2" t="inlineStr">
        <is>
          <t>GP</t>
        </is>
      </c>
      <c r="F2" s="825" t="n">
        <v>0.0253363728152516</v>
      </c>
      <c r="G2" t="n">
        <v>4802554.5</v>
      </c>
      <c r="H2" t="n">
        <v>4802554.5</v>
      </c>
      <c r="I2" t="n">
        <v>1253009.87</v>
      </c>
      <c r="J2" t="n">
        <v>3549544.63</v>
      </c>
      <c r="M2" t="inlineStr">
        <is>
          <t>Yes</t>
        </is>
      </c>
      <c r="N2" t="inlineStr">
        <is>
          <t>228 Main St Ste 10 Venice CA 90291</t>
        </is>
      </c>
      <c r="O2" t="inlineStr">
        <is>
          <t>228 Main St Ste 10</t>
        </is>
      </c>
      <c r="P2" t="inlineStr">
        <is>
          <t>Venice</t>
        </is>
      </c>
      <c r="Q2" t="inlineStr">
        <is>
          <t>CA</t>
        </is>
      </c>
      <c r="R2" t="n">
        <v>90291</v>
      </c>
      <c r="S2" t="inlineStr">
        <is>
          <t>CLIP Sponsor LLC, CLR Silsbee Sponsor LLC</t>
        </is>
      </c>
    </row>
    <row r="3">
      <c r="A3" t="inlineStr">
        <is>
          <t>CLR Silsbee Sponsor LLC</t>
        </is>
      </c>
      <c r="E3" t="inlineStr">
        <is>
          <t>GP</t>
        </is>
      </c>
      <c r="F3" s="825" t="n">
        <v>0.00194973982871236</v>
      </c>
      <c r="G3" t="n">
        <v>369576.65</v>
      </c>
      <c r="H3" t="n">
        <v>369576.65</v>
      </c>
      <c r="I3" t="n">
        <v>96424.35000000001</v>
      </c>
      <c r="J3" t="n">
        <v>273152.3</v>
      </c>
      <c r="M3" t="inlineStr">
        <is>
          <t>Yes</t>
        </is>
      </c>
      <c r="S3" t="inlineStr">
        <is>
          <t>CLIP Sponsor LLC, CLR Silsbee Sponsor LLC</t>
        </is>
      </c>
    </row>
    <row r="4">
      <c r="A4" t="inlineStr">
        <is>
          <t>Odyssey Holdings, LLC</t>
        </is>
      </c>
      <c r="E4" t="inlineStr">
        <is>
          <t>GP</t>
        </is>
      </c>
      <c r="F4" s="825" t="n">
        <v>0.00627400030911026</v>
      </c>
      <c r="G4" t="n">
        <v>703163.88</v>
      </c>
      <c r="H4" t="n">
        <v>863608.92</v>
      </c>
      <c r="I4" t="n">
        <v>345427.47</v>
      </c>
      <c r="J4" t="n">
        <v>553328.34</v>
      </c>
      <c r="M4" t="inlineStr">
        <is>
          <t>Yes</t>
        </is>
      </c>
      <c r="N4" t="inlineStr">
        <is>
          <t>228 Main Ste Ste 10 Venice CA 90291</t>
        </is>
      </c>
      <c r="O4" t="inlineStr">
        <is>
          <t>228 Main Ste Ste 10</t>
        </is>
      </c>
      <c r="P4" t="inlineStr">
        <is>
          <t>Venice</t>
        </is>
      </c>
      <c r="Q4" t="inlineStr">
        <is>
          <t>CA</t>
        </is>
      </c>
      <c r="R4" t="n">
        <v>90291</v>
      </c>
      <c r="S4" t="inlineStr">
        <is>
          <t>Odyssey Holdings, LLC, Irvin Bermeduz, Odyssey Holdings, LLC</t>
        </is>
      </c>
    </row>
    <row r="5">
      <c r="A5" t="inlineStr">
        <is>
          <t>1999 Britta Biesecker Declaration of Trust DTD 5/12/99</t>
        </is>
      </c>
      <c r="E5" t="inlineStr">
        <is>
          <t>LP</t>
        </is>
      </c>
      <c r="F5" s="825" t="n">
        <v>0.00263780169649836</v>
      </c>
      <c r="G5" t="n">
        <v>500000</v>
      </c>
      <c r="H5" t="n">
        <v>500000</v>
      </c>
      <c r="I5" t="n">
        <v>130358.48</v>
      </c>
      <c r="J5" t="n">
        <v>376898.11</v>
      </c>
      <c r="M5" t="inlineStr">
        <is>
          <t>Yes</t>
        </is>
      </c>
      <c r="N5" t="inlineStr">
        <is>
          <t>46 Greythorne Woods Cir Wayne PA 19087</t>
        </is>
      </c>
      <c r="O5" t="inlineStr">
        <is>
          <t>46 Greythorne Woods Cir</t>
        </is>
      </c>
      <c r="P5" t="inlineStr">
        <is>
          <t>Wayne</t>
        </is>
      </c>
      <c r="Q5" t="inlineStr">
        <is>
          <t>PA</t>
        </is>
      </c>
      <c r="R5" t="n">
        <v>19087</v>
      </c>
      <c r="S5" t="inlineStr">
        <is>
          <t>Investor, Investor, Investor, Investor</t>
        </is>
      </c>
    </row>
    <row r="6">
      <c r="A6" t="inlineStr">
        <is>
          <t>1999 Frederick N Biesecker II Declaration of Trust dtd 5/12/99</t>
        </is>
      </c>
      <c r="E6" t="inlineStr">
        <is>
          <t>LP</t>
        </is>
      </c>
      <c r="F6" s="825" t="n">
        <v>0.0036929223750977</v>
      </c>
      <c r="G6" t="n">
        <v>700000</v>
      </c>
      <c r="H6" t="n">
        <v>700000</v>
      </c>
      <c r="I6" t="n">
        <v>182501.88</v>
      </c>
      <c r="J6" t="n">
        <v>527657.35</v>
      </c>
      <c r="M6" t="inlineStr">
        <is>
          <t>Yes</t>
        </is>
      </c>
      <c r="N6" t="inlineStr">
        <is>
          <t>137 Brooke Farm Rd Saint Davids PA 19087</t>
        </is>
      </c>
      <c r="O6" t="inlineStr">
        <is>
          <t>137 Brooke Farm Rd</t>
        </is>
      </c>
      <c r="P6" t="inlineStr">
        <is>
          <t>Saint Davids</t>
        </is>
      </c>
      <c r="Q6" t="inlineStr">
        <is>
          <t>PA</t>
        </is>
      </c>
      <c r="R6" t="n">
        <v>19087</v>
      </c>
      <c r="S6" t="inlineStr">
        <is>
          <t>Investor, Investor, Investor, Investor</t>
        </is>
      </c>
    </row>
    <row r="7">
      <c r="A7" t="inlineStr">
        <is>
          <t>1999 Lissa Biesecker Longacre Declaration of Trust dtd 5/12/99</t>
        </is>
      </c>
      <c r="E7" t="inlineStr">
        <is>
          <t>LP</t>
        </is>
      </c>
      <c r="F7" s="825" t="n">
        <v>0.00316536203579803</v>
      </c>
      <c r="G7" t="n">
        <v>600000</v>
      </c>
      <c r="H7" t="n">
        <v>600000</v>
      </c>
      <c r="I7" t="n">
        <v>156430.18</v>
      </c>
      <c r="J7" t="n">
        <v>452277.73</v>
      </c>
      <c r="M7" t="inlineStr">
        <is>
          <t>Yes</t>
        </is>
      </c>
      <c r="N7" t="inlineStr">
        <is>
          <t>162 Emerald Lane Boyertown PA 19512</t>
        </is>
      </c>
      <c r="O7" t="inlineStr">
        <is>
          <t>162 Emerald Lane</t>
        </is>
      </c>
      <c r="P7" t="inlineStr">
        <is>
          <t>Boyertown</t>
        </is>
      </c>
      <c r="Q7" t="inlineStr">
        <is>
          <t>PA</t>
        </is>
      </c>
      <c r="R7" t="n">
        <v>19512</v>
      </c>
      <c r="S7" t="inlineStr">
        <is>
          <t>Investor, Investor, Investor, Investor</t>
        </is>
      </c>
    </row>
    <row r="8">
      <c r="A8" t="inlineStr">
        <is>
          <t>AKWT LLC</t>
        </is>
      </c>
      <c r="E8" t="inlineStr">
        <is>
          <t>LP</t>
        </is>
      </c>
      <c r="F8" s="825" t="n">
        <v>0.000413081433864729</v>
      </c>
      <c r="G8" t="n">
        <v>78300.32000000001</v>
      </c>
      <c r="H8" t="n">
        <v>78300.32000000001</v>
      </c>
      <c r="I8" t="n">
        <v>20631.47</v>
      </c>
      <c r="J8" t="n">
        <v>58805.24</v>
      </c>
      <c r="M8" t="inlineStr">
        <is>
          <t>Yes</t>
        </is>
      </c>
      <c r="N8" t="inlineStr">
        <is>
          <t>7813 Henefer Ave Los Angeles CA 90045</t>
        </is>
      </c>
      <c r="O8" t="inlineStr">
        <is>
          <t>7813 Henefer Ave</t>
        </is>
      </c>
      <c r="P8" t="inlineStr">
        <is>
          <t>Los Angeles</t>
        </is>
      </c>
      <c r="Q8" t="inlineStr">
        <is>
          <t>CA</t>
        </is>
      </c>
      <c r="R8" t="n">
        <v>90045</v>
      </c>
      <c r="S8" t="inlineStr">
        <is>
          <t>AKWT LLC</t>
        </is>
      </c>
    </row>
    <row r="9">
      <c r="A9" t="inlineStr">
        <is>
          <t>Abigail Levy</t>
        </is>
      </c>
      <c r="E9" t="inlineStr">
        <is>
          <t>LP</t>
        </is>
      </c>
      <c r="F9" s="825" t="n">
        <v>0.00395670254474754</v>
      </c>
      <c r="G9" t="n">
        <v>750000</v>
      </c>
      <c r="H9" t="n">
        <v>750000</v>
      </c>
      <c r="I9" t="n">
        <v>195537.73</v>
      </c>
      <c r="J9" t="n">
        <v>565347.16</v>
      </c>
      <c r="M9" t="inlineStr">
        <is>
          <t>Yes</t>
        </is>
      </c>
      <c r="N9" t="inlineStr">
        <is>
          <t>30 East 85th Street, Apt 28 New York NY 10028</t>
        </is>
      </c>
      <c r="O9" t="inlineStr">
        <is>
          <t>30 East 85th Street, Apt 28</t>
        </is>
      </c>
      <c r="P9" t="inlineStr">
        <is>
          <t>New York</t>
        </is>
      </c>
      <c r="Q9" t="inlineStr">
        <is>
          <t>NY</t>
        </is>
      </c>
      <c r="R9" t="n">
        <v>10028</v>
      </c>
      <c r="S9" t="inlineStr">
        <is>
          <t>Investor, Investor, Abigail Levy, Investor</t>
        </is>
      </c>
    </row>
    <row r="10">
      <c r="A10" t="inlineStr">
        <is>
          <t>Alexander S. Bloomingdale</t>
        </is>
      </c>
      <c r="E10" t="inlineStr">
        <is>
          <t>LP</t>
        </is>
      </c>
      <c r="F10" s="825" t="n">
        <v>0.000760731247039206</v>
      </c>
      <c r="G10" t="n">
        <v>144197.96</v>
      </c>
      <c r="H10" t="n">
        <v>144197.96</v>
      </c>
      <c r="I10" t="n">
        <v>38120.51</v>
      </c>
      <c r="J10" t="n">
        <v>108170.22</v>
      </c>
      <c r="M10" t="inlineStr">
        <is>
          <t>Yes</t>
        </is>
      </c>
      <c r="N10" t="inlineStr">
        <is>
          <t>727 Hanley Ave. Los Angeles CA 90049</t>
        </is>
      </c>
      <c r="O10" t="inlineStr">
        <is>
          <t>727 Hanley Ave.</t>
        </is>
      </c>
      <c r="P10" t="inlineStr">
        <is>
          <t>Los Angeles</t>
        </is>
      </c>
      <c r="Q10" t="inlineStr">
        <is>
          <t>CA</t>
        </is>
      </c>
      <c r="R10" t="n">
        <v>90049</v>
      </c>
      <c r="S10" t="inlineStr">
        <is>
          <t>Alexander Bloomingdale</t>
        </is>
      </c>
    </row>
    <row r="11">
      <c r="A11" t="inlineStr">
        <is>
          <t>Alexander Sharpe Moore</t>
        </is>
      </c>
      <c r="E11" t="inlineStr">
        <is>
          <t>LP</t>
        </is>
      </c>
      <c r="F11" s="825" t="n">
        <v>0.000826162814973424</v>
      </c>
      <c r="G11" t="n">
        <v>156600.63</v>
      </c>
      <c r="H11" t="n">
        <v>156600.63</v>
      </c>
      <c r="I11" t="n">
        <v>41262.94</v>
      </c>
      <c r="J11" t="n">
        <v>117610.46</v>
      </c>
      <c r="M11" t="inlineStr">
        <is>
          <t>Yes</t>
        </is>
      </c>
      <c r="N11" t="inlineStr">
        <is>
          <t>5340 Waneta Drive Dallas TX 75209</t>
        </is>
      </c>
      <c r="O11" t="inlineStr">
        <is>
          <t>5340 Waneta Drive</t>
        </is>
      </c>
      <c r="P11" t="inlineStr">
        <is>
          <t>Dallas</t>
        </is>
      </c>
      <c r="Q11" t="inlineStr">
        <is>
          <t>TX</t>
        </is>
      </c>
      <c r="R11" t="n">
        <v>75209</v>
      </c>
      <c r="S11" t="inlineStr">
        <is>
          <t>Alexander Moore</t>
        </is>
      </c>
    </row>
    <row r="12">
      <c r="A12" t="inlineStr">
        <is>
          <t>All Dogs Go To Heaven, LLC</t>
        </is>
      </c>
      <c r="E12" t="inlineStr">
        <is>
          <t>LP</t>
        </is>
      </c>
      <c r="F12" s="825" t="n">
        <v>0.00276070669016053</v>
      </c>
      <c r="G12" t="n">
        <v>523296.86</v>
      </c>
      <c r="H12" t="n">
        <v>523296.86</v>
      </c>
      <c r="I12" t="n">
        <v>138135.45</v>
      </c>
      <c r="J12" t="n">
        <v>392756.11</v>
      </c>
      <c r="M12" t="inlineStr">
        <is>
          <t>Yes</t>
        </is>
      </c>
      <c r="N12" t="inlineStr">
        <is>
          <t>3524 Hanover St. Dallas TX 75225</t>
        </is>
      </c>
      <c r="O12" t="inlineStr">
        <is>
          <t>3524 Hanover St.</t>
        </is>
      </c>
      <c r="P12" t="inlineStr">
        <is>
          <t>Dallas</t>
        </is>
      </c>
      <c r="Q12" t="inlineStr">
        <is>
          <t>TX</t>
        </is>
      </c>
      <c r="R12" t="n">
        <v>75225</v>
      </c>
      <c r="S12" t="inlineStr">
        <is>
          <t>All Dogs Go To Heaven, LLC</t>
        </is>
      </c>
    </row>
    <row r="13">
      <c r="A13" t="inlineStr">
        <is>
          <t>Alten Investments LLC</t>
        </is>
      </c>
      <c r="E13" t="inlineStr">
        <is>
          <t>LP</t>
        </is>
      </c>
      <c r="F13" s="825" t="n">
        <v>0.00527560339299672</v>
      </c>
      <c r="G13" t="n">
        <v>1000000</v>
      </c>
      <c r="H13" t="n">
        <v>1000000</v>
      </c>
      <c r="I13" t="n">
        <v>260716.97</v>
      </c>
      <c r="J13" t="n">
        <v>753796.22</v>
      </c>
      <c r="M13" t="inlineStr">
        <is>
          <t>Yes</t>
        </is>
      </c>
      <c r="S13" t="inlineStr">
        <is>
          <t>Investor, Investor, Alten Investments LLC, Madten Investments LLC, Alten Investments LLC, Madten Investments LLC, Alten Investments LLC, Madten Investments LLC</t>
        </is>
      </c>
    </row>
    <row r="14">
      <c r="A14" t="inlineStr">
        <is>
          <t>Argos Holdings, LLC</t>
        </is>
      </c>
      <c r="D14" s="22" t="n">
        <v>45944</v>
      </c>
      <c r="E14" t="inlineStr">
        <is>
          <t>LP</t>
        </is>
      </c>
      <c r="F14" s="825" t="n">
        <v>0.00206540706381157</v>
      </c>
      <c r="G14" t="n">
        <v>391501.58</v>
      </c>
      <c r="H14" t="n">
        <v>391501.58</v>
      </c>
      <c r="I14" t="n">
        <v>103157.36</v>
      </c>
      <c r="J14" t="n">
        <v>294026.16</v>
      </c>
      <c r="S14" t="inlineStr">
        <is>
          <t>Odyssey Holdings, LLC, Odyssey Holdings, LLC</t>
        </is>
      </c>
    </row>
    <row r="15">
      <c r="A15" t="inlineStr">
        <is>
          <t>Avery Ryan Klann</t>
        </is>
      </c>
      <c r="E15" t="inlineStr">
        <is>
          <t>LP</t>
        </is>
      </c>
      <c r="F15" s="825" t="n">
        <v>0.00206540706381157</v>
      </c>
      <c r="G15" t="n">
        <v>391501.58</v>
      </c>
      <c r="H15" t="n">
        <v>391501.58</v>
      </c>
      <c r="I15" t="n">
        <v>103157.36</v>
      </c>
      <c r="J15" t="n">
        <v>294026.16</v>
      </c>
      <c r="M15" t="inlineStr">
        <is>
          <t>Yes</t>
        </is>
      </c>
      <c r="N15" t="inlineStr">
        <is>
          <t>117 Everglade Ave Palm Beach FL 33480</t>
        </is>
      </c>
      <c r="O15" t="inlineStr">
        <is>
          <t>117 Everglade Ave</t>
        </is>
      </c>
      <c r="P15" t="inlineStr">
        <is>
          <t>Palm Beach</t>
        </is>
      </c>
      <c r="Q15" t="inlineStr">
        <is>
          <t>FL</t>
        </is>
      </c>
      <c r="R15" t="n">
        <v>33480</v>
      </c>
      <c r="S15" t="inlineStr">
        <is>
          <t>Avery Klann</t>
        </is>
      </c>
    </row>
    <row r="16">
      <c r="A16" t="inlineStr">
        <is>
          <t>BBR Real Assets Fund 2024 LLC</t>
        </is>
      </c>
      <c r="E16" t="inlineStr">
        <is>
          <t>LP</t>
        </is>
      </c>
      <c r="F16" s="825" t="n">
        <v>0.0527560339299672</v>
      </c>
      <c r="G16" t="n">
        <v>10000000</v>
      </c>
      <c r="H16" t="n">
        <v>10000000</v>
      </c>
      <c r="I16" t="n">
        <v>2607169.73</v>
      </c>
      <c r="J16" t="n">
        <v>7537962.13</v>
      </c>
      <c r="M16" t="inlineStr">
        <is>
          <t>Yes</t>
        </is>
      </c>
      <c r="S16" t="inlineStr">
        <is>
          <t>Investor, BBR Real Assets Fund 2024 LLC, Investor</t>
        </is>
      </c>
    </row>
    <row r="17">
      <c r="A17" t="inlineStr">
        <is>
          <t>Belclaire Asset Management, LLC</t>
        </is>
      </c>
      <c r="E17" t="inlineStr">
        <is>
          <t>LP</t>
        </is>
      </c>
      <c r="F17" s="825" t="n">
        <v>0.00482611375397211</v>
      </c>
      <c r="G17" t="n">
        <v>914798.4399999999</v>
      </c>
      <c r="H17" t="n">
        <v>914798.4399999999</v>
      </c>
      <c r="I17" t="n">
        <v>241292.8</v>
      </c>
      <c r="J17" t="n">
        <v>686782.28</v>
      </c>
      <c r="M17" t="inlineStr">
        <is>
          <t>Yes</t>
        </is>
      </c>
      <c r="N17" t="inlineStr">
        <is>
          <t>4331 Lorraine Ave Dallas TX 75205</t>
        </is>
      </c>
      <c r="O17" t="inlineStr">
        <is>
          <t>4331 Lorraine Ave</t>
        </is>
      </c>
      <c r="P17" t="inlineStr">
        <is>
          <t>Dallas</t>
        </is>
      </c>
      <c r="Q17" t="inlineStr">
        <is>
          <t>TX</t>
        </is>
      </c>
      <c r="R17" t="n">
        <v>75205</v>
      </c>
      <c r="S17" t="inlineStr">
        <is>
          <t>Belclaire Asset Management, LLC</t>
        </is>
      </c>
    </row>
    <row r="18">
      <c r="A18" t="inlineStr">
        <is>
          <t>Benaiah Inc.</t>
        </is>
      </c>
      <c r="E18" t="inlineStr">
        <is>
          <t>LP</t>
        </is>
      </c>
      <c r="F18" s="825" t="n">
        <v>0.00482611375397211</v>
      </c>
      <c r="G18" t="n">
        <v>914798.4399999999</v>
      </c>
      <c r="H18" t="n">
        <v>914798.4399999999</v>
      </c>
      <c r="I18" t="n">
        <v>241292.8</v>
      </c>
      <c r="J18" t="n">
        <v>686782.28</v>
      </c>
      <c r="M18" t="inlineStr">
        <is>
          <t>Yes</t>
        </is>
      </c>
      <c r="N18" t="inlineStr">
        <is>
          <t>2369 Mira Vista Ave Montrose CA 91020</t>
        </is>
      </c>
      <c r="O18" t="inlineStr">
        <is>
          <t>2369 Mira Vista Ave</t>
        </is>
      </c>
      <c r="P18" t="inlineStr">
        <is>
          <t>Montrose</t>
        </is>
      </c>
      <c r="Q18" t="inlineStr">
        <is>
          <t>CA</t>
        </is>
      </c>
      <c r="R18" t="n">
        <v>91020</v>
      </c>
      <c r="S18" t="inlineStr">
        <is>
          <t>Benaiah Inc.</t>
        </is>
      </c>
    </row>
    <row r="19">
      <c r="A19" t="inlineStr">
        <is>
          <t>Benjamin Johnson</t>
        </is>
      </c>
      <c r="E19" t="inlineStr">
        <is>
          <t>LP</t>
        </is>
      </c>
      <c r="F19" s="825" t="n">
        <v>0.000413081433864729</v>
      </c>
      <c r="G19" t="n">
        <v>78300.32000000001</v>
      </c>
      <c r="H19" t="n">
        <v>78300.32000000001</v>
      </c>
      <c r="I19" t="n">
        <v>20631.47</v>
      </c>
      <c r="J19" t="n">
        <v>58805.24</v>
      </c>
      <c r="M19" t="inlineStr">
        <is>
          <t>Yes</t>
        </is>
      </c>
      <c r="N19" t="inlineStr">
        <is>
          <t>11950 NE 34th St Bellevue WA 98005</t>
        </is>
      </c>
      <c r="O19" t="inlineStr">
        <is>
          <t>11950 NE 34th St</t>
        </is>
      </c>
      <c r="P19" t="inlineStr">
        <is>
          <t>Bellevue</t>
        </is>
      </c>
      <c r="Q19" t="inlineStr">
        <is>
          <t>WA</t>
        </is>
      </c>
      <c r="R19" t="n">
        <v>98005</v>
      </c>
      <c r="S19" t="inlineStr">
        <is>
          <t>Benjamin Johnson</t>
        </is>
      </c>
    </row>
    <row r="20">
      <c r="A20" t="inlineStr">
        <is>
          <t>Bloomingdale Family Trust Share #3</t>
        </is>
      </c>
      <c r="E20" t="inlineStr">
        <is>
          <t>LP</t>
        </is>
      </c>
      <c r="F20" s="825" t="n">
        <v>0.00123924424883815</v>
      </c>
      <c r="G20" t="n">
        <v>234900.95</v>
      </c>
      <c r="H20" t="n">
        <v>234900.95</v>
      </c>
      <c r="I20" t="n">
        <v>61894.4</v>
      </c>
      <c r="J20" t="n">
        <v>176415.71</v>
      </c>
      <c r="M20" t="inlineStr">
        <is>
          <t>Yes</t>
        </is>
      </c>
      <c r="N20" t="inlineStr">
        <is>
          <t>1049 Havenhurst Dr., No.91 West Hollywood CA 90046</t>
        </is>
      </c>
      <c r="O20" t="inlineStr">
        <is>
          <t>1049 Havenhurst Dr., No.91</t>
        </is>
      </c>
      <c r="P20" t="inlineStr">
        <is>
          <t>West Hollywood</t>
        </is>
      </c>
      <c r="Q20" t="inlineStr">
        <is>
          <t>CA</t>
        </is>
      </c>
      <c r="R20" t="n">
        <v>90046</v>
      </c>
      <c r="S20" t="inlineStr">
        <is>
          <t>Bloomingdale Family Trust Share #3</t>
        </is>
      </c>
    </row>
    <row r="21">
      <c r="A21" t="inlineStr">
        <is>
          <t>Brian Carroll 2011 Long-Term Trust</t>
        </is>
      </c>
      <c r="E21" t="inlineStr">
        <is>
          <t>LP</t>
        </is>
      </c>
      <c r="F21" s="825" t="n">
        <v>0.00263780169649836</v>
      </c>
      <c r="G21" t="n">
        <v>500000</v>
      </c>
      <c r="H21" t="n">
        <v>500000</v>
      </c>
      <c r="I21" t="n">
        <v>130358.48</v>
      </c>
      <c r="J21" t="n">
        <v>376898.11</v>
      </c>
      <c r="M21" t="inlineStr">
        <is>
          <t>Yes</t>
        </is>
      </c>
      <c r="S21" t="inlineStr">
        <is>
          <t>Brian Carroll 2011 Long-Term Trust, Investor, Investor</t>
        </is>
      </c>
    </row>
    <row r="22">
      <c r="A22" t="inlineStr">
        <is>
          <t>Bryan C. White LLC</t>
        </is>
      </c>
      <c r="E22" t="inlineStr">
        <is>
          <t>LP</t>
        </is>
      </c>
      <c r="F22" s="825" t="n">
        <v>0.00103270353190578</v>
      </c>
      <c r="G22" t="n">
        <v>195750.79</v>
      </c>
      <c r="H22" t="n">
        <v>195750.79</v>
      </c>
      <c r="I22" t="n">
        <v>51578.67</v>
      </c>
      <c r="J22" t="n">
        <v>147013.09</v>
      </c>
      <c r="M22" t="inlineStr">
        <is>
          <t>Yes</t>
        </is>
      </c>
      <c r="N22" t="inlineStr">
        <is>
          <t>2036 Radcliffe Ave Charlotte NC 28207</t>
        </is>
      </c>
      <c r="O22" t="inlineStr">
        <is>
          <t>2036 Radcliffe Ave</t>
        </is>
      </c>
      <c r="P22" t="inlineStr">
        <is>
          <t>Charlotte</t>
        </is>
      </c>
      <c r="Q22" t="inlineStr">
        <is>
          <t>NC</t>
        </is>
      </c>
      <c r="R22" t="n">
        <v>28207</v>
      </c>
      <c r="S22" t="inlineStr">
        <is>
          <t>Brian White</t>
        </is>
      </c>
    </row>
    <row r="23">
      <c r="A23" t="inlineStr">
        <is>
          <t>CRPTF-GCM Middle-Market RE Partnership, L.P. (2025-01 Investment Series)</t>
        </is>
      </c>
      <c r="E23" t="inlineStr">
        <is>
          <t>LP</t>
        </is>
      </c>
      <c r="F23" s="825" t="n">
        <v>0.158268101789901</v>
      </c>
      <c r="G23" t="n">
        <v>30000000</v>
      </c>
      <c r="H23" t="n">
        <v>30000000</v>
      </c>
      <c r="I23" t="n">
        <v>0</v>
      </c>
      <c r="J23" t="n">
        <v>30000000</v>
      </c>
      <c r="M23" t="inlineStr">
        <is>
          <t>Yes</t>
        </is>
      </c>
      <c r="S23" t="inlineStr">
        <is>
          <t>Investor, Investor, Investor, Investor, Investor, Investor</t>
        </is>
      </c>
    </row>
    <row r="24">
      <c r="A24" t="inlineStr">
        <is>
          <t>Cameron J. Tringale</t>
        </is>
      </c>
      <c r="E24" t="inlineStr">
        <is>
          <t>LP</t>
        </is>
      </c>
      <c r="F24" s="825" t="n">
        <v>0.00263780169649836</v>
      </c>
      <c r="G24" t="n">
        <v>500000</v>
      </c>
      <c r="H24" t="n">
        <v>500000</v>
      </c>
      <c r="I24" t="n">
        <v>126683.2</v>
      </c>
      <c r="J24" t="n">
        <v>380573.39</v>
      </c>
      <c r="M24" t="inlineStr">
        <is>
          <t>Yes</t>
        </is>
      </c>
      <c r="N24" t="inlineStr">
        <is>
          <t>170 Celestial Way Apt 74 Jumo Beach FL 33408</t>
        </is>
      </c>
      <c r="O24" t="inlineStr">
        <is>
          <t>170 Celestial Way Apt 74</t>
        </is>
      </c>
      <c r="P24" t="inlineStr">
        <is>
          <t>Jumo Beach</t>
        </is>
      </c>
      <c r="Q24" t="inlineStr">
        <is>
          <t>FL</t>
        </is>
      </c>
      <c r="R24" t="n">
        <v>33408</v>
      </c>
      <c r="S24" t="inlineStr">
        <is>
          <t>Cameron Tringale</t>
        </is>
      </c>
    </row>
    <row r="25">
      <c r="A25" t="inlineStr">
        <is>
          <t>Charing Hatcherville LLC</t>
        </is>
      </c>
      <c r="E25" t="inlineStr">
        <is>
          <t>LP</t>
        </is>
      </c>
      <c r="F25" s="825" t="n">
        <v>0.268866618446174</v>
      </c>
      <c r="G25" t="n">
        <v>50964145.41</v>
      </c>
      <c r="H25" t="n">
        <v>50964145.41</v>
      </c>
      <c r="I25" t="n">
        <v>13428620.72</v>
      </c>
      <c r="J25" t="n">
        <v>38275176.81</v>
      </c>
      <c r="M25" t="inlineStr">
        <is>
          <t>Yes</t>
        </is>
      </c>
      <c r="N25" t="inlineStr">
        <is>
          <t>c/o Charing Cross Partners LP 1223 Wilshire Boulevard #862 Santa Monica CA 90403</t>
        </is>
      </c>
      <c r="O25" t="inlineStr">
        <is>
          <t>c/o Charing Cross Partners LP 1223 Wilshire Boulevard #862</t>
        </is>
      </c>
      <c r="P25" t="inlineStr">
        <is>
          <t>Santa Monica</t>
        </is>
      </c>
      <c r="Q25" t="inlineStr">
        <is>
          <t>CA</t>
        </is>
      </c>
      <c r="R25" t="n">
        <v>90403</v>
      </c>
      <c r="S25" t="inlineStr">
        <is>
          <t>Charing Hatcherville LLC, Charing Silsbee, LLC, Charing Hatcherville LLC, Charing Silsbee, LLC Charing CP, Charing Hatcherville LLC, Charing Silsbee, LLC</t>
        </is>
      </c>
    </row>
    <row r="26">
      <c r="A26" t="inlineStr">
        <is>
          <t>Charing Silsbee, LLC</t>
        </is>
      </c>
      <c r="E26" t="inlineStr">
        <is>
          <t>LP</t>
        </is>
      </c>
      <c r="F26" s="825" t="n">
        <v>0.0333743817482135</v>
      </c>
      <c r="G26" t="n">
        <v>6326173.38</v>
      </c>
      <c r="H26" t="n">
        <v>6326173.38</v>
      </c>
      <c r="I26" t="n">
        <v>1678948.65</v>
      </c>
      <c r="J26" t="n">
        <v>4739037.66</v>
      </c>
      <c r="M26" t="inlineStr">
        <is>
          <t>Yes</t>
        </is>
      </c>
      <c r="N26" t="inlineStr">
        <is>
          <t>c/o Charing Cross Partners LP 1223 Wilshire Boulevard #862 Santa Monica CA 90403</t>
        </is>
      </c>
      <c r="O26" t="inlineStr">
        <is>
          <t>c/o Charing Cross Partners LP 1223 Wilshire Boulevard #862</t>
        </is>
      </c>
      <c r="P26" t="inlineStr">
        <is>
          <t>Santa Monica</t>
        </is>
      </c>
      <c r="Q26" t="inlineStr">
        <is>
          <t>CA</t>
        </is>
      </c>
      <c r="R26" t="n">
        <v>90403</v>
      </c>
      <c r="S26" t="inlineStr">
        <is>
          <t>Charing Hatcherville LLC, Charing Silsbee, LLC, Charing Hatcherville LLC, Charing Silsbee, LLC Charing CP, Charing Hatcherville LLC, Charing Silsbee, LLC</t>
        </is>
      </c>
    </row>
    <row r="27">
      <c r="A27" t="inlineStr">
        <is>
          <t>Chase F. Monroe</t>
        </is>
      </c>
      <c r="E27" t="inlineStr">
        <is>
          <t>LP</t>
        </is>
      </c>
      <c r="F27" s="825" t="n">
        <v>0.00103270353190578</v>
      </c>
      <c r="G27" t="n">
        <v>195750.79</v>
      </c>
      <c r="H27" t="n">
        <v>195750.79</v>
      </c>
      <c r="I27" t="n">
        <v>51578.67</v>
      </c>
      <c r="J27" t="n">
        <v>147013.09</v>
      </c>
      <c r="M27" t="inlineStr">
        <is>
          <t>Yes</t>
        </is>
      </c>
      <c r="N27" t="inlineStr">
        <is>
          <t>2434 Vail Ave. Charlotte NC 28207</t>
        </is>
      </c>
      <c r="O27" t="inlineStr">
        <is>
          <t>2434 Vail Ave.</t>
        </is>
      </c>
      <c r="P27" t="inlineStr">
        <is>
          <t>Charlotte</t>
        </is>
      </c>
      <c r="Q27" t="inlineStr">
        <is>
          <t>NC</t>
        </is>
      </c>
      <c r="R27" t="n">
        <v>28207</v>
      </c>
      <c r="S27" t="inlineStr">
        <is>
          <t>Chase Monroe</t>
        </is>
      </c>
    </row>
    <row r="28">
      <c r="A28" t="inlineStr">
        <is>
          <t>Chase The Lion, Inc.</t>
        </is>
      </c>
      <c r="E28" t="inlineStr">
        <is>
          <t>LP</t>
        </is>
      </c>
      <c r="F28" s="825" t="n">
        <v>0.00639662353279521</v>
      </c>
      <c r="G28" t="n">
        <v>1212491.36</v>
      </c>
      <c r="H28" t="n">
        <v>1212491.36</v>
      </c>
      <c r="I28" t="n">
        <v>319096.59</v>
      </c>
      <c r="J28" t="n">
        <v>910991.88</v>
      </c>
      <c r="M28" t="inlineStr">
        <is>
          <t>Yes</t>
        </is>
      </c>
      <c r="N28" t="inlineStr">
        <is>
          <t>1979 El Arbolita Drive Glendale CA 91208</t>
        </is>
      </c>
      <c r="O28" t="inlineStr">
        <is>
          <t>1979 El Arbolita Drive</t>
        </is>
      </c>
      <c r="P28" t="inlineStr">
        <is>
          <t>Glendale</t>
        </is>
      </c>
      <c r="Q28" t="inlineStr">
        <is>
          <t>CA</t>
        </is>
      </c>
      <c r="R28" t="n">
        <v>91208</v>
      </c>
      <c r="S28" t="inlineStr">
        <is>
          <t>Chase The Lion, Inc.</t>
        </is>
      </c>
    </row>
    <row r="29">
      <c r="A29" t="inlineStr">
        <is>
          <t>Chris Schaaf</t>
        </is>
      </c>
      <c r="E29" t="inlineStr">
        <is>
          <t>LP</t>
        </is>
      </c>
      <c r="F29" s="825" t="n">
        <v>0.00103270353190578</v>
      </c>
      <c r="G29" t="n">
        <v>195750.79</v>
      </c>
      <c r="H29" t="n">
        <v>195750.79</v>
      </c>
      <c r="I29" t="n">
        <v>51578.67</v>
      </c>
      <c r="J29" t="n">
        <v>147013.09</v>
      </c>
      <c r="M29" t="inlineStr">
        <is>
          <t>Yes</t>
        </is>
      </c>
      <c r="N29" t="inlineStr">
        <is>
          <t>1956 Sterling Rd Charlotte NC 28209</t>
        </is>
      </c>
      <c r="O29" t="inlineStr">
        <is>
          <t>1956 Sterling Rd</t>
        </is>
      </c>
      <c r="P29" t="inlineStr">
        <is>
          <t>Charlotte</t>
        </is>
      </c>
      <c r="Q29" t="inlineStr">
        <is>
          <t>NC</t>
        </is>
      </c>
      <c r="R29" t="n">
        <v>28209</v>
      </c>
      <c r="S29" t="inlineStr">
        <is>
          <t>Chris Schaaf</t>
        </is>
      </c>
    </row>
    <row r="30">
      <c r="A30" t="inlineStr">
        <is>
          <t>Christopher J. Campbell</t>
        </is>
      </c>
      <c r="E30" t="inlineStr">
        <is>
          <t>LP</t>
        </is>
      </c>
      <c r="F30" s="825" t="n">
        <v>0.00263780169649836</v>
      </c>
      <c r="G30" t="n">
        <v>500000</v>
      </c>
      <c r="H30" t="n">
        <v>500000</v>
      </c>
      <c r="I30" t="n">
        <v>130358.48</v>
      </c>
      <c r="J30" t="n">
        <v>376898.11</v>
      </c>
      <c r="M30" t="inlineStr">
        <is>
          <t>Yes</t>
        </is>
      </c>
      <c r="N30" t="inlineStr">
        <is>
          <t>26 Manchester Road Northeast Harbor ME 04662</t>
        </is>
      </c>
      <c r="O30" t="inlineStr">
        <is>
          <t>26 Manchester Road</t>
        </is>
      </c>
      <c r="P30" t="inlineStr">
        <is>
          <t>Northeast Harbor</t>
        </is>
      </c>
      <c r="Q30" t="inlineStr">
        <is>
          <t>ME</t>
        </is>
      </c>
      <c r="R30" t="n">
        <v>4662</v>
      </c>
      <c r="S30" t="inlineStr">
        <is>
          <t>Christopher J. Campbell, Investor, Investor</t>
        </is>
      </c>
    </row>
    <row r="31">
      <c r="A31" t="inlineStr">
        <is>
          <t>Christopher Johnson</t>
        </is>
      </c>
      <c r="E31" t="inlineStr">
        <is>
          <t>LP</t>
        </is>
      </c>
      <c r="F31" s="825" t="n">
        <v>0.000875210152474149</v>
      </c>
      <c r="G31" t="n">
        <v>165897.64</v>
      </c>
      <c r="H31" t="n">
        <v>165897.64</v>
      </c>
      <c r="I31" t="n">
        <v>42825.68</v>
      </c>
      <c r="J31" t="n">
        <v>125479.66</v>
      </c>
      <c r="M31" t="inlineStr">
        <is>
          <t>Yes</t>
        </is>
      </c>
      <c r="N31" t="inlineStr">
        <is>
          <t>2717 Hanover St Dallas TX 75225</t>
        </is>
      </c>
      <c r="O31" t="inlineStr">
        <is>
          <t>2717 Hanover St</t>
        </is>
      </c>
      <c r="P31" t="inlineStr">
        <is>
          <t>Dallas</t>
        </is>
      </c>
      <c r="Q31" t="inlineStr">
        <is>
          <t>TX</t>
        </is>
      </c>
      <c r="R31" t="n">
        <v>75225</v>
      </c>
      <c r="S31" t="inlineStr">
        <is>
          <t>Christopher Johnson</t>
        </is>
      </c>
    </row>
    <row r="32">
      <c r="A32" t="inlineStr">
        <is>
          <t>Daniel Ross</t>
        </is>
      </c>
      <c r="E32" t="inlineStr">
        <is>
          <t>LP</t>
        </is>
      </c>
      <c r="F32" s="825" t="n">
        <v>0.000826162814973424</v>
      </c>
      <c r="G32" t="n">
        <v>156600.63</v>
      </c>
      <c r="H32" t="n">
        <v>156600.63</v>
      </c>
      <c r="I32" t="n">
        <v>41262.94</v>
      </c>
      <c r="J32" t="n">
        <v>117610.46</v>
      </c>
      <c r="M32" t="inlineStr">
        <is>
          <t>Yes</t>
        </is>
      </c>
      <c r="N32" t="inlineStr">
        <is>
          <t>519 N Arden Drive Beverly Hills CA 90210</t>
        </is>
      </c>
      <c r="O32" t="inlineStr">
        <is>
          <t>519 N Arden Drive</t>
        </is>
      </c>
      <c r="P32" t="inlineStr">
        <is>
          <t>Beverly Hills</t>
        </is>
      </c>
      <c r="Q32" t="inlineStr">
        <is>
          <t>CA</t>
        </is>
      </c>
      <c r="R32" t="n">
        <v>90210</v>
      </c>
      <c r="S32" t="inlineStr">
        <is>
          <t>Daniel Ross</t>
        </is>
      </c>
    </row>
    <row r="33">
      <c r="A33" t="inlineStr">
        <is>
          <t>Endurance Companies LLC</t>
        </is>
      </c>
      <c r="E33" t="inlineStr">
        <is>
          <t>LP</t>
        </is>
      </c>
      <c r="F33" s="825" t="n">
        <v>0.00448426288404721</v>
      </c>
      <c r="G33" t="n">
        <v>850000</v>
      </c>
      <c r="H33" t="n">
        <v>850000</v>
      </c>
      <c r="I33" t="n">
        <v>215361.45</v>
      </c>
      <c r="J33" t="n">
        <v>646974.76</v>
      </c>
      <c r="M33" t="inlineStr">
        <is>
          <t>Yes</t>
        </is>
      </c>
      <c r="N33" t="inlineStr">
        <is>
          <t>30 N Gould St, Ste 7860 Sheridan WY 82801</t>
        </is>
      </c>
      <c r="O33" t="inlineStr">
        <is>
          <t>30 N Gould St, Ste 7860</t>
        </is>
      </c>
      <c r="P33" t="inlineStr">
        <is>
          <t>Sheridan</t>
        </is>
      </c>
      <c r="Q33" t="inlineStr">
        <is>
          <t>WY</t>
        </is>
      </c>
      <c r="R33" t="n">
        <v>82801</v>
      </c>
      <c r="S33" t="inlineStr">
        <is>
          <t>Endurance Companies LLC</t>
        </is>
      </c>
    </row>
    <row r="34">
      <c r="A34" t="inlineStr">
        <is>
          <t>Forem Capital, LLC</t>
        </is>
      </c>
      <c r="E34" t="inlineStr">
        <is>
          <t>LP</t>
        </is>
      </c>
      <c r="F34" s="825" t="n">
        <v>0.00791340508949508</v>
      </c>
      <c r="G34" t="n">
        <v>1500000</v>
      </c>
      <c r="H34" t="n">
        <v>1500000</v>
      </c>
      <c r="I34" t="n">
        <v>391075.46</v>
      </c>
      <c r="J34" t="n">
        <v>1130694.32</v>
      </c>
      <c r="M34" t="inlineStr">
        <is>
          <t>Yes</t>
        </is>
      </c>
      <c r="N34" t="inlineStr">
        <is>
          <t>1840 East Warm Springs Road, Suite 105 Las Vegas NV 89119</t>
        </is>
      </c>
      <c r="O34" t="inlineStr">
        <is>
          <t>1840 East Warm Springs Road, Suite 105</t>
        </is>
      </c>
      <c r="P34" t="inlineStr">
        <is>
          <t>Las Vegas</t>
        </is>
      </c>
      <c r="Q34" t="inlineStr">
        <is>
          <t>NV</t>
        </is>
      </c>
      <c r="R34" t="n">
        <v>89119</v>
      </c>
      <c r="S34" t="inlineStr">
        <is>
          <t>Forem Capital, LLC, Investor, Investor, Investor</t>
        </is>
      </c>
    </row>
    <row r="35">
      <c r="A35" t="inlineStr">
        <is>
          <t>Francis Brawley</t>
        </is>
      </c>
      <c r="E35" t="inlineStr">
        <is>
          <t>LP</t>
        </is>
      </c>
      <c r="F35" s="825" t="n">
        <v>0.00165232562994684</v>
      </c>
      <c r="G35" t="n">
        <v>313201.26</v>
      </c>
      <c r="H35" t="n">
        <v>313201.26</v>
      </c>
      <c r="I35" t="n">
        <v>82525.89999999999</v>
      </c>
      <c r="J35" t="n">
        <v>235220.91</v>
      </c>
      <c r="M35" t="inlineStr">
        <is>
          <t>Yes</t>
        </is>
      </c>
      <c r="N35" t="inlineStr">
        <is>
          <t>2922 W. Wallcraft Ave. Tampa  FL 33611</t>
        </is>
      </c>
      <c r="O35" t="inlineStr">
        <is>
          <t>2922 W. Wallcraft Ave.</t>
        </is>
      </c>
      <c r="P35" t="inlineStr">
        <is>
          <t xml:space="preserve">Tampa </t>
        </is>
      </c>
      <c r="Q35" t="inlineStr">
        <is>
          <t>FL</t>
        </is>
      </c>
      <c r="R35" t="n">
        <v>33611</v>
      </c>
      <c r="S35" t="inlineStr">
        <is>
          <t>Frank Brawley</t>
        </is>
      </c>
    </row>
    <row r="36">
      <c r="A36" t="inlineStr">
        <is>
          <t>GCM Grosvenor - NYSTRS Real Estate Investment Partners, L.P. (2024-1 Series)</t>
        </is>
      </c>
      <c r="E36" t="inlineStr">
        <is>
          <t>LP</t>
        </is>
      </c>
      <c r="F36" s="825" t="n">
        <v>0.0263780169649836</v>
      </c>
      <c r="G36" t="n">
        <v>5000000</v>
      </c>
      <c r="H36" t="n">
        <v>5000000</v>
      </c>
      <c r="I36" t="n">
        <v>0</v>
      </c>
      <c r="J36" t="n">
        <v>5000000</v>
      </c>
      <c r="S36" t="inlineStr">
        <is>
          <t>Investor, Investor, Investor, Investor, Investor</t>
        </is>
      </c>
    </row>
    <row r="37">
      <c r="A37" t="inlineStr">
        <is>
          <t>GCM Grosvenor NJ RE Emerging Managers Program, LP (2023-1 Investment Series)</t>
        </is>
      </c>
      <c r="E37" t="inlineStr">
        <is>
          <t>LP</t>
        </is>
      </c>
      <c r="F37" s="825" t="n">
        <v>0.0395670254474754</v>
      </c>
      <c r="G37" t="n">
        <v>7500000</v>
      </c>
      <c r="H37" t="n">
        <v>7500000</v>
      </c>
      <c r="I37" t="n">
        <v>0</v>
      </c>
      <c r="J37" t="n">
        <v>7500000</v>
      </c>
      <c r="M37" t="inlineStr">
        <is>
          <t>Yes</t>
        </is>
      </c>
      <c r="S37" t="inlineStr">
        <is>
          <t>Investor, Investor, Investor, Investor, Investor, Investor</t>
        </is>
      </c>
    </row>
    <row r="38">
      <c r="A38" t="inlineStr">
        <is>
          <t>Geoffrey and Elizabeth Bloomingdale Living Trust</t>
        </is>
      </c>
      <c r="E38" t="inlineStr">
        <is>
          <t>LP</t>
        </is>
      </c>
      <c r="F38" s="825" t="n">
        <v>0.00123924424883815</v>
      </c>
      <c r="G38" t="n">
        <v>234900.95</v>
      </c>
      <c r="H38" t="n">
        <v>234900.95</v>
      </c>
      <c r="I38" t="n">
        <v>61894.4</v>
      </c>
      <c r="J38" t="n">
        <v>176415.71</v>
      </c>
      <c r="M38" t="inlineStr">
        <is>
          <t>Yes</t>
        </is>
      </c>
      <c r="N38" t="inlineStr">
        <is>
          <t>3943 Laguna Blanca Dr. Santa Barbara CA 93110</t>
        </is>
      </c>
      <c r="O38" t="inlineStr">
        <is>
          <t>3943 Laguna Blanca Dr.</t>
        </is>
      </c>
      <c r="P38" t="inlineStr">
        <is>
          <t>Santa Barbara</t>
        </is>
      </c>
      <c r="Q38" t="inlineStr">
        <is>
          <t>CA</t>
        </is>
      </c>
      <c r="R38" t="n">
        <v>93110</v>
      </c>
      <c r="S38" t="inlineStr">
        <is>
          <t>Geoffrey and Elizabeth Bloomingdale Living Trust, Geoffrey and Elizabeth Bloomingdale Living Trust</t>
        </is>
      </c>
    </row>
    <row r="39">
      <c r="A39" t="inlineStr">
        <is>
          <t>Greene 2000 Family Trust</t>
        </is>
      </c>
      <c r="E39" t="inlineStr">
        <is>
          <t>LP</t>
        </is>
      </c>
      <c r="F39" s="825" t="n">
        <v>0.00527560339299672</v>
      </c>
      <c r="G39" t="n">
        <v>1000000</v>
      </c>
      <c r="H39" t="n">
        <v>1000000</v>
      </c>
      <c r="I39" t="n">
        <v>260716.97</v>
      </c>
      <c r="J39" t="n">
        <v>753796.22</v>
      </c>
      <c r="M39" t="inlineStr">
        <is>
          <t>Yes</t>
        </is>
      </c>
      <c r="N39" t="inlineStr">
        <is>
          <t>C/O Lorrena Lee 155 Bovet Road, Suite 770 San Mateo CA 94402</t>
        </is>
      </c>
      <c r="O39" t="inlineStr">
        <is>
          <t>C/O Lorrena Lee 155 Bovet Road, Suite 770</t>
        </is>
      </c>
      <c r="P39" t="inlineStr">
        <is>
          <t>San Mateo</t>
        </is>
      </c>
      <c r="Q39" t="inlineStr">
        <is>
          <t>CA</t>
        </is>
      </c>
      <c r="R39" t="n">
        <v>94402</v>
      </c>
      <c r="S39" t="inlineStr">
        <is>
          <t>Investor, Investor, Investor, Greene 2000 Family Trust, Greene Marital Trust</t>
        </is>
      </c>
    </row>
    <row r="40">
      <c r="A40" t="inlineStr">
        <is>
          <t>Greene Marital Trust</t>
        </is>
      </c>
      <c r="E40" t="inlineStr">
        <is>
          <t>LP</t>
        </is>
      </c>
      <c r="F40" s="825" t="n">
        <v>0.00527560339299672</v>
      </c>
      <c r="G40" t="n">
        <v>1000000</v>
      </c>
      <c r="H40" t="n">
        <v>1000000</v>
      </c>
      <c r="I40" t="n">
        <v>260716.97</v>
      </c>
      <c r="J40" t="n">
        <v>753796.22</v>
      </c>
      <c r="M40" t="inlineStr">
        <is>
          <t>Yes</t>
        </is>
      </c>
      <c r="N40" t="inlineStr">
        <is>
          <t>C/O LORRENA LEE 155 BOVET RD, STE 770 SAN MATEO CA 94402</t>
        </is>
      </c>
      <c r="O40" t="inlineStr">
        <is>
          <t>C/O LORRENA LEE 155 BOVET RD, STE 770</t>
        </is>
      </c>
      <c r="P40" t="inlineStr">
        <is>
          <t>SAN MATEO</t>
        </is>
      </c>
      <c r="Q40" t="inlineStr">
        <is>
          <t>CA</t>
        </is>
      </c>
      <c r="R40" t="n">
        <v>94402</v>
      </c>
      <c r="S40" t="inlineStr">
        <is>
          <t>Investor, Investor, Investor, Greene 2000 Family Trust, Greene Marital Trust</t>
        </is>
      </c>
    </row>
    <row r="41">
      <c r="A41" t="inlineStr">
        <is>
          <t>Gregory Brent Wood</t>
        </is>
      </c>
      <c r="E41" t="inlineStr">
        <is>
          <t>LP</t>
        </is>
      </c>
      <c r="F41" s="825" t="n">
        <v>0.000826162814973424</v>
      </c>
      <c r="G41" t="n">
        <v>156600.63</v>
      </c>
      <c r="H41" t="n">
        <v>156600.63</v>
      </c>
      <c r="I41" t="n">
        <v>41262.94</v>
      </c>
      <c r="J41" t="n">
        <v>117610.46</v>
      </c>
      <c r="M41" t="inlineStr">
        <is>
          <t>Yes</t>
        </is>
      </c>
      <c r="N41" t="inlineStr">
        <is>
          <t>8383 Preston Center Plaza Ste 360 Dallas TX 75225</t>
        </is>
      </c>
      <c r="O41" t="inlineStr">
        <is>
          <t>8383 Preston Center Plaza Ste 360</t>
        </is>
      </c>
      <c r="P41" t="inlineStr">
        <is>
          <t>Dallas</t>
        </is>
      </c>
      <c r="Q41" t="inlineStr">
        <is>
          <t>TX</t>
        </is>
      </c>
      <c r="R41" t="n">
        <v>75225</v>
      </c>
      <c r="S41" t="inlineStr">
        <is>
          <t>Greg Wood</t>
        </is>
      </c>
    </row>
    <row r="42">
      <c r="A42" t="inlineStr">
        <is>
          <t>Hundley Family Trust</t>
        </is>
      </c>
      <c r="E42" t="inlineStr">
        <is>
          <t>LP</t>
        </is>
      </c>
      <c r="F42" s="825" t="n">
        <v>0.00105512067859934</v>
      </c>
      <c r="G42" t="n">
        <v>200000</v>
      </c>
      <c r="H42" t="n">
        <v>200000</v>
      </c>
      <c r="I42" t="n">
        <v>50673.29</v>
      </c>
      <c r="J42" t="n">
        <v>152229.35</v>
      </c>
      <c r="M42" t="inlineStr">
        <is>
          <t>Yes</t>
        </is>
      </c>
      <c r="N42" t="inlineStr">
        <is>
          <t>661 J Avenue Coronado CA 92118</t>
        </is>
      </c>
      <c r="O42" t="inlineStr">
        <is>
          <t>661 J Avenue</t>
        </is>
      </c>
      <c r="P42" t="inlineStr">
        <is>
          <t>Coronado</t>
        </is>
      </c>
      <c r="Q42" t="inlineStr">
        <is>
          <t>CA</t>
        </is>
      </c>
      <c r="R42" t="n">
        <v>92118</v>
      </c>
      <c r="S42" t="inlineStr">
        <is>
          <t>Hundley Family Trust</t>
        </is>
      </c>
    </row>
    <row r="43">
      <c r="A43" t="inlineStr">
        <is>
          <t>In God We Trust 2017 Living Trust</t>
        </is>
      </c>
      <c r="E43" t="inlineStr">
        <is>
          <t>LP</t>
        </is>
      </c>
      <c r="F43" s="825" t="n">
        <v>0.000527560339299672</v>
      </c>
      <c r="G43" t="n">
        <v>100000</v>
      </c>
      <c r="H43" t="n">
        <v>100000</v>
      </c>
      <c r="I43" t="n">
        <v>25336.65</v>
      </c>
      <c r="J43" t="n">
        <v>76114.67</v>
      </c>
      <c r="M43" t="inlineStr">
        <is>
          <t>Yes</t>
        </is>
      </c>
      <c r="N43" t="inlineStr">
        <is>
          <t>16011 Temecula St Pacific Palisades CA 90272</t>
        </is>
      </c>
      <c r="O43" t="inlineStr">
        <is>
          <t>16011 Temecula St</t>
        </is>
      </c>
      <c r="P43" t="inlineStr">
        <is>
          <t>Pacific Palisades</t>
        </is>
      </c>
      <c r="Q43" t="inlineStr">
        <is>
          <t>CA</t>
        </is>
      </c>
      <c r="R43" t="n">
        <v>90272</v>
      </c>
      <c r="S43" t="inlineStr">
        <is>
          <t>In God We Trust 2017 Living Trust</t>
        </is>
      </c>
    </row>
    <row r="44">
      <c r="A44" t="inlineStr">
        <is>
          <t>James Campbell and Patricia Campbell</t>
        </is>
      </c>
      <c r="E44" t="inlineStr">
        <is>
          <t>LP</t>
        </is>
      </c>
      <c r="F44" s="825" t="n">
        <v>0.000826162814973424</v>
      </c>
      <c r="G44" t="n">
        <v>156600.63</v>
      </c>
      <c r="H44" t="n">
        <v>156600.63</v>
      </c>
      <c r="I44" t="n">
        <v>41262.94</v>
      </c>
      <c r="J44" t="n">
        <v>117610.46</v>
      </c>
      <c r="M44" t="inlineStr">
        <is>
          <t>Yes</t>
        </is>
      </c>
      <c r="N44" t="inlineStr">
        <is>
          <t>440 Argonne Drive NW Atlanta GA 30305</t>
        </is>
      </c>
      <c r="O44" t="inlineStr">
        <is>
          <t>440 Argonne Drive NW</t>
        </is>
      </c>
      <c r="P44" t="inlineStr">
        <is>
          <t>Atlanta</t>
        </is>
      </c>
      <c r="Q44" t="inlineStr">
        <is>
          <t>GA</t>
        </is>
      </c>
      <c r="R44" t="n">
        <v>30305</v>
      </c>
      <c r="S44" t="inlineStr">
        <is>
          <t>James Campbell and Patricia Campbell</t>
        </is>
      </c>
    </row>
    <row r="45">
      <c r="A45" t="inlineStr">
        <is>
          <t>James Kane</t>
        </is>
      </c>
      <c r="E45" t="inlineStr">
        <is>
          <t>LP</t>
        </is>
      </c>
      <c r="F45" s="825" t="n">
        <v>0.000826162814973424</v>
      </c>
      <c r="G45" t="n">
        <v>156600.63</v>
      </c>
      <c r="H45" t="n">
        <v>156600.63</v>
      </c>
      <c r="I45" t="n">
        <v>41262.94</v>
      </c>
      <c r="J45" t="n">
        <v>117610.46</v>
      </c>
      <c r="M45" t="inlineStr">
        <is>
          <t>Yes</t>
        </is>
      </c>
      <c r="N45" t="inlineStr">
        <is>
          <t>1054 McLynn Ave NE Atlanta GA 30306</t>
        </is>
      </c>
      <c r="O45" t="inlineStr">
        <is>
          <t>1054 McLynn Ave NE</t>
        </is>
      </c>
      <c r="P45" t="inlineStr">
        <is>
          <t>Atlanta</t>
        </is>
      </c>
      <c r="Q45" t="inlineStr">
        <is>
          <t>GA</t>
        </is>
      </c>
      <c r="R45" t="n">
        <v>30306</v>
      </c>
      <c r="S45" t="inlineStr">
        <is>
          <t>James Kane</t>
        </is>
      </c>
    </row>
    <row r="46">
      <c r="A46" t="inlineStr">
        <is>
          <t>James Thorp</t>
        </is>
      </c>
      <c r="E46" t="inlineStr">
        <is>
          <t>LP</t>
        </is>
      </c>
      <c r="F46" s="825" t="n">
        <v>0.00103270353190578</v>
      </c>
      <c r="G46" t="n">
        <v>195750.79</v>
      </c>
      <c r="H46" t="n">
        <v>195750.79</v>
      </c>
      <c r="I46" t="n">
        <v>51578.67</v>
      </c>
      <c r="J46" t="n">
        <v>147013.09</v>
      </c>
      <c r="M46" t="inlineStr">
        <is>
          <t>Yes</t>
        </is>
      </c>
      <c r="N46" t="inlineStr">
        <is>
          <t>220 Huntley Place Charlotte NC 28207</t>
        </is>
      </c>
      <c r="O46" t="inlineStr">
        <is>
          <t>220 Huntley Place</t>
        </is>
      </c>
      <c r="P46" t="inlineStr">
        <is>
          <t>Charlotte</t>
        </is>
      </c>
      <c r="Q46" t="inlineStr">
        <is>
          <t>NC</t>
        </is>
      </c>
      <c r="R46" t="n">
        <v>28207</v>
      </c>
      <c r="S46" t="inlineStr">
        <is>
          <t>James Thorp</t>
        </is>
      </c>
    </row>
    <row r="47">
      <c r="A47" t="inlineStr">
        <is>
          <t>Jeffrey A. Lipsitz Revocable Trust</t>
        </is>
      </c>
      <c r="E47" t="inlineStr">
        <is>
          <t>LP</t>
        </is>
      </c>
      <c r="F47" s="825" t="n">
        <v>0.00527560339299672</v>
      </c>
      <c r="G47" t="n">
        <v>1000000</v>
      </c>
      <c r="H47" t="n">
        <v>1000000</v>
      </c>
      <c r="I47" t="n">
        <v>260716.97</v>
      </c>
      <c r="J47" t="n">
        <v>753796.22</v>
      </c>
      <c r="M47" t="inlineStr">
        <is>
          <t>Yes</t>
        </is>
      </c>
      <c r="S47" t="inlineStr">
        <is>
          <t>Jeffrey A. Lipsitz Revocable Trust, Investor, Investor</t>
        </is>
      </c>
    </row>
    <row r="48">
      <c r="A48" t="inlineStr">
        <is>
          <t>Jeffrey D Furber Revocable Trust</t>
        </is>
      </c>
      <c r="E48" t="inlineStr">
        <is>
          <t>LP</t>
        </is>
      </c>
      <c r="F48" s="825" t="n">
        <v>0.00263780169649836</v>
      </c>
      <c r="G48" t="n">
        <v>500000</v>
      </c>
      <c r="H48" t="n">
        <v>500000</v>
      </c>
      <c r="I48" t="n">
        <v>130358.48</v>
      </c>
      <c r="J48" t="n">
        <v>376898.11</v>
      </c>
      <c r="M48" t="inlineStr">
        <is>
          <t>Yes</t>
        </is>
      </c>
      <c r="N48" t="inlineStr">
        <is>
          <t>165 Tremont St, Unit 1001 Boston MA 02111</t>
        </is>
      </c>
      <c r="O48" t="inlineStr">
        <is>
          <t>165 Tremont St, Unit 1001</t>
        </is>
      </c>
      <c r="P48" t="inlineStr">
        <is>
          <t>Boston</t>
        </is>
      </c>
      <c r="Q48" t="inlineStr">
        <is>
          <t>MA</t>
        </is>
      </c>
      <c r="R48" t="n">
        <v>2111</v>
      </c>
      <c r="S48" t="inlineStr">
        <is>
          <t>Investor, Investor, Investor, Jeffrey D Furber Revocable Trust</t>
        </is>
      </c>
    </row>
    <row r="49">
      <c r="A49" t="inlineStr">
        <is>
          <t>Jeremy M. Jacobs Trust U/A/D April 1, 1973 fbo Margaret L. Reichenback</t>
        </is>
      </c>
      <c r="E49" t="inlineStr">
        <is>
          <t>LP</t>
        </is>
      </c>
      <c r="F49" s="825" t="n">
        <v>0.00791340508949508</v>
      </c>
      <c r="G49" t="n">
        <v>1500000</v>
      </c>
      <c r="H49" t="n">
        <v>1500000</v>
      </c>
      <c r="I49" t="n">
        <v>391075.46</v>
      </c>
      <c r="J49" t="n">
        <v>1130694.32</v>
      </c>
      <c r="M49" t="inlineStr">
        <is>
          <t>Yes</t>
        </is>
      </c>
      <c r="N49" t="inlineStr">
        <is>
          <t>42 Maplewood Avenue  Portsmouth NH 03801</t>
        </is>
      </c>
      <c r="O49" t="inlineStr">
        <is>
          <t xml:space="preserve">42 Maplewood Avenue </t>
        </is>
      </c>
      <c r="P49" t="inlineStr">
        <is>
          <t>Portsmouth</t>
        </is>
      </c>
      <c r="Q49" t="inlineStr">
        <is>
          <t>NH</t>
        </is>
      </c>
      <c r="R49" t="n">
        <v>3801</v>
      </c>
      <c r="S49" t="inlineStr">
        <is>
          <t>Investor, Investor, Investor, Jeremy M. Jacobs Trust U/A/D April 1, 1973 fbo Margaret L. Reichenback</t>
        </is>
      </c>
    </row>
    <row r="50">
      <c r="A50" t="inlineStr">
        <is>
          <t>John Mark Comer</t>
        </is>
      </c>
      <c r="E50" t="inlineStr">
        <is>
          <t>LP</t>
        </is>
      </c>
      <c r="F50" s="825" t="n">
        <v>0.000527560339299672</v>
      </c>
      <c r="G50" t="n">
        <v>100000</v>
      </c>
      <c r="H50" t="n">
        <v>100000</v>
      </c>
      <c r="I50" t="n">
        <v>25336.65</v>
      </c>
      <c r="J50" t="n">
        <v>76114.67</v>
      </c>
      <c r="M50" t="inlineStr">
        <is>
          <t>Yes</t>
        </is>
      </c>
      <c r="N50" t="inlineStr">
        <is>
          <t>19847 Horseshoe Dr. Topanga CA 90290</t>
        </is>
      </c>
      <c r="O50" t="inlineStr">
        <is>
          <t>19847 Horseshoe Dr.</t>
        </is>
      </c>
      <c r="P50" t="inlineStr">
        <is>
          <t>Topanga</t>
        </is>
      </c>
      <c r="Q50" t="inlineStr">
        <is>
          <t>CA</t>
        </is>
      </c>
      <c r="R50" t="n">
        <v>90290</v>
      </c>
      <c r="S50" t="inlineStr">
        <is>
          <t>John Mark Comer</t>
        </is>
      </c>
    </row>
    <row r="51">
      <c r="A51" t="inlineStr">
        <is>
          <t>Landscape I, LP</t>
        </is>
      </c>
      <c r="E51" t="inlineStr">
        <is>
          <t>LP</t>
        </is>
      </c>
      <c r="F51" s="825" t="n">
        <v>0.00395670254474754</v>
      </c>
      <c r="G51" t="n">
        <v>750000</v>
      </c>
      <c r="H51" t="n">
        <v>750000</v>
      </c>
      <c r="I51" t="n">
        <v>195537.73</v>
      </c>
      <c r="J51" t="n">
        <v>565347.16</v>
      </c>
      <c r="M51" t="inlineStr">
        <is>
          <t>Yes</t>
        </is>
      </c>
      <c r="S51" t="inlineStr">
        <is>
          <t>Investor, Investor, Landscape I, LP</t>
        </is>
      </c>
    </row>
    <row r="52">
      <c r="A52" t="inlineStr">
        <is>
          <t>Legacy Knight Strategic Opportunities Fund LLC - CL Rail Series</t>
        </is>
      </c>
      <c r="E52" t="inlineStr">
        <is>
          <t>LP</t>
        </is>
      </c>
      <c r="F52" s="825" t="n">
        <v>0.0527560339299672</v>
      </c>
      <c r="G52" t="n">
        <v>10000000</v>
      </c>
      <c r="H52" t="n">
        <v>10000000</v>
      </c>
      <c r="I52" t="n">
        <v>2533664.28</v>
      </c>
      <c r="J52" t="n">
        <v>7611467.58</v>
      </c>
      <c r="M52" t="inlineStr">
        <is>
          <t>Yes</t>
        </is>
      </c>
      <c r="N52" t="inlineStr">
        <is>
          <t>3001 Maple Avenue, Suite 350 Dallas TX 75201</t>
        </is>
      </c>
      <c r="O52" t="inlineStr">
        <is>
          <t>3001 Maple Avenue, Suite 350</t>
        </is>
      </c>
      <c r="P52" t="inlineStr">
        <is>
          <t>Dallas</t>
        </is>
      </c>
      <c r="Q52" t="inlineStr">
        <is>
          <t>TX</t>
        </is>
      </c>
      <c r="R52" t="n">
        <v>75201</v>
      </c>
      <c r="S52" t="inlineStr">
        <is>
          <t>Legacy Knight Strategic Opportunities Fund LLC - CL Rail Series, Legacy Knight Strategic Opportunities Fund LLC - CL Rail Series, Legacy Knight Strategic Opportunities Fund LLC - CL Rail Series, Legacy Knight Strategic Opportunities Fund LLC - CL Rail Series, Legacy Knight Strategic Opportunities Fund LLC - CL Rail Series</t>
        </is>
      </c>
    </row>
    <row r="53">
      <c r="A53" t="inlineStr">
        <is>
          <t>Lisa Bell Trust, Elisabeth B. Bell, Trustee</t>
        </is>
      </c>
      <c r="E53" t="inlineStr">
        <is>
          <t>LP</t>
        </is>
      </c>
      <c r="F53" s="825" t="n">
        <v>0.00123924424883815</v>
      </c>
      <c r="G53" t="n">
        <v>234900.95</v>
      </c>
      <c r="H53" t="n">
        <v>234900.95</v>
      </c>
      <c r="I53" t="n">
        <v>61894.4</v>
      </c>
      <c r="J53" t="n">
        <v>176415.71</v>
      </c>
      <c r="M53" t="inlineStr">
        <is>
          <t>Yes</t>
        </is>
      </c>
      <c r="N53" t="inlineStr">
        <is>
          <t>1005 Moraga Drive Los Angeles CA 90049</t>
        </is>
      </c>
      <c r="O53" t="inlineStr">
        <is>
          <t>1005 Moraga Drive</t>
        </is>
      </c>
      <c r="P53" t="inlineStr">
        <is>
          <t>Los Angeles</t>
        </is>
      </c>
      <c r="Q53" t="inlineStr">
        <is>
          <t>CA</t>
        </is>
      </c>
      <c r="R53" t="n">
        <v>90049</v>
      </c>
      <c r="S53" t="inlineStr">
        <is>
          <t>Lisa Bell</t>
        </is>
      </c>
    </row>
    <row r="54">
      <c r="A54" t="inlineStr">
        <is>
          <t>Madten Investments LLC</t>
        </is>
      </c>
      <c r="E54" t="inlineStr">
        <is>
          <t>LP</t>
        </is>
      </c>
      <c r="F54" s="825" t="n">
        <v>0.00527560339299672</v>
      </c>
      <c r="G54" t="n">
        <v>1000000</v>
      </c>
      <c r="H54" t="n">
        <v>1000000</v>
      </c>
      <c r="I54" t="n">
        <v>260716.97</v>
      </c>
      <c r="J54" t="n">
        <v>753796.22</v>
      </c>
      <c r="M54" t="inlineStr">
        <is>
          <t>Yes</t>
        </is>
      </c>
      <c r="S54" t="inlineStr">
        <is>
          <t>Alten Investments LLC, Madten Investments LLC, Investor, Madten Investments LLC, Alten Investments LLC, Madten Investments LLC, Alten Investments LLC, Madten Investments LLC</t>
        </is>
      </c>
    </row>
    <row r="55">
      <c r="A55" t="inlineStr">
        <is>
          <t>Matt McCoy</t>
        </is>
      </c>
      <c r="E55" t="inlineStr">
        <is>
          <t>LP</t>
        </is>
      </c>
      <c r="F55" s="825" t="n">
        <v>0.00061962209804106</v>
      </c>
      <c r="G55" t="n">
        <v>117450.47</v>
      </c>
      <c r="H55" t="n">
        <v>117450.47</v>
      </c>
      <c r="I55" t="n">
        <v>30947.21</v>
      </c>
      <c r="J55" t="n">
        <v>88207.84</v>
      </c>
      <c r="M55" t="inlineStr">
        <is>
          <t>Yes</t>
        </is>
      </c>
      <c r="N55" t="inlineStr">
        <is>
          <t>2093 Kings Manor Dr Matthews NC 28104</t>
        </is>
      </c>
      <c r="O55" t="inlineStr">
        <is>
          <t>2093 Kings Manor Dr</t>
        </is>
      </c>
      <c r="P55" t="inlineStr">
        <is>
          <t>Matthews</t>
        </is>
      </c>
      <c r="Q55" t="inlineStr">
        <is>
          <t>NC</t>
        </is>
      </c>
      <c r="R55" t="n">
        <v>28104</v>
      </c>
      <c r="S55" t="inlineStr">
        <is>
          <t>Matt McCoy</t>
        </is>
      </c>
    </row>
    <row r="56">
      <c r="A56" t="inlineStr">
        <is>
          <t>Matterhorn Holdings, LLC</t>
        </is>
      </c>
      <c r="E56" t="inlineStr">
        <is>
          <t>LP</t>
        </is>
      </c>
      <c r="F56" s="825" t="n">
        <v>0.000527560339299672</v>
      </c>
      <c r="G56" t="n">
        <v>100000</v>
      </c>
      <c r="H56" t="n">
        <v>100000</v>
      </c>
      <c r="I56" t="n">
        <v>25336.65</v>
      </c>
      <c r="J56" t="n">
        <v>76114.67</v>
      </c>
      <c r="M56" t="inlineStr">
        <is>
          <t>Yes</t>
        </is>
      </c>
      <c r="N56" t="inlineStr">
        <is>
          <t>4321 Lassiter at North Hills Ste 250 Raleigh NC 27609</t>
        </is>
      </c>
      <c r="O56" t="inlineStr">
        <is>
          <t>4321 Lassiter at North Hills Ste 250</t>
        </is>
      </c>
      <c r="P56" t="inlineStr">
        <is>
          <t>Raleigh</t>
        </is>
      </c>
      <c r="Q56" t="inlineStr">
        <is>
          <t>NC</t>
        </is>
      </c>
      <c r="R56" t="n">
        <v>27609</v>
      </c>
      <c r="S56" t="inlineStr">
        <is>
          <t>Matterhorn Holdings, LLC</t>
        </is>
      </c>
    </row>
    <row r="57">
      <c r="A57" t="inlineStr">
        <is>
          <t>Max O. Reinbach III</t>
        </is>
      </c>
      <c r="E57" t="inlineStr">
        <is>
          <t>LP</t>
        </is>
      </c>
      <c r="F57" s="825" t="n">
        <v>0.000413081433864729</v>
      </c>
      <c r="G57" t="n">
        <v>78300.32000000001</v>
      </c>
      <c r="H57" t="n">
        <v>78300.32000000001</v>
      </c>
      <c r="I57" t="n">
        <v>20631.47</v>
      </c>
      <c r="J57" t="n">
        <v>58805.24</v>
      </c>
      <c r="M57" t="inlineStr">
        <is>
          <t>Yes</t>
        </is>
      </c>
      <c r="N57" t="inlineStr">
        <is>
          <t>4300 Gnam Drive Austin TX 78731</t>
        </is>
      </c>
      <c r="O57" t="inlineStr">
        <is>
          <t>4300 Gnam Drive</t>
        </is>
      </c>
      <c r="P57" t="inlineStr">
        <is>
          <t>Austin</t>
        </is>
      </c>
      <c r="Q57" t="inlineStr">
        <is>
          <t>TX</t>
        </is>
      </c>
      <c r="R57" t="n">
        <v>78731</v>
      </c>
      <c r="S57" t="inlineStr">
        <is>
          <t>Max Reinbach III</t>
        </is>
      </c>
    </row>
    <row r="58">
      <c r="A58" t="inlineStr">
        <is>
          <t>Meghann C. Robinson</t>
        </is>
      </c>
      <c r="E58" t="inlineStr">
        <is>
          <t>LP</t>
        </is>
      </c>
      <c r="F58" s="825" t="n">
        <v>0.00413081412762315</v>
      </c>
      <c r="G58" t="n">
        <v>783003.16</v>
      </c>
      <c r="H58" t="n">
        <v>783003.16</v>
      </c>
      <c r="I58" t="n">
        <v>206314.69</v>
      </c>
      <c r="J58" t="n">
        <v>588052.34</v>
      </c>
      <c r="M58" t="inlineStr">
        <is>
          <t>Yes</t>
        </is>
      </c>
      <c r="N58" t="inlineStr">
        <is>
          <t>920 Goodwood Rd Winston-Salem NC 27106</t>
        </is>
      </c>
      <c r="O58" t="inlineStr">
        <is>
          <t>920 Goodwood Rd</t>
        </is>
      </c>
      <c r="P58" t="inlineStr">
        <is>
          <t>Winston-Salem</t>
        </is>
      </c>
      <c r="Q58" t="inlineStr">
        <is>
          <t>NC</t>
        </is>
      </c>
      <c r="R58" t="n">
        <v>27106</v>
      </c>
      <c r="S58" t="inlineStr">
        <is>
          <t>Meghann Robinson</t>
        </is>
      </c>
    </row>
    <row r="59">
      <c r="A59" t="inlineStr">
        <is>
          <t>Nahas Investments II LLC</t>
        </is>
      </c>
      <c r="E59" t="inlineStr">
        <is>
          <t>LP</t>
        </is>
      </c>
      <c r="F59" s="825" t="n">
        <v>0.00206540706381157</v>
      </c>
      <c r="G59" t="n">
        <v>391501.58</v>
      </c>
      <c r="H59" t="n">
        <v>391501.58</v>
      </c>
      <c r="I59" t="n">
        <v>103157.36</v>
      </c>
      <c r="J59" t="n">
        <v>294026.16</v>
      </c>
      <c r="M59" t="inlineStr">
        <is>
          <t>Yes</t>
        </is>
      </c>
      <c r="N59" t="inlineStr">
        <is>
          <t>26895 Aliso Creek Road Ste B-426 Aliso Viejo CA 92656</t>
        </is>
      </c>
      <c r="O59" t="inlineStr">
        <is>
          <t>26895 Aliso Creek Road Ste B-426</t>
        </is>
      </c>
      <c r="P59" t="inlineStr">
        <is>
          <t>Aliso Viejo</t>
        </is>
      </c>
      <c r="Q59" t="inlineStr">
        <is>
          <t>CA</t>
        </is>
      </c>
      <c r="R59" t="n">
        <v>92656</v>
      </c>
      <c r="S59" t="inlineStr">
        <is>
          <t>Nahas Investments II LLC</t>
        </is>
      </c>
    </row>
    <row r="60">
      <c r="A60" t="inlineStr">
        <is>
          <t>PT Burros, LLC</t>
        </is>
      </c>
      <c r="E60" t="inlineStr">
        <is>
          <t>LP</t>
        </is>
      </c>
      <c r="F60" s="825" t="n">
        <v>0.00173824906587238</v>
      </c>
      <c r="G60" t="n">
        <v>329488.2</v>
      </c>
      <c r="H60" t="n">
        <v>329488.2</v>
      </c>
      <c r="I60" t="n">
        <v>87445.24000000001</v>
      </c>
      <c r="J60" t="n">
        <v>246824.88</v>
      </c>
      <c r="M60" t="inlineStr">
        <is>
          <t>Yes</t>
        </is>
      </c>
      <c r="N60" t="inlineStr">
        <is>
          <t>12052 Homestead Rd Houston TX 77050</t>
        </is>
      </c>
      <c r="O60" t="inlineStr">
        <is>
          <t>12052 Homestead Rd</t>
        </is>
      </c>
      <c r="P60" t="inlineStr">
        <is>
          <t>Houston</t>
        </is>
      </c>
      <c r="Q60" t="inlineStr">
        <is>
          <t>TX</t>
        </is>
      </c>
      <c r="R60" t="n">
        <v>77050</v>
      </c>
      <c r="S60" t="inlineStr">
        <is>
          <t>PT Burros, LLC</t>
        </is>
      </c>
    </row>
    <row r="61">
      <c r="A61" t="inlineStr">
        <is>
          <t>Palmatum HR Illiquid, LLC</t>
        </is>
      </c>
      <c r="D61" s="22" t="n">
        <v>46112</v>
      </c>
      <c r="E61" t="inlineStr">
        <is>
          <t>LP</t>
        </is>
      </c>
      <c r="F61" s="825" t="n">
        <v>0.0105512067859934</v>
      </c>
      <c r="G61" t="n">
        <v>2000000</v>
      </c>
      <c r="H61" t="n">
        <v>2000000</v>
      </c>
      <c r="I61" t="n">
        <v>0</v>
      </c>
      <c r="J61" t="n">
        <v>1507592.43</v>
      </c>
      <c r="S61" t="inlineStr">
        <is>
          <t>Investor, Investor, Investor, Terminal Refrigerating &amp; Warehousing Corp., Terminal Refrigerating &amp; Warehousing Corp.</t>
        </is>
      </c>
    </row>
    <row r="62">
      <c r="A62" t="inlineStr">
        <is>
          <t>Pease River Holdings LLC</t>
        </is>
      </c>
      <c r="E62" t="inlineStr">
        <is>
          <t>LP</t>
        </is>
      </c>
      <c r="F62" s="825" t="n">
        <v>0.000413081433864729</v>
      </c>
      <c r="G62" t="n">
        <v>78300.32000000001</v>
      </c>
      <c r="H62" t="n">
        <v>78300.32000000001</v>
      </c>
      <c r="I62" t="n">
        <v>20631.47</v>
      </c>
      <c r="J62" t="n">
        <v>58805.24</v>
      </c>
      <c r="M62" t="inlineStr">
        <is>
          <t>Yes</t>
        </is>
      </c>
      <c r="N62" t="inlineStr">
        <is>
          <t>4618 Ridgelawn Dr Dallas TX 75214</t>
        </is>
      </c>
      <c r="O62" t="inlineStr">
        <is>
          <t>4618 Ridgelawn Dr</t>
        </is>
      </c>
      <c r="P62" t="inlineStr">
        <is>
          <t>Dallas</t>
        </is>
      </c>
      <c r="Q62" t="inlineStr">
        <is>
          <t>TX</t>
        </is>
      </c>
      <c r="R62" t="n">
        <v>75214</v>
      </c>
      <c r="S62" t="inlineStr">
        <is>
          <t>Pease River Holdings LLC</t>
        </is>
      </c>
    </row>
    <row r="63">
      <c r="A63" t="inlineStr">
        <is>
          <t>Robert D. Falese III</t>
        </is>
      </c>
      <c r="E63" t="inlineStr">
        <is>
          <t>LP</t>
        </is>
      </c>
      <c r="F63" s="825" t="n">
        <v>0.00462981894465738</v>
      </c>
      <c r="G63" t="n">
        <v>877590.41</v>
      </c>
      <c r="H63" t="n">
        <v>877590.41</v>
      </c>
      <c r="I63" t="n">
        <v>231865.54</v>
      </c>
      <c r="J63" t="n">
        <v>658461.5</v>
      </c>
      <c r="M63" t="inlineStr">
        <is>
          <t>Yes</t>
        </is>
      </c>
      <c r="N63" t="inlineStr">
        <is>
          <t>3 Brookwood Dr Medford TX 75225</t>
        </is>
      </c>
      <c r="O63" t="inlineStr">
        <is>
          <t>3 Brookwood Dr</t>
        </is>
      </c>
      <c r="P63" t="inlineStr">
        <is>
          <t>Medford</t>
        </is>
      </c>
      <c r="Q63" t="inlineStr">
        <is>
          <t>TX</t>
        </is>
      </c>
      <c r="R63" t="n">
        <v>75225</v>
      </c>
      <c r="S63" t="inlineStr">
        <is>
          <t>Bob Falese</t>
        </is>
      </c>
    </row>
    <row r="64">
      <c r="A64" t="inlineStr">
        <is>
          <t>Robert Parker Yates</t>
        </is>
      </c>
      <c r="E64" t="inlineStr">
        <is>
          <t>LP</t>
        </is>
      </c>
      <c r="F64" s="825" t="n">
        <v>0.000206540716932364</v>
      </c>
      <c r="G64" t="n">
        <v>39150.16</v>
      </c>
      <c r="H64" t="n">
        <v>39150.16</v>
      </c>
      <c r="I64" t="n">
        <v>10315.74</v>
      </c>
      <c r="J64" t="n">
        <v>29402.61</v>
      </c>
      <c r="M64" t="inlineStr">
        <is>
          <t>Yes</t>
        </is>
      </c>
      <c r="N64" t="inlineStr">
        <is>
          <t>423 Cherokee Place Charlotte NC 28207</t>
        </is>
      </c>
      <c r="O64" t="inlineStr">
        <is>
          <t>423 Cherokee Place</t>
        </is>
      </c>
      <c r="P64" t="inlineStr">
        <is>
          <t>Charlotte</t>
        </is>
      </c>
      <c r="Q64" t="inlineStr">
        <is>
          <t>NC</t>
        </is>
      </c>
      <c r="R64" t="n">
        <v>28207</v>
      </c>
      <c r="S64" t="inlineStr">
        <is>
          <t>Robert Yates</t>
        </is>
      </c>
    </row>
    <row r="65">
      <c r="A65" t="inlineStr">
        <is>
          <t>Robert S. Shafir &amp; Donna R. Shafir TEN/COM</t>
        </is>
      </c>
      <c r="E65" t="inlineStr">
        <is>
          <t>LP</t>
        </is>
      </c>
      <c r="F65" s="825" t="n">
        <v>0.00791340508949508</v>
      </c>
      <c r="G65" t="n">
        <v>1500000</v>
      </c>
      <c r="H65" t="n">
        <v>1500000</v>
      </c>
      <c r="I65" t="n">
        <v>391075.46</v>
      </c>
      <c r="J65" t="n">
        <v>1130694.32</v>
      </c>
      <c r="M65" t="inlineStr">
        <is>
          <t>Yes</t>
        </is>
      </c>
      <c r="N65" t="inlineStr">
        <is>
          <t>550 WEST 18TH STREET WPH35A New York NY 10011</t>
        </is>
      </c>
      <c r="O65" t="inlineStr">
        <is>
          <t>550 WEST 18TH STREET WPH35A</t>
        </is>
      </c>
      <c r="P65" t="inlineStr">
        <is>
          <t>New York</t>
        </is>
      </c>
      <c r="Q65" t="inlineStr">
        <is>
          <t>NY</t>
        </is>
      </c>
      <c r="R65" t="n">
        <v>10011</v>
      </c>
      <c r="S65" t="inlineStr">
        <is>
          <t>Robert S. Shafir &amp; Donna R. Shafir TEN/COM, Investor, Investor</t>
        </is>
      </c>
    </row>
    <row r="66">
      <c r="A66" t="inlineStr">
        <is>
          <t>Robert S. Shafir 2011 Children's Trust</t>
        </is>
      </c>
      <c r="E66" t="inlineStr">
        <is>
          <t>LP</t>
        </is>
      </c>
      <c r="F66" s="825" t="n">
        <v>0.00527560339299672</v>
      </c>
      <c r="G66" t="n">
        <v>1000000</v>
      </c>
      <c r="H66" t="n">
        <v>1000000</v>
      </c>
      <c r="I66" t="n">
        <v>260716.97</v>
      </c>
      <c r="J66" t="n">
        <v>753796.22</v>
      </c>
      <c r="M66" t="inlineStr">
        <is>
          <t>Yes</t>
        </is>
      </c>
      <c r="N66" t="inlineStr">
        <is>
          <t>550 WEST 18TH STREET WPH35A New York NY 10011</t>
        </is>
      </c>
      <c r="O66" t="inlineStr">
        <is>
          <t>550 WEST 18TH STREET WPH35A</t>
        </is>
      </c>
      <c r="P66" t="inlineStr">
        <is>
          <t>New York</t>
        </is>
      </c>
      <c r="Q66" t="inlineStr">
        <is>
          <t>NY</t>
        </is>
      </c>
      <c r="R66" t="n">
        <v>10011</v>
      </c>
      <c r="S66" t="inlineStr">
        <is>
          <t>Robert S. Shafir 2011 Children's Trust, Investor, Investor</t>
        </is>
      </c>
    </row>
    <row r="67">
      <c r="A67" t="inlineStr">
        <is>
          <t>Romar Partners, LP</t>
        </is>
      </c>
      <c r="E67" t="inlineStr">
        <is>
          <t>LP</t>
        </is>
      </c>
      <c r="F67" s="825" t="n">
        <v>0.00527560339299672</v>
      </c>
      <c r="G67" t="n">
        <v>1000000</v>
      </c>
      <c r="H67" t="n">
        <v>1000000</v>
      </c>
      <c r="I67" t="n">
        <v>260716.97</v>
      </c>
      <c r="J67" t="n">
        <v>753796.22</v>
      </c>
      <c r="M67" t="inlineStr">
        <is>
          <t>Yes</t>
        </is>
      </c>
      <c r="N67" t="inlineStr">
        <is>
          <t>1209 Orange St Wilmington DE 19801</t>
        </is>
      </c>
      <c r="O67" t="inlineStr">
        <is>
          <t>1209 Orange St</t>
        </is>
      </c>
      <c r="P67" t="inlineStr">
        <is>
          <t>Wilmington</t>
        </is>
      </c>
      <c r="Q67" t="inlineStr">
        <is>
          <t>DE</t>
        </is>
      </c>
      <c r="R67" t="n">
        <v>19801</v>
      </c>
      <c r="S67" t="inlineStr">
        <is>
          <t>Investor, Investor, Romar Partners, LP</t>
        </is>
      </c>
    </row>
    <row r="68">
      <c r="A68" t="inlineStr">
        <is>
          <t>Steven M. Laufer 2012 Trust</t>
        </is>
      </c>
      <c r="E68" t="inlineStr">
        <is>
          <t>LP</t>
        </is>
      </c>
      <c r="F68" s="825" t="n">
        <v>0.00527560339299672</v>
      </c>
      <c r="G68" t="n">
        <v>1000000</v>
      </c>
      <c r="H68" t="n">
        <v>1000000</v>
      </c>
      <c r="I68" t="n">
        <v>260716.97</v>
      </c>
      <c r="J68" t="n">
        <v>753796.22</v>
      </c>
      <c r="M68" t="inlineStr">
        <is>
          <t>Yes</t>
        </is>
      </c>
      <c r="S68" t="inlineStr">
        <is>
          <t>Investor, Investor, Investor, Steven M. Laufer 2012 Trust, Steven and Chani Laufer 2012 Dynasty Trust</t>
        </is>
      </c>
    </row>
    <row r="69">
      <c r="A69" t="inlineStr">
        <is>
          <t>Steven and Chani Laufer 2012 Dynasty Trust</t>
        </is>
      </c>
      <c r="E69" t="inlineStr">
        <is>
          <t>LP</t>
        </is>
      </c>
      <c r="F69" s="825" t="n">
        <v>0.0105512067859934</v>
      </c>
      <c r="G69" t="n">
        <v>2000000</v>
      </c>
      <c r="H69" t="n">
        <v>2000000</v>
      </c>
      <c r="I69" t="n">
        <v>521433.94</v>
      </c>
      <c r="J69" t="n">
        <v>1507592.43</v>
      </c>
      <c r="M69" t="inlineStr">
        <is>
          <t>Yes</t>
        </is>
      </c>
      <c r="S69" t="inlineStr">
        <is>
          <t>Investor, Investor, Investor, Steven M. Laufer 2012 Trust, Steven and Chani Laufer 2012 Dynasty Trust</t>
        </is>
      </c>
    </row>
    <row r="70">
      <c r="A70" t="inlineStr">
        <is>
          <t>Stewart Tate</t>
        </is>
      </c>
      <c r="E70" t="inlineStr">
        <is>
          <t>LP</t>
        </is>
      </c>
      <c r="F70" s="825" t="n">
        <v>0.00276070669016053</v>
      </c>
      <c r="G70" t="n">
        <v>523296.86</v>
      </c>
      <c r="H70" t="n">
        <v>523296.86</v>
      </c>
      <c r="I70" t="n">
        <v>138135.45</v>
      </c>
      <c r="J70" t="n">
        <v>392756.11</v>
      </c>
      <c r="M70" t="inlineStr">
        <is>
          <t>Yes</t>
        </is>
      </c>
      <c r="N70" t="inlineStr">
        <is>
          <t>2647 Hampton Ave. Charlotte NC 28207</t>
        </is>
      </c>
      <c r="O70" t="inlineStr">
        <is>
          <t>2647 Hampton Ave.</t>
        </is>
      </c>
      <c r="P70" t="inlineStr">
        <is>
          <t>Charlotte</t>
        </is>
      </c>
      <c r="Q70" t="inlineStr">
        <is>
          <t>NC</t>
        </is>
      </c>
      <c r="R70" t="n">
        <v>28207</v>
      </c>
      <c r="S70" t="inlineStr">
        <is>
          <t>Stewart Tate</t>
        </is>
      </c>
    </row>
    <row r="71">
      <c r="A71" t="inlineStr">
        <is>
          <t>TC Wilson Family Trust</t>
        </is>
      </c>
      <c r="E71" t="inlineStr">
        <is>
          <t>LP</t>
        </is>
      </c>
      <c r="F71" s="825" t="n">
        <v>0.000826162814973424</v>
      </c>
      <c r="G71" t="n">
        <v>156600.63</v>
      </c>
      <c r="H71" t="n">
        <v>156600.63</v>
      </c>
      <c r="I71" t="n">
        <v>41262.94</v>
      </c>
      <c r="J71" t="n">
        <v>117610.46</v>
      </c>
      <c r="M71" t="inlineStr">
        <is>
          <t>Yes</t>
        </is>
      </c>
      <c r="N71" t="inlineStr">
        <is>
          <t>5319 Paseo Rio Santa Barbara CA 93111</t>
        </is>
      </c>
      <c r="O71" t="inlineStr">
        <is>
          <t>5319 Paseo Rio</t>
        </is>
      </c>
      <c r="P71" t="inlineStr">
        <is>
          <t>Santa Barbara</t>
        </is>
      </c>
      <c r="Q71" t="inlineStr">
        <is>
          <t>CA</t>
        </is>
      </c>
      <c r="R71" t="n">
        <v>93111</v>
      </c>
      <c r="S71" t="inlineStr">
        <is>
          <t>TC Wilson Family Trust</t>
        </is>
      </c>
    </row>
    <row r="72">
      <c r="A72" t="inlineStr">
        <is>
          <t>Texas Emerging Managers Private Markets Program, L.P. (2025-1 RE Investment Series)</t>
        </is>
      </c>
      <c r="E72" t="inlineStr">
        <is>
          <t>LP</t>
        </is>
      </c>
      <c r="F72" s="825" t="n">
        <v>0.0263780169649836</v>
      </c>
      <c r="G72" t="n">
        <v>5000000</v>
      </c>
      <c r="H72" t="n">
        <v>5000000</v>
      </c>
      <c r="I72" t="n">
        <v>0</v>
      </c>
      <c r="J72" t="n">
        <v>5000000</v>
      </c>
      <c r="M72" t="inlineStr">
        <is>
          <t>Yes</t>
        </is>
      </c>
      <c r="S72" t="inlineStr">
        <is>
          <t>Investor, Investor, Investor, Investor, Investor, Investor</t>
        </is>
      </c>
    </row>
    <row r="73">
      <c r="A73" t="inlineStr">
        <is>
          <t>The 2015 Pipe Reality Delaware Trust</t>
        </is>
      </c>
      <c r="E73" t="inlineStr">
        <is>
          <t>LP</t>
        </is>
      </c>
      <c r="F73" s="825" t="n">
        <v>0.00527560339299672</v>
      </c>
      <c r="G73" t="n">
        <v>1000000</v>
      </c>
      <c r="H73" t="n">
        <v>1000000</v>
      </c>
      <c r="I73" t="n">
        <v>260716.97</v>
      </c>
      <c r="J73" t="n">
        <v>753796.22</v>
      </c>
      <c r="M73" t="inlineStr">
        <is>
          <t>Yes</t>
        </is>
      </c>
      <c r="S73" t="inlineStr">
        <is>
          <t>Investor, Investor, Investor, The Mark T. Kirchdorfer 2015 Family Delaware Dynasty Trust, The 2015 Pipe Reality Delaware Trust, The Mark T. Kirchdorfer 2015 Family Delaware Dynasty Trust, The 2015 Pipe Reality Delaware Trust, The Mark T. Kirchdorfer 2015 Family Delaware Dynasty Trust, The 2015 Pipe Reality Delaware Trust, Investor</t>
        </is>
      </c>
    </row>
    <row r="74">
      <c r="A74" t="inlineStr">
        <is>
          <t>The David L. Schnadig 2017 Trust</t>
        </is>
      </c>
      <c r="E74" t="inlineStr">
        <is>
          <t>LP</t>
        </is>
      </c>
      <c r="F74" s="825" t="n">
        <v>0.00527560339299672</v>
      </c>
      <c r="G74" t="n">
        <v>1000000</v>
      </c>
      <c r="H74" t="n">
        <v>1000000</v>
      </c>
      <c r="I74" t="n">
        <v>260716.97</v>
      </c>
      <c r="J74" t="n">
        <v>753796.22</v>
      </c>
      <c r="M74" t="inlineStr">
        <is>
          <t>Yes</t>
        </is>
      </c>
      <c r="S74" t="inlineStr">
        <is>
          <t>The David L. Schnadig 2017 Trust, Investor, Investor</t>
        </is>
      </c>
    </row>
    <row r="75">
      <c r="A75" t="inlineStr">
        <is>
          <t>The Diane Rosen 2021 Irrevocable Family Trust</t>
        </is>
      </c>
      <c r="E75" t="inlineStr">
        <is>
          <t>LP</t>
        </is>
      </c>
      <c r="F75" s="825" t="n">
        <v>0.00316536203579803</v>
      </c>
      <c r="G75" t="n">
        <v>600000</v>
      </c>
      <c r="H75" t="n">
        <v>600000</v>
      </c>
      <c r="I75" t="n">
        <v>156430.18</v>
      </c>
      <c r="J75" t="n">
        <v>452277.73</v>
      </c>
      <c r="M75" t="inlineStr">
        <is>
          <t>Yes</t>
        </is>
      </c>
      <c r="S75" t="inlineStr">
        <is>
          <t>Investor, Investor, The Diane Rosen 2021 Irrevocable Family Trust</t>
        </is>
      </c>
    </row>
    <row r="76">
      <c r="A76" t="inlineStr">
        <is>
          <t>The Mark T. Kirchdorfer 2015 Family Delaware Dynasty Trust</t>
        </is>
      </c>
      <c r="E76" t="inlineStr">
        <is>
          <t>LP</t>
        </is>
      </c>
      <c r="F76" s="825" t="n">
        <v>0.00527560339299672</v>
      </c>
      <c r="G76" t="n">
        <v>1000000</v>
      </c>
      <c r="H76" t="n">
        <v>1000000</v>
      </c>
      <c r="I76" t="n">
        <v>260716.97</v>
      </c>
      <c r="J76" t="n">
        <v>753796.22</v>
      </c>
      <c r="M76" t="inlineStr">
        <is>
          <t>Yes</t>
        </is>
      </c>
      <c r="S76" t="inlineStr">
        <is>
          <t>Investor, Investor, Investor, The Mark T. Kirchdorfer 2015 Family Delaware Dynasty Trust, The 2015 Pipe Reality Delaware Trust, The Mark T. Kirchdorfer 2015 Family Delaware Dynasty Trust, The 2015 Pipe Reality Delaware Trust, The Mark T. Kirchdorfer 2015 Family Delaware Dynasty Trust, The 2015 Pipe Reality Delaware Trust, Investor</t>
        </is>
      </c>
    </row>
    <row r="77">
      <c r="A77" t="inlineStr">
        <is>
          <t>University of Southern California</t>
        </is>
      </c>
      <c r="E77" t="inlineStr">
        <is>
          <t>LP</t>
        </is>
      </c>
      <c r="F77" s="825" t="n">
        <v>0.105512067859934</v>
      </c>
      <c r="G77" t="n">
        <v>20000000</v>
      </c>
      <c r="H77" t="n">
        <v>20000000</v>
      </c>
      <c r="I77" t="n">
        <v>5139339.43</v>
      </c>
      <c r="J77" t="n">
        <v>15150924.29</v>
      </c>
      <c r="M77" t="inlineStr">
        <is>
          <t>Yes</t>
        </is>
      </c>
      <c r="S77" t="inlineStr">
        <is>
          <t>University of Southern California, University of Southern California, University of Southern California, University of Southern California, University of Southern California, University of Southern California, University of Southern California, University of Southern California</t>
        </is>
      </c>
    </row>
    <row r="78">
      <c r="A78" t="inlineStr">
        <is>
          <t>Walker D. Zimmerman</t>
        </is>
      </c>
      <c r="E78" t="inlineStr">
        <is>
          <t>LP</t>
        </is>
      </c>
      <c r="F78" s="825" t="n">
        <v>0.00131890084824918</v>
      </c>
      <c r="G78" t="n">
        <v>250000</v>
      </c>
      <c r="H78" t="n">
        <v>250000</v>
      </c>
      <c r="I78" t="n">
        <v>63341.61</v>
      </c>
      <c r="J78" t="n">
        <v>190286.69</v>
      </c>
      <c r="M78" t="inlineStr">
        <is>
          <t>Yes</t>
        </is>
      </c>
      <c r="N78" t="inlineStr">
        <is>
          <t>713B Cantrell Ave Nashville TN 37215</t>
        </is>
      </c>
      <c r="O78" t="inlineStr">
        <is>
          <t>713B Cantrell Ave</t>
        </is>
      </c>
      <c r="P78" t="inlineStr">
        <is>
          <t>Nashville</t>
        </is>
      </c>
      <c r="Q78" t="inlineStr">
        <is>
          <t>TN</t>
        </is>
      </c>
      <c r="R78" t="n">
        <v>37215</v>
      </c>
      <c r="S78" t="inlineStr">
        <is>
          <t>Walker Zimmeran</t>
        </is>
      </c>
    </row>
    <row r="79">
      <c r="A79" t="inlineStr">
        <is>
          <t>Wilson Family Trust DTD 3-6-1987</t>
        </is>
      </c>
      <c r="E79" t="inlineStr">
        <is>
          <t>LP</t>
        </is>
      </c>
      <c r="F79" s="825" t="n">
        <v>0.00165232562994684</v>
      </c>
      <c r="G79" t="n">
        <v>313201.26</v>
      </c>
      <c r="H79" t="n">
        <v>313201.26</v>
      </c>
      <c r="I79" t="n">
        <v>82525.89999999999</v>
      </c>
      <c r="J79" t="n">
        <v>235220.91</v>
      </c>
      <c r="M79" t="inlineStr">
        <is>
          <t>Yes</t>
        </is>
      </c>
      <c r="N79" t="inlineStr">
        <is>
          <t>3160 Serena Ave. Carpinteria CA 93013</t>
        </is>
      </c>
      <c r="O79" t="inlineStr">
        <is>
          <t>3160 Serena Ave.</t>
        </is>
      </c>
      <c r="P79" t="inlineStr">
        <is>
          <t>Carpinteria</t>
        </is>
      </c>
      <c r="Q79" t="inlineStr">
        <is>
          <t>CA</t>
        </is>
      </c>
      <c r="R79" t="n">
        <v>93013</v>
      </c>
      <c r="S79" t="inlineStr">
        <is>
          <t>Wilson Family Trust DTD 3-6-1987, Wilson GST Exempt Trust</t>
        </is>
      </c>
    </row>
    <row r="80">
      <c r="A80" t="inlineStr">
        <is>
          <t>Wilson GST Exempt Trust</t>
        </is>
      </c>
      <c r="E80" t="inlineStr">
        <is>
          <t>LP</t>
        </is>
      </c>
      <c r="F80" s="825" t="n">
        <v>0.00165232562994684</v>
      </c>
      <c r="G80" t="n">
        <v>313201.26</v>
      </c>
      <c r="H80" t="n">
        <v>313201.26</v>
      </c>
      <c r="I80" t="n">
        <v>82525.89999999999</v>
      </c>
      <c r="J80" t="n">
        <v>235220.91</v>
      </c>
      <c r="M80" t="inlineStr">
        <is>
          <t>Yes</t>
        </is>
      </c>
      <c r="N80" t="inlineStr">
        <is>
          <t>3160 Serena Ave. Carpinteria CA 93013</t>
        </is>
      </c>
      <c r="O80" t="inlineStr">
        <is>
          <t>3160 Serena Ave.</t>
        </is>
      </c>
      <c r="P80" t="inlineStr">
        <is>
          <t>Carpinteria</t>
        </is>
      </c>
      <c r="Q80" t="inlineStr">
        <is>
          <t>CA</t>
        </is>
      </c>
      <c r="R80" t="n">
        <v>93013</v>
      </c>
      <c r="S80" t="inlineStr">
        <is>
          <t>Wilson Family Trust DTD 3-6-1987, Wilson GST Exempt Trust</t>
        </is>
      </c>
    </row>
  </sheetData>
  <autoFilter ref="A1:S76"/>
  <pageMargins left="0.7" right="0.7" top="0.75" bottom="0.75" header="0.3" footer="0.3"/>
  <pageSetup orientation="portrait" horizontalDpi="1200" verticalDpi="1200"/>
</worksheet>
</file>

<file path=xl/worksheets/sheet15.xml><?xml version="1.0" encoding="utf-8"?>
<worksheet xmlns="http://schemas.openxmlformats.org/spreadsheetml/2006/main">
  <sheetPr>
    <tabColor theme="0" tint="-0.249977111117893"/>
    <outlinePr summaryBelow="1" summaryRight="1"/>
    <pageSetUpPr/>
  </sheetPr>
  <dimension ref="A1:AB100"/>
  <sheetViews>
    <sheetView workbookViewId="0">
      <selection activeCell="A1" sqref="A1"/>
    </sheetView>
  </sheetViews>
  <sheetFormatPr baseColWidth="8" defaultRowHeight="15"/>
  <cols>
    <col width="20.140625" bestFit="1" customWidth="1" style="759" min="1" max="1"/>
    <col width="47.42578125" customWidth="1" style="759" min="2" max="2"/>
    <col width="13.7109375" bestFit="1" customWidth="1" style="759" min="3" max="3"/>
    <col width="16.28515625" bestFit="1" customWidth="1" style="759" min="4" max="4"/>
    <col width="22.42578125" customWidth="1" style="759" min="5" max="6"/>
    <col width="14.140625" customWidth="1" style="759" min="7" max="12"/>
    <col width="14.28515625" customWidth="1" style="759" min="13" max="13"/>
    <col width="13.28515625" bestFit="1" customWidth="1" style="759" min="14" max="14"/>
    <col width="12.28515625" bestFit="1" customWidth="1" style="759" min="15" max="15"/>
    <col width="20.42578125" customWidth="1" style="759" min="16" max="16"/>
    <col width="14.28515625" bestFit="1" customWidth="1" style="759" min="17" max="17"/>
    <col width="9.42578125" bestFit="1" customWidth="1" style="759" min="18" max="18"/>
    <col width="13.85546875" bestFit="1" customWidth="1" style="759" min="19" max="19"/>
    <col width="16.28515625" customWidth="1" style="759" min="20" max="22"/>
    <col width="13.42578125" bestFit="1" customWidth="1" style="759" min="23" max="23"/>
    <col width="14.140625" customWidth="1" style="759" min="24" max="24"/>
    <col width="11.28515625" bestFit="1" customWidth="1" style="759" min="26" max="26"/>
    <col width="9.5703125" bestFit="1" customWidth="1" style="759" min="27" max="27"/>
    <col width="11.28515625" bestFit="1" customWidth="1" style="759" min="28" max="28"/>
  </cols>
  <sheetData>
    <row r="1">
      <c r="A1" s="31" t="inlineStr">
        <is>
          <t>Quarter:</t>
        </is>
      </c>
      <c r="B1" s="66" t="inlineStr">
        <is>
          <t>Q2 2026</t>
        </is>
      </c>
    </row>
    <row r="2">
      <c r="A2" s="31" t="inlineStr">
        <is>
          <t>Inception Date:</t>
        </is>
      </c>
      <c r="B2" s="79" t="n">
        <v>45485</v>
      </c>
    </row>
    <row r="3">
      <c r="B3" s="23" t="n"/>
      <c r="W3" s="22" t="n"/>
    </row>
    <row r="4">
      <c r="A4" t="inlineStr">
        <is>
          <t>Quarter Start Date</t>
        </is>
      </c>
      <c r="B4" s="82" t="n">
        <v>46113</v>
      </c>
      <c r="W4" s="22" t="n"/>
    </row>
    <row r="5">
      <c r="A5" t="inlineStr">
        <is>
          <t>Commencment Date</t>
        </is>
      </c>
      <c r="B5" s="226">
        <f>IF(B4&gt;B2,B4,B2)</f>
        <v/>
      </c>
    </row>
    <row r="6">
      <c r="A6" t="inlineStr">
        <is>
          <t>End Date</t>
        </is>
      </c>
      <c r="B6" s="82">
        <f>EOMONTH(B4,2)</f>
        <v/>
      </c>
    </row>
    <row r="7">
      <c r="A7" t="inlineStr">
        <is>
          <t># of Days in Quarter</t>
        </is>
      </c>
      <c r="B7" s="227">
        <f>+B6-B4+1</f>
        <v/>
      </c>
    </row>
    <row r="8">
      <c r="A8" t="inlineStr">
        <is>
          <t># of Days in Period</t>
        </is>
      </c>
      <c r="B8" s="227">
        <f>+B6-B5+1</f>
        <v/>
      </c>
      <c r="E8" t="inlineStr">
        <is>
          <t>First Quarter Stub-Period:</t>
        </is>
      </c>
      <c r="G8" s="1019" t="n">
        <v>0.8804347826086957</v>
      </c>
      <c r="H8" s="1019" t="n">
        <v>0.8804347826086957</v>
      </c>
      <c r="I8" s="1019" t="n"/>
      <c r="J8" s="1019" t="n"/>
      <c r="O8" s="229" t="inlineStr">
        <is>
          <t>paid to:</t>
        </is>
      </c>
      <c r="P8" s="229" t="inlineStr">
        <is>
          <t>County Line Rail Interests, LLC</t>
        </is>
      </c>
      <c r="Q8" s="229" t="n"/>
      <c r="R8" s="229" t="n"/>
    </row>
    <row r="9">
      <c r="A9" t="inlineStr">
        <is>
          <t>% of Quarter</t>
        </is>
      </c>
      <c r="B9" s="1020">
        <f>+B8/B7</f>
        <v/>
      </c>
      <c r="E9" t="inlineStr">
        <is>
          <t># of Full Quarters prior to this call:</t>
        </is>
      </c>
      <c r="G9" s="66">
        <f>((YEAR(B4)-YEAR(B2))*12-(MONTH(B2)-MONTH(B4)))/3-1</f>
        <v/>
      </c>
      <c r="H9" s="66">
        <f>((YEAR(B4)-YEAR(B2))*12-(MONTH(B2)-MONTH(B4)))/3-1</f>
        <v/>
      </c>
    </row>
    <row r="10">
      <c r="B10" s="1021" t="n"/>
    </row>
    <row r="11">
      <c r="B11" s="1022" t="inlineStr">
        <is>
          <t>Total Commitments:</t>
        </is>
      </c>
      <c r="D11" s="25" t="n">
        <v>189551777.4</v>
      </c>
      <c r="E11" s="25" t="n"/>
      <c r="F11" s="25" t="n"/>
      <c r="G11" s="25" t="n"/>
      <c r="H11" s="25" t="n"/>
      <c r="I11" s="25" t="n"/>
      <c r="J11" s="25" t="n"/>
    </row>
    <row r="12">
      <c r="B12" s="1022" t="inlineStr">
        <is>
          <t>BBR Commitments:</t>
        </is>
      </c>
      <c r="D12" s="761" t="n">
        <v>34900000</v>
      </c>
      <c r="E12" s="761" t="n"/>
      <c r="F12" s="761" t="n"/>
      <c r="G12" s="761" t="n"/>
      <c r="H12" s="761" t="n"/>
      <c r="I12" s="761" t="n"/>
      <c r="J12" s="761" t="n"/>
    </row>
    <row r="13">
      <c r="B13" s="1022" t="inlineStr">
        <is>
          <t>GCM Commitments:</t>
        </is>
      </c>
      <c r="D13" s="761" t="n">
        <v>47500000</v>
      </c>
      <c r="E13" s="761" t="n"/>
      <c r="F13" s="761" t="n"/>
      <c r="G13" s="761" t="n"/>
      <c r="H13" s="761" t="n"/>
      <c r="I13" s="761" t="n"/>
      <c r="J13" s="761" t="n"/>
    </row>
    <row r="14">
      <c r="B14" s="1022" t="inlineStr">
        <is>
          <t>Rate:</t>
        </is>
      </c>
      <c r="L14" s="1023">
        <f>+L16/D13/B9*4</f>
        <v/>
      </c>
      <c r="M14" s="1023">
        <f>+M16/D12/B9*4</f>
        <v/>
      </c>
      <c r="N14" s="1023" t="n">
        <v>0.015</v>
      </c>
      <c r="O14" s="234" t="n">
        <v>0.015</v>
      </c>
      <c r="P14" s="25" t="n"/>
    </row>
    <row r="15" ht="31.15" customHeight="1" s="759">
      <c r="B15" s="1022" t="inlineStr">
        <is>
          <t>Rate Notes:</t>
        </is>
      </c>
      <c r="E15" s="25" t="n"/>
      <c r="F15" s="25" t="n"/>
      <c r="I15" s="25" t="n"/>
      <c r="L15" s="236" t="inlineStr">
        <is>
          <t>From USC Rate tab</t>
        </is>
      </c>
      <c r="M15" s="1024" t="inlineStr">
        <is>
          <t>Calculated</t>
        </is>
      </c>
      <c r="N15" s="236" t="inlineStr">
        <is>
          <t>From USC Rate tab</t>
        </is>
      </c>
      <c r="O15" s="236" t="inlineStr">
        <is>
          <t>From Rates Table</t>
        </is>
      </c>
      <c r="P15" s="25" t="n"/>
      <c r="S15" s="25" t="n"/>
      <c r="W15" s="562" t="n"/>
    </row>
    <row r="16">
      <c r="B16" s="110" t="inlineStr">
        <is>
          <t>Totals:</t>
        </is>
      </c>
      <c r="D16" s="88" t="n">
        <v>189551777.4</v>
      </c>
      <c r="E16" s="88" t="n">
        <v>0</v>
      </c>
      <c r="F16" s="88" t="n"/>
      <c r="G16" s="88" t="n">
        <v>0</v>
      </c>
      <c r="H16" s="88" t="n">
        <v>0</v>
      </c>
      <c r="I16" s="88" t="n">
        <v>0</v>
      </c>
      <c r="J16" s="88" t="n"/>
      <c r="K16" s="1025" t="n">
        <v>1</v>
      </c>
      <c r="L16" s="88" t="n">
        <v>118750</v>
      </c>
      <c r="M16" s="88" t="n">
        <v>87250</v>
      </c>
      <c r="N16" s="88" t="n">
        <v>75000</v>
      </c>
      <c r="O16" s="88" t="n">
        <v>302963.98</v>
      </c>
      <c r="P16" s="237" t="n">
        <v>583963.98</v>
      </c>
      <c r="Q16" s="88" t="n"/>
      <c r="R16" s="88" t="n"/>
      <c r="S16" s="237" t="n">
        <v>583963.98</v>
      </c>
      <c r="T16" s="237" t="n">
        <v>3821211.80043478</v>
      </c>
      <c r="U16" s="471">
        <f>SUM(U18:U99)</f>
        <v/>
      </c>
      <c r="V16" s="237" t="n"/>
    </row>
    <row r="17" ht="75" customHeight="1" s="759">
      <c r="A17" s="472" t="inlineStr">
        <is>
          <t>InvestorNo</t>
        </is>
      </c>
      <c r="B17" s="473" t="inlineStr">
        <is>
          <t>InvestorName</t>
        </is>
      </c>
      <c r="C17" s="474" t="inlineStr">
        <is>
          <t>Investor Group</t>
        </is>
      </c>
      <c r="D17" s="475" t="inlineStr">
        <is>
          <t>InvestorTotal</t>
        </is>
      </c>
      <c r="E17" s="476" t="inlineStr">
        <is>
          <t>New Commitment in Qtr</t>
        </is>
      </c>
      <c r="F17" s="474" t="inlineStr">
        <is>
          <t>GCM Catch-up Management Fee</t>
        </is>
      </c>
      <c r="G17" s="474" t="inlineStr">
        <is>
          <t>BBR Catch-up Management Fee2</t>
        </is>
      </c>
      <c r="H17" s="474" t="inlineStr">
        <is>
          <t>Standard Catch-up Management Fee</t>
        </is>
      </c>
      <c r="I17" s="474" t="inlineStr">
        <is>
          <t>Total Catch-up Management Fee</t>
        </is>
      </c>
      <c r="J17" s="474" t="inlineStr">
        <is>
          <t>GCM %</t>
        </is>
      </c>
      <c r="K17" s="477" t="inlineStr">
        <is>
          <t>BBR %</t>
        </is>
      </c>
      <c r="L17" s="477" t="inlineStr">
        <is>
          <t>GCM Mgmt Fee</t>
        </is>
      </c>
      <c r="M17" s="474" t="inlineStr">
        <is>
          <t>BBR Mgmt Fee</t>
        </is>
      </c>
      <c r="N17" s="474" t="inlineStr">
        <is>
          <t>USC Mgmt Fee</t>
        </is>
      </c>
      <c r="O17" s="474" t="inlineStr">
        <is>
          <t>Standard Mgmt Fee</t>
        </is>
      </c>
      <c r="P17" s="474" t="inlineStr">
        <is>
          <t>Total Quarterly Mgmt Fee</t>
        </is>
      </c>
      <c r="Q17" s="474" t="inlineStr">
        <is>
          <t>Mgmt Fee Rate (Qtr)</t>
        </is>
      </c>
      <c r="R17" s="474" t="inlineStr">
        <is>
          <t>Mgmt Fee Rate (Annual)</t>
        </is>
      </c>
      <c r="S17" s="474" t="inlineStr">
        <is>
          <t>Total Quarterly + Total Catch-up Mgmt Fee</t>
        </is>
      </c>
      <c r="T17" s="474" t="inlineStr">
        <is>
          <t>ITD Fees + Current Quarter (before transfers)</t>
        </is>
      </c>
      <c r="U17" s="478" t="inlineStr">
        <is>
          <t>Transfers</t>
        </is>
      </c>
      <c r="V17" s="478" t="inlineStr">
        <is>
          <t>ITD Fees + Current Quarter (after transfers)</t>
        </is>
      </c>
      <c r="W17" s="474" t="inlineStr">
        <is>
          <t>ITD Fees as % of Commitment (before transfers)</t>
        </is>
      </c>
      <c r="X17" s="478" t="inlineStr">
        <is>
          <t>ITD Fees as % of Commitment (after transfers)</t>
        </is>
      </c>
      <c r="Y17" s="25" t="n"/>
      <c r="Z17" s="479" t="inlineStr">
        <is>
          <t>Variance from PQ ITD and current</t>
        </is>
      </c>
    </row>
    <row r="18">
      <c r="A18" s="480" t="inlineStr">
        <is>
          <t>INV06340</t>
        </is>
      </c>
      <c r="B18" s="481" t="inlineStr">
        <is>
          <t>Endurance Companies LLC</t>
        </is>
      </c>
      <c r="C18" s="481" t="inlineStr">
        <is>
          <t>Standard</t>
        </is>
      </c>
      <c r="D18" s="482" t="n">
        <v>850000</v>
      </c>
      <c r="E18" s="482" t="n">
        <v>0</v>
      </c>
      <c r="F18" s="482" t="n">
        <v>0</v>
      </c>
      <c r="G18" s="482" t="n"/>
      <c r="H18" s="482" t="n"/>
      <c r="I18" s="482" t="n">
        <v>0</v>
      </c>
      <c r="J18" s="1026" t="n">
        <v>0</v>
      </c>
      <c r="K18" s="1026" t="n">
        <v>0</v>
      </c>
      <c r="L18" s="482" t="n">
        <v>0</v>
      </c>
      <c r="M18" s="482" t="n">
        <v>0</v>
      </c>
      <c r="N18" s="482" t="n">
        <v>0</v>
      </c>
      <c r="O18" s="482" t="n">
        <v>3187.5</v>
      </c>
      <c r="P18" s="482" t="n">
        <v>3187.5</v>
      </c>
      <c r="Q18" s="1027" t="n">
        <v>0.00375</v>
      </c>
      <c r="R18" s="1028" t="n">
        <v>0.015</v>
      </c>
      <c r="S18" s="486" t="n">
        <v>3187.5</v>
      </c>
      <c r="T18" s="487" t="n">
        <v>25118.89</v>
      </c>
      <c r="U18" s="488" t="n"/>
      <c r="V18" s="489">
        <f>SUM(T18:U18)</f>
        <v/>
      </c>
      <c r="W18" s="1026" t="n">
        <v>0.02955163529411765</v>
      </c>
      <c r="X18" s="490">
        <f>V18/D18</f>
        <v/>
      </c>
      <c r="Y18" s="1029" t="n"/>
      <c r="Z18" s="761" t="n">
        <v>0</v>
      </c>
      <c r="AA18" s="240" t="n"/>
      <c r="AB18" s="25" t="n"/>
    </row>
    <row r="19">
      <c r="A19" s="491" t="inlineStr">
        <is>
          <t>INV06768</t>
        </is>
      </c>
      <c r="B19" s="492" t="inlineStr">
        <is>
          <t>John Mark Comer</t>
        </is>
      </c>
      <c r="C19" s="492" t="inlineStr">
        <is>
          <t>Standard</t>
        </is>
      </c>
      <c r="D19" s="493" t="n">
        <v>100000</v>
      </c>
      <c r="E19" s="493" t="n">
        <v>0</v>
      </c>
      <c r="F19" s="493" t="n">
        <v>0</v>
      </c>
      <c r="G19" s="493" t="n"/>
      <c r="H19" s="493" t="n"/>
      <c r="I19" s="493" t="n">
        <v>0</v>
      </c>
      <c r="J19" s="1030" t="n">
        <v>0</v>
      </c>
      <c r="K19" s="1030" t="n">
        <v>0</v>
      </c>
      <c r="L19" s="493" t="n">
        <v>0</v>
      </c>
      <c r="M19" s="493" t="n">
        <v>0</v>
      </c>
      <c r="N19" s="493" t="n">
        <v>0</v>
      </c>
      <c r="O19" s="493" t="n">
        <v>375</v>
      </c>
      <c r="P19" s="493" t="n">
        <v>375</v>
      </c>
      <c r="Q19" s="1031" t="n">
        <v>0.00375</v>
      </c>
      <c r="R19" s="496" t="n">
        <v>0.015</v>
      </c>
      <c r="S19" s="497" t="n">
        <v>375</v>
      </c>
      <c r="T19" s="498" t="n">
        <v>2955.16</v>
      </c>
      <c r="U19" s="499" t="n"/>
      <c r="V19" s="489">
        <f>SUM(T19:U19)</f>
        <v/>
      </c>
      <c r="W19" s="1030" t="n">
        <v>0.0295516</v>
      </c>
      <c r="X19" s="490">
        <f>V19/D19</f>
        <v/>
      </c>
      <c r="Y19" s="1029" t="n"/>
      <c r="Z19" s="761" t="n">
        <v>0</v>
      </c>
      <c r="AA19" s="240" t="n"/>
      <c r="AB19" s="25" t="n"/>
    </row>
    <row r="20">
      <c r="A20" s="480" t="inlineStr">
        <is>
          <t>INV06770</t>
        </is>
      </c>
      <c r="B20" s="481" t="inlineStr">
        <is>
          <t>Matterhorn Holdings, LLC</t>
        </is>
      </c>
      <c r="C20" s="481" t="inlineStr">
        <is>
          <t>Standard</t>
        </is>
      </c>
      <c r="D20" s="482" t="n">
        <v>100000</v>
      </c>
      <c r="E20" s="482" t="n">
        <v>0</v>
      </c>
      <c r="F20" s="482" t="n">
        <v>0</v>
      </c>
      <c r="G20" s="482" t="n"/>
      <c r="H20" s="482" t="n"/>
      <c r="I20" s="482" t="n">
        <v>0</v>
      </c>
      <c r="J20" s="1026" t="n">
        <v>0</v>
      </c>
      <c r="K20" s="1026" t="n">
        <v>0</v>
      </c>
      <c r="L20" s="482" t="n">
        <v>0</v>
      </c>
      <c r="M20" s="482" t="n">
        <v>0</v>
      </c>
      <c r="N20" s="482" t="n">
        <v>0</v>
      </c>
      <c r="O20" s="482" t="n">
        <v>375</v>
      </c>
      <c r="P20" s="482" t="n">
        <v>375</v>
      </c>
      <c r="Q20" s="1027" t="n">
        <v>0.00375</v>
      </c>
      <c r="R20" s="500" t="n">
        <v>0.015</v>
      </c>
      <c r="S20" s="486" t="n">
        <v>375</v>
      </c>
      <c r="T20" s="487" t="n">
        <v>2955.16</v>
      </c>
      <c r="U20" s="488" t="n"/>
      <c r="V20" s="489">
        <f>SUM(T20:U20)</f>
        <v/>
      </c>
      <c r="W20" s="1026" t="n">
        <v>0.0295516</v>
      </c>
      <c r="X20" s="490">
        <f>V20/D20</f>
        <v/>
      </c>
      <c r="Y20" s="1029" t="n"/>
      <c r="Z20" s="761" t="n">
        <v>0</v>
      </c>
      <c r="AA20" s="240" t="n"/>
      <c r="AB20" s="25" t="n"/>
    </row>
    <row r="21">
      <c r="A21" s="491" t="inlineStr">
        <is>
          <t>INV06769</t>
        </is>
      </c>
      <c r="B21" s="492" t="inlineStr">
        <is>
          <t>Chase The Lion, Inc.</t>
        </is>
      </c>
      <c r="C21" s="492" t="inlineStr">
        <is>
          <t>Standard</t>
        </is>
      </c>
      <c r="D21" s="493" t="n">
        <v>1212491.36</v>
      </c>
      <c r="E21" s="493" t="n">
        <v>0</v>
      </c>
      <c r="F21" s="493" t="n">
        <v>0</v>
      </c>
      <c r="G21" s="493" t="n"/>
      <c r="H21" s="493" t="n"/>
      <c r="I21" s="493" t="n">
        <v>0</v>
      </c>
      <c r="J21" s="1030" t="n">
        <v>0</v>
      </c>
      <c r="K21" s="1030" t="n">
        <v>0</v>
      </c>
      <c r="L21" s="493" t="n">
        <v>0</v>
      </c>
      <c r="M21" s="493" t="n">
        <v>0</v>
      </c>
      <c r="N21" s="493" t="n">
        <v>0</v>
      </c>
      <c r="O21" s="493" t="n">
        <v>4546.84</v>
      </c>
      <c r="P21" s="493" t="n">
        <v>4546.84</v>
      </c>
      <c r="Q21" s="1031" t="n">
        <v>0.003749997855654823</v>
      </c>
      <c r="R21" s="496" t="n">
        <v>0.01499999142261929</v>
      </c>
      <c r="S21" s="497" t="n">
        <v>4546.84</v>
      </c>
      <c r="T21" s="498" t="n">
        <v>23939.1</v>
      </c>
      <c r="U21" s="499" t="n"/>
      <c r="V21" s="489">
        <f>SUM(T21:U21)</f>
        <v/>
      </c>
      <c r="W21" s="1030" t="n">
        <v>0.01974372831819602</v>
      </c>
      <c r="X21" s="490">
        <f>V21/D21</f>
        <v/>
      </c>
      <c r="Y21" s="1029" t="n"/>
      <c r="Z21" s="761" t="n">
        <v>0</v>
      </c>
      <c r="AA21" s="240" t="n"/>
      <c r="AB21" s="562" t="n"/>
    </row>
    <row r="22">
      <c r="A22" s="480" t="inlineStr">
        <is>
          <t>INV06998</t>
        </is>
      </c>
      <c r="B22" s="481" t="inlineStr">
        <is>
          <t>Cameron J. Tringale</t>
        </is>
      </c>
      <c r="C22" s="481" t="inlineStr">
        <is>
          <t>Standard</t>
        </is>
      </c>
      <c r="D22" s="482" t="n">
        <v>500000</v>
      </c>
      <c r="E22" s="482" t="n">
        <v>0</v>
      </c>
      <c r="F22" s="482" t="n">
        <v>0</v>
      </c>
      <c r="G22" s="482" t="n"/>
      <c r="H22" s="482" t="n"/>
      <c r="I22" s="482" t="n">
        <v>0</v>
      </c>
      <c r="J22" s="1026" t="n">
        <v>0</v>
      </c>
      <c r="K22" s="1026" t="n">
        <v>0</v>
      </c>
      <c r="L22" s="482" t="n">
        <v>0</v>
      </c>
      <c r="M22" s="482" t="n">
        <v>0</v>
      </c>
      <c r="N22" s="482" t="n">
        <v>0</v>
      </c>
      <c r="O22" s="482" t="n">
        <v>1875</v>
      </c>
      <c r="P22" s="482" t="n">
        <v>1875</v>
      </c>
      <c r="Q22" s="1027" t="n">
        <v>0.00375</v>
      </c>
      <c r="R22" s="500" t="n">
        <v>0.015</v>
      </c>
      <c r="S22" s="486" t="n">
        <v>1875</v>
      </c>
      <c r="T22" s="487" t="n">
        <v>14775.82</v>
      </c>
      <c r="U22" s="488" t="n"/>
      <c r="V22" s="489">
        <f>SUM(T22:U22)</f>
        <v/>
      </c>
      <c r="W22" s="1026" t="n">
        <v>0.02955164</v>
      </c>
      <c r="X22" s="490">
        <f>V22/D22</f>
        <v/>
      </c>
      <c r="Y22" s="1029" t="n"/>
      <c r="Z22" s="761" t="n">
        <v>0</v>
      </c>
      <c r="AA22" s="240" t="n"/>
      <c r="AB22" s="562" t="n"/>
    </row>
    <row r="23">
      <c r="A23" s="491" t="inlineStr">
        <is>
          <t>INV07000</t>
        </is>
      </c>
      <c r="B23" s="492" t="inlineStr">
        <is>
          <t>Walker D. Zimmerman</t>
        </is>
      </c>
      <c r="C23" s="492" t="inlineStr">
        <is>
          <t>Standard</t>
        </is>
      </c>
      <c r="D23" s="493" t="n">
        <v>250000</v>
      </c>
      <c r="E23" s="493" t="n">
        <v>0</v>
      </c>
      <c r="F23" s="493" t="n">
        <v>0</v>
      </c>
      <c r="G23" s="493" t="n"/>
      <c r="H23" s="493" t="n"/>
      <c r="I23" s="493" t="n">
        <v>0</v>
      </c>
      <c r="J23" s="1030" t="n">
        <v>0</v>
      </c>
      <c r="K23" s="1030" t="n">
        <v>0</v>
      </c>
      <c r="L23" s="493" t="n">
        <v>0</v>
      </c>
      <c r="M23" s="493" t="n">
        <v>0</v>
      </c>
      <c r="N23" s="493" t="n">
        <v>0</v>
      </c>
      <c r="O23" s="493" t="n">
        <v>937.5</v>
      </c>
      <c r="P23" s="493" t="n">
        <v>937.5</v>
      </c>
      <c r="Q23" s="1031" t="n">
        <v>0.00375</v>
      </c>
      <c r="R23" s="496" t="n">
        <v>0.015</v>
      </c>
      <c r="S23" s="497" t="n">
        <v>937.5</v>
      </c>
      <c r="T23" s="498" t="n">
        <v>7387.91</v>
      </c>
      <c r="U23" s="499" t="n"/>
      <c r="V23" s="489">
        <f>SUM(T23:U23)</f>
        <v/>
      </c>
      <c r="W23" s="1030" t="n">
        <v>0.02955164</v>
      </c>
      <c r="X23" s="490">
        <f>V23/D23</f>
        <v/>
      </c>
      <c r="Y23" s="1029" t="n"/>
      <c r="Z23" s="761" t="n">
        <v>0</v>
      </c>
      <c r="AA23" s="240" t="n"/>
      <c r="AB23" s="562" t="n"/>
    </row>
    <row r="24">
      <c r="A24" s="480" t="inlineStr">
        <is>
          <t>INV06997</t>
        </is>
      </c>
      <c r="B24" s="481" t="inlineStr">
        <is>
          <t>Christopher Johnson</t>
        </is>
      </c>
      <c r="C24" s="481" t="inlineStr">
        <is>
          <t>Standard</t>
        </is>
      </c>
      <c r="D24" s="482" t="n">
        <v>165897.64</v>
      </c>
      <c r="E24" s="482" t="n">
        <v>0</v>
      </c>
      <c r="F24" s="482" t="n">
        <v>0</v>
      </c>
      <c r="G24" s="482" t="n"/>
      <c r="H24" s="482" t="n"/>
      <c r="I24" s="482" t="n">
        <v>0</v>
      </c>
      <c r="J24" s="1026" t="n">
        <v>0</v>
      </c>
      <c r="K24" s="1026" t="n">
        <v>0</v>
      </c>
      <c r="L24" s="482" t="n">
        <v>0</v>
      </c>
      <c r="M24" s="482" t="n">
        <v>0</v>
      </c>
      <c r="N24" s="482" t="n">
        <v>0</v>
      </c>
      <c r="O24" s="482" t="n">
        <v>622.12</v>
      </c>
      <c r="P24" s="482" t="n">
        <v>622.12</v>
      </c>
      <c r="Q24" s="1027" t="n">
        <v>0.003750023207081185</v>
      </c>
      <c r="R24" s="500" t="n">
        <v>0.01500009282832474</v>
      </c>
      <c r="S24" s="486" t="n">
        <v>622.12</v>
      </c>
      <c r="T24" s="487" t="n">
        <v>4109.76</v>
      </c>
      <c r="U24" s="488" t="n"/>
      <c r="V24" s="489">
        <f>SUM(T24:U24)</f>
        <v/>
      </c>
      <c r="W24" s="1026" t="n">
        <v>0.02477286596723136</v>
      </c>
      <c r="X24" s="490">
        <f>V24/D24</f>
        <v/>
      </c>
      <c r="Y24" s="1029" t="n"/>
      <c r="Z24" s="761" t="n">
        <v>0</v>
      </c>
      <c r="AA24" s="240" t="n"/>
      <c r="AB24" s="562" t="n"/>
    </row>
    <row r="25">
      <c r="A25" s="491" t="inlineStr">
        <is>
          <t>INV06999</t>
        </is>
      </c>
      <c r="B25" s="492" t="inlineStr">
        <is>
          <t>In God We Trust 2017 Living Trust</t>
        </is>
      </c>
      <c r="C25" s="492" t="inlineStr">
        <is>
          <t>Standard</t>
        </is>
      </c>
      <c r="D25" s="493" t="n">
        <v>100000</v>
      </c>
      <c r="E25" s="493" t="n">
        <v>0</v>
      </c>
      <c r="F25" s="493" t="n">
        <v>0</v>
      </c>
      <c r="G25" s="493" t="n"/>
      <c r="H25" s="493" t="n"/>
      <c r="I25" s="493" t="n">
        <v>0</v>
      </c>
      <c r="J25" s="1030" t="n">
        <v>0</v>
      </c>
      <c r="K25" s="1030" t="n">
        <v>0</v>
      </c>
      <c r="L25" s="493" t="n">
        <v>0</v>
      </c>
      <c r="M25" s="493" t="n">
        <v>0</v>
      </c>
      <c r="N25" s="493" t="n">
        <v>0</v>
      </c>
      <c r="O25" s="493" t="n">
        <v>375</v>
      </c>
      <c r="P25" s="493" t="n">
        <v>375</v>
      </c>
      <c r="Q25" s="1031" t="n">
        <v>0.00375</v>
      </c>
      <c r="R25" s="496" t="n">
        <v>0.015</v>
      </c>
      <c r="S25" s="497" t="n">
        <v>375</v>
      </c>
      <c r="T25" s="498" t="n">
        <v>2955.16</v>
      </c>
      <c r="U25" s="499" t="n"/>
      <c r="V25" s="489">
        <f>SUM(T25:U25)</f>
        <v/>
      </c>
      <c r="W25" s="1030" t="n">
        <v>0.0295516</v>
      </c>
      <c r="X25" s="490">
        <f>V25/D25</f>
        <v/>
      </c>
      <c r="Y25" s="1029" t="n"/>
      <c r="Z25" s="761" t="n">
        <v>0</v>
      </c>
      <c r="AA25" s="240" t="n"/>
      <c r="AB25" s="562" t="n"/>
    </row>
    <row r="26">
      <c r="A26" s="480" t="inlineStr">
        <is>
          <t>INV07005</t>
        </is>
      </c>
      <c r="B26" s="481" t="inlineStr">
        <is>
          <t>Hundley Family Trust</t>
        </is>
      </c>
      <c r="C26" s="481" t="inlineStr">
        <is>
          <t>Standard</t>
        </is>
      </c>
      <c r="D26" s="482" t="n">
        <v>200000</v>
      </c>
      <c r="E26" s="482" t="n">
        <v>0</v>
      </c>
      <c r="F26" s="482" t="n">
        <v>0</v>
      </c>
      <c r="G26" s="482" t="n"/>
      <c r="H26" s="482" t="n"/>
      <c r="I26" s="482" t="n">
        <v>0</v>
      </c>
      <c r="J26" s="1026" t="n">
        <v>0</v>
      </c>
      <c r="K26" s="1026" t="n">
        <v>0</v>
      </c>
      <c r="L26" s="482" t="n">
        <v>0</v>
      </c>
      <c r="M26" s="482" t="n">
        <v>0</v>
      </c>
      <c r="N26" s="482" t="n">
        <v>0</v>
      </c>
      <c r="O26" s="482" t="n">
        <v>750</v>
      </c>
      <c r="P26" s="482" t="n">
        <v>750</v>
      </c>
      <c r="Q26" s="1027" t="n">
        <v>0.00375</v>
      </c>
      <c r="R26" s="500" t="n">
        <v>0.015</v>
      </c>
      <c r="S26" s="486" t="n">
        <v>750</v>
      </c>
      <c r="T26" s="487" t="n">
        <v>5910.33</v>
      </c>
      <c r="U26" s="488" t="n"/>
      <c r="V26" s="489">
        <f>SUM(T26:U26)</f>
        <v/>
      </c>
      <c r="W26" s="1026" t="n">
        <v>0.02955165</v>
      </c>
      <c r="X26" s="490">
        <f>V26/D26</f>
        <v/>
      </c>
      <c r="Y26" s="1029" t="n"/>
      <c r="Z26" s="761" t="n">
        <v>0</v>
      </c>
      <c r="AA26" s="240" t="n"/>
      <c r="AB26" s="562" t="n"/>
    </row>
    <row r="27">
      <c r="A27" s="491" t="inlineStr">
        <is>
          <t>INV07372</t>
        </is>
      </c>
      <c r="B27" s="492" t="inlineStr">
        <is>
          <t>AKWT LLC</t>
        </is>
      </c>
      <c r="C27" s="492" t="inlineStr">
        <is>
          <t>Standard</t>
        </is>
      </c>
      <c r="D27" s="493" t="n">
        <v>78300.32000000001</v>
      </c>
      <c r="E27" s="493" t="n">
        <v>0</v>
      </c>
      <c r="F27" s="493" t="n">
        <v>0</v>
      </c>
      <c r="G27" s="493" t="n"/>
      <c r="H27" s="493" t="n"/>
      <c r="I27" s="493" t="n">
        <v>0</v>
      </c>
      <c r="J27" s="1030" t="n">
        <v>0</v>
      </c>
      <c r="K27" s="1030" t="n">
        <v>0</v>
      </c>
      <c r="L27" s="493" t="n">
        <v>0</v>
      </c>
      <c r="M27" s="493" t="n">
        <v>0</v>
      </c>
      <c r="N27" s="493" t="n">
        <v>0</v>
      </c>
      <c r="O27" s="493" t="n">
        <v>293.63</v>
      </c>
      <c r="P27" s="493" t="n">
        <v>293.63</v>
      </c>
      <c r="Q27" s="1031" t="n">
        <v>0.003750048531091571</v>
      </c>
      <c r="R27" s="496" t="n">
        <v>0.01500019412436628</v>
      </c>
      <c r="S27" s="497" t="n">
        <v>293.63</v>
      </c>
      <c r="T27" s="498" t="n">
        <v>1521.12</v>
      </c>
      <c r="U27" s="499" t="n"/>
      <c r="V27" s="489">
        <f>SUM(T27:U27)</f>
        <v/>
      </c>
      <c r="W27" s="1030" t="n">
        <v>0.01942674052928519</v>
      </c>
      <c r="X27" s="490">
        <f>V27/D27</f>
        <v/>
      </c>
      <c r="Y27" s="1029" t="n"/>
      <c r="Z27" s="761" t="n">
        <v>0</v>
      </c>
      <c r="AA27" s="240" t="n"/>
      <c r="AB27" s="562" t="n"/>
    </row>
    <row r="28">
      <c r="A28" s="480" t="inlineStr">
        <is>
          <t>INV07373</t>
        </is>
      </c>
      <c r="B28" s="481" t="inlineStr">
        <is>
          <t>Alexander S. Bloomingdale</t>
        </is>
      </c>
      <c r="C28" s="481" t="inlineStr">
        <is>
          <t>Standard</t>
        </is>
      </c>
      <c r="D28" s="482" t="n">
        <v>144197.96</v>
      </c>
      <c r="E28" s="482" t="n">
        <v>0</v>
      </c>
      <c r="F28" s="482" t="n">
        <v>0</v>
      </c>
      <c r="G28" s="482" t="n"/>
      <c r="H28" s="482" t="n"/>
      <c r="I28" s="482" t="n">
        <v>0</v>
      </c>
      <c r="J28" s="1026" t="n">
        <v>0</v>
      </c>
      <c r="K28" s="1026" t="n">
        <v>0</v>
      </c>
      <c r="L28" s="482" t="n">
        <v>0</v>
      </c>
      <c r="M28" s="482" t="n">
        <v>0</v>
      </c>
      <c r="N28" s="482" t="n">
        <v>0</v>
      </c>
      <c r="O28" s="482" t="n">
        <v>540.74</v>
      </c>
      <c r="P28" s="482" t="n">
        <v>540.74</v>
      </c>
      <c r="Q28" s="1027" t="n">
        <v>0.003749983702959459</v>
      </c>
      <c r="R28" s="500" t="n">
        <v>0.01499993481183784</v>
      </c>
      <c r="S28" s="486" t="n">
        <v>540.74</v>
      </c>
      <c r="T28" s="487" t="n">
        <v>2675.68</v>
      </c>
      <c r="U28" s="488" t="n"/>
      <c r="V28" s="489">
        <f>SUM(T28:U28)</f>
        <v/>
      </c>
      <c r="W28" s="1026" t="n">
        <v>0.01855560231226572</v>
      </c>
      <c r="X28" s="490">
        <f>V28/D28</f>
        <v/>
      </c>
      <c r="Y28" s="1029" t="n"/>
      <c r="Z28" s="761" t="n">
        <v>0</v>
      </c>
      <c r="AA28" s="240" t="n"/>
      <c r="AB28" s="562" t="n"/>
    </row>
    <row r="29">
      <c r="A29" s="491" t="inlineStr">
        <is>
          <t>INV07374</t>
        </is>
      </c>
      <c r="B29" s="492" t="inlineStr">
        <is>
          <t>Alexander Sharpe Moore</t>
        </is>
      </c>
      <c r="C29" s="492" t="inlineStr">
        <is>
          <t>Standard</t>
        </is>
      </c>
      <c r="D29" s="493" t="n">
        <v>156600.63</v>
      </c>
      <c r="E29" s="493" t="n">
        <v>0</v>
      </c>
      <c r="F29" s="493" t="n">
        <v>0</v>
      </c>
      <c r="G29" s="493" t="n"/>
      <c r="H29" s="493" t="n"/>
      <c r="I29" s="493" t="n">
        <v>0</v>
      </c>
      <c r="J29" s="1030" t="n">
        <v>0</v>
      </c>
      <c r="K29" s="1030" t="n">
        <v>0</v>
      </c>
      <c r="L29" s="493" t="n">
        <v>0</v>
      </c>
      <c r="M29" s="493" t="n">
        <v>0</v>
      </c>
      <c r="N29" s="493" t="n">
        <v>0</v>
      </c>
      <c r="O29" s="493" t="n">
        <v>587.25</v>
      </c>
      <c r="P29" s="493" t="n">
        <v>587.25</v>
      </c>
      <c r="Q29" s="1031" t="n">
        <v>0.003749984913853795</v>
      </c>
      <c r="R29" s="496" t="n">
        <v>0.01499993965541518</v>
      </c>
      <c r="S29" s="497" t="n">
        <v>587.25</v>
      </c>
      <c r="T29" s="498" t="n">
        <v>3042.2</v>
      </c>
      <c r="U29" s="499" t="n"/>
      <c r="V29" s="489">
        <f>SUM(T29:U29)</f>
        <v/>
      </c>
      <c r="W29" s="1030" t="n">
        <v>0.01942648634299875</v>
      </c>
      <c r="X29" s="490">
        <f>V29/D29</f>
        <v/>
      </c>
      <c r="Y29" s="1029" t="n"/>
      <c r="Z29" s="761" t="n">
        <v>0</v>
      </c>
      <c r="AA29" s="240" t="n"/>
      <c r="AB29" s="562" t="n"/>
    </row>
    <row r="30">
      <c r="A30" s="480" t="inlineStr">
        <is>
          <t>INV07375</t>
        </is>
      </c>
      <c r="B30" s="481" t="inlineStr">
        <is>
          <t>All Dogs Go To Heaven, LLC</t>
        </is>
      </c>
      <c r="C30" s="481" t="inlineStr">
        <is>
          <t>Standard</t>
        </is>
      </c>
      <c r="D30" s="482" t="n">
        <v>523296.86</v>
      </c>
      <c r="E30" s="482" t="n">
        <v>0</v>
      </c>
      <c r="F30" s="482" t="n">
        <v>0</v>
      </c>
      <c r="G30" s="482" t="n"/>
      <c r="H30" s="482" t="n"/>
      <c r="I30" s="482" t="n">
        <v>0</v>
      </c>
      <c r="J30" s="1026" t="n">
        <v>0</v>
      </c>
      <c r="K30" s="1026" t="n">
        <v>0</v>
      </c>
      <c r="L30" s="482" t="n">
        <v>0</v>
      </c>
      <c r="M30" s="482" t="n">
        <v>0</v>
      </c>
      <c r="N30" s="482" t="n">
        <v>0</v>
      </c>
      <c r="O30" s="482" t="n">
        <v>1962.36</v>
      </c>
      <c r="P30" s="482" t="n">
        <v>1962.36</v>
      </c>
      <c r="Q30" s="1027" t="n">
        <v>0.003749993837150102</v>
      </c>
      <c r="R30" s="500" t="n">
        <v>0.01499997534860041</v>
      </c>
      <c r="S30" s="486" t="n">
        <v>1962.36</v>
      </c>
      <c r="T30" s="487" t="n">
        <v>9914.67</v>
      </c>
      <c r="U30" s="488" t="n"/>
      <c r="V30" s="489">
        <f>SUM(T30:U30)</f>
        <v/>
      </c>
      <c r="W30" s="1026" t="n">
        <v>0.0189465497652709</v>
      </c>
      <c r="X30" s="490">
        <f>V30/D30</f>
        <v/>
      </c>
      <c r="Y30" s="1029" t="n"/>
      <c r="Z30" s="761" t="n">
        <v>0</v>
      </c>
      <c r="AA30" s="240" t="n"/>
      <c r="AB30" s="562" t="n"/>
    </row>
    <row r="31">
      <c r="A31" s="491" t="inlineStr">
        <is>
          <t>INV07376</t>
        </is>
      </c>
      <c r="B31" s="492" t="inlineStr">
        <is>
          <t>Avery Ryan Klann</t>
        </is>
      </c>
      <c r="C31" s="492" t="inlineStr">
        <is>
          <t>Standard</t>
        </is>
      </c>
      <c r="D31" s="493" t="n">
        <v>391501.58</v>
      </c>
      <c r="E31" s="493" t="n">
        <v>0</v>
      </c>
      <c r="F31" s="493" t="n">
        <v>0</v>
      </c>
      <c r="G31" s="493" t="n"/>
      <c r="H31" s="493" t="n"/>
      <c r="I31" s="493" t="n">
        <v>0</v>
      </c>
      <c r="J31" s="1030" t="n">
        <v>0</v>
      </c>
      <c r="K31" s="1030" t="n">
        <v>0</v>
      </c>
      <c r="L31" s="493" t="n">
        <v>0</v>
      </c>
      <c r="M31" s="493" t="n">
        <v>0</v>
      </c>
      <c r="N31" s="493" t="n">
        <v>0</v>
      </c>
      <c r="O31" s="493" t="n">
        <v>1468.13</v>
      </c>
      <c r="P31" s="493" t="n">
        <v>1468.13</v>
      </c>
      <c r="Q31" s="1031" t="n">
        <v>0.003749997637302</v>
      </c>
      <c r="R31" s="496" t="n">
        <v>0.014999990549208</v>
      </c>
      <c r="S31" s="497" t="n">
        <v>1468.13</v>
      </c>
      <c r="T31" s="498" t="n">
        <v>7605.51</v>
      </c>
      <c r="U31" s="499" t="n"/>
      <c r="V31" s="489">
        <f>SUM(T31:U31)</f>
        <v/>
      </c>
      <c r="W31" s="1030" t="n">
        <v>0.01942651163757755</v>
      </c>
      <c r="X31" s="490">
        <f>V31/D31</f>
        <v/>
      </c>
      <c r="Y31" s="1029" t="n"/>
      <c r="Z31" s="761" t="n">
        <v>0</v>
      </c>
      <c r="AA31" s="240" t="n"/>
      <c r="AB31" s="562" t="n"/>
    </row>
    <row r="32">
      <c r="A32" s="480" t="inlineStr">
        <is>
          <t>INV07377</t>
        </is>
      </c>
      <c r="B32" s="481" t="inlineStr">
        <is>
          <t>Belclaire Asset Management, LLC</t>
        </is>
      </c>
      <c r="C32" s="481" t="inlineStr">
        <is>
          <t>Standard</t>
        </is>
      </c>
      <c r="D32" s="482" t="n">
        <v>914798.4399999999</v>
      </c>
      <c r="E32" s="482" t="n">
        <v>0</v>
      </c>
      <c r="F32" s="482" t="n">
        <v>0</v>
      </c>
      <c r="G32" s="482" t="n"/>
      <c r="H32" s="482" t="n"/>
      <c r="I32" s="482" t="n">
        <v>0</v>
      </c>
      <c r="J32" s="1026" t="n">
        <v>0</v>
      </c>
      <c r="K32" s="1026" t="n">
        <v>0</v>
      </c>
      <c r="L32" s="482" t="n">
        <v>0</v>
      </c>
      <c r="M32" s="482" t="n">
        <v>0</v>
      </c>
      <c r="N32" s="482" t="n">
        <v>0</v>
      </c>
      <c r="O32" s="482" t="n">
        <v>3430.49</v>
      </c>
      <c r="P32" s="482" t="n">
        <v>3430.49</v>
      </c>
      <c r="Q32" s="1027" t="n">
        <v>0.003749995463481551</v>
      </c>
      <c r="R32" s="500" t="n">
        <v>0.0149999818539262</v>
      </c>
      <c r="S32" s="486" t="n">
        <v>3430.49</v>
      </c>
      <c r="T32" s="487" t="n">
        <v>17520.18</v>
      </c>
      <c r="U32" s="488" t="n"/>
      <c r="V32" s="489">
        <f>SUM(T32:U32)</f>
        <v/>
      </c>
      <c r="W32" s="1026" t="n">
        <v>0.0191519565774511</v>
      </c>
      <c r="X32" s="490">
        <f>V32/D32</f>
        <v/>
      </c>
      <c r="Y32" s="1029" t="n"/>
      <c r="Z32" s="761" t="n">
        <v>0</v>
      </c>
      <c r="AA32" s="240" t="n"/>
      <c r="AB32" s="562" t="n"/>
    </row>
    <row r="33">
      <c r="A33" s="491" t="inlineStr">
        <is>
          <t>INV07378</t>
        </is>
      </c>
      <c r="B33" s="492" t="inlineStr">
        <is>
          <t>Benaiah Inc.</t>
        </is>
      </c>
      <c r="C33" s="492" t="inlineStr">
        <is>
          <t>Standard</t>
        </is>
      </c>
      <c r="D33" s="493" t="n">
        <v>914798.4399999999</v>
      </c>
      <c r="E33" s="493" t="n">
        <v>0</v>
      </c>
      <c r="F33" s="493" t="n">
        <v>0</v>
      </c>
      <c r="G33" s="493" t="n"/>
      <c r="H33" s="493" t="n"/>
      <c r="I33" s="493" t="n">
        <v>0</v>
      </c>
      <c r="J33" s="1030" t="n">
        <v>0</v>
      </c>
      <c r="K33" s="1030" t="n">
        <v>0</v>
      </c>
      <c r="L33" s="493" t="n">
        <v>0</v>
      </c>
      <c r="M33" s="493" t="n">
        <v>0</v>
      </c>
      <c r="N33" s="493" t="n">
        <v>0</v>
      </c>
      <c r="O33" s="493" t="n">
        <v>3430.49</v>
      </c>
      <c r="P33" s="493" t="n">
        <v>3430.49</v>
      </c>
      <c r="Q33" s="1031" t="n">
        <v>0.003749995463481551</v>
      </c>
      <c r="R33" s="496" t="n">
        <v>0.0149999818539262</v>
      </c>
      <c r="S33" s="497" t="n">
        <v>3430.49</v>
      </c>
      <c r="T33" s="498" t="n">
        <v>17520.18</v>
      </c>
      <c r="U33" s="499" t="n"/>
      <c r="V33" s="489">
        <f>SUM(T33:U33)</f>
        <v/>
      </c>
      <c r="W33" s="1030" t="n">
        <v>0.0191519565774511</v>
      </c>
      <c r="X33" s="490">
        <f>V33/D33</f>
        <v/>
      </c>
      <c r="Y33" s="1029" t="n"/>
      <c r="Z33" s="761" t="n">
        <v>0</v>
      </c>
      <c r="AA33" s="240" t="n"/>
      <c r="AB33" s="562" t="n"/>
    </row>
    <row r="34">
      <c r="A34" s="480" t="inlineStr">
        <is>
          <t>INV07379</t>
        </is>
      </c>
      <c r="B34" s="481" t="inlineStr">
        <is>
          <t>Benjamin Johnson</t>
        </is>
      </c>
      <c r="C34" s="481" t="inlineStr">
        <is>
          <t>Standard</t>
        </is>
      </c>
      <c r="D34" s="482" t="n">
        <v>78300.32000000001</v>
      </c>
      <c r="E34" s="482" t="n">
        <v>0</v>
      </c>
      <c r="F34" s="482" t="n">
        <v>0</v>
      </c>
      <c r="G34" s="482" t="n"/>
      <c r="H34" s="482" t="n"/>
      <c r="I34" s="482" t="n">
        <v>0</v>
      </c>
      <c r="J34" s="1026" t="n">
        <v>0</v>
      </c>
      <c r="K34" s="1026" t="n">
        <v>0</v>
      </c>
      <c r="L34" s="482" t="n">
        <v>0</v>
      </c>
      <c r="M34" s="482" t="n">
        <v>0</v>
      </c>
      <c r="N34" s="482" t="n">
        <v>0</v>
      </c>
      <c r="O34" s="482" t="n">
        <v>293.63</v>
      </c>
      <c r="P34" s="482" t="n">
        <v>293.63</v>
      </c>
      <c r="Q34" s="1027" t="n">
        <v>0.003750048531091571</v>
      </c>
      <c r="R34" s="500" t="n">
        <v>0.01500019412436628</v>
      </c>
      <c r="S34" s="486" t="n">
        <v>293.63</v>
      </c>
      <c r="T34" s="487" t="n">
        <v>1521.12</v>
      </c>
      <c r="U34" s="488" t="n"/>
      <c r="V34" s="489">
        <f>SUM(T34:U34)</f>
        <v/>
      </c>
      <c r="W34" s="1026" t="n">
        <v>0.01942674052928519</v>
      </c>
      <c r="X34" s="490">
        <f>V34/D34</f>
        <v/>
      </c>
      <c r="Y34" s="1029" t="n"/>
      <c r="Z34" s="761" t="n">
        <v>0</v>
      </c>
      <c r="AA34" s="240" t="n"/>
      <c r="AB34" s="562" t="n"/>
    </row>
    <row r="35">
      <c r="A35" s="491" t="inlineStr">
        <is>
          <t>INV07380</t>
        </is>
      </c>
      <c r="B35" s="492" t="inlineStr">
        <is>
          <t>Bloomingdale Family Trust Share #3</t>
        </is>
      </c>
      <c r="C35" s="492" t="inlineStr">
        <is>
          <t>Standard</t>
        </is>
      </c>
      <c r="D35" s="493" t="n">
        <v>234900.95</v>
      </c>
      <c r="E35" s="493" t="n">
        <v>0</v>
      </c>
      <c r="F35" s="493" t="n">
        <v>0</v>
      </c>
      <c r="G35" s="493" t="n"/>
      <c r="H35" s="493" t="n"/>
      <c r="I35" s="493" t="n">
        <v>0</v>
      </c>
      <c r="J35" s="1030" t="n">
        <v>0</v>
      </c>
      <c r="K35" s="1030" t="n">
        <v>0</v>
      </c>
      <c r="L35" s="493" t="n">
        <v>0</v>
      </c>
      <c r="M35" s="493" t="n">
        <v>0</v>
      </c>
      <c r="N35" s="493" t="n">
        <v>0</v>
      </c>
      <c r="O35" s="493" t="n">
        <v>880.88</v>
      </c>
      <c r="P35" s="493" t="n">
        <v>880.88</v>
      </c>
      <c r="Q35" s="1031" t="n">
        <v>0.003750006119600623</v>
      </c>
      <c r="R35" s="496" t="n">
        <v>0.01500002447840249</v>
      </c>
      <c r="S35" s="497" t="n">
        <v>880.88</v>
      </c>
      <c r="T35" s="498" t="n">
        <v>4563.32</v>
      </c>
      <c r="U35" s="499" t="n"/>
      <c r="V35" s="489">
        <f>SUM(T35:U35)</f>
        <v/>
      </c>
      <c r="W35" s="1030" t="n">
        <v>0.0194265710717645</v>
      </c>
      <c r="X35" s="490">
        <f>V35/D35</f>
        <v/>
      </c>
      <c r="Y35" s="1029" t="n"/>
      <c r="Z35" s="761" t="n">
        <v>0</v>
      </c>
      <c r="AA35" s="240" t="n"/>
      <c r="AB35" s="562" t="n"/>
    </row>
    <row r="36">
      <c r="A36" s="480" t="inlineStr">
        <is>
          <t>INV07381</t>
        </is>
      </c>
      <c r="B36" s="481" t="inlineStr">
        <is>
          <t>Bryan C. White LLC</t>
        </is>
      </c>
      <c r="C36" s="481" t="inlineStr">
        <is>
          <t>Standard</t>
        </is>
      </c>
      <c r="D36" s="482" t="n">
        <v>195750.79</v>
      </c>
      <c r="E36" s="482" t="n">
        <v>0</v>
      </c>
      <c r="F36" s="482" t="n">
        <v>0</v>
      </c>
      <c r="G36" s="482" t="n"/>
      <c r="H36" s="482" t="n"/>
      <c r="I36" s="482" t="n">
        <v>0</v>
      </c>
      <c r="J36" s="1026" t="n">
        <v>0</v>
      </c>
      <c r="K36" s="1026" t="n">
        <v>0</v>
      </c>
      <c r="L36" s="482" t="n">
        <v>0</v>
      </c>
      <c r="M36" s="482" t="n">
        <v>0</v>
      </c>
      <c r="N36" s="482" t="n">
        <v>0</v>
      </c>
      <c r="O36" s="482" t="n">
        <v>734.0700000000001</v>
      </c>
      <c r="P36" s="482" t="n">
        <v>734.0700000000001</v>
      </c>
      <c r="Q36" s="1027" t="n">
        <v>0.00375002317998308</v>
      </c>
      <c r="R36" s="500" t="n">
        <v>0.01500009271993232</v>
      </c>
      <c r="S36" s="486" t="n">
        <v>734.0700000000001</v>
      </c>
      <c r="T36" s="487" t="n">
        <v>3802.78</v>
      </c>
      <c r="U36" s="488" t="n"/>
      <c r="V36" s="489">
        <f>SUM(T36:U36)</f>
        <v/>
      </c>
      <c r="W36" s="1026" t="n">
        <v>0.01942663935098295</v>
      </c>
      <c r="X36" s="490">
        <f>V36/D36</f>
        <v/>
      </c>
      <c r="Y36" s="1029" t="n"/>
      <c r="Z36" s="761" t="n">
        <v>0</v>
      </c>
      <c r="AA36" s="240" t="n"/>
      <c r="AB36" s="562" t="n"/>
    </row>
    <row r="37">
      <c r="A37" s="491" t="inlineStr">
        <is>
          <t>INV07382</t>
        </is>
      </c>
      <c r="B37" s="492" t="inlineStr">
        <is>
          <t>Charing Hatcherville LLC</t>
        </is>
      </c>
      <c r="C37" s="492" t="inlineStr">
        <is>
          <t>Standard</t>
        </is>
      </c>
      <c r="D37" s="493" t="n">
        <v>50964145.41</v>
      </c>
      <c r="E37" s="493" t="n">
        <v>0</v>
      </c>
      <c r="F37" s="493" t="n">
        <v>0</v>
      </c>
      <c r="G37" s="493" t="n"/>
      <c r="H37" s="493" t="n"/>
      <c r="I37" s="493" t="n">
        <v>0</v>
      </c>
      <c r="J37" s="1030" t="n">
        <v>0</v>
      </c>
      <c r="K37" s="1030" t="n">
        <v>0</v>
      </c>
      <c r="L37" s="493" t="n">
        <v>0</v>
      </c>
      <c r="M37" s="493" t="n">
        <v>0</v>
      </c>
      <c r="N37" s="493" t="n">
        <v>0</v>
      </c>
      <c r="O37" s="493" t="n">
        <v>191115.55</v>
      </c>
      <c r="P37" s="493" t="n">
        <v>191115.55</v>
      </c>
      <c r="Q37" s="1031" t="n">
        <v>0.003750000092466968</v>
      </c>
      <c r="R37" s="496" t="n">
        <v>0.01500000036986787</v>
      </c>
      <c r="S37" s="497" t="n">
        <v>191115.55</v>
      </c>
      <c r="T37" s="498" t="n">
        <v>990056.28</v>
      </c>
      <c r="U37" s="499" t="n"/>
      <c r="V37" s="489">
        <f>SUM(T37:U37)</f>
        <v/>
      </c>
      <c r="W37" s="1030" t="n">
        <v>0.01942652568850364</v>
      </c>
      <c r="X37" s="490">
        <f>V37/D37</f>
        <v/>
      </c>
      <c r="Y37" s="1029" t="n"/>
      <c r="Z37" s="761" t="n">
        <v>0</v>
      </c>
      <c r="AA37" s="240" t="n"/>
      <c r="AB37" s="562" t="n"/>
    </row>
    <row r="38">
      <c r="A38" s="480" t="inlineStr">
        <is>
          <t>INV07383</t>
        </is>
      </c>
      <c r="B38" s="481" t="inlineStr">
        <is>
          <t>Chase F. Monroe</t>
        </is>
      </c>
      <c r="C38" s="481" t="inlineStr">
        <is>
          <t>Standard</t>
        </is>
      </c>
      <c r="D38" s="482" t="n">
        <v>195750.79</v>
      </c>
      <c r="E38" s="482" t="n">
        <v>0</v>
      </c>
      <c r="F38" s="482" t="n">
        <v>0</v>
      </c>
      <c r="G38" s="482" t="n"/>
      <c r="H38" s="482" t="n"/>
      <c r="I38" s="482" t="n">
        <v>0</v>
      </c>
      <c r="J38" s="1026" t="n">
        <v>0</v>
      </c>
      <c r="K38" s="1026" t="n">
        <v>0</v>
      </c>
      <c r="L38" s="482" t="n">
        <v>0</v>
      </c>
      <c r="M38" s="482" t="n">
        <v>0</v>
      </c>
      <c r="N38" s="482" t="n">
        <v>0</v>
      </c>
      <c r="O38" s="482" t="n">
        <v>734.0700000000001</v>
      </c>
      <c r="P38" s="482" t="n">
        <v>734.0700000000001</v>
      </c>
      <c r="Q38" s="1027" t="n">
        <v>0.00375002317998308</v>
      </c>
      <c r="R38" s="500" t="n">
        <v>0.01500009271993232</v>
      </c>
      <c r="S38" s="486" t="n">
        <v>734.0700000000001</v>
      </c>
      <c r="T38" s="487" t="n">
        <v>3802.78</v>
      </c>
      <c r="U38" s="488" t="n"/>
      <c r="V38" s="489">
        <f>SUM(T38:U38)</f>
        <v/>
      </c>
      <c r="W38" s="1026" t="n">
        <v>0.01942663935098295</v>
      </c>
      <c r="X38" s="490">
        <f>V38/D38</f>
        <v/>
      </c>
      <c r="Z38" s="761" t="n">
        <v>0</v>
      </c>
      <c r="AA38" s="240" t="n"/>
      <c r="AB38" s="562" t="n"/>
    </row>
    <row r="39">
      <c r="A39" s="491" t="inlineStr">
        <is>
          <t>INV07384</t>
        </is>
      </c>
      <c r="B39" s="492" t="inlineStr">
        <is>
          <t>Chris Schaaf</t>
        </is>
      </c>
      <c r="C39" s="492" t="inlineStr">
        <is>
          <t>Standard</t>
        </is>
      </c>
      <c r="D39" s="493" t="n">
        <v>195750.79</v>
      </c>
      <c r="E39" s="493" t="n">
        <v>0</v>
      </c>
      <c r="F39" s="493" t="n">
        <v>0</v>
      </c>
      <c r="G39" s="493" t="n"/>
      <c r="H39" s="493" t="n"/>
      <c r="I39" s="493" t="n">
        <v>0</v>
      </c>
      <c r="J39" s="1030" t="n">
        <v>0</v>
      </c>
      <c r="K39" s="1030" t="n">
        <v>0</v>
      </c>
      <c r="L39" s="493" t="n">
        <v>0</v>
      </c>
      <c r="M39" s="493" t="n">
        <v>0</v>
      </c>
      <c r="N39" s="493" t="n">
        <v>0</v>
      </c>
      <c r="O39" s="493" t="n">
        <v>734.0700000000001</v>
      </c>
      <c r="P39" s="493" t="n">
        <v>734.0700000000001</v>
      </c>
      <c r="Q39" s="1031" t="n">
        <v>0.00375002317998308</v>
      </c>
      <c r="R39" s="496" t="n">
        <v>0.01500009271993232</v>
      </c>
      <c r="S39" s="497" t="n">
        <v>734.0700000000001</v>
      </c>
      <c r="T39" s="498" t="n">
        <v>3802.78</v>
      </c>
      <c r="U39" s="499" t="n"/>
      <c r="V39" s="489">
        <f>SUM(T39:U39)</f>
        <v/>
      </c>
      <c r="W39" s="1030" t="n">
        <v>0.01942663935098295</v>
      </c>
      <c r="X39" s="490">
        <f>V39/D39</f>
        <v/>
      </c>
      <c r="Z39" s="761" t="n">
        <v>0</v>
      </c>
      <c r="AA39" s="240" t="n"/>
      <c r="AB39" s="562" t="n"/>
    </row>
    <row r="40">
      <c r="A40" s="480" t="inlineStr">
        <is>
          <t>INV07385</t>
        </is>
      </c>
      <c r="B40" s="481" t="inlineStr">
        <is>
          <t>Daniel Ross</t>
        </is>
      </c>
      <c r="C40" s="481" t="inlineStr">
        <is>
          <t>Standard</t>
        </is>
      </c>
      <c r="D40" s="482" t="n">
        <v>156600.63</v>
      </c>
      <c r="E40" s="482" t="n">
        <v>0</v>
      </c>
      <c r="F40" s="482" t="n">
        <v>0</v>
      </c>
      <c r="G40" s="482" t="n"/>
      <c r="H40" s="482" t="n"/>
      <c r="I40" s="482" t="n">
        <v>0</v>
      </c>
      <c r="J40" s="1026" t="n">
        <v>0</v>
      </c>
      <c r="K40" s="1026" t="n">
        <v>0</v>
      </c>
      <c r="L40" s="482" t="n">
        <v>0</v>
      </c>
      <c r="M40" s="482" t="n">
        <v>0</v>
      </c>
      <c r="N40" s="482" t="n">
        <v>0</v>
      </c>
      <c r="O40" s="482" t="n">
        <v>587.25</v>
      </c>
      <c r="P40" s="482" t="n">
        <v>587.25</v>
      </c>
      <c r="Q40" s="1027" t="n">
        <v>0.003749984913853795</v>
      </c>
      <c r="R40" s="500" t="n">
        <v>0.01499993965541518</v>
      </c>
      <c r="S40" s="486" t="n">
        <v>587.25</v>
      </c>
      <c r="T40" s="487" t="n">
        <v>3042.2</v>
      </c>
      <c r="U40" s="488" t="n"/>
      <c r="V40" s="489">
        <f>SUM(T40:U40)</f>
        <v/>
      </c>
      <c r="W40" s="1026" t="n">
        <v>0.01942648634299875</v>
      </c>
      <c r="X40" s="490">
        <f>V40/D40</f>
        <v/>
      </c>
      <c r="Z40" s="761" t="n">
        <v>0</v>
      </c>
      <c r="AA40" s="240" t="n"/>
      <c r="AB40" s="562" t="n"/>
    </row>
    <row r="41">
      <c r="A41" s="491" t="inlineStr">
        <is>
          <t>INV07386</t>
        </is>
      </c>
      <c r="B41" s="492" t="inlineStr">
        <is>
          <t>Francis Brawley</t>
        </is>
      </c>
      <c r="C41" s="492" t="inlineStr">
        <is>
          <t>Standard</t>
        </is>
      </c>
      <c r="D41" s="493" t="n">
        <v>313201.26</v>
      </c>
      <c r="E41" s="493" t="n">
        <v>0</v>
      </c>
      <c r="F41" s="493" t="n">
        <v>0</v>
      </c>
      <c r="G41" s="493" t="n"/>
      <c r="H41" s="493" t="n"/>
      <c r="I41" s="493" t="n">
        <v>0</v>
      </c>
      <c r="J41" s="1030" t="n">
        <v>0</v>
      </c>
      <c r="K41" s="1030" t="n">
        <v>0</v>
      </c>
      <c r="L41" s="493" t="n">
        <v>0</v>
      </c>
      <c r="M41" s="493" t="n">
        <v>0</v>
      </c>
      <c r="N41" s="493" t="n">
        <v>0</v>
      </c>
      <c r="O41" s="493" t="n">
        <v>1174.5</v>
      </c>
      <c r="P41" s="493" t="n">
        <v>1174.5</v>
      </c>
      <c r="Q41" s="1031" t="n">
        <v>0.003749984913853795</v>
      </c>
      <c r="R41" s="496" t="n">
        <v>0.01499993965541518</v>
      </c>
      <c r="S41" s="497" t="n">
        <v>1174.5</v>
      </c>
      <c r="T41" s="498" t="n">
        <v>6084.389999999999</v>
      </c>
      <c r="U41" s="499" t="n"/>
      <c r="V41" s="489">
        <f>SUM(T41:U41)</f>
        <v/>
      </c>
      <c r="W41" s="1030" t="n">
        <v>0.01942645441464699</v>
      </c>
      <c r="X41" s="490">
        <f>V41/D41</f>
        <v/>
      </c>
      <c r="Z41" s="761" t="n">
        <v>0</v>
      </c>
      <c r="AA41" s="240" t="n"/>
      <c r="AB41" s="562" t="n"/>
    </row>
    <row r="42">
      <c r="A42" s="480" t="inlineStr">
        <is>
          <t>INV07387</t>
        </is>
      </c>
      <c r="B42" s="481" t="inlineStr">
        <is>
          <t>Geoffrey and Elizabeth Bloomingdale Living Trust</t>
        </is>
      </c>
      <c r="C42" s="481" t="inlineStr">
        <is>
          <t>Standard</t>
        </is>
      </c>
      <c r="D42" s="482" t="n">
        <v>234900.95</v>
      </c>
      <c r="E42" s="482" t="n">
        <v>0</v>
      </c>
      <c r="F42" s="482" t="n">
        <v>0</v>
      </c>
      <c r="G42" s="482" t="n"/>
      <c r="H42" s="482" t="n"/>
      <c r="I42" s="482" t="n">
        <v>0</v>
      </c>
      <c r="J42" s="1026" t="n">
        <v>0</v>
      </c>
      <c r="K42" s="1026" t="n">
        <v>0</v>
      </c>
      <c r="L42" s="482" t="n">
        <v>0</v>
      </c>
      <c r="M42" s="482" t="n">
        <v>0</v>
      </c>
      <c r="N42" s="482" t="n">
        <v>0</v>
      </c>
      <c r="O42" s="482" t="n">
        <v>880.88</v>
      </c>
      <c r="P42" s="482" t="n">
        <v>880.88</v>
      </c>
      <c r="Q42" s="1027" t="n">
        <v>0.003750006119600623</v>
      </c>
      <c r="R42" s="500" t="n">
        <v>0.01500002447840249</v>
      </c>
      <c r="S42" s="486" t="n">
        <v>880.88</v>
      </c>
      <c r="T42" s="487" t="n">
        <v>4563.32</v>
      </c>
      <c r="U42" s="488" t="n"/>
      <c r="V42" s="489">
        <f>SUM(T42:U42)</f>
        <v/>
      </c>
      <c r="W42" s="1026" t="n">
        <v>0.0194265710717645</v>
      </c>
      <c r="X42" s="490">
        <f>V42/D42</f>
        <v/>
      </c>
      <c r="Z42" s="761" t="n">
        <v>0</v>
      </c>
      <c r="AA42" s="240" t="n"/>
      <c r="AB42" s="562" t="n"/>
    </row>
    <row r="43">
      <c r="A43" s="491" t="inlineStr">
        <is>
          <t>INV07388</t>
        </is>
      </c>
      <c r="B43" s="492" t="inlineStr">
        <is>
          <t>Gregory Brent Wood</t>
        </is>
      </c>
      <c r="C43" s="492" t="inlineStr">
        <is>
          <t>Standard</t>
        </is>
      </c>
      <c r="D43" s="493" t="n">
        <v>156600.63</v>
      </c>
      <c r="E43" s="493" t="n">
        <v>0</v>
      </c>
      <c r="F43" s="493" t="n">
        <v>0</v>
      </c>
      <c r="G43" s="493" t="n"/>
      <c r="H43" s="493" t="n"/>
      <c r="I43" s="493" t="n">
        <v>0</v>
      </c>
      <c r="J43" s="1030" t="n">
        <v>0</v>
      </c>
      <c r="K43" s="1030" t="n">
        <v>0</v>
      </c>
      <c r="L43" s="493" t="n">
        <v>0</v>
      </c>
      <c r="M43" s="493" t="n">
        <v>0</v>
      </c>
      <c r="N43" s="493" t="n">
        <v>0</v>
      </c>
      <c r="O43" s="493" t="n">
        <v>587.25</v>
      </c>
      <c r="P43" s="493" t="n">
        <v>587.25</v>
      </c>
      <c r="Q43" s="1031" t="n">
        <v>0.003749984913853795</v>
      </c>
      <c r="R43" s="496" t="n">
        <v>0.01499993965541518</v>
      </c>
      <c r="S43" s="497" t="n">
        <v>587.25</v>
      </c>
      <c r="T43" s="498" t="n">
        <v>3042.2</v>
      </c>
      <c r="U43" s="499" t="n"/>
      <c r="V43" s="489">
        <f>SUM(T43:U43)</f>
        <v/>
      </c>
      <c r="W43" s="1030" t="n">
        <v>0.01942648634299875</v>
      </c>
      <c r="X43" s="490">
        <f>V43/D43</f>
        <v/>
      </c>
      <c r="Z43" s="761" t="n">
        <v>0</v>
      </c>
      <c r="AA43" s="240" t="n"/>
      <c r="AB43" s="562" t="n"/>
    </row>
    <row r="44">
      <c r="A44" s="480" t="inlineStr">
        <is>
          <t>INV07389</t>
        </is>
      </c>
      <c r="B44" s="481" t="inlineStr">
        <is>
          <t>James and Natalie Bloomingdale</t>
        </is>
      </c>
      <c r="C44" s="481" t="inlineStr">
        <is>
          <t>Standard</t>
        </is>
      </c>
      <c r="D44" s="482" t="n">
        <v>0</v>
      </c>
      <c r="E44" s="482" t="n">
        <v>0</v>
      </c>
      <c r="F44" s="482" t="n">
        <v>0</v>
      </c>
      <c r="G44" s="482" t="n"/>
      <c r="H44" s="482" t="n"/>
      <c r="I44" s="482" t="n">
        <v>0</v>
      </c>
      <c r="J44" s="1026" t="n">
        <v>0</v>
      </c>
      <c r="K44" s="1026" t="n">
        <v>0</v>
      </c>
      <c r="L44" s="482" t="n">
        <v>0</v>
      </c>
      <c r="M44" s="482" t="n">
        <v>0</v>
      </c>
      <c r="N44" s="482" t="n">
        <v>0</v>
      </c>
      <c r="O44" s="482" t="n">
        <v>0</v>
      </c>
      <c r="P44" s="482" t="n">
        <v>0</v>
      </c>
      <c r="Q44" s="1027" t="n">
        <v>0</v>
      </c>
      <c r="R44" s="500" t="n">
        <v>0</v>
      </c>
      <c r="S44" s="486" t="n">
        <v>0</v>
      </c>
      <c r="T44" s="487" t="n">
        <v>0</v>
      </c>
      <c r="U44" s="501">
        <f>-T44</f>
        <v/>
      </c>
      <c r="V44" s="489">
        <f>SUM(T44:U44)</f>
        <v/>
      </c>
      <c r="W44" s="1026" t="n">
        <v>0</v>
      </c>
      <c r="X44" s="490" t="n">
        <v>0</v>
      </c>
      <c r="Z44" s="761" t="n">
        <v>0</v>
      </c>
      <c r="AA44" s="502" t="n"/>
      <c r="AB44" s="562" t="n"/>
    </row>
    <row r="45">
      <c r="A45" s="491" t="inlineStr">
        <is>
          <t>INV07390</t>
        </is>
      </c>
      <c r="B45" s="492" t="inlineStr">
        <is>
          <t>James Campbell and Patricia Campbell</t>
        </is>
      </c>
      <c r="C45" s="492" t="inlineStr">
        <is>
          <t>Standard</t>
        </is>
      </c>
      <c r="D45" s="493" t="n">
        <v>156600.63</v>
      </c>
      <c r="E45" s="493" t="n">
        <v>0</v>
      </c>
      <c r="F45" s="493" t="n">
        <v>0</v>
      </c>
      <c r="G45" s="493" t="n"/>
      <c r="H45" s="493" t="n"/>
      <c r="I45" s="493" t="n">
        <v>0</v>
      </c>
      <c r="J45" s="1030" t="n">
        <v>0</v>
      </c>
      <c r="K45" s="1030" t="n">
        <v>0</v>
      </c>
      <c r="L45" s="493" t="n">
        <v>0</v>
      </c>
      <c r="M45" s="493" t="n">
        <v>0</v>
      </c>
      <c r="N45" s="493" t="n">
        <v>0</v>
      </c>
      <c r="O45" s="493" t="n">
        <v>587.25</v>
      </c>
      <c r="P45" s="493" t="n">
        <v>587.25</v>
      </c>
      <c r="Q45" s="1031" t="n">
        <v>0.003749984913853795</v>
      </c>
      <c r="R45" s="496" t="n">
        <v>0.01499993965541518</v>
      </c>
      <c r="S45" s="497" t="n">
        <v>587.25</v>
      </c>
      <c r="T45" s="498" t="n">
        <v>3042.2</v>
      </c>
      <c r="U45" s="499" t="n"/>
      <c r="V45" s="489">
        <f>SUM(T45:U45)</f>
        <v/>
      </c>
      <c r="W45" s="1030" t="n">
        <v>0.01942648634299875</v>
      </c>
      <c r="X45" s="490">
        <f>V45/D45</f>
        <v/>
      </c>
      <c r="Z45" s="761" t="n">
        <v>0</v>
      </c>
      <c r="AA45" s="240" t="n"/>
      <c r="AB45" s="562" t="n"/>
    </row>
    <row r="46">
      <c r="A46" s="480" t="inlineStr">
        <is>
          <t>INV07391</t>
        </is>
      </c>
      <c r="B46" s="481" t="inlineStr">
        <is>
          <t>James Kane</t>
        </is>
      </c>
      <c r="C46" s="481" t="inlineStr">
        <is>
          <t>Standard</t>
        </is>
      </c>
      <c r="D46" s="482" t="n">
        <v>156600.63</v>
      </c>
      <c r="E46" s="482" t="n">
        <v>0</v>
      </c>
      <c r="F46" s="482" t="n">
        <v>0</v>
      </c>
      <c r="G46" s="482" t="n"/>
      <c r="H46" s="482" t="n"/>
      <c r="I46" s="482" t="n">
        <v>0</v>
      </c>
      <c r="J46" s="1026" t="n">
        <v>0</v>
      </c>
      <c r="K46" s="1026" t="n">
        <v>0</v>
      </c>
      <c r="L46" s="482" t="n">
        <v>0</v>
      </c>
      <c r="M46" s="482" t="n">
        <v>0</v>
      </c>
      <c r="N46" s="482" t="n">
        <v>0</v>
      </c>
      <c r="O46" s="482" t="n">
        <v>587.25</v>
      </c>
      <c r="P46" s="482" t="n">
        <v>587.25</v>
      </c>
      <c r="Q46" s="1027" t="n">
        <v>0.003749984913853795</v>
      </c>
      <c r="R46" s="500" t="n">
        <v>0.01499993965541518</v>
      </c>
      <c r="S46" s="486" t="n">
        <v>587.25</v>
      </c>
      <c r="T46" s="487" t="n">
        <v>3042.2</v>
      </c>
      <c r="U46" s="488" t="n"/>
      <c r="V46" s="489">
        <f>SUM(T46:U46)</f>
        <v/>
      </c>
      <c r="W46" s="1026" t="n">
        <v>0.01942648634299875</v>
      </c>
      <c r="X46" s="490">
        <f>V46/D46</f>
        <v/>
      </c>
      <c r="Z46" s="761" t="n">
        <v>0</v>
      </c>
      <c r="AA46" s="240" t="n"/>
      <c r="AB46" s="562" t="n"/>
    </row>
    <row r="47">
      <c r="A47" s="491" t="inlineStr">
        <is>
          <t>INV07392</t>
        </is>
      </c>
      <c r="B47" s="492" t="inlineStr">
        <is>
          <t>James Thorp</t>
        </is>
      </c>
      <c r="C47" s="492" t="inlineStr">
        <is>
          <t>Standard</t>
        </is>
      </c>
      <c r="D47" s="493" t="n">
        <v>195750.79</v>
      </c>
      <c r="E47" s="493" t="n">
        <v>0</v>
      </c>
      <c r="F47" s="493" t="n">
        <v>0</v>
      </c>
      <c r="G47" s="493" t="n"/>
      <c r="H47" s="493" t="n"/>
      <c r="I47" s="493" t="n">
        <v>0</v>
      </c>
      <c r="J47" s="1030" t="n">
        <v>0</v>
      </c>
      <c r="K47" s="1030" t="n">
        <v>0</v>
      </c>
      <c r="L47" s="493" t="n">
        <v>0</v>
      </c>
      <c r="M47" s="493" t="n">
        <v>0</v>
      </c>
      <c r="N47" s="493" t="n">
        <v>0</v>
      </c>
      <c r="O47" s="493" t="n">
        <v>734.0700000000001</v>
      </c>
      <c r="P47" s="493" t="n">
        <v>734.0700000000001</v>
      </c>
      <c r="Q47" s="1031" t="n">
        <v>0.00375002317998308</v>
      </c>
      <c r="R47" s="496" t="n">
        <v>0.01500009271993232</v>
      </c>
      <c r="S47" s="497" t="n">
        <v>734.0700000000001</v>
      </c>
      <c r="T47" s="498" t="n">
        <v>3802.78</v>
      </c>
      <c r="U47" s="499" t="n"/>
      <c r="V47" s="489">
        <f>SUM(T47:U47)</f>
        <v/>
      </c>
      <c r="W47" s="1030" t="n">
        <v>0.01942663935098295</v>
      </c>
      <c r="X47" s="490">
        <f>V47/D47</f>
        <v/>
      </c>
      <c r="Z47" s="761" t="n">
        <v>0</v>
      </c>
      <c r="AA47" s="240" t="n"/>
      <c r="AB47" s="562" t="n"/>
    </row>
    <row r="48">
      <c r="A48" s="480" t="inlineStr">
        <is>
          <t>INV07393</t>
        </is>
      </c>
      <c r="B48" s="481" t="inlineStr">
        <is>
          <t>Lisa Bell Trust, Elisabeth B. Bell, Trustee</t>
        </is>
      </c>
      <c r="C48" s="481" t="inlineStr">
        <is>
          <t>Standard</t>
        </is>
      </c>
      <c r="D48" s="482" t="n">
        <v>234900.95</v>
      </c>
      <c r="E48" s="482" t="n">
        <v>0</v>
      </c>
      <c r="F48" s="482" t="n">
        <v>0</v>
      </c>
      <c r="G48" s="482" t="n"/>
      <c r="H48" s="482" t="n"/>
      <c r="I48" s="482" t="n">
        <v>0</v>
      </c>
      <c r="J48" s="1026" t="n">
        <v>0</v>
      </c>
      <c r="K48" s="1026" t="n">
        <v>0</v>
      </c>
      <c r="L48" s="482" t="n">
        <v>0</v>
      </c>
      <c r="M48" s="482" t="n">
        <v>0</v>
      </c>
      <c r="N48" s="482" t="n">
        <v>0</v>
      </c>
      <c r="O48" s="482" t="n">
        <v>880.88</v>
      </c>
      <c r="P48" s="482" t="n">
        <v>880.88</v>
      </c>
      <c r="Q48" s="1027" t="n">
        <v>0.003750006119600623</v>
      </c>
      <c r="R48" s="500" t="n">
        <v>0.01500002447840249</v>
      </c>
      <c r="S48" s="486" t="n">
        <v>880.88</v>
      </c>
      <c r="T48" s="487" t="n">
        <v>4563.32</v>
      </c>
      <c r="U48" s="488" t="n"/>
      <c r="V48" s="489">
        <f>SUM(T48:U48)</f>
        <v/>
      </c>
      <c r="W48" s="1026" t="n">
        <v>0.0194265710717645</v>
      </c>
      <c r="X48" s="490">
        <f>V48/D48</f>
        <v/>
      </c>
      <c r="Z48" s="761" t="n">
        <v>0</v>
      </c>
      <c r="AA48" s="240" t="n"/>
      <c r="AB48" s="562" t="n"/>
    </row>
    <row r="49">
      <c r="A49" s="491" t="inlineStr">
        <is>
          <t>INV07394</t>
        </is>
      </c>
      <c r="B49" s="492" t="inlineStr">
        <is>
          <t>Matt McCoy</t>
        </is>
      </c>
      <c r="C49" s="492" t="inlineStr">
        <is>
          <t>Standard</t>
        </is>
      </c>
      <c r="D49" s="493" t="n">
        <v>117450.47</v>
      </c>
      <c r="E49" s="493" t="n">
        <v>0</v>
      </c>
      <c r="F49" s="493" t="n">
        <v>0</v>
      </c>
      <c r="G49" s="493" t="n"/>
      <c r="H49" s="493" t="n"/>
      <c r="I49" s="493" t="n">
        <v>0</v>
      </c>
      <c r="J49" s="1030" t="n">
        <v>0</v>
      </c>
      <c r="K49" s="1030" t="n">
        <v>0</v>
      </c>
      <c r="L49" s="493" t="n">
        <v>0</v>
      </c>
      <c r="M49" s="493" t="n">
        <v>0</v>
      </c>
      <c r="N49" s="493" t="n">
        <v>0</v>
      </c>
      <c r="O49" s="493" t="n">
        <v>440.44</v>
      </c>
      <c r="P49" s="493" t="n">
        <v>440.44</v>
      </c>
      <c r="Q49" s="1031" t="n">
        <v>0.003750006279242646</v>
      </c>
      <c r="R49" s="496" t="n">
        <v>0.01500002511697058</v>
      </c>
      <c r="S49" s="497" t="n">
        <v>440.44</v>
      </c>
      <c r="T49" s="498" t="n">
        <v>2281.65</v>
      </c>
      <c r="U49" s="499" t="n"/>
      <c r="V49" s="489">
        <f>SUM(T49:U49)</f>
        <v/>
      </c>
      <c r="W49" s="1030" t="n">
        <v>0.01942648675650255</v>
      </c>
      <c r="X49" s="490">
        <f>V49/D49</f>
        <v/>
      </c>
      <c r="Z49" s="761" t="n">
        <v>0</v>
      </c>
      <c r="AA49" s="240" t="n"/>
      <c r="AB49" s="562" t="n"/>
    </row>
    <row r="50">
      <c r="A50" s="480" t="inlineStr">
        <is>
          <t>INV07395</t>
        </is>
      </c>
      <c r="B50" s="481" t="inlineStr">
        <is>
          <t>Max O. Reinbach III</t>
        </is>
      </c>
      <c r="C50" s="481" t="inlineStr">
        <is>
          <t>Standard</t>
        </is>
      </c>
      <c r="D50" s="482" t="n">
        <v>78300.32000000001</v>
      </c>
      <c r="E50" s="482" t="n">
        <v>0</v>
      </c>
      <c r="F50" s="482" t="n">
        <v>0</v>
      </c>
      <c r="G50" s="482" t="n"/>
      <c r="H50" s="482" t="n"/>
      <c r="I50" s="482" t="n">
        <v>0</v>
      </c>
      <c r="J50" s="1026" t="n">
        <v>0</v>
      </c>
      <c r="K50" s="1026" t="n">
        <v>0</v>
      </c>
      <c r="L50" s="482" t="n">
        <v>0</v>
      </c>
      <c r="M50" s="482" t="n">
        <v>0</v>
      </c>
      <c r="N50" s="482" t="n">
        <v>0</v>
      </c>
      <c r="O50" s="482" t="n">
        <v>293.63</v>
      </c>
      <c r="P50" s="482" t="n">
        <v>293.63</v>
      </c>
      <c r="Q50" s="1027" t="n">
        <v>0.003750048531091571</v>
      </c>
      <c r="R50" s="500" t="n">
        <v>0.01500019412436628</v>
      </c>
      <c r="S50" s="486" t="n">
        <v>293.63</v>
      </c>
      <c r="T50" s="487" t="n">
        <v>1521.12</v>
      </c>
      <c r="U50" s="488" t="n"/>
      <c r="V50" s="489">
        <f>SUM(T50:U50)</f>
        <v/>
      </c>
      <c r="W50" s="1026" t="n">
        <v>0.01942674052928519</v>
      </c>
      <c r="X50" s="490">
        <f>V50/D50</f>
        <v/>
      </c>
      <c r="Z50" s="761" t="n">
        <v>0</v>
      </c>
      <c r="AA50" s="240" t="n"/>
      <c r="AB50" s="562" t="n"/>
    </row>
    <row r="51">
      <c r="A51" s="491" t="inlineStr">
        <is>
          <t>INV07396</t>
        </is>
      </c>
      <c r="B51" s="492" t="inlineStr">
        <is>
          <t>Meghann C. Robinson</t>
        </is>
      </c>
      <c r="C51" s="492" t="inlineStr">
        <is>
          <t>Standard</t>
        </is>
      </c>
      <c r="D51" s="493" t="n">
        <v>783003.16</v>
      </c>
      <c r="E51" s="493" t="n">
        <v>0</v>
      </c>
      <c r="F51" s="493" t="n">
        <v>0</v>
      </c>
      <c r="G51" s="493" t="n"/>
      <c r="H51" s="493" t="n"/>
      <c r="I51" s="493" t="n">
        <v>0</v>
      </c>
      <c r="J51" s="1030" t="n">
        <v>0</v>
      </c>
      <c r="K51" s="1030" t="n">
        <v>0</v>
      </c>
      <c r="L51" s="493" t="n">
        <v>0</v>
      </c>
      <c r="M51" s="493" t="n">
        <v>0</v>
      </c>
      <c r="N51" s="493" t="n">
        <v>0</v>
      </c>
      <c r="O51" s="493" t="n">
        <v>2936.26</v>
      </c>
      <c r="P51" s="493" t="n">
        <v>2936.26</v>
      </c>
      <c r="Q51" s="1031" t="n">
        <v>0.003749997637302</v>
      </c>
      <c r="R51" s="496" t="n">
        <v>0.014999990549208</v>
      </c>
      <c r="S51" s="497" t="n">
        <v>2936.26</v>
      </c>
      <c r="T51" s="498" t="n">
        <v>15211.03</v>
      </c>
      <c r="U51" s="499" t="n"/>
      <c r="V51" s="489">
        <f>SUM(T51:U51)</f>
        <v/>
      </c>
      <c r="W51" s="1030" t="n">
        <v>0.01942652440891809</v>
      </c>
      <c r="X51" s="490">
        <f>V51/D51</f>
        <v/>
      </c>
      <c r="Z51" s="761" t="n">
        <v>0</v>
      </c>
      <c r="AA51" s="240" t="n"/>
      <c r="AB51" s="562" t="n"/>
    </row>
    <row r="52">
      <c r="A52" s="480" t="inlineStr">
        <is>
          <t>INV07397</t>
        </is>
      </c>
      <c r="B52" s="481" t="inlineStr">
        <is>
          <t>Nahas Investments II LLC</t>
        </is>
      </c>
      <c r="C52" s="481" t="inlineStr">
        <is>
          <t>Standard</t>
        </is>
      </c>
      <c r="D52" s="482" t="n">
        <v>391501.58</v>
      </c>
      <c r="E52" s="482" t="n">
        <v>0</v>
      </c>
      <c r="F52" s="482" t="n">
        <v>0</v>
      </c>
      <c r="G52" s="482" t="n"/>
      <c r="H52" s="482" t="n"/>
      <c r="I52" s="482" t="n">
        <v>0</v>
      </c>
      <c r="J52" s="1026" t="n">
        <v>0</v>
      </c>
      <c r="K52" s="1026" t="n">
        <v>0</v>
      </c>
      <c r="L52" s="482" t="n">
        <v>0</v>
      </c>
      <c r="M52" s="482" t="n">
        <v>0</v>
      </c>
      <c r="N52" s="482" t="n">
        <v>0</v>
      </c>
      <c r="O52" s="482" t="n">
        <v>1468.13</v>
      </c>
      <c r="P52" s="482" t="n">
        <v>1468.13</v>
      </c>
      <c r="Q52" s="1027" t="n">
        <v>0.003749997637302</v>
      </c>
      <c r="R52" s="500" t="n">
        <v>0.014999990549208</v>
      </c>
      <c r="S52" s="486" t="n">
        <v>1468.13</v>
      </c>
      <c r="T52" s="487" t="n">
        <v>7605.51</v>
      </c>
      <c r="U52" s="488" t="n"/>
      <c r="V52" s="489">
        <f>SUM(T52:U52)</f>
        <v/>
      </c>
      <c r="W52" s="1026" t="n">
        <v>0.01942651163757755</v>
      </c>
      <c r="X52" s="490">
        <f>V52/D52</f>
        <v/>
      </c>
      <c r="Z52" s="761" t="n">
        <v>0</v>
      </c>
      <c r="AA52" s="240" t="n"/>
      <c r="AB52" s="562" t="n"/>
    </row>
    <row r="53">
      <c r="A53" s="491" t="inlineStr">
        <is>
          <t>INV07398</t>
        </is>
      </c>
      <c r="B53" s="492" t="inlineStr">
        <is>
          <t>Pease River Holdings LLC</t>
        </is>
      </c>
      <c r="C53" s="492" t="inlineStr">
        <is>
          <t>Standard</t>
        </is>
      </c>
      <c r="D53" s="493" t="n">
        <v>78300.32000000001</v>
      </c>
      <c r="E53" s="493" t="n">
        <v>0</v>
      </c>
      <c r="F53" s="493" t="n">
        <v>0</v>
      </c>
      <c r="G53" s="493" t="n"/>
      <c r="H53" s="493" t="n"/>
      <c r="I53" s="493" t="n">
        <v>0</v>
      </c>
      <c r="J53" s="1030" t="n">
        <v>0</v>
      </c>
      <c r="K53" s="1030" t="n">
        <v>0</v>
      </c>
      <c r="L53" s="493" t="n">
        <v>0</v>
      </c>
      <c r="M53" s="493" t="n">
        <v>0</v>
      </c>
      <c r="N53" s="493" t="n">
        <v>0</v>
      </c>
      <c r="O53" s="493" t="n">
        <v>293.63</v>
      </c>
      <c r="P53" s="493" t="n">
        <v>293.63</v>
      </c>
      <c r="Q53" s="1031" t="n">
        <v>0.003750048531091571</v>
      </c>
      <c r="R53" s="496" t="n">
        <v>0.01500019412436628</v>
      </c>
      <c r="S53" s="497" t="n">
        <v>293.63</v>
      </c>
      <c r="T53" s="498" t="n">
        <v>1521.12</v>
      </c>
      <c r="U53" s="499" t="n"/>
      <c r="V53" s="489">
        <f>SUM(T53:U53)</f>
        <v/>
      </c>
      <c r="W53" s="1030" t="n">
        <v>0.01942674052928519</v>
      </c>
      <c r="X53" s="490">
        <f>V53/D53</f>
        <v/>
      </c>
      <c r="Z53" s="761" t="n">
        <v>0</v>
      </c>
      <c r="AA53" s="240" t="n"/>
      <c r="AB53" s="562" t="n"/>
    </row>
    <row r="54">
      <c r="A54" s="480" t="inlineStr">
        <is>
          <t>INV07399</t>
        </is>
      </c>
      <c r="B54" s="481" t="inlineStr">
        <is>
          <t>Robert D. Falese III</t>
        </is>
      </c>
      <c r="C54" s="481" t="inlineStr">
        <is>
          <t>Standard</t>
        </is>
      </c>
      <c r="D54" s="482" t="n">
        <v>877590.41</v>
      </c>
      <c r="E54" s="482" t="n">
        <v>0</v>
      </c>
      <c r="F54" s="482" t="n">
        <v>0</v>
      </c>
      <c r="G54" s="482" t="n"/>
      <c r="H54" s="482" t="n"/>
      <c r="I54" s="482" t="n">
        <v>0</v>
      </c>
      <c r="J54" s="1026" t="n">
        <v>0</v>
      </c>
      <c r="K54" s="1026" t="n">
        <v>0</v>
      </c>
      <c r="L54" s="482" t="n">
        <v>0</v>
      </c>
      <c r="M54" s="482" t="n">
        <v>0</v>
      </c>
      <c r="N54" s="482" t="n">
        <v>0</v>
      </c>
      <c r="O54" s="482" t="n">
        <v>3290.96</v>
      </c>
      <c r="P54" s="482" t="n">
        <v>3290.96</v>
      </c>
      <c r="Q54" s="1027" t="n">
        <v>0.003749995399334411</v>
      </c>
      <c r="R54" s="500" t="n">
        <v>0.01499998159733765</v>
      </c>
      <c r="S54" s="486" t="n">
        <v>3290.96</v>
      </c>
      <c r="T54" s="487" t="n">
        <v>16420.62</v>
      </c>
      <c r="U54" s="488" t="n"/>
      <c r="V54" s="489">
        <f>SUM(T54:U54)</f>
        <v/>
      </c>
      <c r="W54" s="1026" t="n">
        <v>0.01871102944253914</v>
      </c>
      <c r="X54" s="490">
        <f>V54/D54</f>
        <v/>
      </c>
      <c r="Z54" s="761" t="n">
        <v>0</v>
      </c>
      <c r="AA54" s="240" t="n"/>
      <c r="AB54" s="562" t="n"/>
    </row>
    <row r="55">
      <c r="A55" s="491" t="inlineStr">
        <is>
          <t>INV07400</t>
        </is>
      </c>
      <c r="B55" s="492" t="inlineStr">
        <is>
          <t>Robert Parker Yates</t>
        </is>
      </c>
      <c r="C55" s="492" t="inlineStr">
        <is>
          <t>Standard</t>
        </is>
      </c>
      <c r="D55" s="493" t="n">
        <v>39150.16</v>
      </c>
      <c r="E55" s="493" t="n">
        <v>0</v>
      </c>
      <c r="F55" s="493" t="n">
        <v>0</v>
      </c>
      <c r="G55" s="493" t="n"/>
      <c r="H55" s="493" t="n"/>
      <c r="I55" s="493" t="n">
        <v>0</v>
      </c>
      <c r="J55" s="1030" t="n">
        <v>0</v>
      </c>
      <c r="K55" s="1030" t="n">
        <v>0</v>
      </c>
      <c r="L55" s="493" t="n">
        <v>0</v>
      </c>
      <c r="M55" s="493" t="n">
        <v>0</v>
      </c>
      <c r="N55" s="493" t="n">
        <v>0</v>
      </c>
      <c r="O55" s="493" t="n">
        <v>146.81</v>
      </c>
      <c r="P55" s="493" t="n">
        <v>146.81</v>
      </c>
      <c r="Q55" s="1031" t="n">
        <v>0.003749920817692699</v>
      </c>
      <c r="R55" s="496" t="n">
        <v>0.01499968327077079</v>
      </c>
      <c r="S55" s="497" t="n">
        <v>146.81</v>
      </c>
      <c r="T55" s="498" t="n">
        <v>760.54</v>
      </c>
      <c r="U55" s="499" t="n"/>
      <c r="V55" s="489">
        <f>SUM(T55:U55)</f>
        <v/>
      </c>
      <c r="W55" s="1030" t="n">
        <v>0.0194262296756897</v>
      </c>
      <c r="X55" s="490">
        <f>V55/D55</f>
        <v/>
      </c>
      <c r="Z55" s="761" t="n">
        <v>0</v>
      </c>
      <c r="AA55" s="240" t="n"/>
      <c r="AB55" s="562" t="n"/>
    </row>
    <row r="56">
      <c r="A56" s="480" t="inlineStr">
        <is>
          <t>INV07401</t>
        </is>
      </c>
      <c r="B56" s="481" t="inlineStr">
        <is>
          <t>Stewart Tate</t>
        </is>
      </c>
      <c r="C56" s="481" t="inlineStr">
        <is>
          <t>Standard</t>
        </is>
      </c>
      <c r="D56" s="482" t="n">
        <v>523296.86</v>
      </c>
      <c r="E56" s="482" t="n">
        <v>0</v>
      </c>
      <c r="F56" s="482" t="n">
        <v>0</v>
      </c>
      <c r="G56" s="482" t="n"/>
      <c r="H56" s="482" t="n"/>
      <c r="I56" s="482" t="n">
        <v>0</v>
      </c>
      <c r="J56" s="1026" t="n">
        <v>0</v>
      </c>
      <c r="K56" s="1026" t="n">
        <v>0</v>
      </c>
      <c r="L56" s="482" t="n">
        <v>0</v>
      </c>
      <c r="M56" s="482" t="n">
        <v>0</v>
      </c>
      <c r="N56" s="482" t="n">
        <v>0</v>
      </c>
      <c r="O56" s="482" t="n">
        <v>1962.36</v>
      </c>
      <c r="P56" s="482" t="n">
        <v>1962.36</v>
      </c>
      <c r="Q56" s="1027" t="n">
        <v>0.003749993837150102</v>
      </c>
      <c r="R56" s="500" t="n">
        <v>0.01499997534860041</v>
      </c>
      <c r="S56" s="486" t="n">
        <v>1962.36</v>
      </c>
      <c r="T56" s="487" t="n">
        <v>9914.67</v>
      </c>
      <c r="U56" s="488" t="n"/>
      <c r="V56" s="489">
        <f>SUM(T56:U56)</f>
        <v/>
      </c>
      <c r="W56" s="1026" t="n">
        <v>0.0189465497652709</v>
      </c>
      <c r="X56" s="490">
        <f>V56/D56</f>
        <v/>
      </c>
      <c r="Z56" s="761" t="n">
        <v>0</v>
      </c>
      <c r="AA56" s="240" t="n"/>
      <c r="AB56" s="562" t="n"/>
    </row>
    <row r="57">
      <c r="A57" s="491" t="inlineStr">
        <is>
          <t>INV07402</t>
        </is>
      </c>
      <c r="B57" s="492" t="inlineStr">
        <is>
          <t>TC Wilson Family Trust</t>
        </is>
      </c>
      <c r="C57" s="492" t="inlineStr">
        <is>
          <t>Standard</t>
        </is>
      </c>
      <c r="D57" s="493" t="n">
        <v>156600.63</v>
      </c>
      <c r="E57" s="493" t="n">
        <v>0</v>
      </c>
      <c r="F57" s="493" t="n">
        <v>0</v>
      </c>
      <c r="G57" s="493" t="n"/>
      <c r="H57" s="493" t="n"/>
      <c r="I57" s="493" t="n">
        <v>0</v>
      </c>
      <c r="J57" s="1030" t="n">
        <v>0</v>
      </c>
      <c r="K57" s="1030" t="n">
        <v>0</v>
      </c>
      <c r="L57" s="493" t="n">
        <v>0</v>
      </c>
      <c r="M57" s="493" t="n">
        <v>0</v>
      </c>
      <c r="N57" s="493" t="n">
        <v>0</v>
      </c>
      <c r="O57" s="493" t="n">
        <v>587.25</v>
      </c>
      <c r="P57" s="493" t="n">
        <v>587.25</v>
      </c>
      <c r="Q57" s="1031" t="n">
        <v>0.003749984913853795</v>
      </c>
      <c r="R57" s="496" t="n">
        <v>0.01499993965541518</v>
      </c>
      <c r="S57" s="497" t="n">
        <v>587.25</v>
      </c>
      <c r="T57" s="498" t="n">
        <v>3042.2</v>
      </c>
      <c r="U57" s="499" t="n"/>
      <c r="V57" s="489">
        <f>SUM(T57:U57)</f>
        <v/>
      </c>
      <c r="W57" s="1030" t="n">
        <v>0.01942648634299875</v>
      </c>
      <c r="X57" s="490">
        <f>V57/D57</f>
        <v/>
      </c>
      <c r="Z57" s="761" t="n">
        <v>0</v>
      </c>
      <c r="AA57" s="240" t="n"/>
      <c r="AB57" s="562" t="n"/>
    </row>
    <row r="58">
      <c r="A58" s="480" t="inlineStr">
        <is>
          <t>INV07403</t>
        </is>
      </c>
      <c r="B58" s="481" t="inlineStr">
        <is>
          <t>Wilson Family Trust DTD 3-6-1987</t>
        </is>
      </c>
      <c r="C58" s="481" t="inlineStr">
        <is>
          <t>Standard</t>
        </is>
      </c>
      <c r="D58" s="482" t="n">
        <v>313201.26</v>
      </c>
      <c r="E58" s="482" t="n">
        <v>0</v>
      </c>
      <c r="F58" s="482" t="n">
        <v>0</v>
      </c>
      <c r="G58" s="482" t="n"/>
      <c r="H58" s="482" t="n"/>
      <c r="I58" s="482" t="n">
        <v>0</v>
      </c>
      <c r="J58" s="1026" t="n">
        <v>0</v>
      </c>
      <c r="K58" s="1026" t="n">
        <v>0</v>
      </c>
      <c r="L58" s="482" t="n">
        <v>0</v>
      </c>
      <c r="M58" s="482" t="n">
        <v>0</v>
      </c>
      <c r="N58" s="482" t="n">
        <v>0</v>
      </c>
      <c r="O58" s="482" t="n">
        <v>1174.5</v>
      </c>
      <c r="P58" s="482" t="n">
        <v>1174.5</v>
      </c>
      <c r="Q58" s="1027" t="n">
        <v>0.003749984913853795</v>
      </c>
      <c r="R58" s="500" t="n">
        <v>0.01499993965541518</v>
      </c>
      <c r="S58" s="486" t="n">
        <v>1174.5</v>
      </c>
      <c r="T58" s="487" t="n">
        <v>6084.389999999999</v>
      </c>
      <c r="U58" s="488" t="n"/>
      <c r="V58" s="489">
        <f>SUM(T58:U58)</f>
        <v/>
      </c>
      <c r="W58" s="1026" t="n">
        <v>0.01942645441464699</v>
      </c>
      <c r="X58" s="490">
        <f>V58/D58</f>
        <v/>
      </c>
      <c r="Z58" s="761" t="n">
        <v>0</v>
      </c>
      <c r="AA58" s="240" t="n"/>
      <c r="AB58" s="562" t="n"/>
    </row>
    <row r="59">
      <c r="A59" s="491" t="inlineStr">
        <is>
          <t>INV07404</t>
        </is>
      </c>
      <c r="B59" s="492" t="inlineStr">
        <is>
          <t>Wilson GST Exempt Trust</t>
        </is>
      </c>
      <c r="C59" s="492" t="inlineStr">
        <is>
          <t>Standard</t>
        </is>
      </c>
      <c r="D59" s="493" t="n">
        <v>313201.26</v>
      </c>
      <c r="E59" s="493" t="n">
        <v>0</v>
      </c>
      <c r="F59" s="493" t="n">
        <v>0</v>
      </c>
      <c r="G59" s="493" t="n"/>
      <c r="H59" s="493" t="n"/>
      <c r="I59" s="493" t="n">
        <v>0</v>
      </c>
      <c r="J59" s="1030" t="n">
        <v>0</v>
      </c>
      <c r="K59" s="1030" t="n">
        <v>0</v>
      </c>
      <c r="L59" s="493" t="n">
        <v>0</v>
      </c>
      <c r="M59" s="493" t="n">
        <v>0</v>
      </c>
      <c r="N59" s="493" t="n">
        <v>0</v>
      </c>
      <c r="O59" s="493" t="n">
        <v>1174.5</v>
      </c>
      <c r="P59" s="493" t="n">
        <v>1174.5</v>
      </c>
      <c r="Q59" s="1031" t="n">
        <v>0.003749984913853795</v>
      </c>
      <c r="R59" s="496" t="n">
        <v>0.01499993965541518</v>
      </c>
      <c r="S59" s="497" t="n">
        <v>1174.5</v>
      </c>
      <c r="T59" s="498" t="n">
        <v>6084.389999999999</v>
      </c>
      <c r="U59" s="499" t="n"/>
      <c r="V59" s="489">
        <f>SUM(T59:U59)</f>
        <v/>
      </c>
      <c r="W59" s="1030" t="n">
        <v>0.01942645441464699</v>
      </c>
      <c r="X59" s="490">
        <f>V59/D59</f>
        <v/>
      </c>
      <c r="Z59" s="761" t="n">
        <v>0</v>
      </c>
      <c r="AA59" s="240" t="n"/>
      <c r="AB59" s="562" t="n"/>
    </row>
    <row r="60">
      <c r="A60" s="480" t="inlineStr">
        <is>
          <t>INV07405</t>
        </is>
      </c>
      <c r="B60" s="481" t="inlineStr">
        <is>
          <t>Charing Silsbee, LLC</t>
        </is>
      </c>
      <c r="C60" s="481" t="inlineStr">
        <is>
          <t>Standard</t>
        </is>
      </c>
      <c r="D60" s="482" t="n">
        <v>6326173.38</v>
      </c>
      <c r="E60" s="482" t="n">
        <v>0</v>
      </c>
      <c r="F60" s="482" t="n">
        <v>0</v>
      </c>
      <c r="G60" s="482" t="n"/>
      <c r="H60" s="482" t="n"/>
      <c r="I60" s="482" t="n">
        <v>0</v>
      </c>
      <c r="J60" s="1026" t="n">
        <v>0</v>
      </c>
      <c r="K60" s="1026" t="n">
        <v>0</v>
      </c>
      <c r="L60" s="482" t="n">
        <v>0</v>
      </c>
      <c r="M60" s="482" t="n">
        <v>0</v>
      </c>
      <c r="N60" s="482" t="n">
        <v>0</v>
      </c>
      <c r="O60" s="482" t="n">
        <v>23723.15</v>
      </c>
      <c r="P60" s="482" t="n">
        <v>23723.15</v>
      </c>
      <c r="Q60" s="1027" t="n">
        <v>0.003749999972337148</v>
      </c>
      <c r="R60" s="500" t="n">
        <v>0.01499999988934859</v>
      </c>
      <c r="S60" s="486" t="n">
        <v>23723.15</v>
      </c>
      <c r="T60" s="487" t="n">
        <v>110840.04</v>
      </c>
      <c r="U60" s="488" t="n"/>
      <c r="V60" s="489">
        <f>SUM(T60:U60)</f>
        <v/>
      </c>
      <c r="W60" s="1026" t="n">
        <v>0.01752086661905558</v>
      </c>
      <c r="X60" s="490">
        <f>V60/D60</f>
        <v/>
      </c>
      <c r="Z60" s="761" t="n">
        <v>0</v>
      </c>
      <c r="AA60" s="240" t="n"/>
      <c r="AB60" s="562" t="n"/>
    </row>
    <row r="61">
      <c r="A61" s="491" t="inlineStr">
        <is>
          <t>INV07407</t>
        </is>
      </c>
      <c r="B61" s="492" t="inlineStr">
        <is>
          <t>PT Burros, LLC</t>
        </is>
      </c>
      <c r="C61" s="492" t="inlineStr">
        <is>
          <t>Standard</t>
        </is>
      </c>
      <c r="D61" s="493" t="n">
        <v>329488.2</v>
      </c>
      <c r="E61" s="493" t="n">
        <v>0</v>
      </c>
      <c r="F61" s="493" t="n">
        <v>0</v>
      </c>
      <c r="G61" s="493" t="n"/>
      <c r="H61" s="493" t="n"/>
      <c r="I61" s="493" t="n">
        <v>0</v>
      </c>
      <c r="J61" s="1030" t="n">
        <v>0</v>
      </c>
      <c r="K61" s="1030" t="n">
        <v>0</v>
      </c>
      <c r="L61" s="493" t="n">
        <v>0</v>
      </c>
      <c r="M61" s="493" t="n">
        <v>0</v>
      </c>
      <c r="N61" s="493" t="n">
        <v>0</v>
      </c>
      <c r="O61" s="493" t="n">
        <v>1235.58</v>
      </c>
      <c r="P61" s="493" t="n">
        <v>1235.58</v>
      </c>
      <c r="Q61" s="1031" t="n">
        <v>0.003749997723742458</v>
      </c>
      <c r="R61" s="496" t="n">
        <v>0.01499999089496983</v>
      </c>
      <c r="S61" s="497" t="n">
        <v>1235.58</v>
      </c>
      <c r="T61" s="498" t="n">
        <v>5772.91</v>
      </c>
      <c r="U61" s="499" t="n"/>
      <c r="V61" s="489">
        <f>SUM(T61:U61)</f>
        <v/>
      </c>
      <c r="W61" s="1030" t="n">
        <v>0.01752083989654258</v>
      </c>
      <c r="X61" s="490">
        <f>V61/D61</f>
        <v/>
      </c>
      <c r="Z61" s="761" t="n">
        <v>0</v>
      </c>
      <c r="AA61" s="240" t="n"/>
      <c r="AB61" s="562" t="n"/>
    </row>
    <row r="62">
      <c r="A62" s="480" t="inlineStr">
        <is>
          <t>INV07491</t>
        </is>
      </c>
      <c r="B62" s="481" t="inlineStr">
        <is>
          <t>Legacy Knight Strategic Opportunities Fund LLC - CL Rail Series</t>
        </is>
      </c>
      <c r="C62" s="481" t="inlineStr">
        <is>
          <t>Standard</t>
        </is>
      </c>
      <c r="D62" s="482" t="n">
        <v>10000000</v>
      </c>
      <c r="E62" s="482" t="n">
        <v>0</v>
      </c>
      <c r="F62" s="482" t="n">
        <v>0</v>
      </c>
      <c r="G62" s="482" t="n"/>
      <c r="H62" s="482" t="n"/>
      <c r="I62" s="482" t="n">
        <v>0</v>
      </c>
      <c r="J62" s="1026" t="n">
        <v>0</v>
      </c>
      <c r="K62" s="1026" t="n">
        <v>0</v>
      </c>
      <c r="L62" s="482" t="n">
        <v>0</v>
      </c>
      <c r="M62" s="482" t="n">
        <v>0</v>
      </c>
      <c r="N62" s="482" t="n">
        <v>0</v>
      </c>
      <c r="O62" s="482" t="n">
        <v>37500</v>
      </c>
      <c r="P62" s="482" t="n">
        <v>37500</v>
      </c>
      <c r="Q62" s="1027" t="n">
        <v>0.00375</v>
      </c>
      <c r="R62" s="500" t="n">
        <v>0.015</v>
      </c>
      <c r="S62" s="486" t="n">
        <v>37500</v>
      </c>
      <c r="T62" s="487" t="n">
        <v>295516.3</v>
      </c>
      <c r="U62" s="488" t="n"/>
      <c r="V62" s="489">
        <f>SUM(T62:U62)</f>
        <v/>
      </c>
      <c r="W62" s="1026" t="n">
        <v>0.02955163</v>
      </c>
      <c r="X62" s="490">
        <f>V62/D62</f>
        <v/>
      </c>
      <c r="Z62" s="761" t="n">
        <v>0</v>
      </c>
      <c r="AA62" s="240" t="n"/>
      <c r="AB62" s="562" t="n"/>
    </row>
    <row r="63">
      <c r="A63" s="491" t="inlineStr">
        <is>
          <t>INV08434</t>
        </is>
      </c>
      <c r="B63" s="492" t="inlineStr">
        <is>
          <t>Argos Holdings, LLC</t>
        </is>
      </c>
      <c r="C63" s="492" t="inlineStr">
        <is>
          <t>Standard</t>
        </is>
      </c>
      <c r="D63" s="493" t="n">
        <v>391501.58</v>
      </c>
      <c r="E63" s="493" t="n">
        <v>0</v>
      </c>
      <c r="F63" s="493" t="n">
        <v>0</v>
      </c>
      <c r="G63" s="493" t="n"/>
      <c r="H63" s="493" t="n"/>
      <c r="I63" s="493" t="n">
        <v>0</v>
      </c>
      <c r="J63" s="1030" t="n">
        <v>0</v>
      </c>
      <c r="K63" s="1030" t="n">
        <v>0</v>
      </c>
      <c r="L63" s="493" t="n">
        <v>0</v>
      </c>
      <c r="M63" s="493" t="n">
        <v>0</v>
      </c>
      <c r="N63" s="493" t="n">
        <v>0</v>
      </c>
      <c r="O63" s="493" t="n">
        <v>1468.13</v>
      </c>
      <c r="P63" s="493" t="n">
        <v>1468.13</v>
      </c>
      <c r="Q63" s="1031" t="n">
        <v>0.003749997637302</v>
      </c>
      <c r="R63" s="496" t="n">
        <v>0.014999990549208</v>
      </c>
      <c r="S63" s="497" t="n">
        <v>1468.13</v>
      </c>
      <c r="T63" s="498" t="n">
        <v>7605.51</v>
      </c>
      <c r="U63" s="503">
        <f>-U44</f>
        <v/>
      </c>
      <c r="V63" s="489">
        <f>SUM(T63:U63)</f>
        <v/>
      </c>
      <c r="W63" s="1030" t="n">
        <v>0.01942651163757755</v>
      </c>
      <c r="X63" s="490">
        <f>V63/D63</f>
        <v/>
      </c>
      <c r="Z63" s="761" t="n">
        <v>0</v>
      </c>
      <c r="AA63" s="502" t="n"/>
      <c r="AB63" s="562" t="n"/>
    </row>
    <row r="64">
      <c r="A64" s="480" t="n"/>
      <c r="B64" s="481" t="inlineStr">
        <is>
          <t>Texas Emerging Managers Private Markets Program, L.P. (2025-1 RE Investment Series)</t>
        </is>
      </c>
      <c r="C64" s="481" t="inlineStr">
        <is>
          <t>GCM</t>
        </is>
      </c>
      <c r="D64" s="482" t="n">
        <v>5000000</v>
      </c>
      <c r="E64" s="482" t="n">
        <v>0</v>
      </c>
      <c r="F64" s="482" t="n">
        <v>0</v>
      </c>
      <c r="G64" s="482" t="n"/>
      <c r="H64" s="482" t="n"/>
      <c r="I64" s="482" t="n">
        <v>0</v>
      </c>
      <c r="J64" s="1026" t="n">
        <v>0.1052631578947368</v>
      </c>
      <c r="K64" s="1026" t="n">
        <v>0</v>
      </c>
      <c r="L64" s="482" t="n">
        <v>12500</v>
      </c>
      <c r="M64" s="482" t="n">
        <v>0</v>
      </c>
      <c r="N64" s="482" t="n">
        <v>0</v>
      </c>
      <c r="O64" s="482" t="n">
        <v>0</v>
      </c>
      <c r="P64" s="482" t="n">
        <v>12500</v>
      </c>
      <c r="Q64" s="1027" t="n">
        <v>0.0025</v>
      </c>
      <c r="R64" s="500" t="n">
        <v>0.01</v>
      </c>
      <c r="S64" s="486" t="n">
        <v>12500</v>
      </c>
      <c r="T64" s="487" t="n">
        <v>98505.43478260869</v>
      </c>
      <c r="U64" s="488" t="n"/>
      <c r="V64" s="489">
        <f>SUM(T64:U64)</f>
        <v/>
      </c>
      <c r="W64" s="1026" t="n">
        <v>0.01970108695652174</v>
      </c>
      <c r="X64" s="490">
        <f>V64/D64</f>
        <v/>
      </c>
      <c r="Z64" s="761" t="n">
        <v>0</v>
      </c>
      <c r="AA64" s="240" t="n"/>
      <c r="AB64" s="562" t="n"/>
    </row>
    <row r="65">
      <c r="A65" s="491" t="n"/>
      <c r="B65" s="492" t="inlineStr">
        <is>
          <t>GCM Grosvenor NJ RE Emerging Managers Program, LP (2023-1 Investment Series)</t>
        </is>
      </c>
      <c r="C65" s="492" t="inlineStr">
        <is>
          <t>GCM</t>
        </is>
      </c>
      <c r="D65" s="493" t="n">
        <v>7500000</v>
      </c>
      <c r="E65" s="493" t="n">
        <v>0</v>
      </c>
      <c r="F65" s="493" t="n">
        <v>0</v>
      </c>
      <c r="G65" s="493" t="n"/>
      <c r="H65" s="493" t="n"/>
      <c r="I65" s="493" t="n">
        <v>0</v>
      </c>
      <c r="J65" s="1030" t="n">
        <v>0.1578947368421053</v>
      </c>
      <c r="K65" s="1030" t="n">
        <v>0</v>
      </c>
      <c r="L65" s="493" t="n">
        <v>18750</v>
      </c>
      <c r="M65" s="493" t="n">
        <v>0</v>
      </c>
      <c r="N65" s="493" t="n">
        <v>0</v>
      </c>
      <c r="O65" s="493" t="n">
        <v>0</v>
      </c>
      <c r="P65" s="493" t="n">
        <v>18750</v>
      </c>
      <c r="Q65" s="1031" t="n">
        <v>0.0025</v>
      </c>
      <c r="R65" s="496" t="n">
        <v>0.01</v>
      </c>
      <c r="S65" s="497" t="n">
        <v>18750</v>
      </c>
      <c r="T65" s="498" t="n">
        <v>147758.152173913</v>
      </c>
      <c r="U65" s="499" t="n"/>
      <c r="V65" s="489">
        <f>SUM(T65:U65)</f>
        <v/>
      </c>
      <c r="W65" s="1030" t="n">
        <v>0.01970108695652174</v>
      </c>
      <c r="X65" s="490">
        <f>V65/D65</f>
        <v/>
      </c>
      <c r="Z65" s="761" t="n">
        <v>0</v>
      </c>
      <c r="AA65" s="240" t="n"/>
      <c r="AB65" s="562" t="n"/>
    </row>
    <row r="66">
      <c r="A66" s="480" t="n"/>
      <c r="B66" s="481" t="inlineStr">
        <is>
          <t>GCM Grosvenor - NYSTRS Real Estate Investment Partners, L.P. (2024-1 Series)</t>
        </is>
      </c>
      <c r="C66" s="481" t="inlineStr">
        <is>
          <t>GCM</t>
        </is>
      </c>
      <c r="D66" s="482" t="n">
        <v>5000000</v>
      </c>
      <c r="E66" s="482" t="n">
        <v>0</v>
      </c>
      <c r="F66" s="482" t="n">
        <v>0</v>
      </c>
      <c r="G66" s="482" t="n"/>
      <c r="H66" s="482" t="n"/>
      <c r="I66" s="482" t="n">
        <v>0</v>
      </c>
      <c r="J66" s="1026" t="n">
        <v>0.1052631578947368</v>
      </c>
      <c r="K66" s="1026" t="n">
        <v>0</v>
      </c>
      <c r="L66" s="482" t="n">
        <v>12500</v>
      </c>
      <c r="M66" s="482" t="n">
        <v>0</v>
      </c>
      <c r="N66" s="482" t="n">
        <v>0</v>
      </c>
      <c r="O66" s="482" t="n">
        <v>0</v>
      </c>
      <c r="P66" s="482" t="n">
        <v>12500</v>
      </c>
      <c r="Q66" s="1027" t="n">
        <v>0.0025</v>
      </c>
      <c r="R66" s="500" t="n">
        <v>0.01</v>
      </c>
      <c r="S66" s="486" t="n">
        <v>12500</v>
      </c>
      <c r="T66" s="487" t="n">
        <v>98505.43478260869</v>
      </c>
      <c r="U66" s="488" t="n"/>
      <c r="V66" s="489">
        <f>SUM(T66:U66)</f>
        <v/>
      </c>
      <c r="W66" s="1026" t="n">
        <v>0.01970108695652174</v>
      </c>
      <c r="X66" s="490">
        <f>V66/D66</f>
        <v/>
      </c>
      <c r="Z66" s="761" t="n">
        <v>0</v>
      </c>
      <c r="AA66" s="240" t="n"/>
      <c r="AB66" s="562" t="n"/>
    </row>
    <row r="67">
      <c r="A67" s="491" t="n"/>
      <c r="B67" s="492" t="inlineStr">
        <is>
          <t>CRPTF-GCM Middle-Market RE Partnership, L.P. (2025-01 Investment Series)</t>
        </is>
      </c>
      <c r="C67" s="492" t="inlineStr">
        <is>
          <t>GCM</t>
        </is>
      </c>
      <c r="D67" s="493" t="n">
        <v>30000000</v>
      </c>
      <c r="E67" s="493" t="n">
        <v>0</v>
      </c>
      <c r="F67" s="493" t="n">
        <v>0</v>
      </c>
      <c r="G67" s="493" t="n"/>
      <c r="H67" s="493" t="n"/>
      <c r="I67" s="493" t="n">
        <v>0</v>
      </c>
      <c r="J67" s="1030" t="n">
        <v>0.631578947368421</v>
      </c>
      <c r="K67" s="1030" t="n">
        <v>0</v>
      </c>
      <c r="L67" s="493" t="n">
        <v>75000</v>
      </c>
      <c r="M67" s="493" t="n">
        <v>0</v>
      </c>
      <c r="N67" s="493" t="n">
        <v>0</v>
      </c>
      <c r="O67" s="493" t="n">
        <v>0</v>
      </c>
      <c r="P67" s="493" t="n">
        <v>75000</v>
      </c>
      <c r="Q67" s="1031" t="n">
        <v>0.0025</v>
      </c>
      <c r="R67" s="496" t="n">
        <v>0.01</v>
      </c>
      <c r="S67" s="497" t="n">
        <v>75000</v>
      </c>
      <c r="T67" s="498" t="n">
        <v>591032.6086956521</v>
      </c>
      <c r="U67" s="499" t="n"/>
      <c r="V67" s="489">
        <f>SUM(T67:U67)</f>
        <v/>
      </c>
      <c r="W67" s="1030" t="n">
        <v>0.01970108695652174</v>
      </c>
      <c r="X67" s="490">
        <f>V67/D67</f>
        <v/>
      </c>
      <c r="Z67" s="761" t="n">
        <v>0</v>
      </c>
      <c r="AA67" s="240" t="n"/>
      <c r="AB67" s="562" t="n"/>
    </row>
    <row r="68">
      <c r="A68" s="480" t="inlineStr">
        <is>
          <t>INV06168</t>
        </is>
      </c>
      <c r="B68" s="481" t="inlineStr">
        <is>
          <t>Odyssey Holdings, LLC</t>
        </is>
      </c>
      <c r="C68" s="481" t="inlineStr">
        <is>
          <t>Affiliated LP</t>
        </is>
      </c>
      <c r="D68" s="482" t="n">
        <v>1189247.910000001</v>
      </c>
      <c r="E68" s="482" t="n">
        <v>0</v>
      </c>
      <c r="F68" s="482" t="n">
        <v>0</v>
      </c>
      <c r="G68" s="482" t="n"/>
      <c r="H68" s="482" t="n"/>
      <c r="I68" s="482" t="n">
        <v>0</v>
      </c>
      <c r="J68" s="1026" t="n">
        <v>0</v>
      </c>
      <c r="K68" s="1026" t="n">
        <v>0</v>
      </c>
      <c r="L68" s="482" t="n">
        <v>0</v>
      </c>
      <c r="M68" s="482" t="n">
        <v>0</v>
      </c>
      <c r="N68" s="482" t="n">
        <v>0</v>
      </c>
      <c r="O68" s="482" t="n">
        <v>0</v>
      </c>
      <c r="P68" s="482" t="n">
        <v>0</v>
      </c>
      <c r="Q68" s="1027" t="n">
        <v>0</v>
      </c>
      <c r="R68" s="500" t="n">
        <v>0</v>
      </c>
      <c r="S68" s="486" t="n">
        <v>0</v>
      </c>
      <c r="T68" s="487" t="n">
        <v>0</v>
      </c>
      <c r="U68" s="488" t="n"/>
      <c r="V68" s="489">
        <f>SUM(T68:U68)</f>
        <v/>
      </c>
      <c r="W68" s="1026" t="n">
        <v>0</v>
      </c>
      <c r="X68" s="490">
        <f>V68/D68</f>
        <v/>
      </c>
      <c r="Z68" s="761" t="n">
        <v>0</v>
      </c>
      <c r="AA68" s="240" t="n"/>
      <c r="AB68" s="562" t="n"/>
    </row>
    <row r="69">
      <c r="A69" s="491" t="inlineStr">
        <is>
          <t>INV07416</t>
        </is>
      </c>
      <c r="B69" s="492" t="inlineStr">
        <is>
          <t>CLR Silsbee Sponsor LLC</t>
        </is>
      </c>
      <c r="C69" s="492" t="inlineStr">
        <is>
          <t>Affiliated LP</t>
        </is>
      </c>
      <c r="D69" s="493" t="n">
        <v>369576.65</v>
      </c>
      <c r="E69" s="493" t="n">
        <v>0</v>
      </c>
      <c r="F69" s="493" t="n">
        <v>0</v>
      </c>
      <c r="G69" s="493" t="n"/>
      <c r="H69" s="493" t="n"/>
      <c r="I69" s="493" t="n">
        <v>0</v>
      </c>
      <c r="J69" s="1030" t="n">
        <v>0</v>
      </c>
      <c r="K69" s="1030" t="n">
        <v>0</v>
      </c>
      <c r="L69" s="493" t="n">
        <v>0</v>
      </c>
      <c r="M69" s="493" t="n">
        <v>0</v>
      </c>
      <c r="N69" s="493" t="n">
        <v>0</v>
      </c>
      <c r="O69" s="493" t="n">
        <v>0</v>
      </c>
      <c r="P69" s="493" t="n">
        <v>0</v>
      </c>
      <c r="Q69" s="1031" t="n">
        <v>0</v>
      </c>
      <c r="R69" s="496" t="n">
        <v>0</v>
      </c>
      <c r="S69" s="497" t="n">
        <v>0</v>
      </c>
      <c r="T69" s="498" t="n">
        <v>0</v>
      </c>
      <c r="U69" s="499" t="n"/>
      <c r="V69" s="489">
        <f>SUM(T69:U69)</f>
        <v/>
      </c>
      <c r="W69" s="1030" t="n">
        <v>0</v>
      </c>
      <c r="X69" s="490">
        <f>V69/D69</f>
        <v/>
      </c>
      <c r="Z69" s="761" t="n">
        <v>0</v>
      </c>
      <c r="AA69" s="240" t="n"/>
      <c r="AB69" s="562" t="n"/>
    </row>
    <row r="70">
      <c r="A70" s="480" t="inlineStr">
        <is>
          <t>INV07417</t>
        </is>
      </c>
      <c r="B70" s="481" t="inlineStr">
        <is>
          <t>CLIP Sponsor LLC</t>
        </is>
      </c>
      <c r="C70" s="481" t="inlineStr">
        <is>
          <t>Affiliated LP</t>
        </is>
      </c>
      <c r="D70" s="482" t="n">
        <v>4802554.5</v>
      </c>
      <c r="E70" s="482" t="n">
        <v>0</v>
      </c>
      <c r="F70" s="482" t="n">
        <v>0</v>
      </c>
      <c r="G70" s="482" t="n"/>
      <c r="H70" s="482" t="n"/>
      <c r="I70" s="482" t="n">
        <v>0</v>
      </c>
      <c r="J70" s="1026" t="n">
        <v>0</v>
      </c>
      <c r="K70" s="1026" t="n">
        <v>0</v>
      </c>
      <c r="L70" s="482" t="n">
        <v>0</v>
      </c>
      <c r="M70" s="482" t="n">
        <v>0</v>
      </c>
      <c r="N70" s="482" t="n">
        <v>0</v>
      </c>
      <c r="O70" s="482" t="n">
        <v>0</v>
      </c>
      <c r="P70" s="482" t="n">
        <v>0</v>
      </c>
      <c r="Q70" s="1027" t="n">
        <v>0</v>
      </c>
      <c r="R70" s="500" t="n">
        <v>0</v>
      </c>
      <c r="S70" s="486" t="n">
        <v>0</v>
      </c>
      <c r="T70" s="487" t="n">
        <v>0</v>
      </c>
      <c r="U70" s="488" t="n"/>
      <c r="V70" s="489">
        <f>SUM(T70:U70)</f>
        <v/>
      </c>
      <c r="W70" s="1026" t="n">
        <v>0</v>
      </c>
      <c r="X70" s="490">
        <f>V70/D70</f>
        <v/>
      </c>
      <c r="Z70" s="761" t="n">
        <v>0</v>
      </c>
      <c r="AA70" s="240" t="n"/>
      <c r="AB70" s="562" t="n"/>
    </row>
    <row r="71">
      <c r="A71" s="491" t="inlineStr">
        <is>
          <t>INV06167</t>
        </is>
      </c>
      <c r="B71" s="492" t="inlineStr">
        <is>
          <t>University of Southern California</t>
        </is>
      </c>
      <c r="C71" s="492" t="inlineStr">
        <is>
          <t>USC</t>
        </is>
      </c>
      <c r="D71" s="493" t="n">
        <v>20000000</v>
      </c>
      <c r="E71" s="493" t="n">
        <v>0</v>
      </c>
      <c r="F71" s="493" t="n">
        <v>0</v>
      </c>
      <c r="G71" s="493" t="n"/>
      <c r="H71" s="493" t="n"/>
      <c r="I71" s="493" t="n">
        <v>0</v>
      </c>
      <c r="J71" s="1030" t="n">
        <v>0</v>
      </c>
      <c r="K71" s="1030" t="n">
        <v>0</v>
      </c>
      <c r="L71" s="493" t="n">
        <v>0</v>
      </c>
      <c r="M71" s="493" t="n">
        <v>0</v>
      </c>
      <c r="N71" s="493" t="n">
        <v>75000</v>
      </c>
      <c r="O71" s="493" t="n">
        <v>0</v>
      </c>
      <c r="P71" s="493" t="n">
        <v>75000</v>
      </c>
      <c r="Q71" s="1031" t="n">
        <v>0.00375</v>
      </c>
      <c r="R71" s="496" t="n">
        <v>0.015</v>
      </c>
      <c r="S71" s="497" t="n">
        <v>75000</v>
      </c>
      <c r="T71" s="498" t="n">
        <v>519021.74</v>
      </c>
      <c r="U71" s="499" t="n"/>
      <c r="V71" s="489">
        <f>SUM(T71:U71)</f>
        <v/>
      </c>
      <c r="W71" s="1030" t="n">
        <v>0.025951087</v>
      </c>
      <c r="X71" s="490">
        <f>V71/D71</f>
        <v/>
      </c>
      <c r="Z71" s="761" t="n">
        <v>0</v>
      </c>
      <c r="AA71" s="240" t="n"/>
      <c r="AB71" s="562" t="n"/>
    </row>
    <row r="72">
      <c r="A72" s="480" t="inlineStr">
        <is>
          <t>INV06275</t>
        </is>
      </c>
      <c r="B72" s="481" t="inlineStr">
        <is>
          <t>1999 Lissa Biesecker Longacre Declaration of Trust DTD 5/12/99</t>
        </is>
      </c>
      <c r="C72" s="481" t="inlineStr">
        <is>
          <t>BBR</t>
        </is>
      </c>
      <c r="D72" s="482" t="n">
        <v>600000</v>
      </c>
      <c r="E72" s="482" t="n">
        <v>0</v>
      </c>
      <c r="F72" s="482" t="n">
        <v>0</v>
      </c>
      <c r="G72" s="482" t="n"/>
      <c r="H72" s="482" t="n"/>
      <c r="I72" s="482" t="n">
        <v>0</v>
      </c>
      <c r="J72" s="1026" t="n">
        <v>0</v>
      </c>
      <c r="K72" s="1026" t="n">
        <v>0.0171919770773639</v>
      </c>
      <c r="L72" s="482" t="n">
        <v>0</v>
      </c>
      <c r="M72" s="482" t="n">
        <v>1500</v>
      </c>
      <c r="N72" s="482" t="n">
        <v>0</v>
      </c>
      <c r="O72" s="482" t="n">
        <v>0</v>
      </c>
      <c r="P72" s="482" t="n">
        <v>1500</v>
      </c>
      <c r="Q72" s="1027" t="n">
        <v>0.0025</v>
      </c>
      <c r="R72" s="500" t="n">
        <v>0.01</v>
      </c>
      <c r="S72" s="486" t="n">
        <v>1500</v>
      </c>
      <c r="T72" s="487" t="n">
        <v>11820.65</v>
      </c>
      <c r="U72" s="488" t="n"/>
      <c r="V72" s="489">
        <f>SUM(T72:U72)</f>
        <v/>
      </c>
      <c r="W72" s="1026" t="n">
        <v>0.01970108333333333</v>
      </c>
      <c r="X72" s="490">
        <f>V72/D72</f>
        <v/>
      </c>
      <c r="Z72" s="761" t="n">
        <v>0</v>
      </c>
      <c r="AA72" s="240" t="n"/>
      <c r="AB72" s="562" t="n"/>
    </row>
    <row r="73">
      <c r="A73" s="491" t="inlineStr">
        <is>
          <t>INV06162</t>
        </is>
      </c>
      <c r="B73" s="492" t="inlineStr">
        <is>
          <t>Alten Investments LLC</t>
        </is>
      </c>
      <c r="C73" s="492" t="inlineStr">
        <is>
          <t>BBR</t>
        </is>
      </c>
      <c r="D73" s="493" t="n">
        <v>1000000</v>
      </c>
      <c r="E73" s="493" t="n">
        <v>0</v>
      </c>
      <c r="F73" s="493" t="n">
        <v>0</v>
      </c>
      <c r="G73" s="493" t="n"/>
      <c r="H73" s="493" t="n"/>
      <c r="I73" s="493" t="n">
        <v>0</v>
      </c>
      <c r="J73" s="1030" t="n">
        <v>0</v>
      </c>
      <c r="K73" s="1030" t="n">
        <v>0.02865329512893983</v>
      </c>
      <c r="L73" s="493" t="n">
        <v>0</v>
      </c>
      <c r="M73" s="493" t="n">
        <v>2500</v>
      </c>
      <c r="N73" s="493" t="n">
        <v>0</v>
      </c>
      <c r="O73" s="493" t="n">
        <v>0</v>
      </c>
      <c r="P73" s="493" t="n">
        <v>2500</v>
      </c>
      <c r="Q73" s="1031" t="n">
        <v>0.0025</v>
      </c>
      <c r="R73" s="496" t="n">
        <v>0.01</v>
      </c>
      <c r="S73" s="497" t="n">
        <v>2500</v>
      </c>
      <c r="T73" s="498" t="n">
        <v>19701.09</v>
      </c>
      <c r="U73" s="499" t="n"/>
      <c r="V73" s="489">
        <f>SUM(T73:U73)</f>
        <v/>
      </c>
      <c r="W73" s="1030" t="n">
        <v>0.01970109</v>
      </c>
      <c r="X73" s="490">
        <f>V73/D73</f>
        <v/>
      </c>
      <c r="Z73" s="761" t="n">
        <v>0</v>
      </c>
      <c r="AA73" s="240" t="n"/>
      <c r="AB73" s="562" t="n"/>
    </row>
    <row r="74">
      <c r="A74" s="480" t="inlineStr">
        <is>
          <t>INV06166</t>
        </is>
      </c>
      <c r="B74" s="481" t="inlineStr">
        <is>
          <t>BBR Real Assets Fund 2024 LLC</t>
        </is>
      </c>
      <c r="C74" s="481" t="inlineStr">
        <is>
          <t>BBR</t>
        </is>
      </c>
      <c r="D74" s="482" t="n">
        <v>10000000</v>
      </c>
      <c r="E74" s="482" t="n">
        <v>0</v>
      </c>
      <c r="F74" s="482" t="n">
        <v>0</v>
      </c>
      <c r="G74" s="482" t="n"/>
      <c r="H74" s="482" t="n"/>
      <c r="I74" s="482" t="n">
        <v>0</v>
      </c>
      <c r="J74" s="1026" t="n">
        <v>0</v>
      </c>
      <c r="K74" s="1026" t="n">
        <v>0.2865329512893983</v>
      </c>
      <c r="L74" s="482" t="n">
        <v>0</v>
      </c>
      <c r="M74" s="482" t="n">
        <v>25000</v>
      </c>
      <c r="N74" s="482" t="n">
        <v>0</v>
      </c>
      <c r="O74" s="482" t="n">
        <v>0</v>
      </c>
      <c r="P74" s="482" t="n">
        <v>25000</v>
      </c>
      <c r="Q74" s="1027" t="n">
        <v>0.0025</v>
      </c>
      <c r="R74" s="500" t="n">
        <v>0.01</v>
      </c>
      <c r="S74" s="486" t="n">
        <v>25000</v>
      </c>
      <c r="T74" s="487" t="n">
        <v>197010.85</v>
      </c>
      <c r="U74" s="488" t="n"/>
      <c r="V74" s="489">
        <f>SUM(T74:U74)</f>
        <v/>
      </c>
      <c r="W74" s="1026" t="n">
        <v>0.019701085</v>
      </c>
      <c r="X74" s="490">
        <f>V74/D74</f>
        <v/>
      </c>
      <c r="Z74" s="761" t="n">
        <v>0</v>
      </c>
      <c r="AA74" s="240" t="n"/>
      <c r="AB74" s="562" t="n"/>
    </row>
    <row r="75">
      <c r="A75" s="491" t="inlineStr">
        <is>
          <t>INV06153</t>
        </is>
      </c>
      <c r="B75" s="492" t="inlineStr">
        <is>
          <t>Brian Carroll 2011 Long-Term Trust</t>
        </is>
      </c>
      <c r="C75" s="492" t="inlineStr">
        <is>
          <t>BBR</t>
        </is>
      </c>
      <c r="D75" s="493" t="n">
        <v>500000</v>
      </c>
      <c r="E75" s="493" t="n">
        <v>0</v>
      </c>
      <c r="F75" s="493" t="n">
        <v>0</v>
      </c>
      <c r="G75" s="493" t="n"/>
      <c r="H75" s="493" t="n"/>
      <c r="I75" s="493" t="n">
        <v>0</v>
      </c>
      <c r="J75" s="1030" t="n">
        <v>0</v>
      </c>
      <c r="K75" s="1030" t="n">
        <v>0.01432664756446991</v>
      </c>
      <c r="L75" s="493" t="n">
        <v>0</v>
      </c>
      <c r="M75" s="493" t="n">
        <v>1250</v>
      </c>
      <c r="N75" s="493" t="n">
        <v>0</v>
      </c>
      <c r="O75" s="493" t="n">
        <v>0</v>
      </c>
      <c r="P75" s="493" t="n">
        <v>1250</v>
      </c>
      <c r="Q75" s="1031" t="n">
        <v>0.0025</v>
      </c>
      <c r="R75" s="496" t="n">
        <v>0.01</v>
      </c>
      <c r="S75" s="497" t="n">
        <v>1250</v>
      </c>
      <c r="T75" s="498" t="n">
        <v>9850.540000000001</v>
      </c>
      <c r="U75" s="499" t="n"/>
      <c r="V75" s="489">
        <f>SUM(T75:U75)</f>
        <v/>
      </c>
      <c r="W75" s="1030" t="n">
        <v>0.01970108</v>
      </c>
      <c r="X75" s="490">
        <f>V75/D75</f>
        <v/>
      </c>
      <c r="Z75" s="761" t="n">
        <v>0</v>
      </c>
      <c r="AA75" s="240" t="n"/>
      <c r="AB75" s="562" t="n"/>
    </row>
    <row r="76">
      <c r="A76" s="480" t="inlineStr">
        <is>
          <t>INV06165</t>
        </is>
      </c>
      <c r="B76" s="481" t="inlineStr">
        <is>
          <t>Forem Capital, LLC</t>
        </is>
      </c>
      <c r="C76" s="481" t="inlineStr">
        <is>
          <t>BBR</t>
        </is>
      </c>
      <c r="D76" s="482" t="n">
        <v>1500000</v>
      </c>
      <c r="E76" s="482" t="n">
        <v>0</v>
      </c>
      <c r="F76" s="482" t="n">
        <v>0</v>
      </c>
      <c r="G76" s="482" t="n"/>
      <c r="H76" s="482" t="n"/>
      <c r="I76" s="482" t="n">
        <v>0</v>
      </c>
      <c r="J76" s="1026" t="n">
        <v>0</v>
      </c>
      <c r="K76" s="1026" t="n">
        <v>0.04297994269340974</v>
      </c>
      <c r="L76" s="482" t="n">
        <v>0</v>
      </c>
      <c r="M76" s="482" t="n">
        <v>3750</v>
      </c>
      <c r="N76" s="482" t="n">
        <v>0</v>
      </c>
      <c r="O76" s="482" t="n">
        <v>0</v>
      </c>
      <c r="P76" s="482" t="n">
        <v>3750</v>
      </c>
      <c r="Q76" s="1027" t="n">
        <v>0.0025</v>
      </c>
      <c r="R76" s="500" t="n">
        <v>0.01</v>
      </c>
      <c r="S76" s="486" t="n">
        <v>3750</v>
      </c>
      <c r="T76" s="487" t="n">
        <v>29551.63</v>
      </c>
      <c r="U76" s="488" t="n"/>
      <c r="V76" s="489">
        <f>SUM(T76:U76)</f>
        <v/>
      </c>
      <c r="W76" s="1026" t="n">
        <v>0.01970108666666667</v>
      </c>
      <c r="X76" s="490">
        <f>V76/D76</f>
        <v/>
      </c>
      <c r="Z76" s="761" t="n">
        <v>0</v>
      </c>
      <c r="AA76" s="240" t="n"/>
      <c r="AB76" s="562" t="n"/>
    </row>
    <row r="77">
      <c r="A77" s="491" t="inlineStr">
        <is>
          <t>INV06154</t>
        </is>
      </c>
      <c r="B77" s="492" t="inlineStr">
        <is>
          <t>The Mark T. Kirchdorfer 2015 Family Delaware Dynasty Trust</t>
        </is>
      </c>
      <c r="C77" s="492" t="inlineStr">
        <is>
          <t>BBR</t>
        </is>
      </c>
      <c r="D77" s="493" t="n">
        <v>1000000</v>
      </c>
      <c r="E77" s="493" t="n">
        <v>0</v>
      </c>
      <c r="F77" s="493" t="n">
        <v>0</v>
      </c>
      <c r="G77" s="493" t="n"/>
      <c r="H77" s="493" t="n"/>
      <c r="I77" s="493" t="n">
        <v>0</v>
      </c>
      <c r="J77" s="1030" t="n">
        <v>0</v>
      </c>
      <c r="K77" s="1030" t="n">
        <v>0.02865329512893983</v>
      </c>
      <c r="L77" s="493" t="n">
        <v>0</v>
      </c>
      <c r="M77" s="493" t="n">
        <v>2500</v>
      </c>
      <c r="N77" s="493" t="n">
        <v>0</v>
      </c>
      <c r="O77" s="493" t="n">
        <v>0</v>
      </c>
      <c r="P77" s="493" t="n">
        <v>2500</v>
      </c>
      <c r="Q77" s="1031" t="n">
        <v>0.0025</v>
      </c>
      <c r="R77" s="496" t="n">
        <v>0.01</v>
      </c>
      <c r="S77" s="497" t="n">
        <v>2500</v>
      </c>
      <c r="T77" s="498" t="n">
        <v>19701.09</v>
      </c>
      <c r="U77" s="499" t="n"/>
      <c r="V77" s="489">
        <f>SUM(T77:U77)</f>
        <v/>
      </c>
      <c r="W77" s="1030" t="n">
        <v>0.01970109</v>
      </c>
      <c r="X77" s="490">
        <f>V77/D77</f>
        <v/>
      </c>
      <c r="Z77" s="761" t="n">
        <v>0</v>
      </c>
      <c r="AA77" s="240" t="n"/>
      <c r="AB77" s="562" t="n"/>
    </row>
    <row r="78">
      <c r="A78" s="480" t="inlineStr">
        <is>
          <t>INV06159</t>
        </is>
      </c>
      <c r="B78" s="481" t="inlineStr">
        <is>
          <t>Jeffrey A. Lipsitz Revocable Trust</t>
        </is>
      </c>
      <c r="C78" s="481" t="inlineStr">
        <is>
          <t>BBR</t>
        </is>
      </c>
      <c r="D78" s="482" t="n">
        <v>1000000</v>
      </c>
      <c r="E78" s="482" t="n">
        <v>0</v>
      </c>
      <c r="F78" s="482" t="n">
        <v>0</v>
      </c>
      <c r="G78" s="482" t="n"/>
      <c r="H78" s="482" t="n"/>
      <c r="I78" s="482" t="n">
        <v>0</v>
      </c>
      <c r="J78" s="1026" t="n">
        <v>0</v>
      </c>
      <c r="K78" s="1026" t="n">
        <v>0.02865329512893983</v>
      </c>
      <c r="L78" s="482" t="n">
        <v>0</v>
      </c>
      <c r="M78" s="482" t="n">
        <v>2500</v>
      </c>
      <c r="N78" s="482" t="n">
        <v>0</v>
      </c>
      <c r="O78" s="482" t="n">
        <v>0</v>
      </c>
      <c r="P78" s="482" t="n">
        <v>2500</v>
      </c>
      <c r="Q78" s="1027" t="n">
        <v>0.0025</v>
      </c>
      <c r="R78" s="500" t="n">
        <v>0.01</v>
      </c>
      <c r="S78" s="486" t="n">
        <v>2500</v>
      </c>
      <c r="T78" s="487" t="n">
        <v>19701.09</v>
      </c>
      <c r="U78" s="488" t="n"/>
      <c r="V78" s="489">
        <f>SUM(T78:U78)</f>
        <v/>
      </c>
      <c r="W78" s="1026" t="n">
        <v>0.01970109</v>
      </c>
      <c r="X78" s="490">
        <f>V78/D78</f>
        <v/>
      </c>
      <c r="Z78" s="761" t="n">
        <v>0</v>
      </c>
      <c r="AA78" s="240" t="n"/>
      <c r="AB78" s="562" t="n"/>
    </row>
    <row r="79">
      <c r="A79" s="491" t="inlineStr">
        <is>
          <t>INV06155</t>
        </is>
      </c>
      <c r="B79" s="492" t="inlineStr">
        <is>
          <t>The 2015 Pipe Reality Delaware Trust</t>
        </is>
      </c>
      <c r="C79" s="492" t="inlineStr">
        <is>
          <t>BBR</t>
        </is>
      </c>
      <c r="D79" s="493" t="n">
        <v>1000000</v>
      </c>
      <c r="E79" s="493" t="n">
        <v>0</v>
      </c>
      <c r="F79" s="493" t="n">
        <v>0</v>
      </c>
      <c r="G79" s="493" t="n"/>
      <c r="H79" s="493" t="n"/>
      <c r="I79" s="493" t="n">
        <v>0</v>
      </c>
      <c r="J79" s="1030" t="n">
        <v>0</v>
      </c>
      <c r="K79" s="1030" t="n">
        <v>0.02865329512893983</v>
      </c>
      <c r="L79" s="493" t="n">
        <v>0</v>
      </c>
      <c r="M79" s="493" t="n">
        <v>2500</v>
      </c>
      <c r="N79" s="493" t="n">
        <v>0</v>
      </c>
      <c r="O79" s="493" t="n">
        <v>0</v>
      </c>
      <c r="P79" s="493" t="n">
        <v>2500</v>
      </c>
      <c r="Q79" s="1031" t="n">
        <v>0.0025</v>
      </c>
      <c r="R79" s="496" t="n">
        <v>0.01</v>
      </c>
      <c r="S79" s="497" t="n">
        <v>2500</v>
      </c>
      <c r="T79" s="498" t="n">
        <v>19701.09</v>
      </c>
      <c r="U79" s="499" t="n"/>
      <c r="V79" s="489">
        <f>SUM(T79:U79)</f>
        <v/>
      </c>
      <c r="W79" s="1030" t="n">
        <v>0.01970109</v>
      </c>
      <c r="X79" s="490">
        <f>V79/D79</f>
        <v/>
      </c>
      <c r="Z79" s="761" t="n">
        <v>0</v>
      </c>
      <c r="AA79" s="240" t="n"/>
      <c r="AB79" s="562" t="n"/>
    </row>
    <row r="80">
      <c r="A80" s="480" t="inlineStr">
        <is>
          <t>INV06169</t>
        </is>
      </c>
      <c r="B80" s="481" t="inlineStr">
        <is>
          <t>Landscape I, LP</t>
        </is>
      </c>
      <c r="C80" s="481" t="inlineStr">
        <is>
          <t>BBR</t>
        </is>
      </c>
      <c r="D80" s="482" t="n">
        <v>750000</v>
      </c>
      <c r="E80" s="482" t="n">
        <v>0</v>
      </c>
      <c r="F80" s="482" t="n">
        <v>0</v>
      </c>
      <c r="G80" s="482" t="n"/>
      <c r="H80" s="482" t="n"/>
      <c r="I80" s="482" t="n">
        <v>0</v>
      </c>
      <c r="J80" s="1026" t="n">
        <v>0</v>
      </c>
      <c r="K80" s="1026" t="n">
        <v>0.02148997134670487</v>
      </c>
      <c r="L80" s="482" t="n">
        <v>0</v>
      </c>
      <c r="M80" s="482" t="n">
        <v>1875</v>
      </c>
      <c r="N80" s="482" t="n">
        <v>0</v>
      </c>
      <c r="O80" s="482" t="n">
        <v>0</v>
      </c>
      <c r="P80" s="482" t="n">
        <v>1875</v>
      </c>
      <c r="Q80" s="1027" t="n">
        <v>0.0025</v>
      </c>
      <c r="R80" s="500" t="n">
        <v>0.01</v>
      </c>
      <c r="S80" s="486" t="n">
        <v>1875</v>
      </c>
      <c r="T80" s="487" t="n">
        <v>14775.82</v>
      </c>
      <c r="U80" s="488" t="n"/>
      <c r="V80" s="489">
        <f>SUM(T80:U80)</f>
        <v/>
      </c>
      <c r="W80" s="1026" t="n">
        <v>0.01970109333333333</v>
      </c>
      <c r="X80" s="490">
        <f>V80/D80</f>
        <v/>
      </c>
      <c r="Z80" s="761" t="n">
        <v>0</v>
      </c>
      <c r="AA80" s="240" t="n"/>
      <c r="AB80" s="562" t="n"/>
    </row>
    <row r="81">
      <c r="A81" s="491" t="inlineStr">
        <is>
          <t>INV06156</t>
        </is>
      </c>
      <c r="B81" s="492" t="inlineStr">
        <is>
          <t>The David L. Schnadig 2017 Trust</t>
        </is>
      </c>
      <c r="C81" s="492" t="inlineStr">
        <is>
          <t>BBR</t>
        </is>
      </c>
      <c r="D81" s="493" t="n">
        <v>1000000</v>
      </c>
      <c r="E81" s="493" t="n">
        <v>0</v>
      </c>
      <c r="F81" s="493" t="n">
        <v>0</v>
      </c>
      <c r="G81" s="493" t="n"/>
      <c r="H81" s="493" t="n"/>
      <c r="I81" s="493" t="n">
        <v>0</v>
      </c>
      <c r="J81" s="1030" t="n">
        <v>0</v>
      </c>
      <c r="K81" s="1030" t="n">
        <v>0.02865329512893983</v>
      </c>
      <c r="L81" s="493" t="n">
        <v>0</v>
      </c>
      <c r="M81" s="493" t="n">
        <v>2500</v>
      </c>
      <c r="N81" s="493" t="n">
        <v>0</v>
      </c>
      <c r="O81" s="493" t="n">
        <v>0</v>
      </c>
      <c r="P81" s="493" t="n">
        <v>2500</v>
      </c>
      <c r="Q81" s="1031" t="n">
        <v>0.0025</v>
      </c>
      <c r="R81" s="496" t="n">
        <v>0.01</v>
      </c>
      <c r="S81" s="497" t="n">
        <v>2500</v>
      </c>
      <c r="T81" s="498" t="n">
        <v>19701.09</v>
      </c>
      <c r="U81" s="499" t="n"/>
      <c r="V81" s="489">
        <f>SUM(T81:U81)</f>
        <v/>
      </c>
      <c r="W81" s="1030" t="n">
        <v>0.01970109</v>
      </c>
      <c r="X81" s="490">
        <f>V81/D81</f>
        <v/>
      </c>
      <c r="Z81" s="761" t="n">
        <v>0</v>
      </c>
      <c r="AA81" s="240" t="n"/>
      <c r="AB81" s="562" t="n"/>
    </row>
    <row r="82">
      <c r="A82" s="480" t="inlineStr">
        <is>
          <t>INV06163</t>
        </is>
      </c>
      <c r="B82" s="481" t="inlineStr">
        <is>
          <t>Madten Investments LLC</t>
        </is>
      </c>
      <c r="C82" s="481" t="inlineStr">
        <is>
          <t>BBR</t>
        </is>
      </c>
      <c r="D82" s="482" t="n">
        <v>1000000</v>
      </c>
      <c r="E82" s="482" t="n">
        <v>0</v>
      </c>
      <c r="F82" s="482" t="n">
        <v>0</v>
      </c>
      <c r="G82" s="482" t="n"/>
      <c r="H82" s="482" t="n"/>
      <c r="I82" s="482" t="n">
        <v>0</v>
      </c>
      <c r="J82" s="1026" t="n">
        <v>0</v>
      </c>
      <c r="K82" s="1026" t="n">
        <v>0.02865329512893983</v>
      </c>
      <c r="L82" s="482" t="n">
        <v>0</v>
      </c>
      <c r="M82" s="482" t="n">
        <v>2500</v>
      </c>
      <c r="N82" s="482" t="n">
        <v>0</v>
      </c>
      <c r="O82" s="482" t="n">
        <v>0</v>
      </c>
      <c r="P82" s="482" t="n">
        <v>2500</v>
      </c>
      <c r="Q82" s="1027" t="n">
        <v>0.0025</v>
      </c>
      <c r="R82" s="500" t="n">
        <v>0.01</v>
      </c>
      <c r="S82" s="486" t="n">
        <v>2500</v>
      </c>
      <c r="T82" s="487" t="n">
        <v>19701.09</v>
      </c>
      <c r="U82" s="488" t="n"/>
      <c r="V82" s="489">
        <f>SUM(T82:U82)</f>
        <v/>
      </c>
      <c r="W82" s="1026" t="n">
        <v>0.01970109</v>
      </c>
      <c r="X82" s="490">
        <f>V82/D82</f>
        <v/>
      </c>
      <c r="Z82" s="761" t="n">
        <v>0</v>
      </c>
      <c r="AA82" s="240" t="n"/>
      <c r="AB82" s="562" t="n"/>
    </row>
    <row r="83">
      <c r="A83" s="491" t="inlineStr">
        <is>
          <t>INV06157</t>
        </is>
      </c>
      <c r="B83" s="492" t="inlineStr">
        <is>
          <t>Robert S. Shafir 2011 Children's Trust</t>
        </is>
      </c>
      <c r="C83" s="492" t="inlineStr">
        <is>
          <t>BBR</t>
        </is>
      </c>
      <c r="D83" s="493" t="n">
        <v>1000000</v>
      </c>
      <c r="E83" s="493" t="n">
        <v>0</v>
      </c>
      <c r="F83" s="493" t="n">
        <v>0</v>
      </c>
      <c r="G83" s="493" t="n"/>
      <c r="H83" s="493" t="n"/>
      <c r="I83" s="493" t="n">
        <v>0</v>
      </c>
      <c r="J83" s="1030" t="n">
        <v>0</v>
      </c>
      <c r="K83" s="1030" t="n">
        <v>0.02865329512893983</v>
      </c>
      <c r="L83" s="493" t="n">
        <v>0</v>
      </c>
      <c r="M83" s="493" t="n">
        <v>2500</v>
      </c>
      <c r="N83" s="493" t="n">
        <v>0</v>
      </c>
      <c r="O83" s="493" t="n">
        <v>0</v>
      </c>
      <c r="P83" s="493" t="n">
        <v>2500</v>
      </c>
      <c r="Q83" s="1031" t="n">
        <v>0.0025</v>
      </c>
      <c r="R83" s="496" t="n">
        <v>0.01</v>
      </c>
      <c r="S83" s="497" t="n">
        <v>2500</v>
      </c>
      <c r="T83" s="498" t="n">
        <v>19701.09</v>
      </c>
      <c r="U83" s="499" t="n"/>
      <c r="V83" s="489">
        <f>SUM(T83:U83)</f>
        <v/>
      </c>
      <c r="W83" s="1030" t="n">
        <v>0.01970109</v>
      </c>
      <c r="X83" s="490">
        <f>V83/D83</f>
        <v/>
      </c>
      <c r="Z83" s="761" t="n">
        <v>0</v>
      </c>
      <c r="AA83" s="240" t="n"/>
      <c r="AB83" s="562" t="n"/>
    </row>
    <row r="84">
      <c r="A84" s="480" t="inlineStr">
        <is>
          <t>INV06158</t>
        </is>
      </c>
      <c r="B84" s="481" t="inlineStr">
        <is>
          <t>Robert S. Shafir &amp; Donna R. Shafir TEN/COM</t>
        </is>
      </c>
      <c r="C84" s="481" t="inlineStr">
        <is>
          <t>BBR</t>
        </is>
      </c>
      <c r="D84" s="482" t="n">
        <v>1500000</v>
      </c>
      <c r="E84" s="482" t="n">
        <v>0</v>
      </c>
      <c r="F84" s="482" t="n">
        <v>0</v>
      </c>
      <c r="G84" s="482" t="n"/>
      <c r="H84" s="482" t="n"/>
      <c r="I84" s="482" t="n">
        <v>0</v>
      </c>
      <c r="J84" s="1026" t="n">
        <v>0</v>
      </c>
      <c r="K84" s="1026" t="n">
        <v>0.04297994269340974</v>
      </c>
      <c r="L84" s="482" t="n">
        <v>0</v>
      </c>
      <c r="M84" s="482" t="n">
        <v>3750</v>
      </c>
      <c r="N84" s="482" t="n">
        <v>0</v>
      </c>
      <c r="O84" s="482" t="n">
        <v>0</v>
      </c>
      <c r="P84" s="482" t="n">
        <v>3750</v>
      </c>
      <c r="Q84" s="1027" t="n">
        <v>0.0025</v>
      </c>
      <c r="R84" s="500" t="n">
        <v>0.01</v>
      </c>
      <c r="S84" s="486" t="n">
        <v>3750</v>
      </c>
      <c r="T84" s="487" t="n">
        <v>29551.63</v>
      </c>
      <c r="U84" s="488" t="n"/>
      <c r="V84" s="489">
        <f>SUM(T84:U84)</f>
        <v/>
      </c>
      <c r="W84" s="1026" t="n">
        <v>0.01970108666666667</v>
      </c>
      <c r="X84" s="490">
        <f>V84/D84</f>
        <v/>
      </c>
      <c r="Z84" s="761" t="n">
        <v>0</v>
      </c>
      <c r="AA84" s="240" t="n"/>
      <c r="AB84" s="562" t="n"/>
    </row>
    <row r="85">
      <c r="A85" s="491" t="inlineStr">
        <is>
          <t>INV06161</t>
        </is>
      </c>
      <c r="B85" s="492" t="inlineStr">
        <is>
          <t>Steven and Chani Laufer 2012 Dynasty Trust</t>
        </is>
      </c>
      <c r="C85" s="492" t="inlineStr">
        <is>
          <t>BBR</t>
        </is>
      </c>
      <c r="D85" s="493" t="n">
        <v>2000000</v>
      </c>
      <c r="E85" s="493" t="n">
        <v>0</v>
      </c>
      <c r="F85" s="493" t="n">
        <v>0</v>
      </c>
      <c r="G85" s="493" t="n"/>
      <c r="H85" s="493" t="n"/>
      <c r="I85" s="493" t="n">
        <v>0</v>
      </c>
      <c r="J85" s="1030" t="n">
        <v>0</v>
      </c>
      <c r="K85" s="1030" t="n">
        <v>0.05730659025787966</v>
      </c>
      <c r="L85" s="493" t="n">
        <v>0</v>
      </c>
      <c r="M85" s="493" t="n">
        <v>5000</v>
      </c>
      <c r="N85" s="493" t="n">
        <v>0</v>
      </c>
      <c r="O85" s="493" t="n">
        <v>0</v>
      </c>
      <c r="P85" s="493" t="n">
        <v>5000</v>
      </c>
      <c r="Q85" s="1031" t="n">
        <v>0.0025</v>
      </c>
      <c r="R85" s="496" t="n">
        <v>0.01</v>
      </c>
      <c r="S85" s="497" t="n">
        <v>5000</v>
      </c>
      <c r="T85" s="498" t="n">
        <v>39402.17</v>
      </c>
      <c r="U85" s="499" t="n"/>
      <c r="V85" s="489">
        <f>SUM(T85:U85)</f>
        <v/>
      </c>
      <c r="W85" s="1030" t="n">
        <v>0.019701085</v>
      </c>
      <c r="X85" s="490">
        <f>V85/D85</f>
        <v/>
      </c>
      <c r="Z85" s="761" t="n">
        <v>0</v>
      </c>
      <c r="AA85" s="240" t="n"/>
      <c r="AB85" s="562" t="n"/>
    </row>
    <row r="86">
      <c r="A86" s="480" t="inlineStr">
        <is>
          <t>INV06160</t>
        </is>
      </c>
      <c r="B86" s="481" t="inlineStr">
        <is>
          <t>Steven M. Laufer 2012 Trust</t>
        </is>
      </c>
      <c r="C86" s="481" t="inlineStr">
        <is>
          <t>BBR</t>
        </is>
      </c>
      <c r="D86" s="482" t="n">
        <v>1000000</v>
      </c>
      <c r="E86" s="482" t="n">
        <v>0</v>
      </c>
      <c r="F86" s="482" t="n">
        <v>0</v>
      </c>
      <c r="G86" s="482" t="n"/>
      <c r="H86" s="482" t="n"/>
      <c r="I86" s="482" t="n">
        <v>0</v>
      </c>
      <c r="J86" s="1026" t="n">
        <v>0</v>
      </c>
      <c r="K86" s="1026" t="n">
        <v>0.02865329512893983</v>
      </c>
      <c r="L86" s="482" t="n">
        <v>0</v>
      </c>
      <c r="M86" s="482" t="n">
        <v>2500</v>
      </c>
      <c r="N86" s="482" t="n">
        <v>0</v>
      </c>
      <c r="O86" s="482" t="n">
        <v>0</v>
      </c>
      <c r="P86" s="482" t="n">
        <v>2500</v>
      </c>
      <c r="Q86" s="1027" t="n">
        <v>0.0025</v>
      </c>
      <c r="R86" s="500" t="n">
        <v>0.01</v>
      </c>
      <c r="S86" s="486" t="n">
        <v>2500</v>
      </c>
      <c r="T86" s="487" t="n">
        <v>19701.09</v>
      </c>
      <c r="U86" s="488" t="n"/>
      <c r="V86" s="489">
        <f>SUM(T86:U86)</f>
        <v/>
      </c>
      <c r="W86" s="1026" t="n">
        <v>0.01970109</v>
      </c>
      <c r="X86" s="490">
        <f>V86/D86</f>
        <v/>
      </c>
      <c r="Z86" s="761" t="n">
        <v>0</v>
      </c>
      <c r="AA86" s="240" t="n"/>
      <c r="AB86" s="562" t="n"/>
    </row>
    <row r="87">
      <c r="A87" s="491" t="inlineStr">
        <is>
          <t>INV06164</t>
        </is>
      </c>
      <c r="B87" s="492" t="inlineStr">
        <is>
          <t>The Diane Rosen 2021 Irrevocable Family Trust</t>
        </is>
      </c>
      <c r="C87" s="492" t="inlineStr">
        <is>
          <t>BBR</t>
        </is>
      </c>
      <c r="D87" s="493" t="n">
        <v>600000</v>
      </c>
      <c r="E87" s="493" t="n">
        <v>0</v>
      </c>
      <c r="F87" s="493" t="n">
        <v>0</v>
      </c>
      <c r="G87" s="493" t="n"/>
      <c r="H87" s="493" t="n"/>
      <c r="I87" s="493" t="n">
        <v>0</v>
      </c>
      <c r="J87" s="1030" t="n">
        <v>0</v>
      </c>
      <c r="K87" s="1030" t="n">
        <v>0.0171919770773639</v>
      </c>
      <c r="L87" s="493" t="n">
        <v>0</v>
      </c>
      <c r="M87" s="493" t="n">
        <v>1500</v>
      </c>
      <c r="N87" s="493" t="n">
        <v>0</v>
      </c>
      <c r="O87" s="493" t="n">
        <v>0</v>
      </c>
      <c r="P87" s="493" t="n">
        <v>1500</v>
      </c>
      <c r="Q87" s="1031" t="n">
        <v>0.0025</v>
      </c>
      <c r="R87" s="496" t="n">
        <v>0.01</v>
      </c>
      <c r="S87" s="497" t="n">
        <v>1500</v>
      </c>
      <c r="T87" s="498" t="n">
        <v>11820.65</v>
      </c>
      <c r="U87" s="499" t="n"/>
      <c r="V87" s="489">
        <f>SUM(T87:U87)</f>
        <v/>
      </c>
      <c r="W87" s="1030" t="n">
        <v>0.01970108333333333</v>
      </c>
      <c r="X87" s="490">
        <f>V87/D87</f>
        <v/>
      </c>
      <c r="Z87" s="761" t="n">
        <v>0</v>
      </c>
      <c r="AA87" s="240" t="n"/>
      <c r="AB87" s="562" t="n"/>
    </row>
    <row r="88">
      <c r="A88" s="480" t="inlineStr">
        <is>
          <t>INV06274</t>
        </is>
      </c>
      <c r="B88" s="481" t="inlineStr">
        <is>
          <t>1999 Frederick N Biesecker II Declaration of Trust DTD 5/12/99</t>
        </is>
      </c>
      <c r="C88" s="481" t="inlineStr">
        <is>
          <t>BBR</t>
        </is>
      </c>
      <c r="D88" s="482" t="n">
        <v>700000</v>
      </c>
      <c r="E88" s="482" t="n">
        <v>0</v>
      </c>
      <c r="F88" s="482" t="n">
        <v>0</v>
      </c>
      <c r="G88" s="482" t="n"/>
      <c r="H88" s="482" t="n"/>
      <c r="I88" s="482" t="n">
        <v>0</v>
      </c>
      <c r="J88" s="1026" t="n">
        <v>0</v>
      </c>
      <c r="K88" s="1026" t="n">
        <v>0.02005730659025788</v>
      </c>
      <c r="L88" s="482" t="n">
        <v>0</v>
      </c>
      <c r="M88" s="482" t="n">
        <v>1750</v>
      </c>
      <c r="N88" s="482" t="n">
        <v>0</v>
      </c>
      <c r="O88" s="482" t="n">
        <v>0</v>
      </c>
      <c r="P88" s="482" t="n">
        <v>1750</v>
      </c>
      <c r="Q88" s="1027" t="n">
        <v>0.0025</v>
      </c>
      <c r="R88" s="500" t="n">
        <v>0.01</v>
      </c>
      <c r="S88" s="486" t="n">
        <v>1750</v>
      </c>
      <c r="T88" s="487" t="n">
        <v>13790.76</v>
      </c>
      <c r="U88" s="488" t="n"/>
      <c r="V88" s="489">
        <f>SUM(T88:U88)</f>
        <v/>
      </c>
      <c r="W88" s="1026" t="n">
        <v>0.01970108571428571</v>
      </c>
      <c r="X88" s="490">
        <f>V88/D88</f>
        <v/>
      </c>
      <c r="Z88" s="761" t="n">
        <v>0</v>
      </c>
      <c r="AA88" s="240" t="n"/>
      <c r="AB88" s="562" t="n"/>
    </row>
    <row r="89">
      <c r="A89" s="491" t="inlineStr">
        <is>
          <t>INV06276</t>
        </is>
      </c>
      <c r="B89" s="492" t="inlineStr">
        <is>
          <t>Abigail Levy</t>
        </is>
      </c>
      <c r="C89" s="492" t="inlineStr">
        <is>
          <t>BBR</t>
        </is>
      </c>
      <c r="D89" s="493" t="n">
        <v>750000</v>
      </c>
      <c r="E89" s="493" t="n">
        <v>0</v>
      </c>
      <c r="F89" s="493" t="n">
        <v>0</v>
      </c>
      <c r="G89" s="493" t="n"/>
      <c r="H89" s="493" t="n"/>
      <c r="I89" s="493" t="n">
        <v>0</v>
      </c>
      <c r="J89" s="1030" t="n">
        <v>0</v>
      </c>
      <c r="K89" s="1030" t="n">
        <v>0.02148997134670487</v>
      </c>
      <c r="L89" s="493" t="n">
        <v>0</v>
      </c>
      <c r="M89" s="493" t="n">
        <v>1875</v>
      </c>
      <c r="N89" s="493" t="n">
        <v>0</v>
      </c>
      <c r="O89" s="493" t="n">
        <v>0</v>
      </c>
      <c r="P89" s="493" t="n">
        <v>1875</v>
      </c>
      <c r="Q89" s="1031" t="n">
        <v>0.0025</v>
      </c>
      <c r="R89" s="496" t="n">
        <v>0.01</v>
      </c>
      <c r="S89" s="497" t="n">
        <v>1875</v>
      </c>
      <c r="T89" s="498" t="n">
        <v>14775.82</v>
      </c>
      <c r="U89" s="499" t="n"/>
      <c r="V89" s="489">
        <f>SUM(T89:U89)</f>
        <v/>
      </c>
      <c r="W89" s="1030" t="n">
        <v>0.01970109333333333</v>
      </c>
      <c r="X89" s="490">
        <f>V89/D89</f>
        <v/>
      </c>
      <c r="Z89" s="761" t="n">
        <v>0</v>
      </c>
      <c r="AA89" s="240" t="n"/>
      <c r="AB89" s="562" t="n"/>
    </row>
    <row r="90">
      <c r="A90" s="480" t="inlineStr">
        <is>
          <t>INV06277</t>
        </is>
      </c>
      <c r="B90" s="481" t="inlineStr">
        <is>
          <t>Christopher J. Campbell</t>
        </is>
      </c>
      <c r="C90" s="481" t="inlineStr">
        <is>
          <t>BBR</t>
        </is>
      </c>
      <c r="D90" s="482" t="n">
        <v>500000</v>
      </c>
      <c r="E90" s="482" t="n">
        <v>0</v>
      </c>
      <c r="F90" s="482" t="n">
        <v>0</v>
      </c>
      <c r="G90" s="482" t="n"/>
      <c r="H90" s="482" t="n"/>
      <c r="I90" s="482" t="n">
        <v>0</v>
      </c>
      <c r="J90" s="1026" t="n">
        <v>0</v>
      </c>
      <c r="K90" s="1026" t="n">
        <v>0.01432664756446991</v>
      </c>
      <c r="L90" s="482" t="n">
        <v>0</v>
      </c>
      <c r="M90" s="482" t="n">
        <v>1250</v>
      </c>
      <c r="N90" s="482" t="n">
        <v>0</v>
      </c>
      <c r="O90" s="482" t="n">
        <v>0</v>
      </c>
      <c r="P90" s="482" t="n">
        <v>1250</v>
      </c>
      <c r="Q90" s="1027" t="n">
        <v>0.0025</v>
      </c>
      <c r="R90" s="500" t="n">
        <v>0.01</v>
      </c>
      <c r="S90" s="486" t="n">
        <v>1250</v>
      </c>
      <c r="T90" s="487" t="n">
        <v>9850.540000000001</v>
      </c>
      <c r="U90" s="488" t="n"/>
      <c r="V90" s="489">
        <f>SUM(T90:U90)</f>
        <v/>
      </c>
      <c r="W90" s="1026" t="n">
        <v>0.01970108</v>
      </c>
      <c r="X90" s="490">
        <f>V90/D90</f>
        <v/>
      </c>
      <c r="Z90" s="761" t="n">
        <v>0</v>
      </c>
      <c r="AA90" s="240" t="n"/>
      <c r="AB90" s="562" t="n"/>
    </row>
    <row r="91">
      <c r="A91" s="491" t="inlineStr">
        <is>
          <t>INV06273</t>
        </is>
      </c>
      <c r="B91" s="492" t="inlineStr">
        <is>
          <t>1999 Britta Biesecker Declaration of Trust DTD 5/12/99</t>
        </is>
      </c>
      <c r="C91" s="492" t="inlineStr">
        <is>
          <t>BBR</t>
        </is>
      </c>
      <c r="D91" s="493" t="n">
        <v>500000</v>
      </c>
      <c r="E91" s="493" t="n">
        <v>0</v>
      </c>
      <c r="F91" s="493" t="n">
        <v>0</v>
      </c>
      <c r="G91" s="493" t="n"/>
      <c r="H91" s="493" t="n"/>
      <c r="I91" s="493" t="n">
        <v>0</v>
      </c>
      <c r="J91" s="1030" t="n">
        <v>0</v>
      </c>
      <c r="K91" s="1030" t="n">
        <v>0.01432664756446991</v>
      </c>
      <c r="L91" s="493" t="n">
        <v>0</v>
      </c>
      <c r="M91" s="493" t="n">
        <v>1250</v>
      </c>
      <c r="N91" s="493" t="n">
        <v>0</v>
      </c>
      <c r="O91" s="493" t="n">
        <v>0</v>
      </c>
      <c r="P91" s="493" t="n">
        <v>1250</v>
      </c>
      <c r="Q91" s="1031" t="n">
        <v>0.0025</v>
      </c>
      <c r="R91" s="496" t="n">
        <v>0.01</v>
      </c>
      <c r="S91" s="497" t="n">
        <v>1250</v>
      </c>
      <c r="T91" s="498" t="n">
        <v>9850.540000000001</v>
      </c>
      <c r="U91" s="499" t="n"/>
      <c r="V91" s="489">
        <f>SUM(T91:U91)</f>
        <v/>
      </c>
      <c r="W91" s="1030" t="n">
        <v>0.01970108</v>
      </c>
      <c r="X91" s="490">
        <f>V91/D91</f>
        <v/>
      </c>
      <c r="Z91" s="761" t="n">
        <v>0</v>
      </c>
      <c r="AA91" s="240" t="n"/>
      <c r="AB91" s="562" t="n"/>
    </row>
    <row r="92">
      <c r="A92" s="480" t="inlineStr">
        <is>
          <t>INV06278</t>
        </is>
      </c>
      <c r="B92" s="481" t="inlineStr">
        <is>
          <t>Greene 2000 Family Trust</t>
        </is>
      </c>
      <c r="C92" s="481" t="inlineStr">
        <is>
          <t>BBR</t>
        </is>
      </c>
      <c r="D92" s="482" t="n">
        <v>1000000</v>
      </c>
      <c r="E92" s="482" t="n">
        <v>0</v>
      </c>
      <c r="F92" s="482" t="n">
        <v>0</v>
      </c>
      <c r="G92" s="482" t="n"/>
      <c r="H92" s="482" t="n"/>
      <c r="I92" s="482" t="n">
        <v>0</v>
      </c>
      <c r="J92" s="1026" t="n">
        <v>0</v>
      </c>
      <c r="K92" s="1026" t="n">
        <v>0.02865329512893983</v>
      </c>
      <c r="L92" s="482" t="n">
        <v>0</v>
      </c>
      <c r="M92" s="482" t="n">
        <v>2500</v>
      </c>
      <c r="N92" s="482" t="n">
        <v>0</v>
      </c>
      <c r="O92" s="482" t="n">
        <v>0</v>
      </c>
      <c r="P92" s="482" t="n">
        <v>2500</v>
      </c>
      <c r="Q92" s="1027" t="n">
        <v>0.0025</v>
      </c>
      <c r="R92" s="500" t="n">
        <v>0.01</v>
      </c>
      <c r="S92" s="486" t="n">
        <v>2500</v>
      </c>
      <c r="T92" s="487" t="n">
        <v>19701.09</v>
      </c>
      <c r="U92" s="488" t="n"/>
      <c r="V92" s="489">
        <f>SUM(T92:U92)</f>
        <v/>
      </c>
      <c r="W92" s="1026" t="n">
        <v>0.01970109</v>
      </c>
      <c r="X92" s="490">
        <f>V92/D92</f>
        <v/>
      </c>
      <c r="Z92" s="761" t="n">
        <v>0</v>
      </c>
      <c r="AA92" s="240" t="n"/>
      <c r="AB92" s="562" t="n"/>
    </row>
    <row r="93">
      <c r="A93" s="491" t="inlineStr">
        <is>
          <t>INV06279</t>
        </is>
      </c>
      <c r="B93" s="492" t="inlineStr">
        <is>
          <t>Greene Marital Trust</t>
        </is>
      </c>
      <c r="C93" s="492" t="inlineStr">
        <is>
          <t>BBR</t>
        </is>
      </c>
      <c r="D93" s="493" t="n">
        <v>1000000</v>
      </c>
      <c r="E93" s="493" t="n">
        <v>0</v>
      </c>
      <c r="F93" s="493" t="n">
        <v>0</v>
      </c>
      <c r="G93" s="493" t="n"/>
      <c r="H93" s="493" t="n"/>
      <c r="I93" s="493" t="n">
        <v>0</v>
      </c>
      <c r="J93" s="1030" t="n">
        <v>0</v>
      </c>
      <c r="K93" s="1030" t="n">
        <v>0.02865329512893983</v>
      </c>
      <c r="L93" s="493" t="n">
        <v>0</v>
      </c>
      <c r="M93" s="493" t="n">
        <v>2500</v>
      </c>
      <c r="N93" s="493" t="n">
        <v>0</v>
      </c>
      <c r="O93" s="493" t="n">
        <v>0</v>
      </c>
      <c r="P93" s="493" t="n">
        <v>2500</v>
      </c>
      <c r="Q93" s="1031" t="n">
        <v>0.0025</v>
      </c>
      <c r="R93" s="496" t="n">
        <v>0.01</v>
      </c>
      <c r="S93" s="497" t="n">
        <v>2500</v>
      </c>
      <c r="T93" s="498" t="n">
        <v>19701.09</v>
      </c>
      <c r="U93" s="499" t="n"/>
      <c r="V93" s="489">
        <f>SUM(T93:U93)</f>
        <v/>
      </c>
      <c r="W93" s="1030" t="n">
        <v>0.01970109</v>
      </c>
      <c r="X93" s="490">
        <f>V93/D93</f>
        <v/>
      </c>
      <c r="Z93" s="761" t="n">
        <v>0</v>
      </c>
      <c r="AA93" s="240" t="n"/>
      <c r="AB93" s="562" t="n"/>
    </row>
    <row r="94">
      <c r="A94" s="480" t="inlineStr">
        <is>
          <t>INV06281</t>
        </is>
      </c>
      <c r="B94" s="481" t="inlineStr">
        <is>
          <t>Romar Partners, LP</t>
        </is>
      </c>
      <c r="C94" s="481" t="inlineStr">
        <is>
          <t>BBR</t>
        </is>
      </c>
      <c r="D94" s="482" t="n">
        <v>1000000</v>
      </c>
      <c r="E94" s="482" t="n">
        <v>0</v>
      </c>
      <c r="F94" s="482" t="n">
        <v>0</v>
      </c>
      <c r="G94" s="482" t="n"/>
      <c r="H94" s="482" t="n"/>
      <c r="I94" s="482" t="n">
        <v>0</v>
      </c>
      <c r="J94" s="1026" t="n">
        <v>0</v>
      </c>
      <c r="K94" s="1026" t="n">
        <v>0.02865329512893983</v>
      </c>
      <c r="L94" s="482" t="n">
        <v>0</v>
      </c>
      <c r="M94" s="482" t="n">
        <v>2500</v>
      </c>
      <c r="N94" s="482" t="n">
        <v>0</v>
      </c>
      <c r="O94" s="482" t="n">
        <v>0</v>
      </c>
      <c r="P94" s="482" t="n">
        <v>2500</v>
      </c>
      <c r="Q94" s="1027" t="n">
        <v>0.0025</v>
      </c>
      <c r="R94" s="500" t="n">
        <v>0.01</v>
      </c>
      <c r="S94" s="486" t="n">
        <v>2500</v>
      </c>
      <c r="T94" s="487" t="n">
        <v>19701.09</v>
      </c>
      <c r="U94" s="488" t="n"/>
      <c r="V94" s="489">
        <f>SUM(T94:U94)</f>
        <v/>
      </c>
      <c r="W94" s="1026" t="n">
        <v>0.01970109</v>
      </c>
      <c r="X94" s="490">
        <f>V94/D94</f>
        <v/>
      </c>
      <c r="Z94" s="761" t="n">
        <v>0</v>
      </c>
      <c r="AA94" s="240" t="n"/>
      <c r="AB94" s="562" t="n"/>
    </row>
    <row r="95">
      <c r="A95" s="491" t="inlineStr">
        <is>
          <t>INV06339</t>
        </is>
      </c>
      <c r="B95" s="492" t="inlineStr">
        <is>
          <t>Jeffrey D Furber Revocable Trust</t>
        </is>
      </c>
      <c r="C95" s="492" t="inlineStr">
        <is>
          <t>BBR</t>
        </is>
      </c>
      <c r="D95" s="493" t="n">
        <v>500000</v>
      </c>
      <c r="E95" s="493" t="n">
        <v>0</v>
      </c>
      <c r="F95" s="493" t="n">
        <v>0</v>
      </c>
      <c r="G95" s="493" t="n"/>
      <c r="H95" s="493" t="n"/>
      <c r="I95" s="493" t="n">
        <v>0</v>
      </c>
      <c r="J95" s="1030" t="n">
        <v>0</v>
      </c>
      <c r="K95" s="1030" t="n">
        <v>0.01432664756446991</v>
      </c>
      <c r="L95" s="493" t="n">
        <v>0</v>
      </c>
      <c r="M95" s="493" t="n">
        <v>1250</v>
      </c>
      <c r="N95" s="493" t="n">
        <v>0</v>
      </c>
      <c r="O95" s="493" t="n">
        <v>0</v>
      </c>
      <c r="P95" s="493" t="n">
        <v>1250</v>
      </c>
      <c r="Q95" s="1031" t="n">
        <v>0.0025</v>
      </c>
      <c r="R95" s="496" t="n">
        <v>0.01</v>
      </c>
      <c r="S95" s="497" t="n">
        <v>1250</v>
      </c>
      <c r="T95" s="498" t="n">
        <v>9850.540000000001</v>
      </c>
      <c r="U95" s="499" t="n"/>
      <c r="V95" s="489">
        <f>SUM(T95:U95)</f>
        <v/>
      </c>
      <c r="W95" s="1030" t="n">
        <v>0.01970108</v>
      </c>
      <c r="X95" s="490">
        <f>V95/D95</f>
        <v/>
      </c>
      <c r="Z95" s="761" t="n">
        <v>0</v>
      </c>
      <c r="AA95" s="240" t="n"/>
      <c r="AB95" s="562" t="n"/>
    </row>
    <row r="96">
      <c r="A96" s="480" t="inlineStr">
        <is>
          <t>INV06280</t>
        </is>
      </c>
      <c r="B96" s="481" t="inlineStr">
        <is>
          <t>Jeremy M. Jacobs Trust U/A/D April 1, 1973 fbo Margaret L. Reichenback</t>
        </is>
      </c>
      <c r="C96" s="481" t="inlineStr">
        <is>
          <t>BBR</t>
        </is>
      </c>
      <c r="D96" s="482" t="n">
        <v>1500000</v>
      </c>
      <c r="E96" s="482" t="n">
        <v>0</v>
      </c>
      <c r="F96" s="482" t="n">
        <v>0</v>
      </c>
      <c r="G96" s="482" t="n"/>
      <c r="H96" s="482" t="n"/>
      <c r="I96" s="482" t="n">
        <v>0</v>
      </c>
      <c r="J96" s="1026" t="n">
        <v>0</v>
      </c>
      <c r="K96" s="1026" t="n">
        <v>0.04297994269340974</v>
      </c>
      <c r="L96" s="482" t="n">
        <v>0</v>
      </c>
      <c r="M96" s="482" t="n">
        <v>3750</v>
      </c>
      <c r="N96" s="482" t="n">
        <v>0</v>
      </c>
      <c r="O96" s="482" t="n">
        <v>0</v>
      </c>
      <c r="P96" s="482" t="n">
        <v>3750</v>
      </c>
      <c r="Q96" s="1027" t="n">
        <v>0.0025</v>
      </c>
      <c r="R96" s="500" t="n">
        <v>0.01</v>
      </c>
      <c r="S96" s="486" t="n">
        <v>3750</v>
      </c>
      <c r="T96" s="487" t="n">
        <v>29551.63</v>
      </c>
      <c r="U96" s="488" t="n"/>
      <c r="V96" s="489">
        <f>SUM(T96:U96)</f>
        <v/>
      </c>
      <c r="W96" s="1026" t="n">
        <v>0.01970108666666667</v>
      </c>
      <c r="X96" s="490">
        <f>V96/D96</f>
        <v/>
      </c>
      <c r="Z96" s="761" t="n">
        <v>0</v>
      </c>
      <c r="AA96" s="240" t="n"/>
      <c r="AB96" s="562" t="n"/>
    </row>
    <row r="97">
      <c r="A97" s="491" t="inlineStr">
        <is>
          <t>INV06282</t>
        </is>
      </c>
      <c r="B97" s="492" t="inlineStr">
        <is>
          <t>Terminal Refrigerating &amp; Warehousing Corp.</t>
        </is>
      </c>
      <c r="C97" s="492" t="inlineStr">
        <is>
          <t>BBR</t>
        </is>
      </c>
      <c r="D97" s="493" t="n">
        <v>0</v>
      </c>
      <c r="E97" s="493" t="n">
        <v>0</v>
      </c>
      <c r="F97" s="493" t="n">
        <v>0</v>
      </c>
      <c r="G97" s="493" t="n"/>
      <c r="H97" s="493" t="n"/>
      <c r="I97" s="493" t="n">
        <v>0</v>
      </c>
      <c r="J97" s="1030" t="n">
        <v>0</v>
      </c>
      <c r="K97" s="1030" t="n">
        <v>0</v>
      </c>
      <c r="L97" s="493" t="n">
        <v>0</v>
      </c>
      <c r="M97" s="493" t="n">
        <v>0</v>
      </c>
      <c r="N97" s="493" t="n">
        <v>0</v>
      </c>
      <c r="O97" s="493" t="n">
        <v>0</v>
      </c>
      <c r="P97" s="493" t="n">
        <v>0</v>
      </c>
      <c r="Q97" s="1031" t="n">
        <v>0</v>
      </c>
      <c r="R97" s="496" t="n">
        <v>0</v>
      </c>
      <c r="S97" s="497" t="n">
        <v>0</v>
      </c>
      <c r="T97" s="498" t="n">
        <v>34402.17</v>
      </c>
      <c r="U97" s="504">
        <f>-T97</f>
        <v/>
      </c>
      <c r="V97" s="489">
        <f>SUM(T97:U97)</f>
        <v/>
      </c>
      <c r="W97" s="1030" t="n">
        <v>0</v>
      </c>
      <c r="X97" s="490" t="n">
        <v>0</v>
      </c>
      <c r="Z97" s="761" t="n">
        <v>34402.17</v>
      </c>
      <c r="AA97" s="505" t="inlineStr">
        <is>
          <t>Transfer of Interest to Palmatum HR Liquid, LLC dtd 3.31.26</t>
        </is>
      </c>
      <c r="AB97" s="562" t="n"/>
    </row>
    <row r="98">
      <c r="A98" s="480" t="inlineStr">
        <is>
          <t>INV06341</t>
        </is>
      </c>
      <c r="B98" s="481" t="inlineStr">
        <is>
          <t>County Line Rail GP, LLC</t>
        </is>
      </c>
      <c r="C98" s="481" t="inlineStr">
        <is>
          <t>BBR</t>
        </is>
      </c>
      <c r="D98" s="482" t="n">
        <v>0</v>
      </c>
      <c r="E98" s="482" t="n">
        <v>0</v>
      </c>
      <c r="F98" s="482" t="n">
        <v>0</v>
      </c>
      <c r="G98" s="482" t="n"/>
      <c r="H98" s="482" t="n"/>
      <c r="I98" s="482" t="n">
        <v>0</v>
      </c>
      <c r="J98" s="1026" t="n">
        <v>0</v>
      </c>
      <c r="K98" s="1026" t="n">
        <v>0</v>
      </c>
      <c r="L98" s="482" t="n">
        <v>0</v>
      </c>
      <c r="M98" s="482" t="n">
        <v>0</v>
      </c>
      <c r="N98" s="482" t="n">
        <v>0</v>
      </c>
      <c r="O98" s="482" t="n">
        <v>0</v>
      </c>
      <c r="P98" s="482" t="n">
        <v>0</v>
      </c>
      <c r="Q98" s="1027" t="n">
        <v>0</v>
      </c>
      <c r="R98" s="500" t="n">
        <v>0</v>
      </c>
      <c r="S98" s="486" t="n">
        <v>0</v>
      </c>
      <c r="T98" s="487" t="n">
        <v>0</v>
      </c>
      <c r="U98" s="501" t="n"/>
      <c r="V98" s="489">
        <f>SUM(T98:U98)</f>
        <v/>
      </c>
      <c r="W98" s="1026" t="n">
        <v>0</v>
      </c>
      <c r="X98" s="490" t="n">
        <v>0</v>
      </c>
      <c r="Z98" s="761" t="n">
        <v>0</v>
      </c>
      <c r="AA98" s="240" t="n"/>
      <c r="AB98" s="562" t="n"/>
    </row>
    <row r="99">
      <c r="A99" s="506" t="n"/>
      <c r="B99" s="507" t="inlineStr">
        <is>
          <t>Palmatum HR Liquid, LLC</t>
        </is>
      </c>
      <c r="C99" s="507" t="inlineStr">
        <is>
          <t>BBR</t>
        </is>
      </c>
      <c r="D99" s="508" t="n">
        <v>2000000</v>
      </c>
      <c r="E99" s="508" t="n"/>
      <c r="F99" s="508" t="n">
        <v>0</v>
      </c>
      <c r="G99" s="508" t="n"/>
      <c r="H99" s="508" t="n"/>
      <c r="I99" s="508" t="n">
        <v>0</v>
      </c>
      <c r="J99" s="1032" t="n">
        <v>0</v>
      </c>
      <c r="K99" s="1032" t="n">
        <v>0.05730659025787966</v>
      </c>
      <c r="L99" s="510" t="n">
        <v>0</v>
      </c>
      <c r="M99" s="508" t="n">
        <v>5000</v>
      </c>
      <c r="N99" s="508" t="n">
        <v>0</v>
      </c>
      <c r="O99" s="508" t="n">
        <v>0</v>
      </c>
      <c r="P99" s="508" t="n">
        <v>5000</v>
      </c>
      <c r="Q99" s="1033" t="n">
        <v>0.0025</v>
      </c>
      <c r="R99" s="512" t="n">
        <v>0.01</v>
      </c>
      <c r="S99" s="513" t="n">
        <v>5000</v>
      </c>
      <c r="T99" s="514" t="n">
        <v>5000</v>
      </c>
      <c r="U99" s="515">
        <f>-U97</f>
        <v/>
      </c>
      <c r="V99" s="489">
        <f>SUM(T99:U99)</f>
        <v/>
      </c>
      <c r="W99" s="1032" t="n">
        <v>0.0025</v>
      </c>
      <c r="X99" s="490">
        <f>V99/D99</f>
        <v/>
      </c>
      <c r="Z99" s="761">
        <f>0-V99+S99</f>
        <v/>
      </c>
      <c r="AA99" s="502" t="inlineStr">
        <is>
          <t>Transfer of Interest from Terminal Refrigerating &amp; Warehousing Corp dtd 3.31.26</t>
        </is>
      </c>
    </row>
    <row r="100">
      <c r="AB100" s="25" t="n"/>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Austin Hatley</dc:creator>
  <dcterms:created xmlns:dcterms="http://purl.org/dc/terms/" xmlns:xsi="http://www.w3.org/2001/XMLSchema-instance" xsi:type="dcterms:W3CDTF">2026-01-24T04:59:53Z</dcterms:created>
  <dcterms:modified xmlns:dcterms="http://purl.org/dc/terms/" xmlns:xsi="http://www.w3.org/2001/XMLSchema-instance" xsi:type="dcterms:W3CDTF">2026-09-23T22:01:03Z</dcterms:modified>
  <cp:lastModifiedBy>Austin Hatley</cp:lastModifiedBy>
</cp:coreProperties>
</file>