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ub Close Summary" state="visible" r:id="rId4"/>
    <sheet sheetId="2" name="Sub Close Calcu" state="visible" r:id="rId5"/>
    <sheet sheetId="3" name="Subsequent Close" state="visible" r:id="rId6"/>
    <sheet sheetId="4" name="True-Up" state="visible" r:id="rId7"/>
    <sheet sheetId="5" name="Closing Interest" state="visible" r:id="rId8"/>
    <sheet sheetId="6" name="Management Fees - New Investor" state="visible" r:id="rId9"/>
    <sheet sheetId="7" name="Subsequent Close - OLD B4 25k" state="visible" r:id="rId10"/>
    <sheet sheetId="8" name="May 26 Distribution Checking" state="visible" r:id="rId11"/>
  </sheets>
  <calcPr calcId="171027"/>
</workbook>
</file>

<file path=xl/sharedStrings.xml><?xml version="1.0" encoding="utf-8"?>
<sst xmlns="http://schemas.openxmlformats.org/spreadsheetml/2006/main" count="2685" uniqueCount="208">
  <si>
    <t>Summary close details for Legacy Knight</t>
  </si>
  <si>
    <t>Partner Name</t>
  </si>
  <si>
    <t>Total Contribution - Investments</t>
  </si>
  <si>
    <t>Total Contributions - Management Fees</t>
  </si>
  <si>
    <t>Total Interest - Contributions (Investment)</t>
  </si>
  <si>
    <t>Total Interest - Contributions (Management Fees)</t>
  </si>
  <si>
    <t>Total Call</t>
  </si>
  <si>
    <t>Legacy Knight Strategic Opportunities Fund LLC - CL Rail Series</t>
  </si>
  <si>
    <t>James Bloomingdale</t>
  </si>
  <si>
    <t>Checking</t>
  </si>
  <si>
    <t>Difference from supporting workpapers (closing interest and management fee tabs)</t>
  </si>
  <si>
    <t>Legacy Knight</t>
  </si>
  <si>
    <t>Total contributed at rebalance date:</t>
  </si>
  <si>
    <t>Total management fee contributions - other investors</t>
  </si>
  <si>
    <t>Total Investment Contributions for rebalance</t>
  </si>
  <si>
    <t>Total Investment Contribution by Legacy Knight:</t>
  </si>
  <si>
    <t>Total Investment Contribution by James Bloomingdale</t>
  </si>
  <si>
    <t>JE# LC05282601</t>
  </si>
  <si>
    <t>Date</t>
  </si>
  <si>
    <t>Account#</t>
  </si>
  <si>
    <t>Debit</t>
  </si>
  <si>
    <t>Credit</t>
  </si>
  <si>
    <t>Memo</t>
  </si>
  <si>
    <t>Investor</t>
  </si>
  <si>
    <t>301200 Contributions:Contribution - Investment</t>
  </si>
  <si>
    <t>To record contribution - investment for Legacy Knight dtd 5/5/26</t>
  </si>
  <si>
    <t>301300 Contributions:Contribution - Mgmt Fees</t>
  </si>
  <si>
    <t>To record contribution - management fee for Legacy Knight dtd 5/5/26</t>
  </si>
  <si>
    <t>301800 Contributions:Contribution - Org Exp</t>
  </si>
  <si>
    <t>To record contribution - org exp for Legacy Knight dtd 5/5/26</t>
  </si>
  <si>
    <t>301100 Contributions:Contribution - General</t>
  </si>
  <si>
    <t>To record contribution - General for Legacy Knight dtd 5/5/26</t>
  </si>
  <si>
    <t>210700 Payable - Other</t>
  </si>
  <si>
    <t>To record payments re interest payable for Equalization distribution for Legacy Knight dtd 5/5/26</t>
  </si>
  <si>
    <t>To record payments re interest payable for management fee due to subsequent closing for Legacy Knight dtd 5/5/26</t>
  </si>
  <si>
    <t>12000 Accounts Receivable</t>
  </si>
  <si>
    <t>To record cash received from Legacy Knight dtd 5/5/26</t>
  </si>
  <si>
    <t>JE# LC05282602</t>
  </si>
  <si>
    <t>To record contribution - investment for James Bloomingdale dtd 5/5/26</t>
  </si>
  <si>
    <t>To record contribution - management fee for James Bloomingdale dtd 5/5/26</t>
  </si>
  <si>
    <t>To record contribution - org exp for James Bloomingdale dtd 5/5/26</t>
  </si>
  <si>
    <t>To record contribution - General for James Bloomingdale dtd 5/5/26</t>
  </si>
  <si>
    <t>To record payments re interest payable for Equalization distribution for James Bloomingdale dtd 5/5/26</t>
  </si>
  <si>
    <t>To record payments re interest payable for management fee due to subsequent closing for James Bloomingdale dtd 5/5/26</t>
  </si>
  <si>
    <t>To record cash recivable from James Bloomingdale dtd 5/5/26</t>
  </si>
  <si>
    <t>JE# LC05282603</t>
  </si>
  <si>
    <t>Summary of JE</t>
  </si>
  <si>
    <t>Acct#</t>
  </si>
  <si>
    <t>100200 Cash Checking</t>
  </si>
  <si>
    <t>To record total of equalization distribution per Legacy Knight Subsequent Closing in Q2'26.</t>
  </si>
  <si>
    <t>1999 Britta Biesecker Declaration of Trust DTD 5/12/99</t>
  </si>
  <si>
    <t>1999 Frederick N Biesecker II Declaration of Trust DTD 5/12/99</t>
  </si>
  <si>
    <t>To record changes in contribution due to Legacy Knight Subsequent Closing.</t>
  </si>
  <si>
    <t>1999 Lissa Biesecker Longacre Declaration of Trust DTD 5/12/99</t>
  </si>
  <si>
    <t>Abigail Levy</t>
  </si>
  <si>
    <t>AKWT LLC</t>
  </si>
  <si>
    <t>To record distribution interest payment for Legacy Knight Subsequent Closing</t>
  </si>
  <si>
    <t>Alexander S. Bloomingdale</t>
  </si>
  <si>
    <t>To record management interest payment for Legacy Knight Subsequent Closing</t>
  </si>
  <si>
    <t>Alexander Sharpe Moore</t>
  </si>
  <si>
    <t xml:space="preserve">To record true-up due to Odyssey commitment overstatement in Q1'26.  </t>
  </si>
  <si>
    <t>All Dogs Go To Heaven, LLC</t>
  </si>
  <si>
    <t>Alten Investments LLC</t>
  </si>
  <si>
    <t>Avery Ryan Klann</t>
  </si>
  <si>
    <t>To record capital call for 2 millions offsetting Legacy Knight Sub Close dtd 5/19/2026</t>
  </si>
  <si>
    <t>BBR Real Assets Fund 2024 LLC</t>
  </si>
  <si>
    <t>230100 Distributions Payable</t>
  </si>
  <si>
    <t>To record overpayment from Legacy Knight as distribution payable dtd 5/19/2026</t>
  </si>
  <si>
    <t>Belclaire Asset Management, LLC</t>
  </si>
  <si>
    <t>To record refund due to Overstatement for Odyssey commitment in Q2'26</t>
  </si>
  <si>
    <t>Benaiah Inc.</t>
  </si>
  <si>
    <t>To record capital call related to Legacy Knight Sub Close dtd 5/5/26</t>
  </si>
  <si>
    <t>Benjamin Johnson</t>
  </si>
  <si>
    <t>To record payment received from Legacy Knight related to Legacy Knight Sub Close dtd 5/5/26</t>
  </si>
  <si>
    <t>Bloomingdale Family Trust Share #3</t>
  </si>
  <si>
    <t xml:space="preserve">To record true-up for Odyssey due to Odyssey commitment overstatement in Q1'26.  </t>
  </si>
  <si>
    <t>Brian Carroll 2011 Long-Term Trust</t>
  </si>
  <si>
    <t>Bryan C. White LLC</t>
  </si>
  <si>
    <t>Cameron J. Tringale</t>
  </si>
  <si>
    <t>Uncategorized Expenses</t>
  </si>
  <si>
    <t>Charing Hatcherville LLC</t>
  </si>
  <si>
    <t>To record capital call receivable for James Bloomingdale dtd 5/19/2026.</t>
  </si>
  <si>
    <t>Charing Silsbee, LLC</t>
  </si>
  <si>
    <t>Chase F. Monroe</t>
  </si>
  <si>
    <t>Chase The Lion, Inc.</t>
  </si>
  <si>
    <t>Chris Schaaf</t>
  </si>
  <si>
    <t>Christopher J. Campbell</t>
  </si>
  <si>
    <t>Christopher Johnson</t>
  </si>
  <si>
    <t>CLIP Sponsor LLC</t>
  </si>
  <si>
    <t>CLR Silsbee Sponsor LLC</t>
  </si>
  <si>
    <t>Daniel Ross</t>
  </si>
  <si>
    <t>Endurance Companies LLC</t>
  </si>
  <si>
    <t>Forem Capital, LLC</t>
  </si>
  <si>
    <t>Francis Brawley</t>
  </si>
  <si>
    <t>Geoffrey and Elizabeth Bloomingdale Living Trust</t>
  </si>
  <si>
    <t>Greene 2000 Family Trust</t>
  </si>
  <si>
    <t>Greene Marital Trust</t>
  </si>
  <si>
    <t>Gregory Brent Wood</t>
  </si>
  <si>
    <t>Hundley Family Trust</t>
  </si>
  <si>
    <t>In God We Trust 2017 Living Trust</t>
  </si>
  <si>
    <t>James Campbell and Patricia Campbell</t>
  </si>
  <si>
    <t>James Kane</t>
  </si>
  <si>
    <t>James Thorp</t>
  </si>
  <si>
    <t>Jeffrey A. Lipsitz Revocable Trust</t>
  </si>
  <si>
    <t>Jeffrey D Furber Revocable Trust</t>
  </si>
  <si>
    <t>Jeremy M. Jacobs Trust U/A/D April 1, 1973 fbo Margaret L. Reichenback</t>
  </si>
  <si>
    <t>John Mark Comer</t>
  </si>
  <si>
    <t>Landscape I, LP</t>
  </si>
  <si>
    <t>Lisa Bell Trust, Elisabeth B. Bell, Trustee</t>
  </si>
  <si>
    <t>Madten Investments LLC</t>
  </si>
  <si>
    <t>Matt McCoy</t>
  </si>
  <si>
    <t>Matterhorn Holdings, LLC</t>
  </si>
  <si>
    <t>Max O. Reinbach III</t>
  </si>
  <si>
    <t>Meghann C. Robinson</t>
  </si>
  <si>
    <t>Nahas Investments II LLC</t>
  </si>
  <si>
    <t>Odyssey Holdings, LLC</t>
  </si>
  <si>
    <t>Pease River Holdings LLC</t>
  </si>
  <si>
    <t>PT Burros, LLC</t>
  </si>
  <si>
    <t>Robert D. Falese III</t>
  </si>
  <si>
    <t>Robert Parker Yates</t>
  </si>
  <si>
    <t>Robert S. Shafir &amp; Donna R. Shafir TEN/COM</t>
  </si>
  <si>
    <t>Robert S. Shafir 2011 Children's Trust</t>
  </si>
  <si>
    <t>Romar Partners, LP</t>
  </si>
  <si>
    <t>Steven and Chani Laufer 2012 Dynasty Trust</t>
  </si>
  <si>
    <t>Steven M. Laufer 2012 Trust</t>
  </si>
  <si>
    <t>Stewart Tate</t>
  </si>
  <si>
    <t>TC Wilson Family Trust</t>
  </si>
  <si>
    <t>The 2015 Pipe Reality Delaware Trust</t>
  </si>
  <si>
    <t>The David L. Schnadig 2017 Trust</t>
  </si>
  <si>
    <t>The Diane Rosen 2021 Irrevocable Family Trust</t>
  </si>
  <si>
    <t>The Mark T. Kirchdorfer 2015 Family Delaware Dynasty Trust</t>
  </si>
  <si>
    <t>University of Southern California</t>
  </si>
  <si>
    <t>Walker D. Zimmerman</t>
  </si>
  <si>
    <t>Wilson Family Trust DTD 3-6-1987</t>
  </si>
  <si>
    <t>Wilson GST Exempt Trust</t>
  </si>
  <si>
    <t>Texas Emerging Managers Private Markets Program, L.P. (2025-1 RE Investment Series)</t>
  </si>
  <si>
    <t>GCM Grosvenor NJ RE Emerging Managers Program, LP (2023-1 Investment Series)</t>
  </si>
  <si>
    <t>GCM Grosvenor - NYSTRS Real Estate Investment Partners, L.P. (2024-1 Series)</t>
  </si>
  <si>
    <t>CRPTF-GCM Middle-Market RE Partnership, L.P. (2025-01 Investment Series)</t>
  </si>
  <si>
    <t>Argos Holdings, LLC</t>
  </si>
  <si>
    <t>Palmatum HR Illiquid, LLC</t>
  </si>
  <si>
    <t>James and Natelie Bloomingdale</t>
  </si>
  <si>
    <t>Terminal Refrigerating &amp; Warehousing Corp.</t>
  </si>
  <si>
    <t>To record rounding related to Legacy Knight Sub Close JE dtd 5/19/26</t>
  </si>
  <si>
    <t>Totals</t>
  </si>
  <si>
    <t>Tied to GCM close WB</t>
  </si>
  <si>
    <t>Based on recalculated GCM close</t>
  </si>
  <si>
    <t>Tied to LK Close WB</t>
  </si>
  <si>
    <t>DISTRIBUTION - Subsequent Close</t>
  </si>
  <si>
    <t>Not part of distribution on capital</t>
  </si>
  <si>
    <t>MAY 2026 - Capital Call</t>
  </si>
  <si>
    <t>Investor Name</t>
  </si>
  <si>
    <t>Total Commitment / Contributed Capital @ GCM Close</t>
  </si>
  <si>
    <t>Distribution - GCM Equalization</t>
  </si>
  <si>
    <t>Correcting Distribution (Odyssey commitment overstatement)</t>
  </si>
  <si>
    <t>Distribution - Legacy Knight Equalization</t>
  </si>
  <si>
    <t>Distribution - James &amp; Natalie Bloomingdale Equalization</t>
  </si>
  <si>
    <t>May 2026 - Capital Call</t>
  </si>
  <si>
    <t>Ending Capital (Recalculated)</t>
  </si>
  <si>
    <t>Unfunded per books</t>
  </si>
  <si>
    <t>Ending Capital Per Sub Close WB</t>
  </si>
  <si>
    <t>Diff</t>
  </si>
  <si>
    <t>Call From Subsequent Close Investor</t>
  </si>
  <si>
    <t>Total GCM True-Up to Investor</t>
  </si>
  <si>
    <t>Total Investment Distribution to Investors</t>
  </si>
  <si>
    <t>Total Interest Distribution to Investors</t>
  </si>
  <si>
    <t>Total Distribution to Investor</t>
  </si>
  <si>
    <t>Management Fee Interest Distribution</t>
  </si>
  <si>
    <t>Call received as of 5.18.26</t>
  </si>
  <si>
    <t>Net to Investor</t>
  </si>
  <si>
    <t>Return of Capital Call re Sub Close</t>
  </si>
  <si>
    <t>Call - Investments</t>
  </si>
  <si>
    <t>Call - Management Fees</t>
  </si>
  <si>
    <t>Total Capital Call</t>
  </si>
  <si>
    <t>Net cash from/(to) investor</t>
  </si>
  <si>
    <t>Management fees - Legacy Knight</t>
  </si>
  <si>
    <t>Cash to balance sheet</t>
  </si>
  <si>
    <t>Management fees - James Bloomingdale</t>
  </si>
  <si>
    <t>Management fees</t>
  </si>
  <si>
    <t>Total</t>
  </si>
  <si>
    <t>Total cash retained by CLRF</t>
  </si>
  <si>
    <t>Difference</t>
  </si>
  <si>
    <t>Total Contribution to Q2'26</t>
  </si>
  <si>
    <t>Total Distribution to Q2'26</t>
  </si>
  <si>
    <t>Net Cash Impact</t>
  </si>
  <si>
    <t>County Line Rail Subsequent Close Workbook - Legacy Knight</t>
  </si>
  <si>
    <t>Amount before Rebalance</t>
  </si>
  <si>
    <t>Rebalance</t>
  </si>
  <si>
    <t>Contribution - Investment</t>
  </si>
  <si>
    <t>Contribution - Org Exp</t>
  </si>
  <si>
    <t>Contribution - General</t>
  </si>
  <si>
    <t>Contribution - Investment (Rebalanced)</t>
  </si>
  <si>
    <t>Contribution - Org Exp (Rebalanced)</t>
  </si>
  <si>
    <t>Contribution - General (Rebalanced)</t>
  </si>
  <si>
    <t>GP Commitment</t>
  </si>
  <si>
    <t>Increase in contributions</t>
  </si>
  <si>
    <t>LP Commitment (After Terminal transfer)</t>
  </si>
  <si>
    <t>Total non-management fee contributions</t>
  </si>
  <si>
    <t>ITD management fees</t>
  </si>
  <si>
    <t>Legacy Knight manamgenet fees</t>
  </si>
  <si>
    <t>Total invested capital post close</t>
  </si>
  <si>
    <t>Correction</t>
  </si>
  <si>
    <t>CLRF Subsequent Close — Closing Interest (fund administrator schedule, values pinned)</t>
  </si>
  <si>
    <t>CLRF Subsequent Close — Management Fees, New Investor (fund administrator schedule, values pinned)</t>
  </si>
  <si>
    <t>CLRF Subsequent Close — prior ($25k) basis variant (fund administrator schedule, value pinned)</t>
  </si>
  <si>
    <t>CLRF Subsequent Close — May 2026 Distribution Checking (reconstructed from workpaper results; col Y = contribution reallocation, col AA = cash distribution)</t>
  </si>
  <si>
    <t>Contribution reallocation (Y)</t>
  </si>
  <si>
    <t>Cash distribution (AA)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</si>
</sst>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_(* #,##0_);_(* (#,##0);_(* &quot;-&quot;??_);_(@_)"/>
    <numFmt numFmtId="166" formatCode="&quot;$&quot;#,##0.00_);[Red](&quot;$&quot;#,##0.00)"/>
  </numFmts>
  <fonts count="1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i/>
      <color rgb="FFFF0000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color rgb="FF0000FF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rgb="FF0000FF"/>
      <family val="2"/>
      <scheme val="minor"/>
      <sz val="11"/>
      <name val="Calibri"/>
    </font>
    <font>
      <color theme="1"/>
      <family val="1"/>
      <sz val="8"/>
      <name val="Times New Roman"/>
    </font>
    <font>
      <b/>
      <color theme="1"/>
      <family val="1"/>
      <sz val="8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2" fillId="3" borderId="0" xfId="0" applyFont="1" applyFill="1" applyAlignment="1">
      <alignment horizontal="left" indent="1"/>
    </xf>
    <xf numFmtId="164" fontId="2" fillId="3" borderId="0" xfId="0" applyNumberFormat="1" applyFont="1" applyFill="1"/>
    <xf numFmtId="0" fontId="3" fillId="4" borderId="0" xfId="0" applyFont="1" applyFill="1"/>
    <xf numFmtId="0" fontId="0" fillId="4" borderId="0" xfId="0" applyFill="1"/>
    <xf numFmtId="0" fontId="4" fillId="4" borderId="0" xfId="0" applyFont="1" applyFill="1"/>
    <xf numFmtId="164" fontId="0" fillId="4" borderId="0" xfId="0" applyNumberFormat="1" applyFill="1"/>
    <xf numFmtId="0" fontId="1" fillId="2" borderId="0" xfId="0" applyFont="1" applyFill="1"/>
    <xf numFmtId="0" fontId="0" fillId="2" borderId="0" xfId="0" applyFill="1"/>
    <xf numFmtId="0" fontId="0" fillId="0" borderId="2" xfId="0" applyBorder="1"/>
    <xf numFmtId="165" fontId="0" fillId="0" borderId="3" xfId="0" applyNumberFormat="1" applyBorder="1"/>
    <xf numFmtId="0" fontId="0" fillId="0" borderId="4" xfId="0" applyBorder="1"/>
    <xf numFmtId="165" fontId="0" fillId="0" borderId="5" xfId="0" applyNumberFormat="1" applyBorder="1"/>
    <xf numFmtId="0" fontId="1" fillId="0" borderId="4" xfId="0" applyFont="1" applyBorder="1" applyAlignment="1">
      <alignment horizontal="left" indent="1"/>
    </xf>
    <xf numFmtId="10" fontId="0" fillId="0" borderId="5" xfId="0" applyNumberFormat="1" applyBorder="1"/>
    <xf numFmtId="0" fontId="0" fillId="0" borderId="6" xfId="0" applyBorder="1"/>
    <xf numFmtId="165" fontId="0" fillId="0" borderId="7" xfId="0" applyNumberFormat="1" applyBorder="1"/>
    <xf numFmtId="0" fontId="0" fillId="0" borderId="0" xfId="0" applyAlignment="1">
      <alignment horizontal="left" indent="1"/>
    </xf>
    <xf numFmtId="0" fontId="1" fillId="5" borderId="0" xfId="0" applyFont="1" applyFill="1"/>
    <xf numFmtId="14" fontId="1" fillId="5" borderId="0" xfId="0" applyNumberFormat="1" applyFont="1" applyFill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49" fontId="5" fillId="0" borderId="1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164" fontId="1" fillId="0" borderId="9" xfId="0" applyNumberFormat="1" applyFont="1" applyBorder="1"/>
    <xf numFmtId="0" fontId="0" fillId="0" borderId="12" xfId="0" applyBorder="1"/>
    <xf numFmtId="49" fontId="5" fillId="0" borderId="13" xfId="0" applyNumberFormat="1" applyFont="1" applyBorder="1" applyAlignment="1" applyProtection="1">
      <alignment horizontal="left" vertical="center"/>
      <protection locked="0"/>
    </xf>
    <xf numFmtId="0" fontId="0" fillId="0" borderId="1" xfId="0" applyBorder="1"/>
    <xf numFmtId="164" fontId="0" fillId="0" borderId="1" xfId="0" applyNumberFormat="1" applyBorder="1"/>
    <xf numFmtId="0" fontId="0" fillId="0" borderId="14" xfId="0" applyBorder="1"/>
    <xf numFmtId="49" fontId="5" fillId="0" borderId="0" xfId="0" applyNumberFormat="1" applyFont="1" applyAlignment="1" applyProtection="1">
      <alignment horizontal="left" vertical="center"/>
      <protection locked="0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/>
    <xf numFmtId="0" fontId="6" fillId="0" borderId="0" xfId="0" applyFont="1"/>
    <xf numFmtId="0" fontId="1" fillId="0" borderId="0" xfId="0" applyFont="1" applyAlignment="1">
      <alignment horizontal="right"/>
    </xf>
    <xf numFmtId="165" fontId="0" fillId="0" borderId="0" xfId="0" applyNumberFormat="1"/>
    <xf numFmtId="0" fontId="3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15" xfId="0" applyFont="1" applyBorder="1"/>
    <xf numFmtId="0" fontId="7" fillId="10" borderId="15" xfId="0" applyFont="1" applyFill="1" applyBorder="1" applyAlignment="1">
      <alignment wrapText="1"/>
    </xf>
    <xf numFmtId="0" fontId="8" fillId="0" borderId="15" xfId="0" applyFont="1" applyBorder="1"/>
    <xf numFmtId="0" fontId="7" fillId="10" borderId="15" xfId="0" applyFont="1" applyFill="1" applyBorder="1"/>
    <xf numFmtId="0" fontId="8" fillId="0" borderId="3" xfId="0" applyFont="1" applyBorder="1"/>
    <xf numFmtId="0" fontId="7" fillId="0" borderId="2" xfId="0" applyFont="1" applyBorder="1"/>
    <xf numFmtId="0" fontId="8" fillId="0" borderId="16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5" fontId="0" fillId="0" borderId="4" xfId="0" applyNumberFormat="1" applyBorder="1"/>
    <xf numFmtId="165" fontId="0" fillId="10" borderId="0" xfId="0" applyNumberFormat="1" applyFill="1"/>
    <xf numFmtId="165" fontId="6" fillId="0" borderId="0" xfId="0" applyNumberFormat="1" applyFont="1"/>
    <xf numFmtId="164" fontId="0" fillId="0" borderId="17" xfId="0" applyNumberFormat="1" applyBorder="1"/>
    <xf numFmtId="166" fontId="10" fillId="0" borderId="0" xfId="0" applyNumberFormat="1" applyFont="1" applyAlignment="1">
      <alignment horizontal="right" vertical="center" wrapText="1"/>
    </xf>
    <xf numFmtId="164" fontId="0" fillId="0" borderId="4" xfId="0" applyNumberFormat="1" applyBorder="1"/>
    <xf numFmtId="164" fontId="0" fillId="0" borderId="0" xfId="0" applyNumberFormat="1" applyAlignment="1">
      <alignment horizontal="left" indent="2"/>
    </xf>
    <xf numFmtId="164" fontId="0" fillId="0" borderId="6" xfId="0" applyNumberFormat="1" applyBorder="1"/>
    <xf numFmtId="165" fontId="0" fillId="0" borderId="18" xfId="0" applyNumberFormat="1" applyBorder="1"/>
    <xf numFmtId="164" fontId="0" fillId="0" borderId="18" xfId="0" applyNumberFormat="1" applyBorder="1"/>
    <xf numFmtId="164" fontId="0" fillId="10" borderId="18" xfId="0" applyNumberFormat="1" applyFill="1" applyBorder="1"/>
    <xf numFmtId="165" fontId="0" fillId="10" borderId="18" xfId="0" applyNumberFormat="1" applyFill="1" applyBorder="1"/>
    <xf numFmtId="164" fontId="0" fillId="0" borderId="19" xfId="0" applyNumberFormat="1" applyBorder="1"/>
    <xf numFmtId="165" fontId="1" fillId="11" borderId="0" xfId="0" applyNumberFormat="1" applyFont="1" applyFill="1"/>
    <xf numFmtId="165" fontId="1" fillId="0" borderId="0" xfId="0" applyNumberFormat="1" applyFont="1"/>
    <xf numFmtId="165" fontId="9" fillId="0" borderId="0" xfId="0" applyNumberFormat="1" applyFont="1"/>
    <xf numFmtId="165" fontId="0" fillId="10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" xfId="0" applyNumberFormat="1" applyBorder="1"/>
    <xf numFmtId="0" fontId="1" fillId="10" borderId="0" xfId="0" applyFont="1" applyFill="1" applyAlignment="1">
      <alignment horizontal="right"/>
    </xf>
    <xf numFmtId="164" fontId="6" fillId="0" borderId="0" xfId="0" applyNumberFormat="1" applyFont="1"/>
    <xf numFmtId="166" fontId="11" fillId="0" borderId="0" xfId="0" applyNumberFormat="1" applyFont="1" applyAlignment="1">
      <alignment horizontal="right" vertical="center" wrapText="1"/>
    </xf>
    <xf numFmtId="166" fontId="10" fillId="10" borderId="0" xfId="0" applyNumberFormat="1" applyFont="1" applyFill="1" applyAlignment="1">
      <alignment horizontal="right" vertical="center" wrapText="1"/>
    </xf>
    <xf numFmtId="0" fontId="9" fillId="0" borderId="0" xfId="0" applyFont="1"/>
    <xf numFmtId="4" fontId="10" fillId="10" borderId="0" xfId="0" applyNumberFormat="1" applyFont="1" applyFill="1" applyAlignment="1">
      <alignment horizontal="right" vertical="center" wrapText="1"/>
    </xf>
    <xf numFmtId="4" fontId="10" fillId="0" borderId="0" xfId="0" applyNumberFormat="1" applyFont="1" applyAlignment="1">
      <alignment horizontal="right" vertical="center" wrapText="1"/>
    </xf>
    <xf numFmtId="0" fontId="9" fillId="0" borderId="9" xfId="0" applyFont="1" applyBorder="1"/>
    <xf numFmtId="165" fontId="9" fillId="0" borderId="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"/>
  </sheetPr>
  <dimension ref="A1:K770"/>
  <sheetViews>
    <sheetView workbookViewId="0" zoomScale="100" zoomScaleNormal="100">
      <selection activeCell="D18" sqref="D18"/>
    </sheetView>
  </sheetViews>
  <sheetFormatPr defaultRowHeight="14.5" outlineLevelRow="0" outlineLevelCol="0" x14ac:dyDescent="0.35" customHeight="1"/>
  <cols>
    <col min="1" max="1" width="78.81640625" customWidth="1"/>
    <col min="2" max="3" width="26.54296875" customWidth="1"/>
    <col min="4" max="4" width="55.54296875" customWidth="1"/>
    <col min="5" max="5" width="75.7265625" customWidth="1"/>
    <col min="6" max="6" width="26.54296875" customWidth="1"/>
    <col min="7" max="7" width="39.54296875" customWidth="1"/>
    <col min="8" max="9" width="14.7265625" customWidth="1"/>
    <col min="10" max="10" width="83.26953125" customWidth="1"/>
    <col min="11" max="11" width="11.54296875" customWidth="1"/>
  </cols>
  <sheetData>
    <row r="1" spans="1:1" x14ac:dyDescent="0.25">
      <c r="A1" s="1" t="s">
        <v>0</v>
      </c>
    </row>
    <row r="2" spans="1:1" x14ac:dyDescent="0.25">
      <c r="A2" s="1"/>
    </row>
    <row r="3" ht="29" customHeight="1" spans="1:6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t="s">
        <v>7</v>
      </c>
      <c r="B4" s="4">
        <f>'Subsequent Close'!T82-'Subsequent Close'!M82+'Subsequent Close'!W82-'Subsequent Close'!P82+'Subsequent Close'!X82-'Subsequent Close'!Q82</f>
        <v>-4523875.5209399685</v>
      </c>
      <c r="C4" s="4">
        <f>'Subsequent Close - OLD B4 25k'!U82</f>
        <v>-147745.9239130435</v>
      </c>
      <c r="D4" s="4">
        <f>-'Closing Interest'!O25</f>
        <v>-327055.9339548755</v>
      </c>
      <c r="E4" s="4">
        <f>-'Management Fees - New Investor'!M20</f>
        <v>-9508.832340678975</v>
      </c>
      <c r="F4" s="4">
        <f>SUM(B4:E4)</f>
        <v>-5008186.2111485675</v>
      </c>
    </row>
    <row r="5" spans="1:6" x14ac:dyDescent="0.25">
      <c r="A5" t="s">
        <v>8</v>
      </c>
      <c r="B5" s="4">
        <f>'Subsequent Close'!T85+'Subsequent Close'!W85+'Subsequent Close'!X85</f>
        <v>-17826.52540411707</v>
      </c>
      <c r="C5" s="4">
        <f>'Subsequent Close'!U85</f>
        <v>-551.2907608695652</v>
      </c>
      <c r="D5" s="4">
        <f>-'Closing Interest'!O26</f>
        <v>-1288.7779268520665</v>
      </c>
      <c r="E5" s="4">
        <f>-'Management Fees - New Investor'!M34</f>
        <v>-35.48071768910066</v>
      </c>
      <c r="F5" s="4">
        <f>SUM(B5:E5)</f>
        <v>-19702.074809527803</v>
      </c>
    </row>
    <row r="6" spans="1:6" x14ac:dyDescent="0.25">
      <c r="A6" s="5" t="s">
        <v>6</v>
      </c>
      <c r="B6" s="6">
        <f>SUM(B4:B5)</f>
        <v>-4541702.046344086</v>
      </c>
      <c r="C6" s="6">
        <f>SUM(C4:C5)</f>
        <v>-148297.21467391305</v>
      </c>
      <c r="D6" s="6">
        <f>SUM(D4:D5)</f>
        <v>-328344.71188172756</v>
      </c>
      <c r="E6" s="6">
        <f>SUM(E4:E5)</f>
        <v>-9544.313058368076</v>
      </c>
      <c r="F6" s="6">
        <f>SUM(F4:F5)</f>
        <v>-5027888.285958095</v>
      </c>
    </row>
    <row r="8" spans="1:5" x14ac:dyDescent="0.25">
      <c r="A8" s="7" t="s">
        <v>9</v>
      </c>
      <c r="B8" s="8"/>
      <c r="C8" s="8"/>
      <c r="D8" s="8"/>
      <c r="E8" s="8"/>
    </row>
    <row r="9" spans="1:5" x14ac:dyDescent="0.25">
      <c r="A9" s="9" t="s">
        <v>10</v>
      </c>
      <c r="B9" s="10">
        <f>B6+'Closing Interest'!O18</f>
        <v>-0.010515529662370682</v>
      </c>
      <c r="C9" s="10">
        <f>C6-'Subsequent Close'!U86</f>
      </c>
      <c r="D9" s="10">
        <f>D6+'Closing Interest'!O29</f>
      </c>
      <c r="E9" s="10">
        <f>E6+'Management Fees - New Investor'!M20+'Management Fees - New Investor'!M34</f>
        <v>-1.9895196601282805e-13</v>
      </c>
    </row>
    <row r="11" ht="15" customHeight="1" spans="1:2" x14ac:dyDescent="0.25">
      <c r="A11" s="11" t="s">
        <v>11</v>
      </c>
      <c r="B11" s="12"/>
    </row>
    <row r="12" spans="1:2" x14ac:dyDescent="0.25">
      <c r="A12" s="13" t="s">
        <v>12</v>
      </c>
      <c r="B12" s="14">
        <f>'Subsequent Close'!R86</f>
        <v>-142263994.65599158</v>
      </c>
    </row>
    <row r="13" spans="1:2" x14ac:dyDescent="0.25">
      <c r="A13" s="15" t="s">
        <v>13</v>
      </c>
      <c r="B13" s="16">
        <f>-'Subsequent Close'!N86</f>
        <v>2653283.8859915757</v>
      </c>
    </row>
    <row r="14" spans="1:2" x14ac:dyDescent="0.25">
      <c r="A14" s="17" t="s">
        <v>14</v>
      </c>
      <c r="B14" s="16">
        <f>SUM(B12:B13)</f>
        <v>-139610710.77</v>
      </c>
    </row>
    <row r="15" spans="1:2" x14ac:dyDescent="0.25">
      <c r="A15" s="15"/>
      <c r="B15" s="18">
        <f>'Subsequent Close'!I82-'Subsequent Close'!H82</f>
        <v>0.03240349895784695</v>
      </c>
    </row>
    <row r="16" ht="15" customHeight="1" spans="1:2" x14ac:dyDescent="0.25">
      <c r="A16" s="19" t="s">
        <v>15</v>
      </c>
      <c r="B16" s="20">
        <f>B15*B14</f>
        <v>-4523875.520939968</v>
      </c>
    </row>
    <row r="18" ht="15" customHeight="1" spans="1:2" x14ac:dyDescent="0.25">
      <c r="A18" s="11" t="s">
        <v>8</v>
      </c>
      <c r="B18" s="12"/>
    </row>
    <row r="19" spans="1:2" x14ac:dyDescent="0.25">
      <c r="A19" s="13" t="s">
        <v>12</v>
      </c>
      <c r="B19" s="14">
        <f>B12</f>
        <v>-142263994.65599158</v>
      </c>
    </row>
    <row r="20" spans="1:2" x14ac:dyDescent="0.25">
      <c r="A20" s="15" t="s">
        <v>13</v>
      </c>
      <c r="B20" s="16">
        <f>B13</f>
        <v>2653283.8859915757</v>
      </c>
    </row>
    <row r="21" spans="1:2" x14ac:dyDescent="0.25">
      <c r="A21" s="17" t="s">
        <v>14</v>
      </c>
      <c r="B21" s="16">
        <f>SUM(B19:B20)</f>
        <v>-139610710.77</v>
      </c>
    </row>
    <row r="22" spans="1:2" x14ac:dyDescent="0.25">
      <c r="A22" s="15"/>
      <c r="B22" s="18">
        <f>'Subsequent Close'!I85</f>
        <v>0.0001276873766045441</v>
      </c>
    </row>
    <row r="23" ht="15" customHeight="1" spans="1:3" x14ac:dyDescent="0.25">
      <c r="A23" s="19" t="s">
        <v>16</v>
      </c>
      <c r="B23" s="20">
        <f>B22*B21</f>
        <v>-17826.525404117074</v>
      </c>
      <c r="C23" s="21"/>
    </row>
    <row r="24" spans="2:2" x14ac:dyDescent="0.25">
      <c r="B24" s="4"/>
    </row>
    <row r="26" spans="1:3" x14ac:dyDescent="0.25">
      <c r="A26" s="22" t="s">
        <v>17</v>
      </c>
      <c r="B26" s="22" t="s">
        <v>18</v>
      </c>
      <c r="C26" s="23">
        <v>46147</v>
      </c>
    </row>
    <row r="27" ht="15" customHeight="1" spans="1:5" x14ac:dyDescent="0.25">
      <c r="A27" s="24" t="s">
        <v>19</v>
      </c>
      <c r="B27" s="25" t="s">
        <v>20</v>
      </c>
      <c r="C27" s="25" t="s">
        <v>21</v>
      </c>
      <c r="D27" s="25" t="s">
        <v>22</v>
      </c>
      <c r="E27" s="26" t="s">
        <v>23</v>
      </c>
    </row>
    <row r="28" spans="1:5" x14ac:dyDescent="0.25">
      <c r="A28" s="27" t="s">
        <v>24</v>
      </c>
      <c r="B28" s="4"/>
      <c r="C28" s="4">
        <f>ROUND(-'Subsequent Close'!T82+'Subsequent Close'!M82,2)</f>
        <v>4069952.52</v>
      </c>
      <c r="D28" s="28" t="s">
        <v>25</v>
      </c>
      <c r="E28" s="29" t="s">
        <v>7</v>
      </c>
    </row>
    <row r="29" spans="1:5" x14ac:dyDescent="0.25">
      <c r="A29" s="27" t="s">
        <v>26</v>
      </c>
      <c r="B29" s="4"/>
      <c r="C29" s="4">
        <f>ROUND(+'Subsequent Close'!N82-'Subsequent Close'!U82-'Subsequent Close'!V82,2)</f>
        <v>147745.92</v>
      </c>
      <c r="D29" s="28" t="s">
        <v>27</v>
      </c>
      <c r="E29" s="29" t="s">
        <v>7</v>
      </c>
    </row>
    <row r="30" spans="1:5" x14ac:dyDescent="0.25">
      <c r="A30" s="27" t="s">
        <v>28</v>
      </c>
      <c r="B30" s="4"/>
      <c r="C30" s="4">
        <f>ROUND(+'Subsequent Close'!P82-'Subsequent Close'!W82,2)</f>
        <v>1811.82</v>
      </c>
      <c r="D30" s="28" t="s">
        <v>29</v>
      </c>
      <c r="E30" s="29" t="s">
        <v>7</v>
      </c>
    </row>
    <row r="31" spans="1:5" x14ac:dyDescent="0.25">
      <c r="A31" s="27" t="s">
        <v>30</v>
      </c>
      <c r="B31" s="4"/>
      <c r="C31" s="4">
        <f>ROUND(+'Subsequent Close'!Q82-'Subsequent Close'!X82,2)</f>
        <v>452111.18</v>
      </c>
      <c r="D31" s="28" t="s">
        <v>31</v>
      </c>
      <c r="E31" s="29" t="s">
        <v>7</v>
      </c>
    </row>
    <row r="32" spans="1:5" x14ac:dyDescent="0.25">
      <c r="A32" s="27" t="s">
        <v>32</v>
      </c>
      <c r="B32" s="4"/>
      <c r="C32" s="4">
        <f>ROUND(+'Subsequent Close'!AS82,2)</f>
        <v>327055.93</v>
      </c>
      <c r="D32" s="28" t="s">
        <v>33</v>
      </c>
      <c r="E32" s="29" t="s">
        <v>7</v>
      </c>
    </row>
    <row r="33" spans="1:5" x14ac:dyDescent="0.25">
      <c r="A33" s="27" t="s">
        <v>32</v>
      </c>
      <c r="B33" s="4"/>
      <c r="C33" s="4">
        <f>ROUND(+'Subsequent Close'!BA82,2)</f>
        <v>9508.83</v>
      </c>
      <c r="D33" s="28" t="s">
        <v>34</v>
      </c>
      <c r="E33" s="29" t="s">
        <v>7</v>
      </c>
    </row>
    <row r="34" spans="1:5" x14ac:dyDescent="0.25">
      <c r="A34" s="27" t="s">
        <v>35</v>
      </c>
      <c r="B34" s="4">
        <f>SUM(C28:C33)</f>
        <v>5008186.2</v>
      </c>
      <c r="C34" s="4"/>
      <c r="D34" s="28" t="s">
        <v>36</v>
      </c>
      <c r="E34" s="29" t="s">
        <v>7</v>
      </c>
    </row>
    <row r="36" spans="2:3" x14ac:dyDescent="0.25">
      <c r="B36" s="4"/>
      <c r="C36" s="4"/>
    </row>
    <row r="37" spans="2:3" x14ac:dyDescent="0.25">
      <c r="B37" s="4"/>
      <c r="C37" s="4"/>
    </row>
    <row r="38" spans="1:3" x14ac:dyDescent="0.25">
      <c r="A38" s="22" t="s">
        <v>37</v>
      </c>
      <c r="B38" s="22" t="s">
        <v>18</v>
      </c>
      <c r="C38" s="23">
        <v>46147</v>
      </c>
    </row>
    <row r="39" ht="15" customHeight="1" spans="1:5" x14ac:dyDescent="0.25">
      <c r="A39" s="24" t="s">
        <v>19</v>
      </c>
      <c r="B39" s="25" t="s">
        <v>20</v>
      </c>
      <c r="C39" s="25" t="s">
        <v>21</v>
      </c>
      <c r="D39" s="25" t="s">
        <v>22</v>
      </c>
      <c r="E39" s="26" t="s">
        <v>23</v>
      </c>
    </row>
    <row r="40" spans="1:5" x14ac:dyDescent="0.25">
      <c r="A40" s="27" t="s">
        <v>24</v>
      </c>
      <c r="B40" s="4"/>
      <c r="C40" s="4">
        <f>ROUND(-'Subsequent Close'!T85,2)</f>
        <v>16037.82</v>
      </c>
      <c r="D40" s="28" t="s">
        <v>38</v>
      </c>
      <c r="E40" s="29" t="s">
        <v>8</v>
      </c>
    </row>
    <row r="41" spans="1:5" x14ac:dyDescent="0.25">
      <c r="A41" s="27" t="s">
        <v>26</v>
      </c>
      <c r="B41" s="4"/>
      <c r="C41" s="4">
        <f>ROUND(-'Subsequent Close'!U85,2)</f>
        <v>551.29</v>
      </c>
      <c r="D41" s="28" t="s">
        <v>39</v>
      </c>
      <c r="E41" s="29" t="s">
        <v>8</v>
      </c>
    </row>
    <row r="42" spans="1:5" x14ac:dyDescent="0.25">
      <c r="A42" s="27" t="s">
        <v>28</v>
      </c>
      <c r="B42" s="4"/>
      <c r="C42" s="4">
        <f>ROUND(-'Subsequent Close'!W85,2)</f>
        <v>7.14</v>
      </c>
      <c r="D42" s="28" t="s">
        <v>40</v>
      </c>
      <c r="E42" s="29" t="s">
        <v>8</v>
      </c>
    </row>
    <row r="43" spans="1:5" x14ac:dyDescent="0.25">
      <c r="A43" s="27" t="s">
        <v>30</v>
      </c>
      <c r="B43" s="4"/>
      <c r="C43" s="4">
        <f>ROUND(-'Subsequent Close'!X85,2)</f>
        <v>1781.56</v>
      </c>
      <c r="D43" s="28" t="s">
        <v>41</v>
      </c>
      <c r="E43" s="29" t="s">
        <v>8</v>
      </c>
    </row>
    <row r="44" spans="1:5" x14ac:dyDescent="0.25">
      <c r="A44" s="27" t="s">
        <v>32</v>
      </c>
      <c r="B44" s="4"/>
      <c r="C44" s="4">
        <f>ROUND(+'Subsequent Close'!AS85,2)</f>
        <v>1288.78</v>
      </c>
      <c r="D44" s="28" t="s">
        <v>42</v>
      </c>
      <c r="E44" s="29" t="s">
        <v>8</v>
      </c>
    </row>
    <row r="45" spans="1:5" x14ac:dyDescent="0.25">
      <c r="A45" s="27" t="s">
        <v>32</v>
      </c>
      <c r="B45" s="4"/>
      <c r="C45" s="4">
        <f>ROUND(+'Subsequent Close'!BA85,2)</f>
        <v>35.48</v>
      </c>
      <c r="D45" s="28" t="s">
        <v>43</v>
      </c>
      <c r="E45" s="29" t="s">
        <v>8</v>
      </c>
    </row>
    <row r="46" spans="1:5" x14ac:dyDescent="0.25">
      <c r="A46" s="27" t="s">
        <v>35</v>
      </c>
      <c r="B46" s="4">
        <f>SUM(C40:C45)</f>
        <v>19702.07</v>
      </c>
      <c r="C46" s="4"/>
      <c r="D46" s="28" t="s">
        <v>44</v>
      </c>
      <c r="E46" s="29" t="s">
        <v>8</v>
      </c>
    </row>
    <row r="48" spans="1:10" x14ac:dyDescent="0.25">
      <c r="A48" s="22" t="s">
        <v>45</v>
      </c>
      <c r="B48" s="22" t="s">
        <v>18</v>
      </c>
      <c r="C48" s="23">
        <v>46161</v>
      </c>
      <c r="G48" t="s">
        <v>46</v>
      </c>
      <c r="H48" s="4">
        <f>SUM(H50:H68)</f>
        <v>10974728.110000001</v>
      </c>
      <c r="I48" s="4">
        <f>SUM(I50:I68)</f>
        <v>10974728.110000001</v>
      </c>
      <c r="J48" s="4">
        <f>+H48-I48</f>
        <v>0</v>
      </c>
    </row>
    <row r="49" ht="15" customHeight="1" spans="1:10" x14ac:dyDescent="0.25">
      <c r="A49" s="24" t="s">
        <v>19</v>
      </c>
      <c r="B49" s="25" t="s">
        <v>20</v>
      </c>
      <c r="C49" s="25" t="s">
        <v>21</v>
      </c>
      <c r="D49" s="25" t="s">
        <v>22</v>
      </c>
      <c r="E49" s="26" t="s">
        <v>23</v>
      </c>
      <c r="G49" s="24" t="s">
        <v>47</v>
      </c>
      <c r="H49" s="30" t="s">
        <v>20</v>
      </c>
      <c r="I49" s="30" t="s">
        <v>21</v>
      </c>
      <c r="J49" s="26"/>
    </row>
    <row r="50" spans="1:10" x14ac:dyDescent="0.25">
      <c r="A50" s="27" t="s">
        <v>48</v>
      </c>
      <c r="C50" s="4">
        <f>-ROUND(_xlfn.XLOOKUP(E50,'May 26 Distribution Checking'!A:A,'May 26 Distribution Checking'!AA:AA),2)</f>
        <v>8777.9</v>
      </c>
      <c r="D50" t="s">
        <v>49</v>
      </c>
      <c r="E50" t="s">
        <v>50</v>
      </c>
      <c r="G50" s="27" t="s">
        <v>48</v>
      </c>
      <c r="H50" s="4"/>
      <c r="I50" s="4">
        <f t="shared" ref="I50:I62" si="0">SUMIFS(C:C,A:A,G50,D:D,J50)</f>
        <v>3152712.250000001</v>
      </c>
      <c r="J50" s="31" t="s">
        <v>49</v>
      </c>
    </row>
    <row r="51" spans="1:10" x14ac:dyDescent="0.25">
      <c r="A51" s="27" t="s">
        <v>48</v>
      </c>
      <c r="C51" s="4">
        <f>-ROUND(_xlfn.XLOOKUP(E51,'May 26 Distribution Checking'!A:A,'May 26 Distribution Checking'!AA:AA),2)</f>
        <v>12289.05</v>
      </c>
      <c r="D51" t="s">
        <v>49</v>
      </c>
      <c r="E51" t="s">
        <v>51</v>
      </c>
      <c r="G51" s="27" t="s">
        <v>24</v>
      </c>
      <c r="H51" s="4">
        <f t="shared" ref="H51:H66" si="1">SUMIFS(B:B,A:A,G51,D:D,J51)</f>
        <v>4085990.350000001</v>
      </c>
      <c r="I51" s="4">
        <f t="shared" si="0"/>
        <v>0</v>
      </c>
      <c r="J51" s="31" t="s">
        <v>52</v>
      </c>
    </row>
    <row r="52" spans="1:10" x14ac:dyDescent="0.25">
      <c r="A52" s="27" t="s">
        <v>48</v>
      </c>
      <c r="C52" s="4">
        <f>-ROUND(_xlfn.XLOOKUP(E52,'May 26 Distribution Checking'!A:A,'May 26 Distribution Checking'!AA:AA),2)</f>
        <v>10533.47</v>
      </c>
      <c r="D52" t="s">
        <v>49</v>
      </c>
      <c r="E52" t="s">
        <v>53</v>
      </c>
      <c r="G52" s="27" t="s">
        <v>28</v>
      </c>
      <c r="H52" s="4">
        <f t="shared" si="1"/>
        <v>1819.0300000000002</v>
      </c>
      <c r="I52" s="4">
        <f t="shared" si="0"/>
        <v>0</v>
      </c>
      <c r="J52" s="31" t="s">
        <v>52</v>
      </c>
    </row>
    <row r="53" spans="1:10" x14ac:dyDescent="0.25">
      <c r="A53" s="27" t="s">
        <v>48</v>
      </c>
      <c r="C53" s="4">
        <f>-ROUND(_xlfn.XLOOKUP(E53,'May 26 Distribution Checking'!A:A,'May 26 Distribution Checking'!AA:AA),2)</f>
        <v>13166.84</v>
      </c>
      <c r="D53" t="s">
        <v>49</v>
      </c>
      <c r="E53" t="s">
        <v>54</v>
      </c>
      <c r="G53" s="27" t="s">
        <v>30</v>
      </c>
      <c r="H53" s="4">
        <f t="shared" si="1"/>
        <v>453892.7500000002</v>
      </c>
      <c r="I53" s="4">
        <f t="shared" si="0"/>
        <v>0</v>
      </c>
      <c r="J53" s="31" t="s">
        <v>52</v>
      </c>
    </row>
    <row r="54" spans="1:10" x14ac:dyDescent="0.25">
      <c r="A54" s="27" t="s">
        <v>48</v>
      </c>
      <c r="C54" s="4">
        <f>-ROUND(_xlfn.XLOOKUP(E54,'May 26 Distribution Checking'!A:A,'May 26 Distribution Checking'!AA:AA),2)</f>
        <v>1374.62</v>
      </c>
      <c r="D54" t="s">
        <v>49</v>
      </c>
      <c r="E54" t="s">
        <v>55</v>
      </c>
      <c r="G54" s="27" t="s">
        <v>32</v>
      </c>
      <c r="H54" s="4">
        <f t="shared" si="1"/>
        <v>328344.62000000017</v>
      </c>
      <c r="I54" s="4">
        <f t="shared" si="0"/>
        <v>0</v>
      </c>
      <c r="J54" s="31" t="s">
        <v>56</v>
      </c>
    </row>
    <row r="55" spans="1:10" x14ac:dyDescent="0.25">
      <c r="A55" s="27" t="s">
        <v>48</v>
      </c>
      <c r="C55" s="4">
        <f>-ROUND(_xlfn.XLOOKUP(E55,'May 26 Distribution Checking'!A:A,'May 26 Distribution Checking'!AA:AA),2)</f>
        <v>2531.51</v>
      </c>
      <c r="D55" t="s">
        <v>49</v>
      </c>
      <c r="E55" t="s">
        <v>57</v>
      </c>
      <c r="G55" s="27" t="s">
        <v>32</v>
      </c>
      <c r="H55" s="4">
        <f t="shared" si="1"/>
        <v>9544.31</v>
      </c>
      <c r="I55" s="4">
        <f t="shared" si="0"/>
        <v>0</v>
      </c>
      <c r="J55" s="31" t="s">
        <v>58</v>
      </c>
    </row>
    <row r="56" spans="1:10" x14ac:dyDescent="0.25">
      <c r="A56" s="27" t="s">
        <v>48</v>
      </c>
      <c r="C56" s="4">
        <f>-ROUND(_xlfn.XLOOKUP(E56,'May 26 Distribution Checking'!A:A,'May 26 Distribution Checking'!AA:AA),2)</f>
        <v>2749.25</v>
      </c>
      <c r="D56" t="s">
        <v>49</v>
      </c>
      <c r="E56" t="s">
        <v>59</v>
      </c>
      <c r="G56" s="27" t="s">
        <v>24</v>
      </c>
      <c r="H56" s="4">
        <f t="shared" si="1"/>
        <v>0</v>
      </c>
      <c r="I56" s="4">
        <f t="shared" si="0"/>
        <v>320894.7600000001</v>
      </c>
      <c r="J56" s="31" t="s">
        <v>60</v>
      </c>
    </row>
    <row r="57" spans="1:10" x14ac:dyDescent="0.25">
      <c r="A57" s="27" t="s">
        <v>48</v>
      </c>
      <c r="C57" s="4">
        <f>-ROUND(_xlfn.XLOOKUP(E57,'May 26 Distribution Checking'!A:A,'May 26 Distribution Checking'!AA:AA),2)</f>
        <v>9186.89</v>
      </c>
      <c r="D57" t="s">
        <v>49</v>
      </c>
      <c r="E57" t="s">
        <v>61</v>
      </c>
      <c r="G57" s="27" t="s">
        <v>28</v>
      </c>
      <c r="H57" s="4">
        <f t="shared" si="1"/>
        <v>0</v>
      </c>
      <c r="I57" s="4">
        <f t="shared" si="0"/>
        <v>142.94000000000008</v>
      </c>
      <c r="J57" s="31" t="s">
        <v>60</v>
      </c>
    </row>
    <row r="58" spans="1:10" x14ac:dyDescent="0.25">
      <c r="A58" s="27" t="s">
        <v>48</v>
      </c>
      <c r="C58" s="4">
        <f>-ROUND(_xlfn.XLOOKUP(E58,'May 26 Distribution Checking'!A:A,'May 26 Distribution Checking'!AA:AA),2)</f>
        <v>17555.79</v>
      </c>
      <c r="D58" t="s">
        <v>49</v>
      </c>
      <c r="E58" t="s">
        <v>62</v>
      </c>
      <c r="G58" s="27" t="s">
        <v>30</v>
      </c>
      <c r="H58" s="4">
        <f t="shared" si="1"/>
        <v>447388.0400000002</v>
      </c>
      <c r="I58" s="4">
        <f t="shared" si="0"/>
        <v>0</v>
      </c>
      <c r="J58" s="31" t="s">
        <v>60</v>
      </c>
    </row>
    <row r="59" spans="1:10" x14ac:dyDescent="0.25">
      <c r="A59" s="27" t="s">
        <v>48</v>
      </c>
      <c r="C59" s="4">
        <f>-ROUND(_xlfn.XLOOKUP(E59,'May 26 Distribution Checking'!A:A,'May 26 Distribution Checking'!AA:AA),2)</f>
        <v>6873.12</v>
      </c>
      <c r="D59" t="s">
        <v>49</v>
      </c>
      <c r="E59" t="s">
        <v>63</v>
      </c>
      <c r="G59" s="27" t="s">
        <v>24</v>
      </c>
      <c r="H59" s="4">
        <f t="shared" si="1"/>
        <v>0</v>
      </c>
      <c r="I59" s="4">
        <f t="shared" si="0"/>
        <v>2000000</v>
      </c>
      <c r="J59" s="31" t="s">
        <v>64</v>
      </c>
    </row>
    <row r="60" spans="1:10" x14ac:dyDescent="0.25">
      <c r="A60" s="27" t="s">
        <v>48</v>
      </c>
      <c r="C60" s="4">
        <f>-ROUND(_xlfn.XLOOKUP(E60,'May 26 Distribution Checking'!A:A,'May 26 Distribution Checking'!AA:AA),2)</f>
        <v>175557.91</v>
      </c>
      <c r="D60" t="s">
        <v>49</v>
      </c>
      <c r="E60" t="s">
        <v>65</v>
      </c>
      <c r="G60" s="27" t="s">
        <v>66</v>
      </c>
      <c r="H60" s="4">
        <f t="shared" si="1"/>
        <v>0</v>
      </c>
      <c r="I60" s="4">
        <f t="shared" si="0"/>
        <v>6707.82</v>
      </c>
      <c r="J60" s="31" t="s">
        <v>67</v>
      </c>
    </row>
    <row r="61" spans="1:10" x14ac:dyDescent="0.25">
      <c r="A61" s="27" t="s">
        <v>48</v>
      </c>
      <c r="C61" s="4">
        <f>-ROUND(_xlfn.XLOOKUP(E61,'May 26 Distribution Checking'!A:A,'May 26 Distribution Checking'!AA:AA),2)</f>
        <v>16060.01</v>
      </c>
      <c r="D61" t="s">
        <v>49</v>
      </c>
      <c r="E61" t="s">
        <v>68</v>
      </c>
      <c r="G61" s="27" t="s">
        <v>48</v>
      </c>
      <c r="H61" s="4">
        <f t="shared" si="1"/>
        <v>126350</v>
      </c>
      <c r="I61" s="4">
        <f t="shared" si="0"/>
        <v>0</v>
      </c>
      <c r="J61" s="31" t="s">
        <v>69</v>
      </c>
    </row>
    <row r="62" spans="1:10" x14ac:dyDescent="0.25">
      <c r="A62" s="27" t="s">
        <v>48</v>
      </c>
      <c r="C62" s="4">
        <f>-ROUND(_xlfn.XLOOKUP(E62,'May 26 Distribution Checking'!A:A,'May 26 Distribution Checking'!AA:AA),2)</f>
        <v>16060.01</v>
      </c>
      <c r="D62" t="s">
        <v>49</v>
      </c>
      <c r="E62" t="s">
        <v>70</v>
      </c>
      <c r="G62" s="27" t="s">
        <v>35</v>
      </c>
      <c r="H62" s="4">
        <f t="shared" si="1"/>
        <v>0</v>
      </c>
      <c r="I62" s="4">
        <f t="shared" si="0"/>
        <v>5008186</v>
      </c>
      <c r="J62" s="31" t="s">
        <v>71</v>
      </c>
    </row>
    <row r="63" spans="1:11" x14ac:dyDescent="0.25">
      <c r="A63" s="27" t="s">
        <v>48</v>
      </c>
      <c r="C63" s="4">
        <f>-ROUND(_xlfn.XLOOKUP(E63,'May 26 Distribution Checking'!A:A,'May 26 Distribution Checking'!AA:AA),2)</f>
        <v>1374.62</v>
      </c>
      <c r="D63" t="s">
        <v>49</v>
      </c>
      <c r="E63" t="s">
        <v>72</v>
      </c>
      <c r="G63" s="27" t="s">
        <v>48</v>
      </c>
      <c r="H63" s="4">
        <f t="shared" si="1"/>
        <v>5161409.84</v>
      </c>
      <c r="I63" s="4"/>
      <c r="J63" s="31" t="s">
        <v>73</v>
      </c>
      <c r="K63" s="4"/>
    </row>
    <row r="64" spans="1:10" x14ac:dyDescent="0.25">
      <c r="A64" s="27" t="s">
        <v>48</v>
      </c>
      <c r="C64" s="4">
        <f>-ROUND(_xlfn.XLOOKUP(E64,'May 26 Distribution Checking'!A:A,'May 26 Distribution Checking'!AA:AA),2)</f>
        <v>4123.87</v>
      </c>
      <c r="D64" t="s">
        <v>49</v>
      </c>
      <c r="E64" t="s">
        <v>74</v>
      </c>
      <c r="G64" s="27" t="s">
        <v>24</v>
      </c>
      <c r="H64" s="4">
        <f t="shared" si="1"/>
        <v>320894.82</v>
      </c>
      <c r="I64" s="4"/>
      <c r="J64" s="31" t="s">
        <v>75</v>
      </c>
    </row>
    <row r="65" spans="1:10" x14ac:dyDescent="0.25">
      <c r="A65" s="27" t="s">
        <v>48</v>
      </c>
      <c r="C65" s="4">
        <f>-ROUND(_xlfn.XLOOKUP(E65,'May 26 Distribution Checking'!A:A,'May 26 Distribution Checking'!AA:AA),2)</f>
        <v>8777.9</v>
      </c>
      <c r="D65" t="s">
        <v>49</v>
      </c>
      <c r="E65" t="s">
        <v>76</v>
      </c>
      <c r="G65" s="27" t="s">
        <v>28</v>
      </c>
      <c r="H65" s="4">
        <f t="shared" si="1"/>
        <v>142.85</v>
      </c>
      <c r="I65" s="4"/>
      <c r="J65" s="31" t="s">
        <v>75</v>
      </c>
    </row>
    <row r="66" spans="1:10" x14ac:dyDescent="0.25">
      <c r="A66" s="27" t="s">
        <v>48</v>
      </c>
      <c r="C66" s="4">
        <f>-ROUND(_xlfn.XLOOKUP(E66,'May 26 Distribution Checking'!A:A,'May 26 Distribution Checking'!AA:AA),2)</f>
        <v>3436.56</v>
      </c>
      <c r="D66" t="s">
        <v>49</v>
      </c>
      <c r="E66" t="s">
        <v>77</v>
      </c>
      <c r="G66" s="27" t="s">
        <v>30</v>
      </c>
      <c r="H66" s="4">
        <f t="shared" si="1"/>
        <v>38696.33</v>
      </c>
      <c r="I66" s="4"/>
      <c r="J66" s="31" t="s">
        <v>75</v>
      </c>
    </row>
    <row r="67" spans="1:10" x14ac:dyDescent="0.25">
      <c r="A67" s="27" t="s">
        <v>48</v>
      </c>
      <c r="C67" s="4">
        <f>-ROUND(_xlfn.XLOOKUP(E67,'May 26 Distribution Checking'!A:A,'May 26 Distribution Checking'!AA:AA),2)</f>
        <v>8777.9</v>
      </c>
      <c r="D67" t="s">
        <v>49</v>
      </c>
      <c r="E67" t="s">
        <v>78</v>
      </c>
      <c r="G67" s="27" t="s">
        <v>79</v>
      </c>
      <c r="H67" s="4"/>
      <c r="I67" s="4">
        <f>SUMIFS(C:C,A:A,G67,D:D,J67)</f>
        <v>486084.34</v>
      </c>
      <c r="J67" s="31" t="s">
        <v>75</v>
      </c>
    </row>
    <row r="68" spans="1:10" x14ac:dyDescent="0.25">
      <c r="A68" s="27" t="s">
        <v>48</v>
      </c>
      <c r="C68" s="4">
        <f>-ROUND(_xlfn.XLOOKUP(E68,'May 26 Distribution Checking'!A:A,'May 26 Distribution Checking'!AA:AA),2)</f>
        <v>894715.91</v>
      </c>
      <c r="D68" t="s">
        <v>49</v>
      </c>
      <c r="E68" t="s">
        <v>80</v>
      </c>
      <c r="G68" s="32" t="s">
        <v>35</v>
      </c>
      <c r="H68" s="33">
        <v>255.17</v>
      </c>
      <c r="I68" s="34">
        <f>SUMIFS(C:C,A:A,G68,D:D,J68)</f>
        <v>0</v>
      </c>
      <c r="J68" s="35" t="s">
        <v>81</v>
      </c>
    </row>
    <row r="69" spans="1:5" x14ac:dyDescent="0.25">
      <c r="A69" s="27" t="s">
        <v>48</v>
      </c>
      <c r="C69" s="4">
        <f>-ROUND(_xlfn.XLOOKUP(E69,'May 26 Distribution Checking'!A:A,'May 26 Distribution Checking'!AA:AA),2)</f>
        <v>111060.98</v>
      </c>
      <c r="D69" t="s">
        <v>49</v>
      </c>
      <c r="E69" t="s">
        <v>82</v>
      </c>
    </row>
    <row r="70" spans="1:5" x14ac:dyDescent="0.25">
      <c r="A70" s="27" t="s">
        <v>48</v>
      </c>
      <c r="C70" s="4">
        <f>-ROUND(_xlfn.XLOOKUP(E70,'May 26 Distribution Checking'!A:A,'May 26 Distribution Checking'!AA:AA),2)</f>
        <v>3436.56</v>
      </c>
      <c r="D70" t="s">
        <v>49</v>
      </c>
      <c r="E70" t="s">
        <v>83</v>
      </c>
    </row>
    <row r="71" spans="1:10" x14ac:dyDescent="0.25">
      <c r="A71" s="27" t="s">
        <v>48</v>
      </c>
      <c r="C71" s="4">
        <f>-ROUND(_xlfn.XLOOKUP(E71,'May 26 Distribution Checking'!A:A,'May 26 Distribution Checking'!AA:AA),2)</f>
        <v>21286.25</v>
      </c>
      <c r="D71" t="s">
        <v>49</v>
      </c>
      <c r="E71" t="s">
        <v>84</v>
      </c>
      <c r="H71" s="4"/>
      <c r="I71" s="4"/>
      <c r="J71" s="4"/>
    </row>
    <row r="72" spans="1:5" x14ac:dyDescent="0.25">
      <c r="A72" s="27" t="s">
        <v>48</v>
      </c>
      <c r="C72" s="4">
        <f>-ROUND(_xlfn.XLOOKUP(E72,'May 26 Distribution Checking'!A:A,'May 26 Distribution Checking'!AA:AA),2)</f>
        <v>3436.56</v>
      </c>
      <c r="D72" t="s">
        <v>49</v>
      </c>
      <c r="E72" t="s">
        <v>85</v>
      </c>
    </row>
    <row r="73" spans="1:10" x14ac:dyDescent="0.25">
      <c r="A73" s="27" t="s">
        <v>48</v>
      </c>
      <c r="C73" s="4">
        <f>-ROUND(_xlfn.XLOOKUP(E73,'May 26 Distribution Checking'!A:A,'May 26 Distribution Checking'!AA:AA),2)</f>
        <v>8777.9</v>
      </c>
      <c r="D73" t="s">
        <v>49</v>
      </c>
      <c r="E73" t="s">
        <v>86</v>
      </c>
      <c r="H73" s="4"/>
      <c r="I73" s="4"/>
      <c r="J73" s="4"/>
    </row>
    <row r="74" spans="1:10" x14ac:dyDescent="0.25">
      <c r="A74" s="27" t="s">
        <v>48</v>
      </c>
      <c r="C74" s="4">
        <f>-ROUND(_xlfn.XLOOKUP(E74,'May 26 Distribution Checking'!A:A,'May 26 Distribution Checking'!AA:AA),2)</f>
        <v>2912.46</v>
      </c>
      <c r="D74" t="s">
        <v>49</v>
      </c>
      <c r="E74" t="s">
        <v>87</v>
      </c>
      <c r="H74" s="4"/>
      <c r="I74" s="4"/>
      <c r="J74" s="4"/>
    </row>
    <row r="75" spans="1:7" x14ac:dyDescent="0.25">
      <c r="A75" s="27" t="s">
        <v>48</v>
      </c>
      <c r="C75" s="4">
        <f>-ROUND(_xlfn.XLOOKUP(E75,'May 26 Distribution Checking'!A:A,'May 26 Distribution Checking'!AA:AA),2)</f>
        <v>84312.65</v>
      </c>
      <c r="D75" t="s">
        <v>49</v>
      </c>
      <c r="E75" t="s">
        <v>88</v>
      </c>
      <c r="G75" s="36"/>
    </row>
    <row r="76" spans="1:10" x14ac:dyDescent="0.25">
      <c r="A76" s="27" t="s">
        <v>48</v>
      </c>
      <c r="C76" s="4">
        <f>-ROUND(_xlfn.XLOOKUP(E76,'May 26 Distribution Checking'!A:A,'May 26 Distribution Checking'!AA:AA),2)</f>
        <v>6488.21</v>
      </c>
      <c r="D76" t="s">
        <v>49</v>
      </c>
      <c r="E76" t="s">
        <v>89</v>
      </c>
      <c r="G76" s="36"/>
      <c r="H76" s="4"/>
      <c r="J76" s="4"/>
    </row>
    <row r="77" spans="1:5" x14ac:dyDescent="0.25">
      <c r="A77" s="27" t="s">
        <v>48</v>
      </c>
      <c r="C77" s="4">
        <f>-ROUND(_xlfn.XLOOKUP(E77,'May 26 Distribution Checking'!A:A,'May 26 Distribution Checking'!AA:AA),2)</f>
        <v>2749.25</v>
      </c>
      <c r="D77" t="s">
        <v>49</v>
      </c>
      <c r="E77" t="s">
        <v>90</v>
      </c>
    </row>
    <row r="78" spans="1:5" x14ac:dyDescent="0.25">
      <c r="A78" s="27" t="s">
        <v>48</v>
      </c>
      <c r="C78" s="4">
        <f>-ROUND(_xlfn.XLOOKUP(E78,'May 26 Distribution Checking'!A:A,'May 26 Distribution Checking'!AA:AA),2)</f>
        <v>14922.42</v>
      </c>
      <c r="D78" t="s">
        <v>49</v>
      </c>
      <c r="E78" t="s">
        <v>91</v>
      </c>
    </row>
    <row r="79" spans="1:5" x14ac:dyDescent="0.25">
      <c r="A79" s="27" t="s">
        <v>48</v>
      </c>
      <c r="C79" s="4">
        <f>-ROUND(_xlfn.XLOOKUP(E79,'May 26 Distribution Checking'!A:A,'May 26 Distribution Checking'!AA:AA),2)</f>
        <v>26333.69</v>
      </c>
      <c r="D79" t="s">
        <v>49</v>
      </c>
      <c r="E79" t="s">
        <v>92</v>
      </c>
    </row>
    <row r="80" spans="1:5" x14ac:dyDescent="0.25">
      <c r="A80" s="27" t="s">
        <v>48</v>
      </c>
      <c r="C80" s="4">
        <f>-ROUND(_xlfn.XLOOKUP(E80,'May 26 Distribution Checking'!A:A,'May 26 Distribution Checking'!AA:AA),2)</f>
        <v>5498.5</v>
      </c>
      <c r="D80" t="s">
        <v>49</v>
      </c>
      <c r="E80" t="s">
        <v>93</v>
      </c>
    </row>
    <row r="81" spans="1:5" x14ac:dyDescent="0.25">
      <c r="A81" s="27" t="s">
        <v>48</v>
      </c>
      <c r="C81" s="4">
        <f>-ROUND(_xlfn.XLOOKUP(E81,'May 26 Distribution Checking'!A:A,'May 26 Distribution Checking'!AA:AA),2)</f>
        <v>4123.87</v>
      </c>
      <c r="D81" t="s">
        <v>49</v>
      </c>
      <c r="E81" t="s">
        <v>94</v>
      </c>
    </row>
    <row r="82" spans="1:5" x14ac:dyDescent="0.25">
      <c r="A82" s="27" t="s">
        <v>48</v>
      </c>
      <c r="C82" s="4">
        <f>-ROUND(_xlfn.XLOOKUP(E82,'May 26 Distribution Checking'!A:A,'May 26 Distribution Checking'!AA:AA),2)</f>
        <v>17555.79</v>
      </c>
      <c r="D82" t="s">
        <v>49</v>
      </c>
      <c r="E82" t="s">
        <v>95</v>
      </c>
    </row>
    <row r="83" spans="1:5" x14ac:dyDescent="0.25">
      <c r="A83" s="27" t="s">
        <v>48</v>
      </c>
      <c r="C83" s="4">
        <f>-ROUND(_xlfn.XLOOKUP(E83,'May 26 Distribution Checking'!A:A,'May 26 Distribution Checking'!AA:AA),2)</f>
        <v>17555.79</v>
      </c>
      <c r="D83" t="s">
        <v>49</v>
      </c>
      <c r="E83" t="s">
        <v>96</v>
      </c>
    </row>
    <row r="84" spans="1:5" x14ac:dyDescent="0.25">
      <c r="A84" s="27" t="s">
        <v>48</v>
      </c>
      <c r="C84" s="4">
        <f>-ROUND(_xlfn.XLOOKUP(E84,'May 26 Distribution Checking'!A:A,'May 26 Distribution Checking'!AA:AA),2)</f>
        <v>2749.25</v>
      </c>
      <c r="D84" t="s">
        <v>49</v>
      </c>
      <c r="E84" t="s">
        <v>97</v>
      </c>
    </row>
    <row r="85" spans="1:5" x14ac:dyDescent="0.25">
      <c r="A85" s="27" t="s">
        <v>48</v>
      </c>
      <c r="C85" s="4">
        <f>-ROUND(_xlfn.XLOOKUP(E85,'May 26 Distribution Checking'!A:A,'May 26 Distribution Checking'!AA:AA),2)</f>
        <v>3511.16</v>
      </c>
      <c r="D85" t="s">
        <v>49</v>
      </c>
      <c r="E85" t="s">
        <v>98</v>
      </c>
    </row>
    <row r="86" spans="1:5" x14ac:dyDescent="0.25">
      <c r="A86" s="27" t="s">
        <v>48</v>
      </c>
      <c r="C86" s="4">
        <f>-ROUND(_xlfn.XLOOKUP(E86,'May 26 Distribution Checking'!A:A,'May 26 Distribution Checking'!AA:AA),2)</f>
        <v>1755.58</v>
      </c>
      <c r="D86" t="s">
        <v>49</v>
      </c>
      <c r="E86" t="s">
        <v>99</v>
      </c>
    </row>
    <row r="87" spans="1:5" x14ac:dyDescent="0.25">
      <c r="A87" s="27" t="s">
        <v>48</v>
      </c>
      <c r="C87" s="4">
        <f>-ROUND(_xlfn.XLOOKUP(E87,'May 26 Distribution Checking'!A:A,'May 26 Distribution Checking'!AA:AA),2)</f>
        <v>2749.25</v>
      </c>
      <c r="D87" t="s">
        <v>49</v>
      </c>
      <c r="E87" t="s">
        <v>100</v>
      </c>
    </row>
    <row r="88" spans="1:5" x14ac:dyDescent="0.25">
      <c r="A88" s="27" t="s">
        <v>48</v>
      </c>
      <c r="C88" s="4">
        <f>-ROUND(_xlfn.XLOOKUP(E88,'May 26 Distribution Checking'!A:A,'May 26 Distribution Checking'!AA:AA),2)</f>
        <v>2749.25</v>
      </c>
      <c r="D88" t="s">
        <v>49</v>
      </c>
      <c r="E88" t="s">
        <v>101</v>
      </c>
    </row>
    <row r="89" spans="1:5" x14ac:dyDescent="0.25">
      <c r="A89" s="27" t="s">
        <v>48</v>
      </c>
      <c r="C89" s="4">
        <f>-ROUND(_xlfn.XLOOKUP(E89,'May 26 Distribution Checking'!A:A,'May 26 Distribution Checking'!AA:AA),2)</f>
        <v>3436.56</v>
      </c>
      <c r="D89" t="s">
        <v>49</v>
      </c>
      <c r="E89" t="s">
        <v>102</v>
      </c>
    </row>
    <row r="90" spans="1:5" x14ac:dyDescent="0.25">
      <c r="A90" s="27" t="s">
        <v>48</v>
      </c>
      <c r="C90" s="4">
        <f>-ROUND(_xlfn.XLOOKUP(E90,'May 26 Distribution Checking'!A:A,'May 26 Distribution Checking'!AA:AA),2)</f>
        <v>17555.79</v>
      </c>
      <c r="D90" t="s">
        <v>49</v>
      </c>
      <c r="E90" t="s">
        <v>103</v>
      </c>
    </row>
    <row r="91" spans="1:5" x14ac:dyDescent="0.25">
      <c r="A91" s="27" t="s">
        <v>48</v>
      </c>
      <c r="C91" s="4">
        <f>-ROUND(_xlfn.XLOOKUP(E91,'May 26 Distribution Checking'!A:A,'May 26 Distribution Checking'!AA:AA),2)</f>
        <v>8777.9</v>
      </c>
      <c r="D91" t="s">
        <v>49</v>
      </c>
      <c r="E91" t="s">
        <v>104</v>
      </c>
    </row>
    <row r="92" spans="1:5" x14ac:dyDescent="0.25">
      <c r="A92" s="27" t="s">
        <v>48</v>
      </c>
      <c r="C92" s="4">
        <f>-ROUND(_xlfn.XLOOKUP(E92,'May 26 Distribution Checking'!A:A,'May 26 Distribution Checking'!AA:AA),2)</f>
        <v>26333.69</v>
      </c>
      <c r="D92" t="s">
        <v>49</v>
      </c>
      <c r="E92" t="s">
        <v>105</v>
      </c>
    </row>
    <row r="93" spans="1:5" x14ac:dyDescent="0.25">
      <c r="A93" s="27" t="s">
        <v>48</v>
      </c>
      <c r="C93" s="4">
        <f>-ROUND(_xlfn.XLOOKUP(E93,'May 26 Distribution Checking'!A:A,'May 26 Distribution Checking'!AA:AA),2)</f>
        <v>1755.58</v>
      </c>
      <c r="D93" t="s">
        <v>49</v>
      </c>
      <c r="E93" t="s">
        <v>106</v>
      </c>
    </row>
    <row r="94" spans="1:5" x14ac:dyDescent="0.25">
      <c r="A94" s="27" t="s">
        <v>48</v>
      </c>
      <c r="C94" s="4">
        <f>-ROUND(_xlfn.XLOOKUP(E94,'May 26 Distribution Checking'!A:A,'May 26 Distribution Checking'!AA:AA),2)</f>
        <v>13166.84</v>
      </c>
      <c r="D94" t="s">
        <v>49</v>
      </c>
      <c r="E94" t="s">
        <v>107</v>
      </c>
    </row>
    <row r="95" spans="1:5" x14ac:dyDescent="0.25">
      <c r="A95" s="27" t="s">
        <v>48</v>
      </c>
      <c r="C95" s="4">
        <f>-ROUND(_xlfn.XLOOKUP(E95,'May 26 Distribution Checking'!A:A,'May 26 Distribution Checking'!AA:AA),2)</f>
        <v>4123.87</v>
      </c>
      <c r="D95" t="s">
        <v>49</v>
      </c>
      <c r="E95" t="s">
        <v>108</v>
      </c>
    </row>
    <row r="96" spans="1:5" x14ac:dyDescent="0.25">
      <c r="A96" s="27" t="s">
        <v>48</v>
      </c>
      <c r="C96" s="4">
        <f>-ROUND(_xlfn.XLOOKUP(E96,'May 26 Distribution Checking'!A:A,'May 26 Distribution Checking'!AA:AA),2)</f>
        <v>17555.79</v>
      </c>
      <c r="D96" t="s">
        <v>49</v>
      </c>
      <c r="E96" t="s">
        <v>109</v>
      </c>
    </row>
    <row r="97" spans="1:5" x14ac:dyDescent="0.25">
      <c r="A97" s="27" t="s">
        <v>48</v>
      </c>
      <c r="C97" s="4">
        <f>-ROUND(_xlfn.XLOOKUP(E97,'May 26 Distribution Checking'!A:A,'May 26 Distribution Checking'!AA:AA),2)</f>
        <v>2061.94</v>
      </c>
      <c r="D97" t="s">
        <v>49</v>
      </c>
      <c r="E97" t="s">
        <v>110</v>
      </c>
    </row>
    <row r="98" spans="1:5" x14ac:dyDescent="0.25">
      <c r="A98" s="27" t="s">
        <v>48</v>
      </c>
      <c r="C98" s="4">
        <f>-ROUND(_xlfn.XLOOKUP(E98,'May 26 Distribution Checking'!A:A,'May 26 Distribution Checking'!AA:AA),2)</f>
        <v>1755.58</v>
      </c>
      <c r="D98" t="s">
        <v>49</v>
      </c>
      <c r="E98" t="s">
        <v>111</v>
      </c>
    </row>
    <row r="99" spans="1:5" x14ac:dyDescent="0.25">
      <c r="A99" s="27" t="s">
        <v>48</v>
      </c>
      <c r="C99" s="4">
        <f>-ROUND(_xlfn.XLOOKUP(E99,'May 26 Distribution Checking'!A:A,'May 26 Distribution Checking'!AA:AA),2)</f>
        <v>1374.62</v>
      </c>
      <c r="D99" t="s">
        <v>49</v>
      </c>
      <c r="E99" t="s">
        <v>112</v>
      </c>
    </row>
    <row r="100" spans="1:5" x14ac:dyDescent="0.25">
      <c r="A100" s="27" t="s">
        <v>48</v>
      </c>
      <c r="C100" s="4">
        <f>-ROUND(_xlfn.XLOOKUP(E100,'May 26 Distribution Checking'!A:A,'May 26 Distribution Checking'!AA:AA),2)</f>
        <v>13746.24</v>
      </c>
      <c r="D100" t="s">
        <v>49</v>
      </c>
      <c r="E100" t="s">
        <v>113</v>
      </c>
    </row>
    <row r="101" spans="1:5" x14ac:dyDescent="0.25">
      <c r="A101" s="27" t="s">
        <v>48</v>
      </c>
      <c r="C101" s="4">
        <f>-ROUND(_xlfn.XLOOKUP(E101,'May 26 Distribution Checking'!A:A,'May 26 Distribution Checking'!AA:AA),2)</f>
        <v>6873.12</v>
      </c>
      <c r="D101" t="s">
        <v>49</v>
      </c>
      <c r="E101" t="s">
        <v>114</v>
      </c>
    </row>
    <row r="102" spans="1:5" x14ac:dyDescent="0.25">
      <c r="A102" s="27" t="s">
        <v>48</v>
      </c>
      <c r="C102" s="4">
        <f>-ROUND(_xlfn.XLOOKUP(E102,'May 26 Distribution Checking'!A:A,'May 26 Distribution Checking'!AA:AA),2)</f>
        <v>21416.88</v>
      </c>
      <c r="D102" t="s">
        <v>49</v>
      </c>
      <c r="E102" t="s">
        <v>115</v>
      </c>
    </row>
    <row r="103" spans="1:5" x14ac:dyDescent="0.25">
      <c r="A103" s="27" t="s">
        <v>48</v>
      </c>
      <c r="C103" s="4">
        <f>-ROUND(_xlfn.XLOOKUP(E103,'May 26 Distribution Checking'!A:A,'May 26 Distribution Checking'!AA:AA),2)</f>
        <v>1374.62</v>
      </c>
      <c r="D103" t="s">
        <v>49</v>
      </c>
      <c r="E103" t="s">
        <v>116</v>
      </c>
    </row>
    <row r="104" spans="1:5" x14ac:dyDescent="0.25">
      <c r="A104" s="27" t="s">
        <v>48</v>
      </c>
      <c r="C104" s="4">
        <f>-ROUND(_xlfn.XLOOKUP(E104,'May 26 Distribution Checking'!A:A,'May 26 Distribution Checking'!AA:AA),2)</f>
        <v>5784.43</v>
      </c>
      <c r="D104" t="s">
        <v>49</v>
      </c>
      <c r="E104" t="s">
        <v>117</v>
      </c>
    </row>
    <row r="105" spans="1:5" x14ac:dyDescent="0.25">
      <c r="A105" s="27" t="s">
        <v>48</v>
      </c>
      <c r="C105" s="4">
        <f>-ROUND(_xlfn.XLOOKUP(E105,'May 26 Distribution Checking'!A:A,'May 26 Distribution Checking'!AA:AA),2)</f>
        <v>15406.79</v>
      </c>
      <c r="D105" t="s">
        <v>49</v>
      </c>
      <c r="E105" t="s">
        <v>118</v>
      </c>
    </row>
    <row r="106" spans="1:5" x14ac:dyDescent="0.25">
      <c r="A106" s="27" t="s">
        <v>48</v>
      </c>
      <c r="C106" s="4">
        <f>-ROUND(_xlfn.XLOOKUP(E106,'May 26 Distribution Checking'!A:A,'May 26 Distribution Checking'!AA:AA),2)</f>
        <v>687.31</v>
      </c>
      <c r="D106" t="s">
        <v>49</v>
      </c>
      <c r="E106" t="s">
        <v>119</v>
      </c>
    </row>
    <row r="107" spans="1:5" x14ac:dyDescent="0.25">
      <c r="A107" s="27" t="s">
        <v>48</v>
      </c>
      <c r="C107" s="4">
        <f>-ROUND(_xlfn.XLOOKUP(E107,'May 26 Distribution Checking'!A:A,'May 26 Distribution Checking'!AA:AA),2)</f>
        <v>26333.69</v>
      </c>
      <c r="D107" t="s">
        <v>49</v>
      </c>
      <c r="E107" t="s">
        <v>120</v>
      </c>
    </row>
    <row r="108" spans="1:5" x14ac:dyDescent="0.25">
      <c r="A108" s="27" t="s">
        <v>48</v>
      </c>
      <c r="C108" s="4">
        <f>-ROUND(_xlfn.XLOOKUP(E108,'May 26 Distribution Checking'!A:A,'May 26 Distribution Checking'!AA:AA),2)</f>
        <v>17555.79</v>
      </c>
      <c r="D108" t="s">
        <v>49</v>
      </c>
      <c r="E108" t="s">
        <v>121</v>
      </c>
    </row>
    <row r="109" spans="1:5" x14ac:dyDescent="0.25">
      <c r="A109" s="27" t="s">
        <v>48</v>
      </c>
      <c r="C109" s="4">
        <f>-ROUND(_xlfn.XLOOKUP(E109,'May 26 Distribution Checking'!A:A,'May 26 Distribution Checking'!AA:AA),2)</f>
        <v>17555.79</v>
      </c>
      <c r="D109" t="s">
        <v>49</v>
      </c>
      <c r="E109" t="s">
        <v>122</v>
      </c>
    </row>
    <row r="110" spans="1:5" x14ac:dyDescent="0.25">
      <c r="A110" s="27" t="s">
        <v>48</v>
      </c>
      <c r="C110" s="4">
        <f>-ROUND(_xlfn.XLOOKUP(E110,'May 26 Distribution Checking'!A:A,'May 26 Distribution Checking'!AA:AA),2)</f>
        <v>35111.58</v>
      </c>
      <c r="D110" t="s">
        <v>49</v>
      </c>
      <c r="E110" t="s">
        <v>123</v>
      </c>
    </row>
    <row r="111" spans="1:5" x14ac:dyDescent="0.25">
      <c r="A111" s="27" t="s">
        <v>48</v>
      </c>
      <c r="C111" s="4">
        <f>-ROUND(_xlfn.XLOOKUP(E111,'May 26 Distribution Checking'!A:A,'May 26 Distribution Checking'!AA:AA),2)</f>
        <v>17555.79</v>
      </c>
      <c r="D111" t="s">
        <v>49</v>
      </c>
      <c r="E111" t="s">
        <v>124</v>
      </c>
    </row>
    <row r="112" spans="1:5" x14ac:dyDescent="0.25">
      <c r="A112" s="27" t="s">
        <v>48</v>
      </c>
      <c r="C112" s="4">
        <f>-ROUND(_xlfn.XLOOKUP(E112,'May 26 Distribution Checking'!A:A,'May 26 Distribution Checking'!AA:AA),2)</f>
        <v>9186.89</v>
      </c>
      <c r="D112" t="s">
        <v>49</v>
      </c>
      <c r="E112" t="s">
        <v>125</v>
      </c>
    </row>
    <row r="113" spans="1:5" x14ac:dyDescent="0.25">
      <c r="A113" s="27" t="s">
        <v>48</v>
      </c>
      <c r="C113" s="4">
        <f>-ROUND(_xlfn.XLOOKUP(E113,'May 26 Distribution Checking'!A:A,'May 26 Distribution Checking'!AA:AA),2)</f>
        <v>2749.25</v>
      </c>
      <c r="D113" t="s">
        <v>49</v>
      </c>
      <c r="E113" t="s">
        <v>126</v>
      </c>
    </row>
    <row r="114" spans="1:5" x14ac:dyDescent="0.25">
      <c r="A114" s="27" t="s">
        <v>48</v>
      </c>
      <c r="C114" s="4">
        <f>-ROUND(_xlfn.XLOOKUP(E114,'May 26 Distribution Checking'!A:A,'May 26 Distribution Checking'!AA:AA),2)</f>
        <v>17555.79</v>
      </c>
      <c r="D114" t="s">
        <v>49</v>
      </c>
      <c r="E114" t="s">
        <v>127</v>
      </c>
    </row>
    <row r="115" spans="1:5" x14ac:dyDescent="0.25">
      <c r="A115" s="27" t="s">
        <v>48</v>
      </c>
      <c r="C115" s="4">
        <f>-ROUND(_xlfn.XLOOKUP(E115,'May 26 Distribution Checking'!A:A,'May 26 Distribution Checking'!AA:AA),2)</f>
        <v>17555.79</v>
      </c>
      <c r="D115" t="s">
        <v>49</v>
      </c>
      <c r="E115" t="s">
        <v>128</v>
      </c>
    </row>
    <row r="116" spans="1:5" x14ac:dyDescent="0.25">
      <c r="A116" s="27" t="s">
        <v>48</v>
      </c>
      <c r="C116" s="4">
        <f>-ROUND(_xlfn.XLOOKUP(E116,'May 26 Distribution Checking'!A:A,'May 26 Distribution Checking'!AA:AA),2)</f>
        <v>10533.47</v>
      </c>
      <c r="D116" t="s">
        <v>49</v>
      </c>
      <c r="E116" t="s">
        <v>129</v>
      </c>
    </row>
    <row r="117" spans="1:5" x14ac:dyDescent="0.25">
      <c r="A117" s="27" t="s">
        <v>48</v>
      </c>
      <c r="C117" s="4">
        <f>-ROUND(_xlfn.XLOOKUP(E117,'May 26 Distribution Checking'!A:A,'May 26 Distribution Checking'!AA:AA),2)</f>
        <v>17555.79</v>
      </c>
      <c r="D117" t="s">
        <v>49</v>
      </c>
      <c r="E117" t="s">
        <v>130</v>
      </c>
    </row>
    <row r="118" spans="1:5" x14ac:dyDescent="0.25">
      <c r="A118" s="27" t="s">
        <v>48</v>
      </c>
      <c r="C118" s="4">
        <f>-ROUND(_xlfn.XLOOKUP(E118,'May 26 Distribution Checking'!A:A,'May 26 Distribution Checking'!AA:AA),2)</f>
        <v>351115.83</v>
      </c>
      <c r="D118" t="s">
        <v>49</v>
      </c>
      <c r="E118" t="s">
        <v>131</v>
      </c>
    </row>
    <row r="119" spans="1:5" x14ac:dyDescent="0.25">
      <c r="A119" s="27" t="s">
        <v>48</v>
      </c>
      <c r="C119" s="4">
        <f>-ROUND(_xlfn.XLOOKUP(E119,'May 26 Distribution Checking'!A:A,'May 26 Distribution Checking'!AA:AA),2)</f>
        <v>4388.95</v>
      </c>
      <c r="D119" t="s">
        <v>49</v>
      </c>
      <c r="E119" t="s">
        <v>132</v>
      </c>
    </row>
    <row r="120" spans="1:5" x14ac:dyDescent="0.25">
      <c r="A120" s="27" t="s">
        <v>48</v>
      </c>
      <c r="C120" s="4">
        <f>-ROUND(_xlfn.XLOOKUP(E120,'May 26 Distribution Checking'!A:A,'May 26 Distribution Checking'!AA:AA),2)</f>
        <v>5498.5</v>
      </c>
      <c r="D120" t="s">
        <v>49</v>
      </c>
      <c r="E120" t="s">
        <v>133</v>
      </c>
    </row>
    <row r="121" spans="1:5" x14ac:dyDescent="0.25">
      <c r="A121" s="27" t="s">
        <v>48</v>
      </c>
      <c r="C121" s="4">
        <f>-ROUND(_xlfn.XLOOKUP(E121,'May 26 Distribution Checking'!A:A,'May 26 Distribution Checking'!AA:AA),2)</f>
        <v>5498.5</v>
      </c>
      <c r="D121" t="s">
        <v>49</v>
      </c>
      <c r="E121" t="s">
        <v>134</v>
      </c>
    </row>
    <row r="122" spans="1:5" x14ac:dyDescent="0.25">
      <c r="A122" s="27" t="s">
        <v>48</v>
      </c>
      <c r="C122" s="4">
        <f>-ROUND(_xlfn.XLOOKUP(E122,'May 26 Distribution Checking'!A:A,'May 26 Distribution Checking'!AA:AA),2)</f>
        <v>87778.96</v>
      </c>
      <c r="D122" t="s">
        <v>49</v>
      </c>
      <c r="E122" t="s">
        <v>135</v>
      </c>
    </row>
    <row r="123" spans="1:5" x14ac:dyDescent="0.25">
      <c r="A123" s="27" t="s">
        <v>48</v>
      </c>
      <c r="C123" s="4">
        <f>-ROUND(_xlfn.XLOOKUP(E123,'May 26 Distribution Checking'!A:A,'May 26 Distribution Checking'!AA:AA),2)</f>
        <v>131668.44</v>
      </c>
      <c r="D123" t="s">
        <v>49</v>
      </c>
      <c r="E123" t="s">
        <v>136</v>
      </c>
    </row>
    <row r="124" spans="1:5" x14ac:dyDescent="0.25">
      <c r="A124" s="27" t="s">
        <v>48</v>
      </c>
      <c r="C124" s="4">
        <f>-ROUND(_xlfn.XLOOKUP(E124,'May 26 Distribution Checking'!A:A,'May 26 Distribution Checking'!AA:AA),2)</f>
        <v>87778.96</v>
      </c>
      <c r="D124" t="s">
        <v>49</v>
      </c>
      <c r="E124" t="s">
        <v>137</v>
      </c>
    </row>
    <row r="125" spans="1:5" x14ac:dyDescent="0.25">
      <c r="A125" s="27" t="s">
        <v>48</v>
      </c>
      <c r="C125" s="4">
        <f>-ROUND(_xlfn.XLOOKUP(E125,'May 26 Distribution Checking'!A:A,'May 26 Distribution Checking'!AA:AA),2)</f>
        <v>526673.74</v>
      </c>
      <c r="D125" t="s">
        <v>49</v>
      </c>
      <c r="E125" t="s">
        <v>138</v>
      </c>
    </row>
    <row r="126" spans="1:5" x14ac:dyDescent="0.25">
      <c r="A126" s="27" t="s">
        <v>48</v>
      </c>
      <c r="C126" s="4">
        <f>-ROUND(_xlfn.XLOOKUP(E126,'May 26 Distribution Checking'!A:A,'May 26 Distribution Checking'!AA:AA),2)</f>
        <v>6873.12</v>
      </c>
      <c r="D126" t="s">
        <v>49</v>
      </c>
      <c r="E126" t="s">
        <v>139</v>
      </c>
    </row>
    <row r="127" spans="1:5" x14ac:dyDescent="0.25">
      <c r="A127" s="27" t="s">
        <v>48</v>
      </c>
      <c r="C127" s="4">
        <f>-ROUND(_xlfn.XLOOKUP(E127,'May 26 Distribution Checking'!A:A,'May 26 Distribution Checking'!AA:AA),2)</f>
        <v>35111.58</v>
      </c>
      <c r="D127" t="s">
        <v>49</v>
      </c>
      <c r="E127" t="s">
        <v>140</v>
      </c>
    </row>
    <row r="128" spans="1:5" x14ac:dyDescent="0.25">
      <c r="A128" s="27" t="s">
        <v>66</v>
      </c>
      <c r="C128" s="4">
        <v>6707.82</v>
      </c>
      <c r="D128" t="s">
        <v>67</v>
      </c>
      <c r="E128" t="s">
        <v>7</v>
      </c>
    </row>
    <row r="129" spans="1:5" x14ac:dyDescent="0.25">
      <c r="A129" s="27" t="s">
        <v>24</v>
      </c>
      <c r="B129">
        <f>ROUND(-_xlfn.XLOOKUP('Sub Close Summary'!E129,'Subsequent Close'!A:A,'Subsequent Close'!M:M)+_xlfn.XLOOKUP('Sub Close Summary'!E129,'Subsequent Close'!A:A,'Subsequent Close'!T:T),2)</f>
        <v>11409.19</v>
      </c>
      <c r="D129" t="s">
        <v>52</v>
      </c>
      <c r="E129" t="s">
        <v>50</v>
      </c>
    </row>
    <row r="130" spans="1:5" x14ac:dyDescent="0.25">
      <c r="A130" s="27" t="s">
        <v>24</v>
      </c>
      <c r="B130">
        <f>ROUND(-_xlfn.XLOOKUP('Sub Close Summary'!E130,'Subsequent Close'!A:A,'Subsequent Close'!M:M)+_xlfn.XLOOKUP('Sub Close Summary'!E130,'Subsequent Close'!A:A,'Subsequent Close'!T:T),2)</f>
        <v>15972.87</v>
      </c>
      <c r="D130" t="s">
        <v>52</v>
      </c>
      <c r="E130" t="s">
        <v>51</v>
      </c>
    </row>
    <row r="131" spans="1:5" x14ac:dyDescent="0.25">
      <c r="A131" s="27" t="s">
        <v>24</v>
      </c>
      <c r="B131">
        <f>ROUND(-_xlfn.XLOOKUP('Sub Close Summary'!E131,'Subsequent Close'!A:A,'Subsequent Close'!M:M)+_xlfn.XLOOKUP('Sub Close Summary'!E131,'Subsequent Close'!A:A,'Subsequent Close'!T:T),2)</f>
        <v>13691.03</v>
      </c>
      <c r="D131" t="s">
        <v>52</v>
      </c>
      <c r="E131" t="s">
        <v>53</v>
      </c>
    </row>
    <row r="132" spans="1:5" x14ac:dyDescent="0.25">
      <c r="A132" s="27" t="s">
        <v>24</v>
      </c>
      <c r="B132">
        <f>ROUND(-_xlfn.XLOOKUP('Sub Close Summary'!E132,'Subsequent Close'!A:A,'Subsequent Close'!M:M)+_xlfn.XLOOKUP('Sub Close Summary'!E132,'Subsequent Close'!A:A,'Subsequent Close'!T:T),2)</f>
        <v>17113.79</v>
      </c>
      <c r="D132" t="s">
        <v>52</v>
      </c>
      <c r="E132" t="s">
        <v>54</v>
      </c>
    </row>
    <row r="133" spans="1:5" x14ac:dyDescent="0.25">
      <c r="A133" s="27" t="s">
        <v>24</v>
      </c>
      <c r="B133">
        <f>ROUND(-_xlfn.XLOOKUP('Sub Close Summary'!E133,'Subsequent Close'!A:A,'Subsequent Close'!M:M)+_xlfn.XLOOKUP('Sub Close Summary'!E133,'Subsequent Close'!A:A,'Subsequent Close'!T:T),2)</f>
        <v>1786.69</v>
      </c>
      <c r="D133" t="s">
        <v>52</v>
      </c>
      <c r="E133" t="s">
        <v>55</v>
      </c>
    </row>
    <row r="134" spans="1:5" x14ac:dyDescent="0.25">
      <c r="A134" s="27" t="s">
        <v>24</v>
      </c>
      <c r="B134">
        <f>ROUND(-_xlfn.XLOOKUP('Sub Close Summary'!E134,'Subsequent Close'!A:A,'Subsequent Close'!M:M)+_xlfn.XLOOKUP('Sub Close Summary'!E134,'Subsequent Close'!A:A,'Subsequent Close'!T:T),2)</f>
        <v>3290.36</v>
      </c>
      <c r="D134" t="s">
        <v>52</v>
      </c>
      <c r="E134" t="s">
        <v>57</v>
      </c>
    </row>
    <row r="135" spans="1:5" x14ac:dyDescent="0.25">
      <c r="A135" s="27" t="s">
        <v>24</v>
      </c>
      <c r="B135">
        <f>ROUND(-_xlfn.XLOOKUP('Sub Close Summary'!E135,'Subsequent Close'!A:A,'Subsequent Close'!M:M)+_xlfn.XLOOKUP('Sub Close Summary'!E135,'Subsequent Close'!A:A,'Subsequent Close'!T:T),2)</f>
        <v>3573.37</v>
      </c>
      <c r="D135" t="s">
        <v>52</v>
      </c>
      <c r="E135" t="s">
        <v>59</v>
      </c>
    </row>
    <row r="136" spans="1:5" x14ac:dyDescent="0.25">
      <c r="A136" s="27" t="s">
        <v>24</v>
      </c>
      <c r="B136">
        <f>ROUND(-_xlfn.XLOOKUP('Sub Close Summary'!E136,'Subsequent Close'!A:A,'Subsequent Close'!M:M)+_xlfn.XLOOKUP('Sub Close Summary'!E136,'Subsequent Close'!A:A,'Subsequent Close'!T:T),2)</f>
        <v>11940.79</v>
      </c>
      <c r="D136" t="s">
        <v>52</v>
      </c>
      <c r="E136" t="s">
        <v>61</v>
      </c>
    </row>
    <row r="137" spans="1:5" x14ac:dyDescent="0.25">
      <c r="A137" s="27" t="s">
        <v>24</v>
      </c>
      <c r="B137">
        <f>ROUND(-_xlfn.XLOOKUP('Sub Close Summary'!E137,'Subsequent Close'!A:A,'Subsequent Close'!M:M)+_xlfn.XLOOKUP('Sub Close Summary'!E137,'Subsequent Close'!A:A,'Subsequent Close'!T:T),2)</f>
        <v>22818.39</v>
      </c>
      <c r="D137" t="s">
        <v>52</v>
      </c>
      <c r="E137" t="s">
        <v>62</v>
      </c>
    </row>
    <row r="138" spans="1:5" x14ac:dyDescent="0.25">
      <c r="A138" s="27" t="s">
        <v>24</v>
      </c>
      <c r="B138">
        <f>ROUND(-_xlfn.XLOOKUP('Sub Close Summary'!E138,'Subsequent Close'!A:A,'Subsequent Close'!M:M)+_xlfn.XLOOKUP('Sub Close Summary'!E138,'Subsequent Close'!A:A,'Subsequent Close'!T:T),2)</f>
        <v>8933.43</v>
      </c>
      <c r="D138" t="s">
        <v>52</v>
      </c>
      <c r="E138" t="s">
        <v>63</v>
      </c>
    </row>
    <row r="139" spans="1:5" x14ac:dyDescent="0.25">
      <c r="A139" s="27" t="s">
        <v>24</v>
      </c>
      <c r="B139">
        <f>ROUND(-_xlfn.XLOOKUP('Sub Close Summary'!E139,'Subsequent Close'!A:A,'Subsequent Close'!M:M)+_xlfn.XLOOKUP('Sub Close Summary'!E139,'Subsequent Close'!A:A,'Subsequent Close'!T:T),2)</f>
        <v>228183.87</v>
      </c>
      <c r="D139" t="s">
        <v>52</v>
      </c>
      <c r="E139" t="s">
        <v>65</v>
      </c>
    </row>
    <row r="140" spans="1:5" x14ac:dyDescent="0.25">
      <c r="A140" s="27" t="s">
        <v>24</v>
      </c>
      <c r="B140">
        <f>ROUND(-_xlfn.XLOOKUP('Sub Close Summary'!E140,'Subsequent Close'!A:A,'Subsequent Close'!M:M)+_xlfn.XLOOKUP('Sub Close Summary'!E140,'Subsequent Close'!A:A,'Subsequent Close'!T:T),2)</f>
        <v>20874.23</v>
      </c>
      <c r="D140" t="s">
        <v>52</v>
      </c>
      <c r="E140" t="s">
        <v>68</v>
      </c>
    </row>
    <row r="141" spans="1:5" x14ac:dyDescent="0.25">
      <c r="A141" s="27" t="s">
        <v>24</v>
      </c>
      <c r="B141">
        <f>ROUND(-_xlfn.XLOOKUP('Sub Close Summary'!E141,'Subsequent Close'!A:A,'Subsequent Close'!M:M)+_xlfn.XLOOKUP('Sub Close Summary'!E141,'Subsequent Close'!A:A,'Subsequent Close'!T:T),2)</f>
        <v>20874.23</v>
      </c>
      <c r="D141" t="s">
        <v>52</v>
      </c>
      <c r="E141" t="s">
        <v>70</v>
      </c>
    </row>
    <row r="142" spans="1:5" x14ac:dyDescent="0.25">
      <c r="A142" s="27" t="s">
        <v>24</v>
      </c>
      <c r="B142">
        <f>ROUND(-_xlfn.XLOOKUP('Sub Close Summary'!E142,'Subsequent Close'!A:A,'Subsequent Close'!M:M)+_xlfn.XLOOKUP('Sub Close Summary'!E142,'Subsequent Close'!A:A,'Subsequent Close'!T:T),2)</f>
        <v>1786.69</v>
      </c>
      <c r="D142" t="s">
        <v>52</v>
      </c>
      <c r="E142" t="s">
        <v>72</v>
      </c>
    </row>
    <row r="143" spans="1:5" x14ac:dyDescent="0.25">
      <c r="A143" s="27" t="s">
        <v>24</v>
      </c>
      <c r="B143">
        <f>ROUND(-_xlfn.XLOOKUP('Sub Close Summary'!E143,'Subsequent Close'!A:A,'Subsequent Close'!M:M)+_xlfn.XLOOKUP('Sub Close Summary'!E143,'Subsequent Close'!A:A,'Subsequent Close'!T:T),2)</f>
        <v>5360.06</v>
      </c>
      <c r="D143" t="s">
        <v>52</v>
      </c>
      <c r="E143" t="s">
        <v>74</v>
      </c>
    </row>
    <row r="144" spans="1:5" x14ac:dyDescent="0.25">
      <c r="A144" s="27" t="s">
        <v>24</v>
      </c>
      <c r="B144">
        <f>ROUND(-_xlfn.XLOOKUP('Sub Close Summary'!E144,'Subsequent Close'!A:A,'Subsequent Close'!M:M)+_xlfn.XLOOKUP('Sub Close Summary'!E144,'Subsequent Close'!A:A,'Subsequent Close'!T:T),2)</f>
        <v>11409.19</v>
      </c>
      <c r="D144" t="s">
        <v>52</v>
      </c>
      <c r="E144" t="s">
        <v>76</v>
      </c>
    </row>
    <row r="145" spans="1:5" x14ac:dyDescent="0.25">
      <c r="A145" s="27" t="s">
        <v>24</v>
      </c>
      <c r="B145">
        <f>ROUND(-_xlfn.XLOOKUP('Sub Close Summary'!E145,'Subsequent Close'!A:A,'Subsequent Close'!M:M)+_xlfn.XLOOKUP('Sub Close Summary'!E145,'Subsequent Close'!A:A,'Subsequent Close'!T:T),2)</f>
        <v>4466.72</v>
      </c>
      <c r="D145" t="s">
        <v>52</v>
      </c>
      <c r="E145" t="s">
        <v>77</v>
      </c>
    </row>
    <row r="146" spans="1:5" x14ac:dyDescent="0.25">
      <c r="A146" s="27" t="s">
        <v>24</v>
      </c>
      <c r="B146">
        <f>ROUND(-_xlfn.XLOOKUP('Sub Close Summary'!E146,'Subsequent Close'!A:A,'Subsequent Close'!M:M)+_xlfn.XLOOKUP('Sub Close Summary'!E146,'Subsequent Close'!A:A,'Subsequent Close'!T:T),2)</f>
        <v>11409.19</v>
      </c>
      <c r="D146" t="s">
        <v>52</v>
      </c>
      <c r="E146" t="s">
        <v>78</v>
      </c>
    </row>
    <row r="147" spans="1:5" x14ac:dyDescent="0.25">
      <c r="A147" s="27" t="s">
        <v>24</v>
      </c>
      <c r="B147">
        <f>ROUND(-_xlfn.XLOOKUP('Sub Close Summary'!E147,'Subsequent Close'!A:A,'Subsequent Close'!M:M)+_xlfn.XLOOKUP('Sub Close Summary'!E147,'Subsequent Close'!A:A,'Subsequent Close'!T:T),2)</f>
        <v>1162919.61</v>
      </c>
      <c r="D147" t="s">
        <v>52</v>
      </c>
      <c r="E147" t="s">
        <v>80</v>
      </c>
    </row>
    <row r="148" spans="1:5" x14ac:dyDescent="0.25">
      <c r="A148" s="27" t="s">
        <v>24</v>
      </c>
      <c r="B148">
        <f>ROUND(-_xlfn.XLOOKUP('Sub Close Summary'!E148,'Subsequent Close'!A:A,'Subsequent Close'!M:M)+_xlfn.XLOOKUP('Sub Close Summary'!E148,'Subsequent Close'!A:A,'Subsequent Close'!T:T),2)</f>
        <v>144353.07</v>
      </c>
      <c r="D148" t="s">
        <v>52</v>
      </c>
      <c r="E148" t="s">
        <v>82</v>
      </c>
    </row>
    <row r="149" spans="1:5" x14ac:dyDescent="0.25">
      <c r="A149" s="27" t="s">
        <v>24</v>
      </c>
      <c r="B149">
        <f>ROUND(-_xlfn.XLOOKUP('Sub Close Summary'!E149,'Subsequent Close'!A:A,'Subsequent Close'!M:M)+_xlfn.XLOOKUP('Sub Close Summary'!E149,'Subsequent Close'!A:A,'Subsequent Close'!T:T),2)</f>
        <v>4466.72</v>
      </c>
      <c r="D149" t="s">
        <v>52</v>
      </c>
      <c r="E149" t="s">
        <v>83</v>
      </c>
    </row>
    <row r="150" spans="1:5" x14ac:dyDescent="0.25">
      <c r="A150" s="27" t="s">
        <v>24</v>
      </c>
      <c r="B150">
        <f>ROUND(-_xlfn.XLOOKUP('Sub Close Summary'!E150,'Subsequent Close'!A:A,'Subsequent Close'!M:M)+_xlfn.XLOOKUP('Sub Close Summary'!E150,'Subsequent Close'!A:A,'Subsequent Close'!T:T),2)</f>
        <v>27667.1</v>
      </c>
      <c r="D150" t="s">
        <v>52</v>
      </c>
      <c r="E150" t="s">
        <v>84</v>
      </c>
    </row>
    <row r="151" spans="1:5" x14ac:dyDescent="0.25">
      <c r="A151" s="27" t="s">
        <v>24</v>
      </c>
      <c r="B151">
        <f>ROUND(-_xlfn.XLOOKUP('Sub Close Summary'!E151,'Subsequent Close'!A:A,'Subsequent Close'!M:M)+_xlfn.XLOOKUP('Sub Close Summary'!E151,'Subsequent Close'!A:A,'Subsequent Close'!T:T),2)</f>
        <v>4466.72</v>
      </c>
      <c r="D151" t="s">
        <v>52</v>
      </c>
      <c r="E151" t="s">
        <v>85</v>
      </c>
    </row>
    <row r="152" spans="1:5" x14ac:dyDescent="0.25">
      <c r="A152" s="27" t="s">
        <v>24</v>
      </c>
      <c r="B152">
        <f>ROUND(-_xlfn.XLOOKUP('Sub Close Summary'!E152,'Subsequent Close'!A:A,'Subsequent Close'!M:M)+_xlfn.XLOOKUP('Sub Close Summary'!E152,'Subsequent Close'!A:A,'Subsequent Close'!T:T),2)</f>
        <v>11409.19</v>
      </c>
      <c r="D152" t="s">
        <v>52</v>
      </c>
      <c r="E152" t="s">
        <v>86</v>
      </c>
    </row>
    <row r="153" spans="1:5" x14ac:dyDescent="0.25">
      <c r="A153" s="27" t="s">
        <v>24</v>
      </c>
      <c r="B153">
        <f>ROUND(-_xlfn.XLOOKUP('Sub Close Summary'!E153,'Subsequent Close'!A:A,'Subsequent Close'!M:M)+_xlfn.XLOOKUP('Sub Close Summary'!E153,'Subsequent Close'!A:A,'Subsequent Close'!T:T),2)</f>
        <v>3785.52</v>
      </c>
      <c r="D153" t="s">
        <v>52</v>
      </c>
      <c r="E153" t="s">
        <v>87</v>
      </c>
    </row>
    <row r="154" spans="1:5" x14ac:dyDescent="0.25">
      <c r="A154" s="27" t="s">
        <v>24</v>
      </c>
      <c r="B154">
        <f>ROUND(-_xlfn.XLOOKUP('Sub Close Summary'!E154,'Subsequent Close'!A:A,'Subsequent Close'!M:M)+_xlfn.XLOOKUP('Sub Close Summary'!E154,'Subsequent Close'!A:A,'Subsequent Close'!T:T),2)</f>
        <v>109586.55</v>
      </c>
      <c r="D154" t="s">
        <v>52</v>
      </c>
      <c r="E154" t="s">
        <v>88</v>
      </c>
    </row>
    <row r="155" spans="1:5" x14ac:dyDescent="0.25">
      <c r="A155" s="27" t="s">
        <v>24</v>
      </c>
      <c r="B155">
        <f>ROUND(-_xlfn.XLOOKUP('Sub Close Summary'!E155,'Subsequent Close'!A:A,'Subsequent Close'!M:M)+_xlfn.XLOOKUP('Sub Close Summary'!E155,'Subsequent Close'!A:A,'Subsequent Close'!T:T),2)</f>
        <v>8433.14</v>
      </c>
      <c r="D155" t="s">
        <v>52</v>
      </c>
      <c r="E155" t="s">
        <v>89</v>
      </c>
    </row>
    <row r="156" spans="1:5" x14ac:dyDescent="0.25">
      <c r="A156" s="27" t="s">
        <v>24</v>
      </c>
      <c r="B156">
        <f>ROUND(-_xlfn.XLOOKUP('Sub Close Summary'!E156,'Subsequent Close'!A:A,'Subsequent Close'!M:M)+_xlfn.XLOOKUP('Sub Close Summary'!E156,'Subsequent Close'!A:A,'Subsequent Close'!T:T),2)</f>
        <v>3573.37</v>
      </c>
      <c r="D156" t="s">
        <v>52</v>
      </c>
      <c r="E156" t="s">
        <v>90</v>
      </c>
    </row>
    <row r="157" spans="1:5" x14ac:dyDescent="0.25">
      <c r="A157" s="27" t="s">
        <v>24</v>
      </c>
      <c r="B157">
        <f>ROUND(-_xlfn.XLOOKUP('Sub Close Summary'!E157,'Subsequent Close'!A:A,'Subsequent Close'!M:M)+_xlfn.XLOOKUP('Sub Close Summary'!E157,'Subsequent Close'!A:A,'Subsequent Close'!T:T),2)</f>
        <v>19395.63</v>
      </c>
      <c r="D157" t="s">
        <v>52</v>
      </c>
      <c r="E157" t="s">
        <v>91</v>
      </c>
    </row>
    <row r="158" spans="1:5" x14ac:dyDescent="0.25">
      <c r="A158" s="27" t="s">
        <v>24</v>
      </c>
      <c r="B158">
        <f>ROUND(-_xlfn.XLOOKUP('Sub Close Summary'!E158,'Subsequent Close'!A:A,'Subsequent Close'!M:M)+_xlfn.XLOOKUP('Sub Close Summary'!E158,'Subsequent Close'!A:A,'Subsequent Close'!T:T),2)</f>
        <v>34227.58</v>
      </c>
      <c r="D158" t="s">
        <v>52</v>
      </c>
      <c r="E158" t="s">
        <v>92</v>
      </c>
    </row>
    <row r="159" spans="1:5" x14ac:dyDescent="0.25">
      <c r="A159" s="27" t="s">
        <v>24</v>
      </c>
      <c r="B159">
        <f>ROUND(-_xlfn.XLOOKUP('Sub Close Summary'!E159,'Subsequent Close'!A:A,'Subsequent Close'!M:M)+_xlfn.XLOOKUP('Sub Close Summary'!E159,'Subsequent Close'!A:A,'Subsequent Close'!T:T),2)</f>
        <v>7146.75</v>
      </c>
      <c r="D159" t="s">
        <v>52</v>
      </c>
      <c r="E159" t="s">
        <v>93</v>
      </c>
    </row>
    <row r="160" spans="1:5" x14ac:dyDescent="0.25">
      <c r="A160" s="27" t="s">
        <v>24</v>
      </c>
      <c r="B160">
        <f>ROUND(-_xlfn.XLOOKUP('Sub Close Summary'!E160,'Subsequent Close'!A:A,'Subsequent Close'!M:M)+_xlfn.XLOOKUP('Sub Close Summary'!E160,'Subsequent Close'!A:A,'Subsequent Close'!T:T),2)</f>
        <v>5360.06</v>
      </c>
      <c r="D160" t="s">
        <v>52</v>
      </c>
      <c r="E160" t="s">
        <v>94</v>
      </c>
    </row>
    <row r="161" spans="1:5" x14ac:dyDescent="0.25">
      <c r="A161" s="27" t="s">
        <v>24</v>
      </c>
      <c r="B161">
        <f>ROUND(-_xlfn.XLOOKUP('Sub Close Summary'!E161,'Subsequent Close'!A:A,'Subsequent Close'!M:M)+_xlfn.XLOOKUP('Sub Close Summary'!E161,'Subsequent Close'!A:A,'Subsequent Close'!T:T),2)</f>
        <v>22818.39</v>
      </c>
      <c r="D161" t="s">
        <v>52</v>
      </c>
      <c r="E161" t="s">
        <v>95</v>
      </c>
    </row>
    <row r="162" spans="1:5" x14ac:dyDescent="0.25">
      <c r="A162" s="27" t="s">
        <v>24</v>
      </c>
      <c r="B162">
        <f>ROUND(-_xlfn.XLOOKUP('Sub Close Summary'!E162,'Subsequent Close'!A:A,'Subsequent Close'!M:M)+_xlfn.XLOOKUP('Sub Close Summary'!E162,'Subsequent Close'!A:A,'Subsequent Close'!T:T),2)</f>
        <v>22818.39</v>
      </c>
      <c r="D162" t="s">
        <v>52</v>
      </c>
      <c r="E162" t="s">
        <v>96</v>
      </c>
    </row>
    <row r="163" spans="1:5" x14ac:dyDescent="0.25">
      <c r="A163" s="27" t="s">
        <v>24</v>
      </c>
      <c r="B163">
        <f>ROUND(-_xlfn.XLOOKUP('Sub Close Summary'!E163,'Subsequent Close'!A:A,'Subsequent Close'!M:M)+_xlfn.XLOOKUP('Sub Close Summary'!E163,'Subsequent Close'!A:A,'Subsequent Close'!T:T),2)</f>
        <v>3573.37</v>
      </c>
      <c r="D163" t="s">
        <v>52</v>
      </c>
      <c r="E163" t="s">
        <v>97</v>
      </c>
    </row>
    <row r="164" spans="1:5" x14ac:dyDescent="0.25">
      <c r="A164" s="27" t="s">
        <v>24</v>
      </c>
      <c r="B164">
        <f>ROUND(-_xlfn.XLOOKUP('Sub Close Summary'!E164,'Subsequent Close'!A:A,'Subsequent Close'!M:M)+_xlfn.XLOOKUP('Sub Close Summary'!E164,'Subsequent Close'!A:A,'Subsequent Close'!T:T),2)</f>
        <v>4563.68</v>
      </c>
      <c r="D164" t="s">
        <v>52</v>
      </c>
      <c r="E164" t="s">
        <v>98</v>
      </c>
    </row>
    <row r="165" spans="1:5" x14ac:dyDescent="0.25">
      <c r="A165" s="27" t="s">
        <v>24</v>
      </c>
      <c r="B165">
        <f>ROUND(-_xlfn.XLOOKUP('Sub Close Summary'!E165,'Subsequent Close'!A:A,'Subsequent Close'!M:M)+_xlfn.XLOOKUP('Sub Close Summary'!E165,'Subsequent Close'!A:A,'Subsequent Close'!T:T),2)</f>
        <v>2281.84</v>
      </c>
      <c r="D165" t="s">
        <v>52</v>
      </c>
      <c r="E165" t="s">
        <v>99</v>
      </c>
    </row>
    <row r="166" spans="1:5" x14ac:dyDescent="0.25">
      <c r="A166" s="27" t="s">
        <v>24</v>
      </c>
      <c r="B166">
        <f>ROUND(-_xlfn.XLOOKUP('Sub Close Summary'!E166,'Subsequent Close'!A:A,'Subsequent Close'!M:M)+_xlfn.XLOOKUP('Sub Close Summary'!E166,'Subsequent Close'!A:A,'Subsequent Close'!T:T),2)</f>
        <v>3573.37</v>
      </c>
      <c r="D166" t="s">
        <v>52</v>
      </c>
      <c r="E166" t="s">
        <v>100</v>
      </c>
    </row>
    <row r="167" spans="1:5" x14ac:dyDescent="0.25">
      <c r="A167" s="27" t="s">
        <v>24</v>
      </c>
      <c r="B167">
        <f>ROUND(-_xlfn.XLOOKUP('Sub Close Summary'!E167,'Subsequent Close'!A:A,'Subsequent Close'!M:M)+_xlfn.XLOOKUP('Sub Close Summary'!E167,'Subsequent Close'!A:A,'Subsequent Close'!T:T),2)</f>
        <v>3573.37</v>
      </c>
      <c r="D167" t="s">
        <v>52</v>
      </c>
      <c r="E167" t="s">
        <v>101</v>
      </c>
    </row>
    <row r="168" spans="1:5" x14ac:dyDescent="0.25">
      <c r="A168" s="27" t="s">
        <v>24</v>
      </c>
      <c r="B168">
        <f>ROUND(-_xlfn.XLOOKUP('Sub Close Summary'!E168,'Subsequent Close'!A:A,'Subsequent Close'!M:M)+_xlfn.XLOOKUP('Sub Close Summary'!E168,'Subsequent Close'!A:A,'Subsequent Close'!T:T),2)</f>
        <v>4466.72</v>
      </c>
      <c r="D168" t="s">
        <v>52</v>
      </c>
      <c r="E168" t="s">
        <v>102</v>
      </c>
    </row>
    <row r="169" spans="1:5" x14ac:dyDescent="0.25">
      <c r="A169" s="27" t="s">
        <v>24</v>
      </c>
      <c r="B169">
        <f>ROUND(-_xlfn.XLOOKUP('Sub Close Summary'!E169,'Subsequent Close'!A:A,'Subsequent Close'!M:M)+_xlfn.XLOOKUP('Sub Close Summary'!E169,'Subsequent Close'!A:A,'Subsequent Close'!T:T),2)</f>
        <v>22818.39</v>
      </c>
      <c r="D169" t="s">
        <v>52</v>
      </c>
      <c r="E169" t="s">
        <v>103</v>
      </c>
    </row>
    <row r="170" spans="1:5" x14ac:dyDescent="0.25">
      <c r="A170" s="27" t="s">
        <v>24</v>
      </c>
      <c r="B170">
        <f>ROUND(-_xlfn.XLOOKUP('Sub Close Summary'!E170,'Subsequent Close'!A:A,'Subsequent Close'!M:M)+_xlfn.XLOOKUP('Sub Close Summary'!E170,'Subsequent Close'!A:A,'Subsequent Close'!T:T),2)</f>
        <v>11409.19</v>
      </c>
      <c r="D170" t="s">
        <v>52</v>
      </c>
      <c r="E170" t="s">
        <v>104</v>
      </c>
    </row>
    <row r="171" spans="1:5" x14ac:dyDescent="0.25">
      <c r="A171" s="27" t="s">
        <v>24</v>
      </c>
      <c r="B171">
        <f>ROUND(-_xlfn.XLOOKUP('Sub Close Summary'!E171,'Subsequent Close'!A:A,'Subsequent Close'!M:M)+_xlfn.XLOOKUP('Sub Close Summary'!E171,'Subsequent Close'!A:A,'Subsequent Close'!T:T),2)</f>
        <v>34227.58</v>
      </c>
      <c r="D171" t="s">
        <v>52</v>
      </c>
      <c r="E171" t="s">
        <v>105</v>
      </c>
    </row>
    <row r="172" spans="1:5" x14ac:dyDescent="0.25">
      <c r="A172" s="27" t="s">
        <v>24</v>
      </c>
      <c r="B172">
        <f>ROUND(-_xlfn.XLOOKUP('Sub Close Summary'!E172,'Subsequent Close'!A:A,'Subsequent Close'!M:M)+_xlfn.XLOOKUP('Sub Close Summary'!E172,'Subsequent Close'!A:A,'Subsequent Close'!T:T),2)</f>
        <v>2281.84</v>
      </c>
      <c r="D172" t="s">
        <v>52</v>
      </c>
      <c r="E172" t="s">
        <v>106</v>
      </c>
    </row>
    <row r="173" spans="1:5" x14ac:dyDescent="0.25">
      <c r="A173" s="27" t="s">
        <v>24</v>
      </c>
      <c r="B173">
        <f>ROUND(-_xlfn.XLOOKUP('Sub Close Summary'!E173,'Subsequent Close'!A:A,'Subsequent Close'!M:M)+_xlfn.XLOOKUP('Sub Close Summary'!E173,'Subsequent Close'!A:A,'Subsequent Close'!T:T),2)</f>
        <v>17113.79</v>
      </c>
      <c r="D173" t="s">
        <v>52</v>
      </c>
      <c r="E173" t="s">
        <v>107</v>
      </c>
    </row>
    <row r="174" spans="1:5" x14ac:dyDescent="0.25">
      <c r="A174" s="27" t="s">
        <v>24</v>
      </c>
      <c r="B174">
        <f>ROUND(-_xlfn.XLOOKUP('Sub Close Summary'!E174,'Subsequent Close'!A:A,'Subsequent Close'!M:M)+_xlfn.XLOOKUP('Sub Close Summary'!E174,'Subsequent Close'!A:A,'Subsequent Close'!T:T),2)</f>
        <v>5360.06</v>
      </c>
      <c r="D174" t="s">
        <v>52</v>
      </c>
      <c r="E174" t="s">
        <v>108</v>
      </c>
    </row>
    <row r="175" spans="1:5" x14ac:dyDescent="0.25">
      <c r="A175" s="27" t="s">
        <v>24</v>
      </c>
      <c r="B175">
        <f>ROUND(-_xlfn.XLOOKUP('Sub Close Summary'!E175,'Subsequent Close'!A:A,'Subsequent Close'!M:M)+_xlfn.XLOOKUP('Sub Close Summary'!E175,'Subsequent Close'!A:A,'Subsequent Close'!T:T),2)</f>
        <v>22818.39</v>
      </c>
      <c r="D175" t="s">
        <v>52</v>
      </c>
      <c r="E175" t="s">
        <v>109</v>
      </c>
    </row>
    <row r="176" spans="1:5" x14ac:dyDescent="0.25">
      <c r="A176" s="27" t="s">
        <v>24</v>
      </c>
      <c r="B176">
        <f>ROUND(-_xlfn.XLOOKUP('Sub Close Summary'!E176,'Subsequent Close'!A:A,'Subsequent Close'!M:M)+_xlfn.XLOOKUP('Sub Close Summary'!E176,'Subsequent Close'!A:A,'Subsequent Close'!T:T),2)</f>
        <v>2680.03</v>
      </c>
      <c r="D176" t="s">
        <v>52</v>
      </c>
      <c r="E176" t="s">
        <v>110</v>
      </c>
    </row>
    <row r="177" spans="1:5" x14ac:dyDescent="0.25">
      <c r="A177" s="27" t="s">
        <v>24</v>
      </c>
      <c r="B177">
        <f>ROUND(-_xlfn.XLOOKUP('Sub Close Summary'!E177,'Subsequent Close'!A:A,'Subsequent Close'!M:M)+_xlfn.XLOOKUP('Sub Close Summary'!E177,'Subsequent Close'!A:A,'Subsequent Close'!T:T),2)</f>
        <v>2281.84</v>
      </c>
      <c r="D177" t="s">
        <v>52</v>
      </c>
      <c r="E177" t="s">
        <v>111</v>
      </c>
    </row>
    <row r="178" spans="1:5" x14ac:dyDescent="0.25">
      <c r="A178" s="27" t="s">
        <v>24</v>
      </c>
      <c r="B178">
        <f>ROUND(-_xlfn.XLOOKUP('Sub Close Summary'!E178,'Subsequent Close'!A:A,'Subsequent Close'!M:M)+_xlfn.XLOOKUP('Sub Close Summary'!E178,'Subsequent Close'!A:A,'Subsequent Close'!T:T),2)</f>
        <v>1786.69</v>
      </c>
      <c r="D178" t="s">
        <v>52</v>
      </c>
      <c r="E178" t="s">
        <v>112</v>
      </c>
    </row>
    <row r="179" spans="1:5" x14ac:dyDescent="0.25">
      <c r="A179" s="27" t="s">
        <v>24</v>
      </c>
      <c r="B179">
        <f>ROUND(-_xlfn.XLOOKUP('Sub Close Summary'!E179,'Subsequent Close'!A:A,'Subsequent Close'!M:M)+_xlfn.XLOOKUP('Sub Close Summary'!E179,'Subsequent Close'!A:A,'Subsequent Close'!T:T),2)</f>
        <v>17866.87</v>
      </c>
      <c r="D179" t="s">
        <v>52</v>
      </c>
      <c r="E179" t="s">
        <v>113</v>
      </c>
    </row>
    <row r="180" spans="1:5" x14ac:dyDescent="0.25">
      <c r="A180" s="27" t="s">
        <v>24</v>
      </c>
      <c r="B180">
        <f>ROUND(-_xlfn.XLOOKUP('Sub Close Summary'!E180,'Subsequent Close'!A:A,'Subsequent Close'!M:M)+_xlfn.XLOOKUP('Sub Close Summary'!E180,'Subsequent Close'!A:A,'Subsequent Close'!T:T),2)</f>
        <v>8933.43</v>
      </c>
      <c r="D180" t="s">
        <v>52</v>
      </c>
      <c r="E180" t="s">
        <v>114</v>
      </c>
    </row>
    <row r="181" spans="1:5" x14ac:dyDescent="0.25">
      <c r="A181" s="27" t="s">
        <v>24</v>
      </c>
      <c r="B181">
        <f>ROUND(-_xlfn.XLOOKUP('Sub Close Summary'!E181,'Subsequent Close'!A:A,'Subsequent Close'!M:M)+_xlfn.XLOOKUP('Sub Close Summary'!E181,'Subsequent Close'!A:A,'Subsequent Close'!T:T),2)</f>
        <v>16045.07</v>
      </c>
      <c r="D181" t="s">
        <v>52</v>
      </c>
      <c r="E181" t="s">
        <v>115</v>
      </c>
    </row>
    <row r="182" spans="1:5" x14ac:dyDescent="0.25">
      <c r="A182" s="27" t="s">
        <v>24</v>
      </c>
      <c r="B182">
        <f>ROUND(-_xlfn.XLOOKUP('Sub Close Summary'!E182,'Subsequent Close'!A:A,'Subsequent Close'!M:M)+_xlfn.XLOOKUP('Sub Close Summary'!E182,'Subsequent Close'!A:A,'Subsequent Close'!T:T),2)</f>
        <v>1786.69</v>
      </c>
      <c r="D182" t="s">
        <v>52</v>
      </c>
      <c r="E182" t="s">
        <v>116</v>
      </c>
    </row>
    <row r="183" spans="1:5" x14ac:dyDescent="0.25">
      <c r="A183" s="27" t="s">
        <v>24</v>
      </c>
      <c r="B183">
        <f>ROUND(-_xlfn.XLOOKUP('Sub Close Summary'!E183,'Subsequent Close'!A:A,'Subsequent Close'!M:M)+_xlfn.XLOOKUP('Sub Close Summary'!E183,'Subsequent Close'!A:A,'Subsequent Close'!T:T),2)</f>
        <v>7518.39</v>
      </c>
      <c r="D183" t="s">
        <v>52</v>
      </c>
      <c r="E183" t="s">
        <v>117</v>
      </c>
    </row>
    <row r="184" spans="1:5" x14ac:dyDescent="0.25">
      <c r="A184" s="27" t="s">
        <v>24</v>
      </c>
      <c r="B184">
        <f>ROUND(-_xlfn.XLOOKUP('Sub Close Summary'!E184,'Subsequent Close'!A:A,'Subsequent Close'!M:M)+_xlfn.XLOOKUP('Sub Close Summary'!E184,'Subsequent Close'!A:A,'Subsequent Close'!T:T),2)</f>
        <v>20025.2</v>
      </c>
      <c r="D184" t="s">
        <v>52</v>
      </c>
      <c r="E184" t="s">
        <v>118</v>
      </c>
    </row>
    <row r="185" spans="1:5" x14ac:dyDescent="0.25">
      <c r="A185" s="27" t="s">
        <v>24</v>
      </c>
      <c r="B185">
        <f>ROUND(-_xlfn.XLOOKUP('Sub Close Summary'!E185,'Subsequent Close'!A:A,'Subsequent Close'!M:M)+_xlfn.XLOOKUP('Sub Close Summary'!E185,'Subsequent Close'!A:A,'Subsequent Close'!T:T),2)</f>
        <v>893.34</v>
      </c>
      <c r="D185" t="s">
        <v>52</v>
      </c>
      <c r="E185" t="s">
        <v>119</v>
      </c>
    </row>
    <row r="186" spans="1:5" x14ac:dyDescent="0.25">
      <c r="A186" s="27" t="s">
        <v>24</v>
      </c>
      <c r="B186">
        <f>ROUND(-_xlfn.XLOOKUP('Sub Close Summary'!E186,'Subsequent Close'!A:A,'Subsequent Close'!M:M)+_xlfn.XLOOKUP('Sub Close Summary'!E186,'Subsequent Close'!A:A,'Subsequent Close'!T:T),2)</f>
        <v>34227.58</v>
      </c>
      <c r="D186" t="s">
        <v>52</v>
      </c>
      <c r="E186" t="s">
        <v>120</v>
      </c>
    </row>
    <row r="187" spans="1:5" x14ac:dyDescent="0.25">
      <c r="A187" s="27" t="s">
        <v>24</v>
      </c>
      <c r="B187">
        <f>ROUND(-_xlfn.XLOOKUP('Sub Close Summary'!E187,'Subsequent Close'!A:A,'Subsequent Close'!M:M)+_xlfn.XLOOKUP('Sub Close Summary'!E187,'Subsequent Close'!A:A,'Subsequent Close'!T:T),2)</f>
        <v>22818.39</v>
      </c>
      <c r="D187" t="s">
        <v>52</v>
      </c>
      <c r="E187" t="s">
        <v>121</v>
      </c>
    </row>
    <row r="188" spans="1:5" x14ac:dyDescent="0.25">
      <c r="A188" s="27" t="s">
        <v>24</v>
      </c>
      <c r="B188">
        <f>ROUND(-_xlfn.XLOOKUP('Sub Close Summary'!E188,'Subsequent Close'!A:A,'Subsequent Close'!M:M)+_xlfn.XLOOKUP('Sub Close Summary'!E188,'Subsequent Close'!A:A,'Subsequent Close'!T:T),2)</f>
        <v>22818.39</v>
      </c>
      <c r="D188" t="s">
        <v>52</v>
      </c>
      <c r="E188" t="s">
        <v>122</v>
      </c>
    </row>
    <row r="189" spans="1:5" x14ac:dyDescent="0.25">
      <c r="A189" s="27" t="s">
        <v>24</v>
      </c>
      <c r="B189">
        <f>ROUND(-_xlfn.XLOOKUP('Sub Close Summary'!E189,'Subsequent Close'!A:A,'Subsequent Close'!M:M)+_xlfn.XLOOKUP('Sub Close Summary'!E189,'Subsequent Close'!A:A,'Subsequent Close'!T:T),2)</f>
        <v>45636.77</v>
      </c>
      <c r="D189" t="s">
        <v>52</v>
      </c>
      <c r="E189" t="s">
        <v>123</v>
      </c>
    </row>
    <row r="190" spans="1:5" x14ac:dyDescent="0.25">
      <c r="A190" s="27" t="s">
        <v>24</v>
      </c>
      <c r="B190">
        <f>ROUND(-_xlfn.XLOOKUP('Sub Close Summary'!E190,'Subsequent Close'!A:A,'Subsequent Close'!M:M)+_xlfn.XLOOKUP('Sub Close Summary'!E190,'Subsequent Close'!A:A,'Subsequent Close'!T:T),2)</f>
        <v>22818.39</v>
      </c>
      <c r="D190" t="s">
        <v>52</v>
      </c>
      <c r="E190" t="s">
        <v>124</v>
      </c>
    </row>
    <row r="191" spans="1:5" x14ac:dyDescent="0.25">
      <c r="A191" s="27" t="s">
        <v>24</v>
      </c>
      <c r="B191">
        <f>ROUND(-_xlfn.XLOOKUP('Sub Close Summary'!E191,'Subsequent Close'!A:A,'Subsequent Close'!M:M)+_xlfn.XLOOKUP('Sub Close Summary'!E191,'Subsequent Close'!A:A,'Subsequent Close'!T:T),2)</f>
        <v>11940.79</v>
      </c>
      <c r="D191" t="s">
        <v>52</v>
      </c>
      <c r="E191" t="s">
        <v>125</v>
      </c>
    </row>
    <row r="192" spans="1:5" x14ac:dyDescent="0.25">
      <c r="A192" s="27" t="s">
        <v>24</v>
      </c>
      <c r="B192">
        <f>ROUND(-_xlfn.XLOOKUP('Sub Close Summary'!E192,'Subsequent Close'!A:A,'Subsequent Close'!M:M)+_xlfn.XLOOKUP('Sub Close Summary'!E192,'Subsequent Close'!A:A,'Subsequent Close'!T:T),2)</f>
        <v>3573.37</v>
      </c>
      <c r="D192" t="s">
        <v>52</v>
      </c>
      <c r="E192" t="s">
        <v>126</v>
      </c>
    </row>
    <row r="193" spans="1:5" x14ac:dyDescent="0.25">
      <c r="A193" s="27" t="s">
        <v>24</v>
      </c>
      <c r="B193">
        <f>ROUND(-_xlfn.XLOOKUP('Sub Close Summary'!E193,'Subsequent Close'!A:A,'Subsequent Close'!M:M)+_xlfn.XLOOKUP('Sub Close Summary'!E193,'Subsequent Close'!A:A,'Subsequent Close'!T:T),2)</f>
        <v>22818.39</v>
      </c>
      <c r="D193" t="s">
        <v>52</v>
      </c>
      <c r="E193" t="s">
        <v>127</v>
      </c>
    </row>
    <row r="194" spans="1:5" x14ac:dyDescent="0.25">
      <c r="A194" s="27" t="s">
        <v>24</v>
      </c>
      <c r="B194">
        <f>ROUND(-_xlfn.XLOOKUP('Sub Close Summary'!E194,'Subsequent Close'!A:A,'Subsequent Close'!M:M)+_xlfn.XLOOKUP('Sub Close Summary'!E194,'Subsequent Close'!A:A,'Subsequent Close'!T:T),2)</f>
        <v>22818.39</v>
      </c>
      <c r="D194" t="s">
        <v>52</v>
      </c>
      <c r="E194" t="s">
        <v>128</v>
      </c>
    </row>
    <row r="195" spans="1:5" x14ac:dyDescent="0.25">
      <c r="A195" s="27" t="s">
        <v>24</v>
      </c>
      <c r="B195">
        <f>ROUND(-_xlfn.XLOOKUP('Sub Close Summary'!E195,'Subsequent Close'!A:A,'Subsequent Close'!M:M)+_xlfn.XLOOKUP('Sub Close Summary'!E195,'Subsequent Close'!A:A,'Subsequent Close'!T:T),2)</f>
        <v>13691.03</v>
      </c>
      <c r="D195" t="s">
        <v>52</v>
      </c>
      <c r="E195" t="s">
        <v>129</v>
      </c>
    </row>
    <row r="196" spans="1:5" x14ac:dyDescent="0.25">
      <c r="A196" s="27" t="s">
        <v>24</v>
      </c>
      <c r="B196">
        <f>ROUND(-_xlfn.XLOOKUP('Sub Close Summary'!E196,'Subsequent Close'!A:A,'Subsequent Close'!M:M)+_xlfn.XLOOKUP('Sub Close Summary'!E196,'Subsequent Close'!A:A,'Subsequent Close'!T:T),2)</f>
        <v>22818.39</v>
      </c>
      <c r="D196" t="s">
        <v>52</v>
      </c>
      <c r="E196" t="s">
        <v>130</v>
      </c>
    </row>
    <row r="197" spans="1:5" x14ac:dyDescent="0.25">
      <c r="A197" s="27" t="s">
        <v>24</v>
      </c>
      <c r="B197">
        <f>ROUND(-_xlfn.XLOOKUP('Sub Close Summary'!E197,'Subsequent Close'!A:A,'Subsequent Close'!M:M)+_xlfn.XLOOKUP('Sub Close Summary'!E197,'Subsequent Close'!A:A,'Subsequent Close'!T:T),2)</f>
        <v>456367.75</v>
      </c>
      <c r="D197" t="s">
        <v>52</v>
      </c>
      <c r="E197" t="s">
        <v>131</v>
      </c>
    </row>
    <row r="198" spans="1:5" x14ac:dyDescent="0.25">
      <c r="A198" s="27" t="s">
        <v>24</v>
      </c>
      <c r="B198">
        <f>ROUND(-_xlfn.XLOOKUP('Sub Close Summary'!E198,'Subsequent Close'!A:A,'Subsequent Close'!M:M)+_xlfn.XLOOKUP('Sub Close Summary'!E198,'Subsequent Close'!A:A,'Subsequent Close'!T:T),2)</f>
        <v>5704.6</v>
      </c>
      <c r="D198" t="s">
        <v>52</v>
      </c>
      <c r="E198" t="s">
        <v>132</v>
      </c>
    </row>
    <row r="199" spans="1:5" x14ac:dyDescent="0.25">
      <c r="A199" s="27" t="s">
        <v>24</v>
      </c>
      <c r="B199">
        <f>ROUND(-_xlfn.XLOOKUP('Sub Close Summary'!E199,'Subsequent Close'!A:A,'Subsequent Close'!M:M)+_xlfn.XLOOKUP('Sub Close Summary'!E199,'Subsequent Close'!A:A,'Subsequent Close'!T:T),2)</f>
        <v>7146.75</v>
      </c>
      <c r="D199" t="s">
        <v>52</v>
      </c>
      <c r="E199" t="s">
        <v>133</v>
      </c>
    </row>
    <row r="200" spans="1:5" x14ac:dyDescent="0.25">
      <c r="A200" s="27" t="s">
        <v>24</v>
      </c>
      <c r="B200">
        <f>ROUND(-_xlfn.XLOOKUP('Sub Close Summary'!E200,'Subsequent Close'!A:A,'Subsequent Close'!M:M)+_xlfn.XLOOKUP('Sub Close Summary'!E200,'Subsequent Close'!A:A,'Subsequent Close'!T:T),2)</f>
        <v>7146.75</v>
      </c>
      <c r="D200" t="s">
        <v>52</v>
      </c>
      <c r="E200" t="s">
        <v>134</v>
      </c>
    </row>
    <row r="201" spans="1:5" x14ac:dyDescent="0.25">
      <c r="A201" s="27" t="s">
        <v>24</v>
      </c>
      <c r="B201">
        <f>ROUND(-_xlfn.XLOOKUP('Sub Close Summary'!E201,'Subsequent Close'!A:A,'Subsequent Close'!M:M)+_xlfn.XLOOKUP('Sub Close Summary'!E201,'Subsequent Close'!A:A,'Subsequent Close'!T:T),2)</f>
        <v>114091.94</v>
      </c>
      <c r="D201" t="s">
        <v>52</v>
      </c>
      <c r="E201" t="s">
        <v>135</v>
      </c>
    </row>
    <row r="202" spans="1:5" x14ac:dyDescent="0.25">
      <c r="A202" s="27" t="s">
        <v>24</v>
      </c>
      <c r="B202">
        <f>ROUND(-_xlfn.XLOOKUP('Sub Close Summary'!E202,'Subsequent Close'!A:A,'Subsequent Close'!M:M)+_xlfn.XLOOKUP('Sub Close Summary'!E202,'Subsequent Close'!A:A,'Subsequent Close'!T:T),2)</f>
        <v>171137.9</v>
      </c>
      <c r="D202" t="s">
        <v>52</v>
      </c>
      <c r="E202" t="s">
        <v>136</v>
      </c>
    </row>
    <row r="203" spans="1:5" x14ac:dyDescent="0.25">
      <c r="A203" s="27" t="s">
        <v>24</v>
      </c>
      <c r="B203">
        <f>ROUND(-_xlfn.XLOOKUP('Sub Close Summary'!E203,'Subsequent Close'!A:A,'Subsequent Close'!M:M)+_xlfn.XLOOKUP('Sub Close Summary'!E203,'Subsequent Close'!A:A,'Subsequent Close'!T:T),2)</f>
        <v>114091.94</v>
      </c>
      <c r="D203" t="s">
        <v>52</v>
      </c>
      <c r="E203" t="s">
        <v>137</v>
      </c>
    </row>
    <row r="204" spans="1:5" x14ac:dyDescent="0.25">
      <c r="A204" s="27" t="s">
        <v>24</v>
      </c>
      <c r="B204">
        <f>ROUND(-_xlfn.XLOOKUP('Sub Close Summary'!E204,'Subsequent Close'!A:A,'Subsequent Close'!M:M)+_xlfn.XLOOKUP('Sub Close Summary'!E204,'Subsequent Close'!A:A,'Subsequent Close'!T:T),2)</f>
        <v>684551.62</v>
      </c>
      <c r="D204" t="s">
        <v>52</v>
      </c>
      <c r="E204" t="s">
        <v>138</v>
      </c>
    </row>
    <row r="205" spans="1:5" x14ac:dyDescent="0.25">
      <c r="A205" s="27" t="s">
        <v>24</v>
      </c>
      <c r="B205">
        <f>ROUND(-_xlfn.XLOOKUP('Sub Close Summary'!E205,'Subsequent Close'!A:A,'Subsequent Close'!M:M)+_xlfn.XLOOKUP('Sub Close Summary'!E205,'Subsequent Close'!A:A,'Subsequent Close'!T:T),2)</f>
        <v>8933.43</v>
      </c>
      <c r="D205" t="s">
        <v>52</v>
      </c>
      <c r="E205" t="s">
        <v>139</v>
      </c>
    </row>
    <row r="206" spans="1:5" x14ac:dyDescent="0.25">
      <c r="A206" s="27" t="s">
        <v>24</v>
      </c>
      <c r="B206">
        <f>ROUND(-_xlfn.XLOOKUP('Sub Close Summary'!E206,'Subsequent Close'!A:A,'Subsequent Close'!M:M)+_xlfn.XLOOKUP('Sub Close Summary'!E206,'Subsequent Close'!A:A,'Subsequent Close'!T:T),2)</f>
        <v>45636.77</v>
      </c>
      <c r="D206" t="s">
        <v>52</v>
      </c>
      <c r="E206" t="s">
        <v>140</v>
      </c>
    </row>
    <row r="207" spans="1:5" x14ac:dyDescent="0.25">
      <c r="A207" s="27" t="s">
        <v>28</v>
      </c>
      <c r="B207">
        <f>ROUND(_xlfn.XLOOKUP(E207,'Subsequent Close'!A:A,'Subsequent Close'!W:W)-_xlfn.XLOOKUP('Sub Close Summary'!E207,'Subsequent Close'!A:A,'Subsequent Close'!P:P),2)</f>
        <v>5.08</v>
      </c>
      <c r="D207" t="s">
        <v>52</v>
      </c>
      <c r="E207" t="s">
        <v>50</v>
      </c>
    </row>
    <row r="208" spans="1:5" x14ac:dyDescent="0.25">
      <c r="A208" s="27" t="s">
        <v>28</v>
      </c>
      <c r="B208">
        <f>ROUND(_xlfn.XLOOKUP(E208,'Subsequent Close'!A:A,'Subsequent Close'!W:W)-_xlfn.XLOOKUP('Sub Close Summary'!E208,'Subsequent Close'!A:A,'Subsequent Close'!P:P),2)</f>
        <v>7.11</v>
      </c>
      <c r="D208" t="s">
        <v>52</v>
      </c>
      <c r="E208" t="s">
        <v>51</v>
      </c>
    </row>
    <row r="209" spans="1:5" x14ac:dyDescent="0.25">
      <c r="A209" s="27" t="s">
        <v>28</v>
      </c>
      <c r="B209">
        <f>ROUND(_xlfn.XLOOKUP(E209,'Subsequent Close'!A:A,'Subsequent Close'!W:W)-_xlfn.XLOOKUP('Sub Close Summary'!E209,'Subsequent Close'!A:A,'Subsequent Close'!P:P),2)</f>
        <v>6.09</v>
      </c>
      <c r="D209" t="s">
        <v>52</v>
      </c>
      <c r="E209" t="s">
        <v>53</v>
      </c>
    </row>
    <row r="210" spans="1:5" x14ac:dyDescent="0.25">
      <c r="A210" s="27" t="s">
        <v>28</v>
      </c>
      <c r="B210">
        <f>ROUND(_xlfn.XLOOKUP(E210,'Subsequent Close'!A:A,'Subsequent Close'!W:W)-_xlfn.XLOOKUP('Sub Close Summary'!E210,'Subsequent Close'!A:A,'Subsequent Close'!P:P),2)</f>
        <v>7.62</v>
      </c>
      <c r="D210" t="s">
        <v>52</v>
      </c>
      <c r="E210" t="s">
        <v>54</v>
      </c>
    </row>
    <row r="211" spans="1:5" x14ac:dyDescent="0.25">
      <c r="A211" s="27" t="s">
        <v>28</v>
      </c>
      <c r="B211">
        <f>ROUND(_xlfn.XLOOKUP(E211,'Subsequent Close'!A:A,'Subsequent Close'!W:W)-_xlfn.XLOOKUP('Sub Close Summary'!E211,'Subsequent Close'!A:A,'Subsequent Close'!P:P),2)</f>
        <v>0.8</v>
      </c>
      <c r="D211" t="s">
        <v>52</v>
      </c>
      <c r="E211" t="s">
        <v>55</v>
      </c>
    </row>
    <row r="212" spans="1:5" x14ac:dyDescent="0.25">
      <c r="A212" s="27" t="s">
        <v>28</v>
      </c>
      <c r="B212">
        <f>ROUND(_xlfn.XLOOKUP(E212,'Subsequent Close'!A:A,'Subsequent Close'!W:W)-_xlfn.XLOOKUP('Sub Close Summary'!E212,'Subsequent Close'!A:A,'Subsequent Close'!P:P),2)</f>
        <v>1.46</v>
      </c>
      <c r="D212" t="s">
        <v>52</v>
      </c>
      <c r="E212" t="s">
        <v>57</v>
      </c>
    </row>
    <row r="213" spans="1:5" x14ac:dyDescent="0.25">
      <c r="A213" s="27" t="s">
        <v>28</v>
      </c>
      <c r="B213">
        <f>ROUND(_xlfn.XLOOKUP(E213,'Subsequent Close'!A:A,'Subsequent Close'!W:W)-_xlfn.XLOOKUP('Sub Close Summary'!E213,'Subsequent Close'!A:A,'Subsequent Close'!P:P),2)</f>
        <v>1.59</v>
      </c>
      <c r="D213" t="s">
        <v>52</v>
      </c>
      <c r="E213" t="s">
        <v>59</v>
      </c>
    </row>
    <row r="214" spans="1:5" x14ac:dyDescent="0.25">
      <c r="A214" s="27" t="s">
        <v>28</v>
      </c>
      <c r="B214">
        <f>ROUND(_xlfn.XLOOKUP(E214,'Subsequent Close'!A:A,'Subsequent Close'!W:W)-_xlfn.XLOOKUP('Sub Close Summary'!E214,'Subsequent Close'!A:A,'Subsequent Close'!P:P),2)</f>
        <v>5.32</v>
      </c>
      <c r="D214" t="s">
        <v>52</v>
      </c>
      <c r="E214" t="s">
        <v>61</v>
      </c>
    </row>
    <row r="215" spans="1:5" x14ac:dyDescent="0.25">
      <c r="A215" s="27" t="s">
        <v>28</v>
      </c>
      <c r="B215">
        <f>ROUND(_xlfn.XLOOKUP(E215,'Subsequent Close'!A:A,'Subsequent Close'!W:W)-_xlfn.XLOOKUP('Sub Close Summary'!E215,'Subsequent Close'!A:A,'Subsequent Close'!P:P),2)</f>
        <v>10.16</v>
      </c>
      <c r="D215" t="s">
        <v>52</v>
      </c>
      <c r="E215" t="s">
        <v>62</v>
      </c>
    </row>
    <row r="216" spans="1:5" x14ac:dyDescent="0.25">
      <c r="A216" s="27" t="s">
        <v>28</v>
      </c>
      <c r="B216">
        <f>ROUND(_xlfn.XLOOKUP(E216,'Subsequent Close'!A:A,'Subsequent Close'!W:W)-_xlfn.XLOOKUP('Sub Close Summary'!E216,'Subsequent Close'!A:A,'Subsequent Close'!P:P),2)</f>
        <v>3.98</v>
      </c>
      <c r="D216" t="s">
        <v>52</v>
      </c>
      <c r="E216" t="s">
        <v>63</v>
      </c>
    </row>
    <row r="217" spans="1:5" x14ac:dyDescent="0.25">
      <c r="A217" s="27" t="s">
        <v>28</v>
      </c>
      <c r="B217">
        <f>ROUND(_xlfn.XLOOKUP(E217,'Subsequent Close'!A:A,'Subsequent Close'!W:W)-_xlfn.XLOOKUP('Sub Close Summary'!E217,'Subsequent Close'!A:A,'Subsequent Close'!P:P),2)</f>
        <v>101.58</v>
      </c>
      <c r="D217" t="s">
        <v>52</v>
      </c>
      <c r="E217" t="s">
        <v>65</v>
      </c>
    </row>
    <row r="218" spans="1:5" x14ac:dyDescent="0.25">
      <c r="A218" s="27" t="s">
        <v>28</v>
      </c>
      <c r="B218">
        <f>ROUND(_xlfn.XLOOKUP(E218,'Subsequent Close'!A:A,'Subsequent Close'!W:W)-_xlfn.XLOOKUP('Sub Close Summary'!E218,'Subsequent Close'!A:A,'Subsequent Close'!P:P),2)</f>
        <v>9.29</v>
      </c>
      <c r="D218" t="s">
        <v>52</v>
      </c>
      <c r="E218" t="s">
        <v>68</v>
      </c>
    </row>
    <row r="219" spans="1:5" x14ac:dyDescent="0.25">
      <c r="A219" s="27" t="s">
        <v>28</v>
      </c>
      <c r="B219">
        <f>ROUND(_xlfn.XLOOKUP(E219,'Subsequent Close'!A:A,'Subsequent Close'!W:W)-_xlfn.XLOOKUP('Sub Close Summary'!E219,'Subsequent Close'!A:A,'Subsequent Close'!P:P),2)</f>
        <v>9.29</v>
      </c>
      <c r="D219" t="s">
        <v>52</v>
      </c>
      <c r="E219" t="s">
        <v>70</v>
      </c>
    </row>
    <row r="220" spans="1:5" x14ac:dyDescent="0.25">
      <c r="A220" s="27" t="s">
        <v>28</v>
      </c>
      <c r="B220">
        <f>ROUND(_xlfn.XLOOKUP(E220,'Subsequent Close'!A:A,'Subsequent Close'!W:W)-_xlfn.XLOOKUP('Sub Close Summary'!E220,'Subsequent Close'!A:A,'Subsequent Close'!P:P),2)</f>
        <v>0.8</v>
      </c>
      <c r="D220" t="s">
        <v>52</v>
      </c>
      <c r="E220" t="s">
        <v>72</v>
      </c>
    </row>
    <row r="221" spans="1:5" x14ac:dyDescent="0.25">
      <c r="A221" s="27" t="s">
        <v>28</v>
      </c>
      <c r="B221">
        <f>ROUND(_xlfn.XLOOKUP(E221,'Subsequent Close'!A:A,'Subsequent Close'!W:W)-_xlfn.XLOOKUP('Sub Close Summary'!E221,'Subsequent Close'!A:A,'Subsequent Close'!P:P),2)</f>
        <v>2.39</v>
      </c>
      <c r="D221" t="s">
        <v>52</v>
      </c>
      <c r="E221" t="s">
        <v>74</v>
      </c>
    </row>
    <row r="222" spans="1:5" x14ac:dyDescent="0.25">
      <c r="A222" s="27" t="s">
        <v>28</v>
      </c>
      <c r="B222">
        <f>ROUND(_xlfn.XLOOKUP(E222,'Subsequent Close'!A:A,'Subsequent Close'!W:W)-_xlfn.XLOOKUP('Sub Close Summary'!E222,'Subsequent Close'!A:A,'Subsequent Close'!P:P),2)</f>
        <v>5.08</v>
      </c>
      <c r="D222" t="s">
        <v>52</v>
      </c>
      <c r="E222" t="s">
        <v>76</v>
      </c>
    </row>
    <row r="223" spans="1:5" x14ac:dyDescent="0.25">
      <c r="A223" s="27" t="s">
        <v>28</v>
      </c>
      <c r="B223">
        <f>ROUND(_xlfn.XLOOKUP(E223,'Subsequent Close'!A:A,'Subsequent Close'!W:W)-_xlfn.XLOOKUP('Sub Close Summary'!E223,'Subsequent Close'!A:A,'Subsequent Close'!P:P),2)</f>
        <v>1.99</v>
      </c>
      <c r="D223" t="s">
        <v>52</v>
      </c>
      <c r="E223" t="s">
        <v>77</v>
      </c>
    </row>
    <row r="224" spans="1:5" x14ac:dyDescent="0.25">
      <c r="A224" s="27" t="s">
        <v>28</v>
      </c>
      <c r="B224">
        <f>ROUND(_xlfn.XLOOKUP(E224,'Subsequent Close'!A:A,'Subsequent Close'!W:W)-_xlfn.XLOOKUP('Sub Close Summary'!E224,'Subsequent Close'!A:A,'Subsequent Close'!P:P),2)</f>
        <v>5.08</v>
      </c>
      <c r="D224" t="s">
        <v>52</v>
      </c>
      <c r="E224" t="s">
        <v>78</v>
      </c>
    </row>
    <row r="225" spans="1:5" x14ac:dyDescent="0.25">
      <c r="A225" s="27" t="s">
        <v>28</v>
      </c>
      <c r="B225">
        <f>ROUND(_xlfn.XLOOKUP(E225,'Subsequent Close'!A:A,'Subsequent Close'!W:W)-_xlfn.XLOOKUP('Sub Close Summary'!E225,'Subsequent Close'!A:A,'Subsequent Close'!P:P),2)</f>
        <v>517.7</v>
      </c>
      <c r="D225" t="s">
        <v>52</v>
      </c>
      <c r="E225" t="s">
        <v>80</v>
      </c>
    </row>
    <row r="226" spans="1:5" x14ac:dyDescent="0.25">
      <c r="A226" s="27" t="s">
        <v>28</v>
      </c>
      <c r="B226">
        <f>ROUND(_xlfn.XLOOKUP(E226,'Subsequent Close'!A:A,'Subsequent Close'!W:W)-_xlfn.XLOOKUP('Sub Close Summary'!E226,'Subsequent Close'!A:A,'Subsequent Close'!P:P),2)</f>
        <v>64.26</v>
      </c>
      <c r="D226" t="s">
        <v>52</v>
      </c>
      <c r="E226" t="s">
        <v>82</v>
      </c>
    </row>
    <row r="227" spans="1:5" x14ac:dyDescent="0.25">
      <c r="A227" s="27" t="s">
        <v>28</v>
      </c>
      <c r="B227">
        <f>ROUND(_xlfn.XLOOKUP(E227,'Subsequent Close'!A:A,'Subsequent Close'!W:W)-_xlfn.XLOOKUP('Sub Close Summary'!E227,'Subsequent Close'!A:A,'Subsequent Close'!P:P),2)</f>
        <v>1.99</v>
      </c>
      <c r="D227" t="s">
        <v>52</v>
      </c>
      <c r="E227" t="s">
        <v>83</v>
      </c>
    </row>
    <row r="228" spans="1:5" x14ac:dyDescent="0.25">
      <c r="A228" s="27" t="s">
        <v>28</v>
      </c>
      <c r="B228">
        <f>ROUND(_xlfn.XLOOKUP(E228,'Subsequent Close'!A:A,'Subsequent Close'!W:W)-_xlfn.XLOOKUP('Sub Close Summary'!E228,'Subsequent Close'!A:A,'Subsequent Close'!P:P),2)</f>
        <v>12.32</v>
      </c>
      <c r="D228" t="s">
        <v>52</v>
      </c>
      <c r="E228" t="s">
        <v>84</v>
      </c>
    </row>
    <row r="229" spans="1:5" x14ac:dyDescent="0.25">
      <c r="A229" s="27" t="s">
        <v>28</v>
      </c>
      <c r="B229">
        <f>ROUND(_xlfn.XLOOKUP(E229,'Subsequent Close'!A:A,'Subsequent Close'!W:W)-_xlfn.XLOOKUP('Sub Close Summary'!E229,'Subsequent Close'!A:A,'Subsequent Close'!P:P),2)</f>
        <v>1.99</v>
      </c>
      <c r="D229" t="s">
        <v>52</v>
      </c>
      <c r="E229" t="s">
        <v>85</v>
      </c>
    </row>
    <row r="230" spans="1:5" x14ac:dyDescent="0.25">
      <c r="A230" s="27" t="s">
        <v>28</v>
      </c>
      <c r="B230">
        <f>ROUND(_xlfn.XLOOKUP(E230,'Subsequent Close'!A:A,'Subsequent Close'!W:W)-_xlfn.XLOOKUP('Sub Close Summary'!E230,'Subsequent Close'!A:A,'Subsequent Close'!P:P),2)</f>
        <v>5.08</v>
      </c>
      <c r="D230" t="s">
        <v>52</v>
      </c>
      <c r="E230" t="s">
        <v>86</v>
      </c>
    </row>
    <row r="231" spans="1:5" x14ac:dyDescent="0.25">
      <c r="A231" s="27" t="s">
        <v>28</v>
      </c>
      <c r="B231">
        <f>ROUND(_xlfn.XLOOKUP(E231,'Subsequent Close'!A:A,'Subsequent Close'!W:W)-_xlfn.XLOOKUP('Sub Close Summary'!E231,'Subsequent Close'!A:A,'Subsequent Close'!P:P),2)</f>
        <v>1.69</v>
      </c>
      <c r="D231" t="s">
        <v>52</v>
      </c>
      <c r="E231" t="s">
        <v>87</v>
      </c>
    </row>
    <row r="232" spans="1:5" x14ac:dyDescent="0.25">
      <c r="A232" s="27" t="s">
        <v>28</v>
      </c>
      <c r="B232">
        <f>ROUND(_xlfn.XLOOKUP(E232,'Subsequent Close'!A:A,'Subsequent Close'!W:W)-_xlfn.XLOOKUP('Sub Close Summary'!E232,'Subsequent Close'!A:A,'Subsequent Close'!P:P),2)</f>
        <v>48.78</v>
      </c>
      <c r="D232" t="s">
        <v>52</v>
      </c>
      <c r="E232" t="s">
        <v>88</v>
      </c>
    </row>
    <row r="233" spans="1:5" x14ac:dyDescent="0.25">
      <c r="A233" s="27" t="s">
        <v>28</v>
      </c>
      <c r="B233">
        <f>ROUND(_xlfn.XLOOKUP(E233,'Subsequent Close'!A:A,'Subsequent Close'!W:W)-_xlfn.XLOOKUP('Sub Close Summary'!E233,'Subsequent Close'!A:A,'Subsequent Close'!P:P),2)</f>
        <v>3.75</v>
      </c>
      <c r="D233" t="s">
        <v>52</v>
      </c>
      <c r="E233" t="s">
        <v>89</v>
      </c>
    </row>
    <row r="234" spans="1:5" x14ac:dyDescent="0.25">
      <c r="A234" s="27" t="s">
        <v>28</v>
      </c>
      <c r="B234">
        <f>ROUND(_xlfn.XLOOKUP(E234,'Subsequent Close'!A:A,'Subsequent Close'!W:W)-_xlfn.XLOOKUP('Sub Close Summary'!E234,'Subsequent Close'!A:A,'Subsequent Close'!P:P),2)</f>
        <v>1.59</v>
      </c>
      <c r="D234" t="s">
        <v>52</v>
      </c>
      <c r="E234" t="s">
        <v>90</v>
      </c>
    </row>
    <row r="235" spans="1:5" x14ac:dyDescent="0.25">
      <c r="A235" s="27" t="s">
        <v>28</v>
      </c>
      <c r="B235">
        <f>ROUND(_xlfn.XLOOKUP(E235,'Subsequent Close'!A:A,'Subsequent Close'!W:W)-_xlfn.XLOOKUP('Sub Close Summary'!E235,'Subsequent Close'!A:A,'Subsequent Close'!P:P),2)</f>
        <v>8.63</v>
      </c>
      <c r="D235" t="s">
        <v>52</v>
      </c>
      <c r="E235" t="s">
        <v>91</v>
      </c>
    </row>
    <row r="236" spans="1:5" x14ac:dyDescent="0.25">
      <c r="A236" s="27" t="s">
        <v>28</v>
      </c>
      <c r="B236">
        <f>ROUND(_xlfn.XLOOKUP(E236,'Subsequent Close'!A:A,'Subsequent Close'!W:W)-_xlfn.XLOOKUP('Sub Close Summary'!E236,'Subsequent Close'!A:A,'Subsequent Close'!P:P),2)</f>
        <v>15.24</v>
      </c>
      <c r="D236" t="s">
        <v>52</v>
      </c>
      <c r="E236" t="s">
        <v>92</v>
      </c>
    </row>
    <row r="237" spans="1:5" x14ac:dyDescent="0.25">
      <c r="A237" s="27" t="s">
        <v>28</v>
      </c>
      <c r="B237">
        <f>ROUND(_xlfn.XLOOKUP(E237,'Subsequent Close'!A:A,'Subsequent Close'!W:W)-_xlfn.XLOOKUP('Sub Close Summary'!E237,'Subsequent Close'!A:A,'Subsequent Close'!P:P),2)</f>
        <v>3.18</v>
      </c>
      <c r="D237" t="s">
        <v>52</v>
      </c>
      <c r="E237" t="s">
        <v>93</v>
      </c>
    </row>
    <row r="238" spans="1:5" x14ac:dyDescent="0.25">
      <c r="A238" s="27" t="s">
        <v>28</v>
      </c>
      <c r="B238">
        <f>ROUND(_xlfn.XLOOKUP(E238,'Subsequent Close'!A:A,'Subsequent Close'!W:W)-_xlfn.XLOOKUP('Sub Close Summary'!E238,'Subsequent Close'!A:A,'Subsequent Close'!P:P),2)</f>
        <v>2.39</v>
      </c>
      <c r="D238" t="s">
        <v>52</v>
      </c>
      <c r="E238" t="s">
        <v>94</v>
      </c>
    </row>
    <row r="239" spans="1:5" x14ac:dyDescent="0.25">
      <c r="A239" s="27" t="s">
        <v>28</v>
      </c>
      <c r="B239">
        <f>ROUND(_xlfn.XLOOKUP(E239,'Subsequent Close'!A:A,'Subsequent Close'!W:W)-_xlfn.XLOOKUP('Sub Close Summary'!E239,'Subsequent Close'!A:A,'Subsequent Close'!P:P),2)</f>
        <v>10.16</v>
      </c>
      <c r="D239" t="s">
        <v>52</v>
      </c>
      <c r="E239" t="s">
        <v>95</v>
      </c>
    </row>
    <row r="240" spans="1:5" x14ac:dyDescent="0.25">
      <c r="A240" s="27" t="s">
        <v>28</v>
      </c>
      <c r="B240">
        <f>ROUND(_xlfn.XLOOKUP(E240,'Subsequent Close'!A:A,'Subsequent Close'!W:W)-_xlfn.XLOOKUP('Sub Close Summary'!E240,'Subsequent Close'!A:A,'Subsequent Close'!P:P),2)</f>
        <v>10.16</v>
      </c>
      <c r="D240" t="s">
        <v>52</v>
      </c>
      <c r="E240" t="s">
        <v>96</v>
      </c>
    </row>
    <row r="241" spans="1:5" x14ac:dyDescent="0.25">
      <c r="A241" s="27" t="s">
        <v>28</v>
      </c>
      <c r="B241">
        <f>ROUND(_xlfn.XLOOKUP(E241,'Subsequent Close'!A:A,'Subsequent Close'!W:W)-_xlfn.XLOOKUP('Sub Close Summary'!E241,'Subsequent Close'!A:A,'Subsequent Close'!P:P),2)</f>
        <v>1.59</v>
      </c>
      <c r="D241" t="s">
        <v>52</v>
      </c>
      <c r="E241" t="s">
        <v>97</v>
      </c>
    </row>
    <row r="242" spans="1:5" x14ac:dyDescent="0.25">
      <c r="A242" s="27" t="s">
        <v>28</v>
      </c>
      <c r="B242">
        <f>ROUND(_xlfn.XLOOKUP(E242,'Subsequent Close'!A:A,'Subsequent Close'!W:W)-_xlfn.XLOOKUP('Sub Close Summary'!E242,'Subsequent Close'!A:A,'Subsequent Close'!P:P),2)</f>
        <v>2.03</v>
      </c>
      <c r="D242" t="s">
        <v>52</v>
      </c>
      <c r="E242" t="s">
        <v>98</v>
      </c>
    </row>
    <row r="243" spans="1:5" x14ac:dyDescent="0.25">
      <c r="A243" s="27" t="s">
        <v>28</v>
      </c>
      <c r="B243">
        <f>ROUND(_xlfn.XLOOKUP(E243,'Subsequent Close'!A:A,'Subsequent Close'!W:W)-_xlfn.XLOOKUP('Sub Close Summary'!E243,'Subsequent Close'!A:A,'Subsequent Close'!P:P),2)</f>
        <v>1.02</v>
      </c>
      <c r="D243" t="s">
        <v>52</v>
      </c>
      <c r="E243" t="s">
        <v>99</v>
      </c>
    </row>
    <row r="244" spans="1:5" x14ac:dyDescent="0.25">
      <c r="A244" s="27" t="s">
        <v>28</v>
      </c>
      <c r="B244">
        <f>ROUND(_xlfn.XLOOKUP(E244,'Subsequent Close'!A:A,'Subsequent Close'!W:W)-_xlfn.XLOOKUP('Sub Close Summary'!E244,'Subsequent Close'!A:A,'Subsequent Close'!P:P),2)</f>
        <v>1.59</v>
      </c>
      <c r="D244" t="s">
        <v>52</v>
      </c>
      <c r="E244" t="s">
        <v>100</v>
      </c>
    </row>
    <row r="245" spans="1:5" x14ac:dyDescent="0.25">
      <c r="A245" s="27" t="s">
        <v>28</v>
      </c>
      <c r="B245">
        <f>ROUND(_xlfn.XLOOKUP(E245,'Subsequent Close'!A:A,'Subsequent Close'!W:W)-_xlfn.XLOOKUP('Sub Close Summary'!E245,'Subsequent Close'!A:A,'Subsequent Close'!P:P),2)</f>
        <v>1.59</v>
      </c>
      <c r="D245" t="s">
        <v>52</v>
      </c>
      <c r="E245" t="s">
        <v>101</v>
      </c>
    </row>
    <row r="246" spans="1:5" x14ac:dyDescent="0.25">
      <c r="A246" s="27" t="s">
        <v>28</v>
      </c>
      <c r="B246">
        <f>ROUND(_xlfn.XLOOKUP(E246,'Subsequent Close'!A:A,'Subsequent Close'!W:W)-_xlfn.XLOOKUP('Sub Close Summary'!E246,'Subsequent Close'!A:A,'Subsequent Close'!P:P),2)</f>
        <v>1.99</v>
      </c>
      <c r="D246" t="s">
        <v>52</v>
      </c>
      <c r="E246" t="s">
        <v>102</v>
      </c>
    </row>
    <row r="247" spans="1:5" x14ac:dyDescent="0.25">
      <c r="A247" s="27" t="s">
        <v>28</v>
      </c>
      <c r="B247">
        <f>ROUND(_xlfn.XLOOKUP(E247,'Subsequent Close'!A:A,'Subsequent Close'!W:W)-_xlfn.XLOOKUP('Sub Close Summary'!E247,'Subsequent Close'!A:A,'Subsequent Close'!P:P),2)</f>
        <v>10.16</v>
      </c>
      <c r="D247" t="s">
        <v>52</v>
      </c>
      <c r="E247" t="s">
        <v>103</v>
      </c>
    </row>
    <row r="248" spans="1:5" x14ac:dyDescent="0.25">
      <c r="A248" s="27" t="s">
        <v>28</v>
      </c>
      <c r="B248">
        <f>ROUND(_xlfn.XLOOKUP(E248,'Subsequent Close'!A:A,'Subsequent Close'!W:W)-_xlfn.XLOOKUP('Sub Close Summary'!E248,'Subsequent Close'!A:A,'Subsequent Close'!P:P),2)</f>
        <v>5.08</v>
      </c>
      <c r="D248" t="s">
        <v>52</v>
      </c>
      <c r="E248" t="s">
        <v>104</v>
      </c>
    </row>
    <row r="249" spans="1:5" x14ac:dyDescent="0.25">
      <c r="A249" s="27" t="s">
        <v>28</v>
      </c>
      <c r="B249">
        <f>ROUND(_xlfn.XLOOKUP(E249,'Subsequent Close'!A:A,'Subsequent Close'!W:W)-_xlfn.XLOOKUP('Sub Close Summary'!E249,'Subsequent Close'!A:A,'Subsequent Close'!P:P),2)</f>
        <v>15.24</v>
      </c>
      <c r="D249" t="s">
        <v>52</v>
      </c>
      <c r="E249" t="s">
        <v>105</v>
      </c>
    </row>
    <row r="250" spans="1:5" x14ac:dyDescent="0.25">
      <c r="A250" s="27" t="s">
        <v>28</v>
      </c>
      <c r="B250">
        <f>ROUND(_xlfn.XLOOKUP(E250,'Subsequent Close'!A:A,'Subsequent Close'!W:W)-_xlfn.XLOOKUP('Sub Close Summary'!E250,'Subsequent Close'!A:A,'Subsequent Close'!P:P),2)</f>
        <v>1.02</v>
      </c>
      <c r="D250" t="s">
        <v>52</v>
      </c>
      <c r="E250" t="s">
        <v>106</v>
      </c>
    </row>
    <row r="251" spans="1:5" x14ac:dyDescent="0.25">
      <c r="A251" s="27" t="s">
        <v>28</v>
      </c>
      <c r="B251">
        <f>ROUND(_xlfn.XLOOKUP(E251,'Subsequent Close'!A:A,'Subsequent Close'!W:W)-_xlfn.XLOOKUP('Sub Close Summary'!E251,'Subsequent Close'!A:A,'Subsequent Close'!P:P),2)</f>
        <v>7.62</v>
      </c>
      <c r="D251" t="s">
        <v>52</v>
      </c>
      <c r="E251" t="s">
        <v>107</v>
      </c>
    </row>
    <row r="252" spans="1:5" x14ac:dyDescent="0.25">
      <c r="A252" s="27" t="s">
        <v>28</v>
      </c>
      <c r="B252">
        <f>ROUND(_xlfn.XLOOKUP(E252,'Subsequent Close'!A:A,'Subsequent Close'!W:W)-_xlfn.XLOOKUP('Sub Close Summary'!E252,'Subsequent Close'!A:A,'Subsequent Close'!P:P),2)</f>
        <v>2.39</v>
      </c>
      <c r="D252" t="s">
        <v>52</v>
      </c>
      <c r="E252" t="s">
        <v>108</v>
      </c>
    </row>
    <row r="253" spans="1:5" x14ac:dyDescent="0.25">
      <c r="A253" s="27" t="s">
        <v>28</v>
      </c>
      <c r="B253">
        <f>ROUND(_xlfn.XLOOKUP(E253,'Subsequent Close'!A:A,'Subsequent Close'!W:W)-_xlfn.XLOOKUP('Sub Close Summary'!E253,'Subsequent Close'!A:A,'Subsequent Close'!P:P),2)</f>
        <v>10.16</v>
      </c>
      <c r="D253" t="s">
        <v>52</v>
      </c>
      <c r="E253" t="s">
        <v>109</v>
      </c>
    </row>
    <row r="254" spans="1:5" x14ac:dyDescent="0.25">
      <c r="A254" s="27" t="s">
        <v>28</v>
      </c>
      <c r="B254">
        <f>ROUND(_xlfn.XLOOKUP(E254,'Subsequent Close'!A:A,'Subsequent Close'!W:W)-_xlfn.XLOOKUP('Sub Close Summary'!E254,'Subsequent Close'!A:A,'Subsequent Close'!P:P),2)</f>
        <v>1.19</v>
      </c>
      <c r="D254" t="s">
        <v>52</v>
      </c>
      <c r="E254" t="s">
        <v>110</v>
      </c>
    </row>
    <row r="255" spans="1:5" x14ac:dyDescent="0.25">
      <c r="A255" s="27" t="s">
        <v>28</v>
      </c>
      <c r="B255">
        <f>ROUND(_xlfn.XLOOKUP(E255,'Subsequent Close'!A:A,'Subsequent Close'!W:W)-_xlfn.XLOOKUP('Sub Close Summary'!E255,'Subsequent Close'!A:A,'Subsequent Close'!P:P),2)</f>
        <v>1.02</v>
      </c>
      <c r="D255" t="s">
        <v>52</v>
      </c>
      <c r="E255" t="s">
        <v>111</v>
      </c>
    </row>
    <row r="256" spans="1:5" x14ac:dyDescent="0.25">
      <c r="A256" s="27" t="s">
        <v>28</v>
      </c>
      <c r="B256">
        <f>ROUND(_xlfn.XLOOKUP(E256,'Subsequent Close'!A:A,'Subsequent Close'!W:W)-_xlfn.XLOOKUP('Sub Close Summary'!E256,'Subsequent Close'!A:A,'Subsequent Close'!P:P),2)</f>
        <v>0.8</v>
      </c>
      <c r="D256" t="s">
        <v>52</v>
      </c>
      <c r="E256" t="s">
        <v>112</v>
      </c>
    </row>
    <row r="257" spans="1:5" x14ac:dyDescent="0.25">
      <c r="A257" s="27" t="s">
        <v>28</v>
      </c>
      <c r="B257">
        <f>ROUND(_xlfn.XLOOKUP(E257,'Subsequent Close'!A:A,'Subsequent Close'!W:W)-_xlfn.XLOOKUP('Sub Close Summary'!E257,'Subsequent Close'!A:A,'Subsequent Close'!P:P),2)</f>
        <v>7.95</v>
      </c>
      <c r="D257" t="s">
        <v>52</v>
      </c>
      <c r="E257" t="s">
        <v>113</v>
      </c>
    </row>
    <row r="258" spans="1:5" x14ac:dyDescent="0.25">
      <c r="A258" s="27" t="s">
        <v>28</v>
      </c>
      <c r="B258">
        <f>ROUND(_xlfn.XLOOKUP(E258,'Subsequent Close'!A:A,'Subsequent Close'!W:W)-_xlfn.XLOOKUP('Sub Close Summary'!E258,'Subsequent Close'!A:A,'Subsequent Close'!P:P),2)</f>
        <v>3.98</v>
      </c>
      <c r="D258" t="s">
        <v>52</v>
      </c>
      <c r="E258" t="s">
        <v>114</v>
      </c>
    </row>
    <row r="259" spans="1:5" x14ac:dyDescent="0.25">
      <c r="A259" s="27" t="s">
        <v>28</v>
      </c>
      <c r="B259">
        <f>ROUND(_xlfn.XLOOKUP(E259,'Subsequent Close'!A:A,'Subsequent Close'!W:W)-_xlfn.XLOOKUP('Sub Close Summary'!E259,'Subsequent Close'!A:A,'Subsequent Close'!P:P),2)</f>
        <v>7.14</v>
      </c>
      <c r="D259" t="s">
        <v>52</v>
      </c>
      <c r="E259" t="s">
        <v>115</v>
      </c>
    </row>
    <row r="260" spans="1:5" x14ac:dyDescent="0.25">
      <c r="A260" s="27" t="s">
        <v>28</v>
      </c>
      <c r="B260">
        <f>ROUND(_xlfn.XLOOKUP(E260,'Subsequent Close'!A:A,'Subsequent Close'!W:W)-_xlfn.XLOOKUP('Sub Close Summary'!E260,'Subsequent Close'!A:A,'Subsequent Close'!P:P),2)</f>
        <v>0.8</v>
      </c>
      <c r="D260" t="s">
        <v>52</v>
      </c>
      <c r="E260" t="s">
        <v>116</v>
      </c>
    </row>
    <row r="261" spans="1:5" x14ac:dyDescent="0.25">
      <c r="A261" s="27" t="s">
        <v>28</v>
      </c>
      <c r="B261">
        <f>ROUND(_xlfn.XLOOKUP(E261,'Subsequent Close'!A:A,'Subsequent Close'!W:W)-_xlfn.XLOOKUP('Sub Close Summary'!E261,'Subsequent Close'!A:A,'Subsequent Close'!P:P),2)</f>
        <v>3.35</v>
      </c>
      <c r="D261" t="s">
        <v>52</v>
      </c>
      <c r="E261" t="s">
        <v>117</v>
      </c>
    </row>
    <row r="262" spans="1:5" x14ac:dyDescent="0.25">
      <c r="A262" s="27" t="s">
        <v>28</v>
      </c>
      <c r="B262">
        <f>ROUND(_xlfn.XLOOKUP(E262,'Subsequent Close'!A:A,'Subsequent Close'!W:W)-_xlfn.XLOOKUP('Sub Close Summary'!E262,'Subsequent Close'!A:A,'Subsequent Close'!P:P),2)</f>
        <v>8.91</v>
      </c>
      <c r="D262" t="s">
        <v>52</v>
      </c>
      <c r="E262" t="s">
        <v>118</v>
      </c>
    </row>
    <row r="263" spans="1:5" x14ac:dyDescent="0.25">
      <c r="A263" s="27" t="s">
        <v>28</v>
      </c>
      <c r="B263">
        <f>ROUND(_xlfn.XLOOKUP(E263,'Subsequent Close'!A:A,'Subsequent Close'!W:W)-_xlfn.XLOOKUP('Sub Close Summary'!E263,'Subsequent Close'!A:A,'Subsequent Close'!P:P),2)</f>
        <v>0.4</v>
      </c>
      <c r="D263" t="s">
        <v>52</v>
      </c>
      <c r="E263" t="s">
        <v>119</v>
      </c>
    </row>
    <row r="264" spans="1:5" x14ac:dyDescent="0.25">
      <c r="A264" s="27" t="s">
        <v>28</v>
      </c>
      <c r="B264">
        <f>ROUND(_xlfn.XLOOKUP(E264,'Subsequent Close'!A:A,'Subsequent Close'!W:W)-_xlfn.XLOOKUP('Sub Close Summary'!E264,'Subsequent Close'!A:A,'Subsequent Close'!P:P),2)</f>
        <v>15.24</v>
      </c>
      <c r="D264" t="s">
        <v>52</v>
      </c>
      <c r="E264" t="s">
        <v>120</v>
      </c>
    </row>
    <row r="265" spans="1:5" x14ac:dyDescent="0.25">
      <c r="A265" s="27" t="s">
        <v>28</v>
      </c>
      <c r="B265">
        <f>ROUND(_xlfn.XLOOKUP(E265,'Subsequent Close'!A:A,'Subsequent Close'!W:W)-_xlfn.XLOOKUP('Sub Close Summary'!E265,'Subsequent Close'!A:A,'Subsequent Close'!P:P),2)</f>
        <v>10.16</v>
      </c>
      <c r="D265" t="s">
        <v>52</v>
      </c>
      <c r="E265" t="s">
        <v>121</v>
      </c>
    </row>
    <row r="266" spans="1:5" x14ac:dyDescent="0.25">
      <c r="A266" s="27" t="s">
        <v>28</v>
      </c>
      <c r="B266">
        <f>ROUND(_xlfn.XLOOKUP(E266,'Subsequent Close'!A:A,'Subsequent Close'!W:W)-_xlfn.XLOOKUP('Sub Close Summary'!E266,'Subsequent Close'!A:A,'Subsequent Close'!P:P),2)</f>
        <v>10.16</v>
      </c>
      <c r="D266" t="s">
        <v>52</v>
      </c>
      <c r="E266" t="s">
        <v>122</v>
      </c>
    </row>
    <row r="267" spans="1:5" x14ac:dyDescent="0.25">
      <c r="A267" s="27" t="s">
        <v>28</v>
      </c>
      <c r="B267">
        <f>ROUND(_xlfn.XLOOKUP(E267,'Subsequent Close'!A:A,'Subsequent Close'!W:W)-_xlfn.XLOOKUP('Sub Close Summary'!E267,'Subsequent Close'!A:A,'Subsequent Close'!P:P),2)</f>
        <v>20.32</v>
      </c>
      <c r="D267" t="s">
        <v>52</v>
      </c>
      <c r="E267" t="s">
        <v>123</v>
      </c>
    </row>
    <row r="268" spans="1:5" x14ac:dyDescent="0.25">
      <c r="A268" s="27" t="s">
        <v>28</v>
      </c>
      <c r="B268">
        <f>ROUND(_xlfn.XLOOKUP(E268,'Subsequent Close'!A:A,'Subsequent Close'!W:W)-_xlfn.XLOOKUP('Sub Close Summary'!E268,'Subsequent Close'!A:A,'Subsequent Close'!P:P),2)</f>
        <v>10.16</v>
      </c>
      <c r="D268" t="s">
        <v>52</v>
      </c>
      <c r="E268" t="s">
        <v>124</v>
      </c>
    </row>
    <row r="269" spans="1:5" x14ac:dyDescent="0.25">
      <c r="A269" s="27" t="s">
        <v>28</v>
      </c>
      <c r="B269">
        <f>ROUND(_xlfn.XLOOKUP(E269,'Subsequent Close'!A:A,'Subsequent Close'!W:W)-_xlfn.XLOOKUP('Sub Close Summary'!E269,'Subsequent Close'!A:A,'Subsequent Close'!P:P),2)</f>
        <v>5.32</v>
      </c>
      <c r="D269" t="s">
        <v>52</v>
      </c>
      <c r="E269" t="s">
        <v>125</v>
      </c>
    </row>
    <row r="270" spans="1:5" x14ac:dyDescent="0.25">
      <c r="A270" s="27" t="s">
        <v>28</v>
      </c>
      <c r="B270">
        <f>ROUND(_xlfn.XLOOKUP(E270,'Subsequent Close'!A:A,'Subsequent Close'!W:W)-_xlfn.XLOOKUP('Sub Close Summary'!E270,'Subsequent Close'!A:A,'Subsequent Close'!P:P),2)</f>
        <v>1.59</v>
      </c>
      <c r="D270" t="s">
        <v>52</v>
      </c>
      <c r="E270" t="s">
        <v>126</v>
      </c>
    </row>
    <row r="271" spans="1:5" x14ac:dyDescent="0.25">
      <c r="A271" s="27" t="s">
        <v>28</v>
      </c>
      <c r="B271">
        <f>ROUND(_xlfn.XLOOKUP(E271,'Subsequent Close'!A:A,'Subsequent Close'!W:W)-_xlfn.XLOOKUP('Sub Close Summary'!E271,'Subsequent Close'!A:A,'Subsequent Close'!P:P),2)</f>
        <v>10.16</v>
      </c>
      <c r="D271" t="s">
        <v>52</v>
      </c>
      <c r="E271" t="s">
        <v>127</v>
      </c>
    </row>
    <row r="272" spans="1:5" x14ac:dyDescent="0.25">
      <c r="A272" s="27" t="s">
        <v>28</v>
      </c>
      <c r="B272">
        <f>ROUND(_xlfn.XLOOKUP(E272,'Subsequent Close'!A:A,'Subsequent Close'!W:W)-_xlfn.XLOOKUP('Sub Close Summary'!E272,'Subsequent Close'!A:A,'Subsequent Close'!P:P),2)</f>
        <v>10.16</v>
      </c>
      <c r="D272" t="s">
        <v>52</v>
      </c>
      <c r="E272" t="s">
        <v>128</v>
      </c>
    </row>
    <row r="273" spans="1:5" x14ac:dyDescent="0.25">
      <c r="A273" s="27" t="s">
        <v>28</v>
      </c>
      <c r="B273">
        <f>ROUND(_xlfn.XLOOKUP(E273,'Subsequent Close'!A:A,'Subsequent Close'!W:W)-_xlfn.XLOOKUP('Sub Close Summary'!E273,'Subsequent Close'!A:A,'Subsequent Close'!P:P),2)</f>
        <v>6.09</v>
      </c>
      <c r="D273" t="s">
        <v>52</v>
      </c>
      <c r="E273" t="s">
        <v>129</v>
      </c>
    </row>
    <row r="274" spans="1:5" x14ac:dyDescent="0.25">
      <c r="A274" s="27" t="s">
        <v>28</v>
      </c>
      <c r="B274">
        <f>ROUND(_xlfn.XLOOKUP(E274,'Subsequent Close'!A:A,'Subsequent Close'!W:W)-_xlfn.XLOOKUP('Sub Close Summary'!E274,'Subsequent Close'!A:A,'Subsequent Close'!P:P),2)</f>
        <v>10.16</v>
      </c>
      <c r="D274" t="s">
        <v>52</v>
      </c>
      <c r="E274" t="s">
        <v>130</v>
      </c>
    </row>
    <row r="275" spans="1:5" x14ac:dyDescent="0.25">
      <c r="A275" s="27" t="s">
        <v>28</v>
      </c>
      <c r="B275">
        <f>ROUND(_xlfn.XLOOKUP(E275,'Subsequent Close'!A:A,'Subsequent Close'!W:W)-_xlfn.XLOOKUP('Sub Close Summary'!E275,'Subsequent Close'!A:A,'Subsequent Close'!P:P),2)</f>
        <v>203.16</v>
      </c>
      <c r="D275" t="s">
        <v>52</v>
      </c>
      <c r="E275" t="s">
        <v>131</v>
      </c>
    </row>
    <row r="276" spans="1:5" x14ac:dyDescent="0.25">
      <c r="A276" s="27" t="s">
        <v>28</v>
      </c>
      <c r="B276">
        <f>ROUND(_xlfn.XLOOKUP(E276,'Subsequent Close'!A:A,'Subsequent Close'!W:W)-_xlfn.XLOOKUP('Sub Close Summary'!E276,'Subsequent Close'!A:A,'Subsequent Close'!P:P),2)</f>
        <v>2.54</v>
      </c>
      <c r="D276" t="s">
        <v>52</v>
      </c>
      <c r="E276" t="s">
        <v>132</v>
      </c>
    </row>
    <row r="277" spans="1:5" x14ac:dyDescent="0.25">
      <c r="A277" s="27" t="s">
        <v>28</v>
      </c>
      <c r="B277">
        <f>ROUND(_xlfn.XLOOKUP(E277,'Subsequent Close'!A:A,'Subsequent Close'!W:W)-_xlfn.XLOOKUP('Sub Close Summary'!E277,'Subsequent Close'!A:A,'Subsequent Close'!P:P),2)</f>
        <v>3.18</v>
      </c>
      <c r="D277" t="s">
        <v>52</v>
      </c>
      <c r="E277" t="s">
        <v>133</v>
      </c>
    </row>
    <row r="278" spans="1:5" x14ac:dyDescent="0.25">
      <c r="A278" s="27" t="s">
        <v>28</v>
      </c>
      <c r="B278">
        <f>ROUND(_xlfn.XLOOKUP(E278,'Subsequent Close'!A:A,'Subsequent Close'!W:W)-_xlfn.XLOOKUP('Sub Close Summary'!E278,'Subsequent Close'!A:A,'Subsequent Close'!P:P),2)</f>
        <v>3.18</v>
      </c>
      <c r="D278" t="s">
        <v>52</v>
      </c>
      <c r="E278" t="s">
        <v>134</v>
      </c>
    </row>
    <row r="279" spans="1:5" x14ac:dyDescent="0.25">
      <c r="A279" s="27" t="s">
        <v>28</v>
      </c>
      <c r="B279">
        <f>ROUND(_xlfn.XLOOKUP(E279,'Subsequent Close'!A:A,'Subsequent Close'!W:W)-_xlfn.XLOOKUP('Sub Close Summary'!E279,'Subsequent Close'!A:A,'Subsequent Close'!P:P),2)</f>
        <v>50.79</v>
      </c>
      <c r="D279" t="s">
        <v>52</v>
      </c>
      <c r="E279" t="s">
        <v>135</v>
      </c>
    </row>
    <row r="280" spans="1:5" x14ac:dyDescent="0.25">
      <c r="A280" s="27" t="s">
        <v>28</v>
      </c>
      <c r="B280">
        <f>ROUND(_xlfn.XLOOKUP(E280,'Subsequent Close'!A:A,'Subsequent Close'!W:W)-_xlfn.XLOOKUP('Sub Close Summary'!E280,'Subsequent Close'!A:A,'Subsequent Close'!P:P),2)</f>
        <v>76.19</v>
      </c>
      <c r="D280" t="s">
        <v>52</v>
      </c>
      <c r="E280" t="s">
        <v>136</v>
      </c>
    </row>
    <row r="281" spans="1:5" x14ac:dyDescent="0.25">
      <c r="A281" s="27" t="s">
        <v>28</v>
      </c>
      <c r="B281">
        <f>ROUND(_xlfn.XLOOKUP(E281,'Subsequent Close'!A:A,'Subsequent Close'!W:W)-_xlfn.XLOOKUP('Sub Close Summary'!E281,'Subsequent Close'!A:A,'Subsequent Close'!P:P),2)</f>
        <v>50.79</v>
      </c>
      <c r="D281" t="s">
        <v>52</v>
      </c>
      <c r="E281" t="s">
        <v>137</v>
      </c>
    </row>
    <row r="282" spans="1:5" x14ac:dyDescent="0.25">
      <c r="A282" s="27" t="s">
        <v>28</v>
      </c>
      <c r="B282">
        <f>ROUND(_xlfn.XLOOKUP(E282,'Subsequent Close'!A:A,'Subsequent Close'!W:W)-_xlfn.XLOOKUP('Sub Close Summary'!E282,'Subsequent Close'!A:A,'Subsequent Close'!P:P),2)</f>
        <v>304.74</v>
      </c>
      <c r="D282" t="s">
        <v>52</v>
      </c>
      <c r="E282" t="s">
        <v>138</v>
      </c>
    </row>
    <row r="283" spans="1:5" x14ac:dyDescent="0.25">
      <c r="A283" s="27" t="s">
        <v>28</v>
      </c>
      <c r="B283">
        <f>ROUND(_xlfn.XLOOKUP(E283,'Subsequent Close'!A:A,'Subsequent Close'!W:W)-_xlfn.XLOOKUP('Sub Close Summary'!E283,'Subsequent Close'!A:A,'Subsequent Close'!P:P),2)</f>
        <v>3.98</v>
      </c>
      <c r="D283" t="s">
        <v>52</v>
      </c>
      <c r="E283" t="s">
        <v>139</v>
      </c>
    </row>
    <row r="284" spans="1:5" x14ac:dyDescent="0.25">
      <c r="A284" s="27" t="s">
        <v>28</v>
      </c>
      <c r="B284">
        <f>ROUND(_xlfn.XLOOKUP(E284,'Subsequent Close'!A:A,'Subsequent Close'!W:W)-_xlfn.XLOOKUP('Sub Close Summary'!E284,'Subsequent Close'!A:A,'Subsequent Close'!P:P),2)</f>
        <v>20.32</v>
      </c>
      <c r="D284" t="s">
        <v>52</v>
      </c>
      <c r="E284" t="s">
        <v>140</v>
      </c>
    </row>
    <row r="285" spans="1:5" x14ac:dyDescent="0.25">
      <c r="A285" s="27" t="s">
        <v>30</v>
      </c>
      <c r="B285">
        <f>ROUND(_xlfn.XLOOKUP(E285,'Subsequent Close'!A:A,'Subsequent Close'!X:X)-_xlfn.XLOOKUP('Sub Close Summary'!E285,'Subsequent Close'!A:A,'Subsequent Close'!Q:Q),2)</f>
        <v>1267.39</v>
      </c>
      <c r="D285" t="s">
        <v>52</v>
      </c>
      <c r="E285" t="s">
        <v>50</v>
      </c>
    </row>
    <row r="286" spans="1:5" x14ac:dyDescent="0.25">
      <c r="A286" s="27" t="s">
        <v>30</v>
      </c>
      <c r="B286">
        <f>ROUND(_xlfn.XLOOKUP(E286,'Subsequent Close'!A:A,'Subsequent Close'!X:X)-_xlfn.XLOOKUP('Sub Close Summary'!E286,'Subsequent Close'!A:A,'Subsequent Close'!Q:Q),2)</f>
        <v>1774.35</v>
      </c>
      <c r="D286" t="s">
        <v>52</v>
      </c>
      <c r="E286" t="s">
        <v>51</v>
      </c>
    </row>
    <row r="287" spans="1:5" x14ac:dyDescent="0.25">
      <c r="A287" s="27" t="s">
        <v>30</v>
      </c>
      <c r="B287">
        <f>ROUND(_xlfn.XLOOKUP(E287,'Subsequent Close'!A:A,'Subsequent Close'!X:X)-_xlfn.XLOOKUP('Sub Close Summary'!E287,'Subsequent Close'!A:A,'Subsequent Close'!Q:Q),2)</f>
        <v>1520.87</v>
      </c>
      <c r="D287" t="s">
        <v>52</v>
      </c>
      <c r="E287" t="s">
        <v>53</v>
      </c>
    </row>
    <row r="288" spans="1:5" x14ac:dyDescent="0.25">
      <c r="A288" s="27" t="s">
        <v>30</v>
      </c>
      <c r="B288">
        <f>ROUND(_xlfn.XLOOKUP(E288,'Subsequent Close'!A:A,'Subsequent Close'!X:X)-_xlfn.XLOOKUP('Sub Close Summary'!E288,'Subsequent Close'!A:A,'Subsequent Close'!Q:Q),2)</f>
        <v>1901.09</v>
      </c>
      <c r="D288" t="s">
        <v>52</v>
      </c>
      <c r="E288" t="s">
        <v>54</v>
      </c>
    </row>
    <row r="289" spans="1:5" x14ac:dyDescent="0.25">
      <c r="A289" s="27" t="s">
        <v>30</v>
      </c>
      <c r="B289">
        <f>ROUND(_xlfn.XLOOKUP(E289,'Subsequent Close'!A:A,'Subsequent Close'!X:X)-_xlfn.XLOOKUP('Sub Close Summary'!E289,'Subsequent Close'!A:A,'Subsequent Close'!Q:Q),2)</f>
        <v>198.47</v>
      </c>
      <c r="D289" t="s">
        <v>52</v>
      </c>
      <c r="E289" t="s">
        <v>55</v>
      </c>
    </row>
    <row r="290" spans="1:5" x14ac:dyDescent="0.25">
      <c r="A290" s="27" t="s">
        <v>30</v>
      </c>
      <c r="B290">
        <f>ROUND(_xlfn.XLOOKUP(E290,'Subsequent Close'!A:A,'Subsequent Close'!X:X)-_xlfn.XLOOKUP('Sub Close Summary'!E290,'Subsequent Close'!A:A,'Subsequent Close'!Q:Q),2)</f>
        <v>365.51</v>
      </c>
      <c r="D290" t="s">
        <v>52</v>
      </c>
      <c r="E290" t="s">
        <v>57</v>
      </c>
    </row>
    <row r="291" spans="1:5" x14ac:dyDescent="0.25">
      <c r="A291" s="27" t="s">
        <v>30</v>
      </c>
      <c r="B291">
        <f>ROUND(_xlfn.XLOOKUP(E291,'Subsequent Close'!A:A,'Subsequent Close'!X:X)-_xlfn.XLOOKUP('Sub Close Summary'!E291,'Subsequent Close'!A:A,'Subsequent Close'!Q:Q),2)</f>
        <v>396.95</v>
      </c>
      <c r="D291" t="s">
        <v>52</v>
      </c>
      <c r="E291" t="s">
        <v>59</v>
      </c>
    </row>
    <row r="292" spans="1:5" x14ac:dyDescent="0.25">
      <c r="A292" s="27" t="s">
        <v>30</v>
      </c>
      <c r="B292">
        <f>ROUND(_xlfn.XLOOKUP(E292,'Subsequent Close'!A:A,'Subsequent Close'!X:X)-_xlfn.XLOOKUP('Sub Close Summary'!E292,'Subsequent Close'!A:A,'Subsequent Close'!Q:Q),2)</f>
        <v>1326.44</v>
      </c>
      <c r="D292" t="s">
        <v>52</v>
      </c>
      <c r="E292" t="s">
        <v>61</v>
      </c>
    </row>
    <row r="293" spans="1:5" x14ac:dyDescent="0.25">
      <c r="A293" s="27" t="s">
        <v>30</v>
      </c>
      <c r="B293">
        <f>ROUND(_xlfn.XLOOKUP(E293,'Subsequent Close'!A:A,'Subsequent Close'!X:X)-_xlfn.XLOOKUP('Sub Close Summary'!E293,'Subsequent Close'!A:A,'Subsequent Close'!Q:Q),2)</f>
        <v>2534.78</v>
      </c>
      <c r="D293" t="s">
        <v>52</v>
      </c>
      <c r="E293" t="s">
        <v>62</v>
      </c>
    </row>
    <row r="294" spans="1:5" x14ac:dyDescent="0.25">
      <c r="A294" s="27" t="s">
        <v>30</v>
      </c>
      <c r="B294">
        <f>ROUND(_xlfn.XLOOKUP(E294,'Subsequent Close'!A:A,'Subsequent Close'!X:X)-_xlfn.XLOOKUP('Sub Close Summary'!E294,'Subsequent Close'!A:A,'Subsequent Close'!Q:Q),2)</f>
        <v>992.37</v>
      </c>
      <c r="D294" t="s">
        <v>52</v>
      </c>
      <c r="E294" t="s">
        <v>63</v>
      </c>
    </row>
    <row r="295" spans="1:5" x14ac:dyDescent="0.25">
      <c r="A295" s="27" t="s">
        <v>30</v>
      </c>
      <c r="B295">
        <f>ROUND(_xlfn.XLOOKUP(E295,'Subsequent Close'!A:A,'Subsequent Close'!X:X)-_xlfn.XLOOKUP('Sub Close Summary'!E295,'Subsequent Close'!A:A,'Subsequent Close'!Q:Q),2)</f>
        <v>25347.83</v>
      </c>
      <c r="D295" t="s">
        <v>52</v>
      </c>
      <c r="E295" t="s">
        <v>65</v>
      </c>
    </row>
    <row r="296" spans="1:5" x14ac:dyDescent="0.25">
      <c r="A296" s="27" t="s">
        <v>30</v>
      </c>
      <c r="B296">
        <f>ROUND(_xlfn.XLOOKUP(E296,'Subsequent Close'!A:A,'Subsequent Close'!X:X)-_xlfn.XLOOKUP('Sub Close Summary'!E296,'Subsequent Close'!A:A,'Subsequent Close'!Q:Q),2)</f>
        <v>2318.82</v>
      </c>
      <c r="D296" t="s">
        <v>52</v>
      </c>
      <c r="E296" t="s">
        <v>68</v>
      </c>
    </row>
    <row r="297" spans="1:5" x14ac:dyDescent="0.25">
      <c r="A297" s="27" t="s">
        <v>30</v>
      </c>
      <c r="B297">
        <f>ROUND(_xlfn.XLOOKUP(E297,'Subsequent Close'!A:A,'Subsequent Close'!X:X)-_xlfn.XLOOKUP('Sub Close Summary'!E297,'Subsequent Close'!A:A,'Subsequent Close'!Q:Q),2)</f>
        <v>2318.82</v>
      </c>
      <c r="D297" t="s">
        <v>52</v>
      </c>
      <c r="E297" t="s">
        <v>70</v>
      </c>
    </row>
    <row r="298" spans="1:5" x14ac:dyDescent="0.25">
      <c r="A298" s="27" t="s">
        <v>30</v>
      </c>
      <c r="B298">
        <f>ROUND(_xlfn.XLOOKUP(E298,'Subsequent Close'!A:A,'Subsequent Close'!X:X)-_xlfn.XLOOKUP('Sub Close Summary'!E298,'Subsequent Close'!A:A,'Subsequent Close'!Q:Q),2)</f>
        <v>198.47</v>
      </c>
      <c r="D298" t="s">
        <v>52</v>
      </c>
      <c r="E298" t="s">
        <v>72</v>
      </c>
    </row>
    <row r="299" spans="1:5" x14ac:dyDescent="0.25">
      <c r="A299" s="27" t="s">
        <v>30</v>
      </c>
      <c r="B299">
        <f>ROUND(_xlfn.XLOOKUP(E299,'Subsequent Close'!A:A,'Subsequent Close'!X:X)-_xlfn.XLOOKUP('Sub Close Summary'!E299,'Subsequent Close'!A:A,'Subsequent Close'!Q:Q),2)</f>
        <v>595.42</v>
      </c>
      <c r="D299" t="s">
        <v>52</v>
      </c>
      <c r="E299" t="s">
        <v>74</v>
      </c>
    </row>
    <row r="300" spans="1:5" x14ac:dyDescent="0.25">
      <c r="A300" s="27" t="s">
        <v>30</v>
      </c>
      <c r="B300">
        <f>ROUND(_xlfn.XLOOKUP(E300,'Subsequent Close'!A:A,'Subsequent Close'!X:X)-_xlfn.XLOOKUP('Sub Close Summary'!E300,'Subsequent Close'!A:A,'Subsequent Close'!Q:Q),2)</f>
        <v>1267.39</v>
      </c>
      <c r="D300" t="s">
        <v>52</v>
      </c>
      <c r="E300" t="s">
        <v>76</v>
      </c>
    </row>
    <row r="301" spans="1:5" x14ac:dyDescent="0.25">
      <c r="A301" s="27" t="s">
        <v>30</v>
      </c>
      <c r="B301">
        <f>ROUND(_xlfn.XLOOKUP(E301,'Subsequent Close'!A:A,'Subsequent Close'!X:X)-_xlfn.XLOOKUP('Sub Close Summary'!E301,'Subsequent Close'!A:A,'Subsequent Close'!Q:Q),2)</f>
        <v>496.19</v>
      </c>
      <c r="D301" t="s">
        <v>52</v>
      </c>
      <c r="E301" t="s">
        <v>77</v>
      </c>
    </row>
    <row r="302" spans="1:5" x14ac:dyDescent="0.25">
      <c r="A302" s="27" t="s">
        <v>30</v>
      </c>
      <c r="B302">
        <f>ROUND(_xlfn.XLOOKUP(E302,'Subsequent Close'!A:A,'Subsequent Close'!X:X)-_xlfn.XLOOKUP('Sub Close Summary'!E302,'Subsequent Close'!A:A,'Subsequent Close'!Q:Q),2)</f>
        <v>1267.39</v>
      </c>
      <c r="D302" t="s">
        <v>52</v>
      </c>
      <c r="E302" t="s">
        <v>78</v>
      </c>
    </row>
    <row r="303" spans="1:5" x14ac:dyDescent="0.25">
      <c r="A303" s="27" t="s">
        <v>30</v>
      </c>
      <c r="B303">
        <f>ROUND(_xlfn.XLOOKUP(E303,'Subsequent Close'!A:A,'Subsequent Close'!X:X)-_xlfn.XLOOKUP('Sub Close Summary'!E303,'Subsequent Close'!A:A,'Subsequent Close'!Q:Q),2)</f>
        <v>129183.07</v>
      </c>
      <c r="D303" t="s">
        <v>52</v>
      </c>
      <c r="E303" t="s">
        <v>80</v>
      </c>
    </row>
    <row r="304" spans="1:5" x14ac:dyDescent="0.25">
      <c r="A304" s="27" t="s">
        <v>30</v>
      </c>
      <c r="B304">
        <f>ROUND(_xlfn.XLOOKUP(E304,'Subsequent Close'!A:A,'Subsequent Close'!X:X)-_xlfn.XLOOKUP('Sub Close Summary'!E304,'Subsequent Close'!A:A,'Subsequent Close'!Q:Q),2)</f>
        <v>16035.48</v>
      </c>
      <c r="D304" t="s">
        <v>52</v>
      </c>
      <c r="E304" t="s">
        <v>82</v>
      </c>
    </row>
    <row r="305" spans="1:5" x14ac:dyDescent="0.25">
      <c r="A305" s="27" t="s">
        <v>30</v>
      </c>
      <c r="B305">
        <f>ROUND(_xlfn.XLOOKUP(E305,'Subsequent Close'!A:A,'Subsequent Close'!X:X)-_xlfn.XLOOKUP('Sub Close Summary'!E305,'Subsequent Close'!A:A,'Subsequent Close'!Q:Q),2)</f>
        <v>496.19</v>
      </c>
      <c r="D305" t="s">
        <v>52</v>
      </c>
      <c r="E305" t="s">
        <v>83</v>
      </c>
    </row>
    <row r="306" spans="1:5" x14ac:dyDescent="0.25">
      <c r="A306" s="27" t="s">
        <v>30</v>
      </c>
      <c r="B306">
        <f>ROUND(_xlfn.XLOOKUP(E306,'Subsequent Close'!A:A,'Subsequent Close'!X:X)-_xlfn.XLOOKUP('Sub Close Summary'!E306,'Subsequent Close'!A:A,'Subsequent Close'!Q:Q),2)</f>
        <v>3073.4</v>
      </c>
      <c r="D306" t="s">
        <v>52</v>
      </c>
      <c r="E306" t="s">
        <v>84</v>
      </c>
    </row>
    <row r="307" spans="1:5" x14ac:dyDescent="0.25">
      <c r="A307" s="27" t="s">
        <v>30</v>
      </c>
      <c r="B307">
        <f>ROUND(_xlfn.XLOOKUP(E307,'Subsequent Close'!A:A,'Subsequent Close'!X:X)-_xlfn.XLOOKUP('Sub Close Summary'!E307,'Subsequent Close'!A:A,'Subsequent Close'!Q:Q),2)</f>
        <v>496.19</v>
      </c>
      <c r="D307" t="s">
        <v>52</v>
      </c>
      <c r="E307" t="s">
        <v>85</v>
      </c>
    </row>
    <row r="308" spans="1:5" x14ac:dyDescent="0.25">
      <c r="A308" s="27" t="s">
        <v>30</v>
      </c>
      <c r="B308">
        <f>ROUND(_xlfn.XLOOKUP(E308,'Subsequent Close'!A:A,'Subsequent Close'!X:X)-_xlfn.XLOOKUP('Sub Close Summary'!E308,'Subsequent Close'!A:A,'Subsequent Close'!Q:Q),2)</f>
        <v>1267.39</v>
      </c>
      <c r="D308" t="s">
        <v>52</v>
      </c>
      <c r="E308" t="s">
        <v>86</v>
      </c>
    </row>
    <row r="309" spans="1:5" x14ac:dyDescent="0.25">
      <c r="A309" s="27" t="s">
        <v>30</v>
      </c>
      <c r="B309">
        <f>ROUND(_xlfn.XLOOKUP(E309,'Subsequent Close'!A:A,'Subsequent Close'!X:X)-_xlfn.XLOOKUP('Sub Close Summary'!E309,'Subsequent Close'!A:A,'Subsequent Close'!Q:Q),2)</f>
        <v>420.51</v>
      </c>
      <c r="D309" t="s">
        <v>52</v>
      </c>
      <c r="E309" t="s">
        <v>87</v>
      </c>
    </row>
    <row r="310" spans="1:5" x14ac:dyDescent="0.25">
      <c r="A310" s="27" t="s">
        <v>30</v>
      </c>
      <c r="B310">
        <f>ROUND(_xlfn.XLOOKUP(E310,'Subsequent Close'!A:A,'Subsequent Close'!X:X)-_xlfn.XLOOKUP('Sub Close Summary'!E310,'Subsequent Close'!A:A,'Subsequent Close'!Q:Q),2)</f>
        <v>12173.44</v>
      </c>
      <c r="D310" t="s">
        <v>52</v>
      </c>
      <c r="E310" t="s">
        <v>88</v>
      </c>
    </row>
    <row r="311" spans="1:5" x14ac:dyDescent="0.25">
      <c r="A311" s="27" t="s">
        <v>30</v>
      </c>
      <c r="B311">
        <f>ROUND(_xlfn.XLOOKUP(E311,'Subsequent Close'!A:A,'Subsequent Close'!X:X)-_xlfn.XLOOKUP('Sub Close Summary'!E311,'Subsequent Close'!A:A,'Subsequent Close'!Q:Q),2)</f>
        <v>936.8</v>
      </c>
      <c r="D311" t="s">
        <v>52</v>
      </c>
      <c r="E311" t="s">
        <v>89</v>
      </c>
    </row>
    <row r="312" spans="1:5" x14ac:dyDescent="0.25">
      <c r="A312" s="27" t="s">
        <v>30</v>
      </c>
      <c r="B312">
        <f>ROUND(_xlfn.XLOOKUP(E312,'Subsequent Close'!A:A,'Subsequent Close'!X:X)-_xlfn.XLOOKUP('Sub Close Summary'!E312,'Subsequent Close'!A:A,'Subsequent Close'!Q:Q),2)</f>
        <v>396.95</v>
      </c>
      <c r="D312" t="s">
        <v>52</v>
      </c>
      <c r="E312" t="s">
        <v>90</v>
      </c>
    </row>
    <row r="313" spans="1:5" x14ac:dyDescent="0.25">
      <c r="A313" s="27" t="s">
        <v>30</v>
      </c>
      <c r="B313">
        <f>ROUND(_xlfn.XLOOKUP(E313,'Subsequent Close'!A:A,'Subsequent Close'!X:X)-_xlfn.XLOOKUP('Sub Close Summary'!E313,'Subsequent Close'!A:A,'Subsequent Close'!Q:Q),2)</f>
        <v>2154.57</v>
      </c>
      <c r="D313" t="s">
        <v>52</v>
      </c>
      <c r="E313" t="s">
        <v>91</v>
      </c>
    </row>
    <row r="314" spans="1:5" x14ac:dyDescent="0.25">
      <c r="A314" s="27" t="s">
        <v>30</v>
      </c>
      <c r="B314">
        <f>ROUND(_xlfn.XLOOKUP(E314,'Subsequent Close'!A:A,'Subsequent Close'!X:X)-_xlfn.XLOOKUP('Sub Close Summary'!E314,'Subsequent Close'!A:A,'Subsequent Close'!Q:Q),2)</f>
        <v>3802.18</v>
      </c>
      <c r="D314" t="s">
        <v>52</v>
      </c>
      <c r="E314" t="s">
        <v>92</v>
      </c>
    </row>
    <row r="315" spans="1:5" x14ac:dyDescent="0.25">
      <c r="A315" s="27" t="s">
        <v>30</v>
      </c>
      <c r="B315">
        <f>ROUND(_xlfn.XLOOKUP(E315,'Subsequent Close'!A:A,'Subsequent Close'!X:X)-_xlfn.XLOOKUP('Sub Close Summary'!E315,'Subsequent Close'!A:A,'Subsequent Close'!Q:Q),2)</f>
        <v>793.9</v>
      </c>
      <c r="D315" t="s">
        <v>52</v>
      </c>
      <c r="E315" t="s">
        <v>93</v>
      </c>
    </row>
    <row r="316" spans="1:5" x14ac:dyDescent="0.25">
      <c r="A316" s="27" t="s">
        <v>30</v>
      </c>
      <c r="B316">
        <f>ROUND(_xlfn.XLOOKUP(E316,'Subsequent Close'!A:A,'Subsequent Close'!X:X)-_xlfn.XLOOKUP('Sub Close Summary'!E316,'Subsequent Close'!A:A,'Subsequent Close'!Q:Q),2)</f>
        <v>595.42</v>
      </c>
      <c r="D316" t="s">
        <v>52</v>
      </c>
      <c r="E316" t="s">
        <v>94</v>
      </c>
    </row>
    <row r="317" spans="1:5" x14ac:dyDescent="0.25">
      <c r="A317" s="27" t="s">
        <v>30</v>
      </c>
      <c r="B317">
        <f>ROUND(_xlfn.XLOOKUP(E317,'Subsequent Close'!A:A,'Subsequent Close'!X:X)-_xlfn.XLOOKUP('Sub Close Summary'!E317,'Subsequent Close'!A:A,'Subsequent Close'!Q:Q),2)</f>
        <v>2534.78</v>
      </c>
      <c r="D317" t="s">
        <v>52</v>
      </c>
      <c r="E317" t="s">
        <v>95</v>
      </c>
    </row>
    <row r="318" spans="1:5" x14ac:dyDescent="0.25">
      <c r="A318" s="27" t="s">
        <v>30</v>
      </c>
      <c r="B318">
        <f>ROUND(_xlfn.XLOOKUP(E318,'Subsequent Close'!A:A,'Subsequent Close'!X:X)-_xlfn.XLOOKUP('Sub Close Summary'!E318,'Subsequent Close'!A:A,'Subsequent Close'!Q:Q),2)</f>
        <v>2534.78</v>
      </c>
      <c r="D318" t="s">
        <v>52</v>
      </c>
      <c r="E318" t="s">
        <v>96</v>
      </c>
    </row>
    <row r="319" spans="1:5" x14ac:dyDescent="0.25">
      <c r="A319" s="27" t="s">
        <v>30</v>
      </c>
      <c r="B319">
        <f>ROUND(_xlfn.XLOOKUP(E319,'Subsequent Close'!A:A,'Subsequent Close'!X:X)-_xlfn.XLOOKUP('Sub Close Summary'!E319,'Subsequent Close'!A:A,'Subsequent Close'!Q:Q),2)</f>
        <v>396.95</v>
      </c>
      <c r="D319" t="s">
        <v>52</v>
      </c>
      <c r="E319" t="s">
        <v>97</v>
      </c>
    </row>
    <row r="320" spans="1:5" x14ac:dyDescent="0.25">
      <c r="A320" s="27" t="s">
        <v>30</v>
      </c>
      <c r="B320">
        <f>ROUND(_xlfn.XLOOKUP(E320,'Subsequent Close'!A:A,'Subsequent Close'!X:X)-_xlfn.XLOOKUP('Sub Close Summary'!E320,'Subsequent Close'!A:A,'Subsequent Close'!Q:Q),2)</f>
        <v>506.96</v>
      </c>
      <c r="D320" t="s">
        <v>52</v>
      </c>
      <c r="E320" t="s">
        <v>98</v>
      </c>
    </row>
    <row r="321" spans="1:5" x14ac:dyDescent="0.25">
      <c r="A321" s="27" t="s">
        <v>30</v>
      </c>
      <c r="B321">
        <f>ROUND(_xlfn.XLOOKUP(E321,'Subsequent Close'!A:A,'Subsequent Close'!X:X)-_xlfn.XLOOKUP('Sub Close Summary'!E321,'Subsequent Close'!A:A,'Subsequent Close'!Q:Q),2)</f>
        <v>253.48</v>
      </c>
      <c r="D321" t="s">
        <v>52</v>
      </c>
      <c r="E321" t="s">
        <v>99</v>
      </c>
    </row>
    <row r="322" spans="1:5" x14ac:dyDescent="0.25">
      <c r="A322" s="27" t="s">
        <v>30</v>
      </c>
      <c r="B322">
        <f>ROUND(_xlfn.XLOOKUP(E322,'Subsequent Close'!A:A,'Subsequent Close'!X:X)-_xlfn.XLOOKUP('Sub Close Summary'!E322,'Subsequent Close'!A:A,'Subsequent Close'!Q:Q),2)</f>
        <v>396.95</v>
      </c>
      <c r="D322" t="s">
        <v>52</v>
      </c>
      <c r="E322" t="s">
        <v>100</v>
      </c>
    </row>
    <row r="323" spans="1:5" x14ac:dyDescent="0.25">
      <c r="A323" s="27" t="s">
        <v>30</v>
      </c>
      <c r="B323">
        <f>ROUND(_xlfn.XLOOKUP(E323,'Subsequent Close'!A:A,'Subsequent Close'!X:X)-_xlfn.XLOOKUP('Sub Close Summary'!E323,'Subsequent Close'!A:A,'Subsequent Close'!Q:Q),2)</f>
        <v>396.95</v>
      </c>
      <c r="D323" t="s">
        <v>52</v>
      </c>
      <c r="E323" t="s">
        <v>101</v>
      </c>
    </row>
    <row r="324" spans="1:5" x14ac:dyDescent="0.25">
      <c r="A324" s="27" t="s">
        <v>30</v>
      </c>
      <c r="B324">
        <f>ROUND(_xlfn.XLOOKUP(E324,'Subsequent Close'!A:A,'Subsequent Close'!X:X)-_xlfn.XLOOKUP('Sub Close Summary'!E324,'Subsequent Close'!A:A,'Subsequent Close'!Q:Q),2)</f>
        <v>496.19</v>
      </c>
      <c r="D324" t="s">
        <v>52</v>
      </c>
      <c r="E324" t="s">
        <v>102</v>
      </c>
    </row>
    <row r="325" spans="1:5" x14ac:dyDescent="0.25">
      <c r="A325" s="27" t="s">
        <v>30</v>
      </c>
      <c r="B325">
        <f>ROUND(_xlfn.XLOOKUP(E325,'Subsequent Close'!A:A,'Subsequent Close'!X:X)-_xlfn.XLOOKUP('Sub Close Summary'!E325,'Subsequent Close'!A:A,'Subsequent Close'!Q:Q),2)</f>
        <v>2534.78</v>
      </c>
      <c r="D325" t="s">
        <v>52</v>
      </c>
      <c r="E325" t="s">
        <v>103</v>
      </c>
    </row>
    <row r="326" spans="1:5" x14ac:dyDescent="0.25">
      <c r="A326" s="27" t="s">
        <v>30</v>
      </c>
      <c r="B326">
        <f>ROUND(_xlfn.XLOOKUP(E326,'Subsequent Close'!A:A,'Subsequent Close'!X:X)-_xlfn.XLOOKUP('Sub Close Summary'!E326,'Subsequent Close'!A:A,'Subsequent Close'!Q:Q),2)</f>
        <v>1267.39</v>
      </c>
      <c r="D326" t="s">
        <v>52</v>
      </c>
      <c r="E326" t="s">
        <v>104</v>
      </c>
    </row>
    <row r="327" spans="1:5" x14ac:dyDescent="0.25">
      <c r="A327" s="27" t="s">
        <v>30</v>
      </c>
      <c r="B327">
        <f>ROUND(_xlfn.XLOOKUP(E327,'Subsequent Close'!A:A,'Subsequent Close'!X:X)-_xlfn.XLOOKUP('Sub Close Summary'!E327,'Subsequent Close'!A:A,'Subsequent Close'!Q:Q),2)</f>
        <v>3802.18</v>
      </c>
      <c r="D327" t="s">
        <v>52</v>
      </c>
      <c r="E327" t="s">
        <v>105</v>
      </c>
    </row>
    <row r="328" spans="1:5" x14ac:dyDescent="0.25">
      <c r="A328" s="27" t="s">
        <v>30</v>
      </c>
      <c r="B328">
        <f>ROUND(_xlfn.XLOOKUP(E328,'Subsequent Close'!A:A,'Subsequent Close'!X:X)-_xlfn.XLOOKUP('Sub Close Summary'!E328,'Subsequent Close'!A:A,'Subsequent Close'!Q:Q),2)</f>
        <v>253.48</v>
      </c>
      <c r="D328" t="s">
        <v>52</v>
      </c>
      <c r="E328" t="s">
        <v>106</v>
      </c>
    </row>
    <row r="329" spans="1:5" x14ac:dyDescent="0.25">
      <c r="A329" s="27" t="s">
        <v>30</v>
      </c>
      <c r="B329">
        <f>ROUND(_xlfn.XLOOKUP(E329,'Subsequent Close'!A:A,'Subsequent Close'!X:X)-_xlfn.XLOOKUP('Sub Close Summary'!E329,'Subsequent Close'!A:A,'Subsequent Close'!Q:Q),2)</f>
        <v>1901.09</v>
      </c>
      <c r="D329" t="s">
        <v>52</v>
      </c>
      <c r="E329" t="s">
        <v>107</v>
      </c>
    </row>
    <row r="330" spans="1:5" x14ac:dyDescent="0.25">
      <c r="A330" s="27" t="s">
        <v>30</v>
      </c>
      <c r="B330">
        <f>ROUND(_xlfn.XLOOKUP(E330,'Subsequent Close'!A:A,'Subsequent Close'!X:X)-_xlfn.XLOOKUP('Sub Close Summary'!E330,'Subsequent Close'!A:A,'Subsequent Close'!Q:Q),2)</f>
        <v>595.42</v>
      </c>
      <c r="D330" t="s">
        <v>52</v>
      </c>
      <c r="E330" t="s">
        <v>108</v>
      </c>
    </row>
    <row r="331" spans="1:5" x14ac:dyDescent="0.25">
      <c r="A331" s="27" t="s">
        <v>30</v>
      </c>
      <c r="B331">
        <f>ROUND(_xlfn.XLOOKUP(E331,'Subsequent Close'!A:A,'Subsequent Close'!X:X)-_xlfn.XLOOKUP('Sub Close Summary'!E331,'Subsequent Close'!A:A,'Subsequent Close'!Q:Q),2)</f>
        <v>2534.78</v>
      </c>
      <c r="D331" t="s">
        <v>52</v>
      </c>
      <c r="E331" t="s">
        <v>109</v>
      </c>
    </row>
    <row r="332" spans="1:5" x14ac:dyDescent="0.25">
      <c r="A332" s="27" t="s">
        <v>30</v>
      </c>
      <c r="B332">
        <f>ROUND(_xlfn.XLOOKUP(E332,'Subsequent Close'!A:A,'Subsequent Close'!X:X)-_xlfn.XLOOKUP('Sub Close Summary'!E332,'Subsequent Close'!A:A,'Subsequent Close'!Q:Q),2)</f>
        <v>297.71</v>
      </c>
      <c r="D332" t="s">
        <v>52</v>
      </c>
      <c r="E332" t="s">
        <v>110</v>
      </c>
    </row>
    <row r="333" spans="1:5" x14ac:dyDescent="0.25">
      <c r="A333" s="27" t="s">
        <v>30</v>
      </c>
      <c r="B333">
        <f>ROUND(_xlfn.XLOOKUP(E333,'Subsequent Close'!A:A,'Subsequent Close'!X:X)-_xlfn.XLOOKUP('Sub Close Summary'!E333,'Subsequent Close'!A:A,'Subsequent Close'!Q:Q),2)</f>
        <v>253.48</v>
      </c>
      <c r="D333" t="s">
        <v>52</v>
      </c>
      <c r="E333" t="s">
        <v>111</v>
      </c>
    </row>
    <row r="334" spans="1:5" x14ac:dyDescent="0.25">
      <c r="A334" s="27" t="s">
        <v>30</v>
      </c>
      <c r="B334">
        <f>ROUND(_xlfn.XLOOKUP(E334,'Subsequent Close'!A:A,'Subsequent Close'!X:X)-_xlfn.XLOOKUP('Sub Close Summary'!E334,'Subsequent Close'!A:A,'Subsequent Close'!Q:Q),2)</f>
        <v>198.47</v>
      </c>
      <c r="D334" t="s">
        <v>52</v>
      </c>
      <c r="E334" t="s">
        <v>112</v>
      </c>
    </row>
    <row r="335" spans="1:5" x14ac:dyDescent="0.25">
      <c r="A335" s="27" t="s">
        <v>30</v>
      </c>
      <c r="B335">
        <f>ROUND(_xlfn.XLOOKUP(E335,'Subsequent Close'!A:A,'Subsequent Close'!X:X)-_xlfn.XLOOKUP('Sub Close Summary'!E335,'Subsequent Close'!A:A,'Subsequent Close'!Q:Q),2)</f>
        <v>1984.74</v>
      </c>
      <c r="D335" t="s">
        <v>52</v>
      </c>
      <c r="E335" t="s">
        <v>113</v>
      </c>
    </row>
    <row r="336" spans="1:5" x14ac:dyDescent="0.25">
      <c r="A336" s="27" t="s">
        <v>30</v>
      </c>
      <c r="B336">
        <f>ROUND(_xlfn.XLOOKUP(E336,'Subsequent Close'!A:A,'Subsequent Close'!X:X)-_xlfn.XLOOKUP('Sub Close Summary'!E336,'Subsequent Close'!A:A,'Subsequent Close'!Q:Q),2)</f>
        <v>992.37</v>
      </c>
      <c r="D336" t="s">
        <v>52</v>
      </c>
      <c r="E336" t="s">
        <v>114</v>
      </c>
    </row>
    <row r="337" spans="1:5" x14ac:dyDescent="0.25">
      <c r="A337" s="27" t="s">
        <v>30</v>
      </c>
      <c r="B337">
        <f>ROUND(_xlfn.XLOOKUP(E337,'Subsequent Close'!A:A,'Subsequent Close'!X:X)-_xlfn.XLOOKUP('Sub Close Summary'!E337,'Subsequent Close'!A:A,'Subsequent Close'!Q:Q),2)</f>
        <v>1782.37</v>
      </c>
      <c r="D337" t="s">
        <v>52</v>
      </c>
      <c r="E337" t="s">
        <v>115</v>
      </c>
    </row>
    <row r="338" spans="1:5" x14ac:dyDescent="0.25">
      <c r="A338" s="27" t="s">
        <v>30</v>
      </c>
      <c r="B338">
        <f>ROUND(_xlfn.XLOOKUP(E338,'Subsequent Close'!A:A,'Subsequent Close'!X:X)-_xlfn.XLOOKUP('Sub Close Summary'!E338,'Subsequent Close'!A:A,'Subsequent Close'!Q:Q),2)</f>
        <v>198.47</v>
      </c>
      <c r="D338" t="s">
        <v>52</v>
      </c>
      <c r="E338" t="s">
        <v>116</v>
      </c>
    </row>
    <row r="339" spans="1:5" x14ac:dyDescent="0.25">
      <c r="A339" s="27" t="s">
        <v>30</v>
      </c>
      <c r="B339">
        <f>ROUND(_xlfn.XLOOKUP(E339,'Subsequent Close'!A:A,'Subsequent Close'!X:X)-_xlfn.XLOOKUP('Sub Close Summary'!E339,'Subsequent Close'!A:A,'Subsequent Close'!Q:Q),2)</f>
        <v>835.18</v>
      </c>
      <c r="D339" t="s">
        <v>52</v>
      </c>
      <c r="E339" t="s">
        <v>117</v>
      </c>
    </row>
    <row r="340" spans="1:5" x14ac:dyDescent="0.25">
      <c r="A340" s="27" t="s">
        <v>30</v>
      </c>
      <c r="B340">
        <f>ROUND(_xlfn.XLOOKUP(E340,'Subsequent Close'!A:A,'Subsequent Close'!X:X)-_xlfn.XLOOKUP('Sub Close Summary'!E340,'Subsequent Close'!A:A,'Subsequent Close'!Q:Q),2)</f>
        <v>2224.5</v>
      </c>
      <c r="D340" t="s">
        <v>52</v>
      </c>
      <c r="E340" t="s">
        <v>118</v>
      </c>
    </row>
    <row r="341" spans="1:5" x14ac:dyDescent="0.25">
      <c r="A341" s="27" t="s">
        <v>30</v>
      </c>
      <c r="B341">
        <f>ROUND(_xlfn.XLOOKUP(E341,'Subsequent Close'!A:A,'Subsequent Close'!X:X)-_xlfn.XLOOKUP('Sub Close Summary'!E341,'Subsequent Close'!A:A,'Subsequent Close'!Q:Q),2)</f>
        <v>99.24</v>
      </c>
      <c r="D341" t="s">
        <v>52</v>
      </c>
      <c r="E341" t="s">
        <v>119</v>
      </c>
    </row>
    <row r="342" spans="1:5" x14ac:dyDescent="0.25">
      <c r="A342" s="27" t="s">
        <v>30</v>
      </c>
      <c r="B342">
        <f>ROUND(_xlfn.XLOOKUP(E342,'Subsequent Close'!A:A,'Subsequent Close'!X:X)-_xlfn.XLOOKUP('Sub Close Summary'!E342,'Subsequent Close'!A:A,'Subsequent Close'!Q:Q),2)</f>
        <v>3802.18</v>
      </c>
      <c r="D342" t="s">
        <v>52</v>
      </c>
      <c r="E342" t="s">
        <v>120</v>
      </c>
    </row>
    <row r="343" spans="1:5" x14ac:dyDescent="0.25">
      <c r="A343" s="27" t="s">
        <v>30</v>
      </c>
      <c r="B343">
        <f>ROUND(_xlfn.XLOOKUP(E343,'Subsequent Close'!A:A,'Subsequent Close'!X:X)-_xlfn.XLOOKUP('Sub Close Summary'!E343,'Subsequent Close'!A:A,'Subsequent Close'!Q:Q),2)</f>
        <v>2534.78</v>
      </c>
      <c r="D343" t="s">
        <v>52</v>
      </c>
      <c r="E343" t="s">
        <v>121</v>
      </c>
    </row>
    <row r="344" spans="1:5" x14ac:dyDescent="0.25">
      <c r="A344" s="27" t="s">
        <v>30</v>
      </c>
      <c r="B344">
        <f>ROUND(_xlfn.XLOOKUP(E344,'Subsequent Close'!A:A,'Subsequent Close'!X:X)-_xlfn.XLOOKUP('Sub Close Summary'!E344,'Subsequent Close'!A:A,'Subsequent Close'!Q:Q),2)</f>
        <v>2534.78</v>
      </c>
      <c r="D344" t="s">
        <v>52</v>
      </c>
      <c r="E344" t="s">
        <v>122</v>
      </c>
    </row>
    <row r="345" spans="1:5" x14ac:dyDescent="0.25">
      <c r="A345" s="27" t="s">
        <v>30</v>
      </c>
      <c r="B345">
        <f>ROUND(_xlfn.XLOOKUP(E345,'Subsequent Close'!A:A,'Subsequent Close'!X:X)-_xlfn.XLOOKUP('Sub Close Summary'!E345,'Subsequent Close'!A:A,'Subsequent Close'!Q:Q),2)</f>
        <v>5069.57</v>
      </c>
      <c r="D345" t="s">
        <v>52</v>
      </c>
      <c r="E345" t="s">
        <v>123</v>
      </c>
    </row>
    <row r="346" spans="1:5" x14ac:dyDescent="0.25">
      <c r="A346" s="27" t="s">
        <v>30</v>
      </c>
      <c r="B346">
        <f>ROUND(_xlfn.XLOOKUP(E346,'Subsequent Close'!A:A,'Subsequent Close'!X:X)-_xlfn.XLOOKUP('Sub Close Summary'!E346,'Subsequent Close'!A:A,'Subsequent Close'!Q:Q),2)</f>
        <v>2534.78</v>
      </c>
      <c r="D346" t="s">
        <v>52</v>
      </c>
      <c r="E346" t="s">
        <v>124</v>
      </c>
    </row>
    <row r="347" spans="1:5" x14ac:dyDescent="0.25">
      <c r="A347" s="27" t="s">
        <v>30</v>
      </c>
      <c r="B347">
        <f>ROUND(_xlfn.XLOOKUP(E347,'Subsequent Close'!A:A,'Subsequent Close'!X:X)-_xlfn.XLOOKUP('Sub Close Summary'!E347,'Subsequent Close'!A:A,'Subsequent Close'!Q:Q),2)</f>
        <v>1326.44</v>
      </c>
      <c r="D347" t="s">
        <v>52</v>
      </c>
      <c r="E347" t="s">
        <v>125</v>
      </c>
    </row>
    <row r="348" spans="1:5" x14ac:dyDescent="0.25">
      <c r="A348" s="27" t="s">
        <v>30</v>
      </c>
      <c r="B348">
        <f>ROUND(_xlfn.XLOOKUP(E348,'Subsequent Close'!A:A,'Subsequent Close'!X:X)-_xlfn.XLOOKUP('Sub Close Summary'!E348,'Subsequent Close'!A:A,'Subsequent Close'!Q:Q),2)</f>
        <v>396.95</v>
      </c>
      <c r="D348" t="s">
        <v>52</v>
      </c>
      <c r="E348" t="s">
        <v>126</v>
      </c>
    </row>
    <row r="349" spans="1:5" x14ac:dyDescent="0.25">
      <c r="A349" s="27" t="s">
        <v>30</v>
      </c>
      <c r="B349">
        <f>ROUND(_xlfn.XLOOKUP(E349,'Subsequent Close'!A:A,'Subsequent Close'!X:X)-_xlfn.XLOOKUP('Sub Close Summary'!E349,'Subsequent Close'!A:A,'Subsequent Close'!Q:Q),2)</f>
        <v>2534.78</v>
      </c>
      <c r="D349" t="s">
        <v>52</v>
      </c>
      <c r="E349" t="s">
        <v>127</v>
      </c>
    </row>
    <row r="350" spans="1:5" x14ac:dyDescent="0.25">
      <c r="A350" s="27" t="s">
        <v>30</v>
      </c>
      <c r="B350">
        <f>ROUND(_xlfn.XLOOKUP(E350,'Subsequent Close'!A:A,'Subsequent Close'!X:X)-_xlfn.XLOOKUP('Sub Close Summary'!E350,'Subsequent Close'!A:A,'Subsequent Close'!Q:Q),2)</f>
        <v>2534.78</v>
      </c>
      <c r="D350" t="s">
        <v>52</v>
      </c>
      <c r="E350" t="s">
        <v>128</v>
      </c>
    </row>
    <row r="351" spans="1:5" x14ac:dyDescent="0.25">
      <c r="A351" s="27" t="s">
        <v>30</v>
      </c>
      <c r="B351">
        <f>ROUND(_xlfn.XLOOKUP(E351,'Subsequent Close'!A:A,'Subsequent Close'!X:X)-_xlfn.XLOOKUP('Sub Close Summary'!E351,'Subsequent Close'!A:A,'Subsequent Close'!Q:Q),2)</f>
        <v>1520.87</v>
      </c>
      <c r="D351" t="s">
        <v>52</v>
      </c>
      <c r="E351" t="s">
        <v>129</v>
      </c>
    </row>
    <row r="352" spans="1:5" x14ac:dyDescent="0.25">
      <c r="A352" s="27" t="s">
        <v>30</v>
      </c>
      <c r="B352">
        <f>ROUND(_xlfn.XLOOKUP(E352,'Subsequent Close'!A:A,'Subsequent Close'!X:X)-_xlfn.XLOOKUP('Sub Close Summary'!E352,'Subsequent Close'!A:A,'Subsequent Close'!Q:Q),2)</f>
        <v>2534.78</v>
      </c>
      <c r="D352" t="s">
        <v>52</v>
      </c>
      <c r="E352" t="s">
        <v>130</v>
      </c>
    </row>
    <row r="353" spans="1:5" x14ac:dyDescent="0.25">
      <c r="A353" s="27" t="s">
        <v>30</v>
      </c>
      <c r="B353">
        <f>ROUND(_xlfn.XLOOKUP(E353,'Subsequent Close'!A:A,'Subsequent Close'!X:X)-_xlfn.XLOOKUP('Sub Close Summary'!E353,'Subsequent Close'!A:A,'Subsequent Close'!Q:Q),2)</f>
        <v>50695.67</v>
      </c>
      <c r="D353" t="s">
        <v>52</v>
      </c>
      <c r="E353" t="s">
        <v>131</v>
      </c>
    </row>
    <row r="354" spans="1:5" x14ac:dyDescent="0.25">
      <c r="A354" s="27" t="s">
        <v>30</v>
      </c>
      <c r="B354">
        <f>ROUND(_xlfn.XLOOKUP(E354,'Subsequent Close'!A:A,'Subsequent Close'!X:X)-_xlfn.XLOOKUP('Sub Close Summary'!E354,'Subsequent Close'!A:A,'Subsequent Close'!Q:Q),2)</f>
        <v>633.7</v>
      </c>
      <c r="D354" t="s">
        <v>52</v>
      </c>
      <c r="E354" t="s">
        <v>132</v>
      </c>
    </row>
    <row r="355" spans="1:5" x14ac:dyDescent="0.25">
      <c r="A355" s="27" t="s">
        <v>30</v>
      </c>
      <c r="B355">
        <f>ROUND(_xlfn.XLOOKUP(E355,'Subsequent Close'!A:A,'Subsequent Close'!X:X)-_xlfn.XLOOKUP('Sub Close Summary'!E355,'Subsequent Close'!A:A,'Subsequent Close'!Q:Q),2)</f>
        <v>793.9</v>
      </c>
      <c r="D355" t="s">
        <v>52</v>
      </c>
      <c r="E355" t="s">
        <v>133</v>
      </c>
    </row>
    <row r="356" spans="1:5" x14ac:dyDescent="0.25">
      <c r="A356" s="27" t="s">
        <v>30</v>
      </c>
      <c r="B356">
        <f>ROUND(_xlfn.XLOOKUP(E356,'Subsequent Close'!A:A,'Subsequent Close'!X:X)-_xlfn.XLOOKUP('Sub Close Summary'!E356,'Subsequent Close'!A:A,'Subsequent Close'!Q:Q),2)</f>
        <v>793.9</v>
      </c>
      <c r="D356" t="s">
        <v>52</v>
      </c>
      <c r="E356" t="s">
        <v>134</v>
      </c>
    </row>
    <row r="357" spans="1:5" x14ac:dyDescent="0.25">
      <c r="A357" s="27" t="s">
        <v>30</v>
      </c>
      <c r="B357">
        <f>ROUND(_xlfn.XLOOKUP(E357,'Subsequent Close'!A:A,'Subsequent Close'!X:X)-_xlfn.XLOOKUP('Sub Close Summary'!E357,'Subsequent Close'!A:A,'Subsequent Close'!Q:Q),2)</f>
        <v>12673.92</v>
      </c>
      <c r="D357" t="s">
        <v>52</v>
      </c>
      <c r="E357" t="s">
        <v>135</v>
      </c>
    </row>
    <row r="358" spans="1:5" x14ac:dyDescent="0.25">
      <c r="A358" s="27" t="s">
        <v>30</v>
      </c>
      <c r="B358">
        <f>ROUND(_xlfn.XLOOKUP(E358,'Subsequent Close'!A:A,'Subsequent Close'!X:X)-_xlfn.XLOOKUP('Sub Close Summary'!E358,'Subsequent Close'!A:A,'Subsequent Close'!Q:Q),2)</f>
        <v>19010.88</v>
      </c>
      <c r="D358" t="s">
        <v>52</v>
      </c>
      <c r="E358" t="s">
        <v>136</v>
      </c>
    </row>
    <row r="359" spans="1:5" x14ac:dyDescent="0.25">
      <c r="A359" s="27" t="s">
        <v>30</v>
      </c>
      <c r="B359">
        <f>ROUND(_xlfn.XLOOKUP(E359,'Subsequent Close'!A:A,'Subsequent Close'!X:X)-_xlfn.XLOOKUP('Sub Close Summary'!E359,'Subsequent Close'!A:A,'Subsequent Close'!Q:Q),2)</f>
        <v>12673.92</v>
      </c>
      <c r="D359" t="s">
        <v>52</v>
      </c>
      <c r="E359" t="s">
        <v>137</v>
      </c>
    </row>
    <row r="360" spans="1:5" x14ac:dyDescent="0.25">
      <c r="A360" s="27" t="s">
        <v>30</v>
      </c>
      <c r="B360">
        <f>ROUND(_xlfn.XLOOKUP(E360,'Subsequent Close'!A:A,'Subsequent Close'!X:X)-_xlfn.XLOOKUP('Sub Close Summary'!E360,'Subsequent Close'!A:A,'Subsequent Close'!Q:Q),2)</f>
        <v>76043.5</v>
      </c>
      <c r="D360" t="s">
        <v>52</v>
      </c>
      <c r="E360" t="s">
        <v>138</v>
      </c>
    </row>
    <row r="361" spans="1:5" x14ac:dyDescent="0.25">
      <c r="A361" s="27" t="s">
        <v>30</v>
      </c>
      <c r="B361">
        <f>ROUND(_xlfn.XLOOKUP(E361,'Subsequent Close'!A:A,'Subsequent Close'!X:X)-_xlfn.XLOOKUP('Sub Close Summary'!E361,'Subsequent Close'!A:A,'Subsequent Close'!Q:Q),2)</f>
        <v>992.37</v>
      </c>
      <c r="D361" t="s">
        <v>52</v>
      </c>
      <c r="E361" t="s">
        <v>139</v>
      </c>
    </row>
    <row r="362" spans="1:5" x14ac:dyDescent="0.25">
      <c r="A362" s="27" t="s">
        <v>30</v>
      </c>
      <c r="B362">
        <f>ROUND(_xlfn.XLOOKUP(E362,'Subsequent Close'!A:A,'Subsequent Close'!X:X)-_xlfn.XLOOKUP('Sub Close Summary'!E362,'Subsequent Close'!A:A,'Subsequent Close'!Q:Q),2)</f>
        <v>5069.57</v>
      </c>
      <c r="D362" t="s">
        <v>52</v>
      </c>
      <c r="E362" t="s">
        <v>140</v>
      </c>
    </row>
    <row r="363" spans="1:5" x14ac:dyDescent="0.25">
      <c r="A363" s="27" t="s">
        <v>32</v>
      </c>
      <c r="B363">
        <f>-ROUND(_xlfn.XLOOKUP(E363,'Subsequent Close'!A:A,'Subsequent Close'!AT:AT),2)</f>
        <v>868.33</v>
      </c>
      <c r="D363" t="s">
        <v>56</v>
      </c>
      <c r="E363" t="s">
        <v>50</v>
      </c>
    </row>
    <row r="364" spans="1:5" x14ac:dyDescent="0.25">
      <c r="A364" s="27" t="s">
        <v>32</v>
      </c>
      <c r="B364">
        <f>-ROUND(_xlfn.XLOOKUP(E364,'Subsequent Close'!A:A,'Subsequent Close'!AT:AT),2)</f>
        <v>1215.67</v>
      </c>
      <c r="D364" t="s">
        <v>56</v>
      </c>
      <c r="E364" t="s">
        <v>51</v>
      </c>
    </row>
    <row r="365" spans="1:5" x14ac:dyDescent="0.25">
      <c r="A365" s="27" t="s">
        <v>32</v>
      </c>
      <c r="B365">
        <f>-ROUND(_xlfn.XLOOKUP(E365,'Subsequent Close'!A:A,'Subsequent Close'!AT:AT),2)</f>
        <v>1042</v>
      </c>
      <c r="D365" t="s">
        <v>56</v>
      </c>
      <c r="E365" t="s">
        <v>53</v>
      </c>
    </row>
    <row r="366" spans="1:5" x14ac:dyDescent="0.25">
      <c r="A366" s="27" t="s">
        <v>32</v>
      </c>
      <c r="B366">
        <f>-ROUND(_xlfn.XLOOKUP(E366,'Subsequent Close'!A:A,'Subsequent Close'!AT:AT),2)</f>
        <v>1302.5</v>
      </c>
      <c r="D366" t="s">
        <v>56</v>
      </c>
      <c r="E366" t="s">
        <v>54</v>
      </c>
    </row>
    <row r="367" spans="1:5" x14ac:dyDescent="0.25">
      <c r="A367" s="27" t="s">
        <v>32</v>
      </c>
      <c r="B367">
        <f>-ROUND(_xlfn.XLOOKUP(E367,'Subsequent Close'!A:A,'Subsequent Close'!AT:AT),2)</f>
        <v>135.98</v>
      </c>
      <c r="D367" t="s">
        <v>56</v>
      </c>
      <c r="E367" t="s">
        <v>55</v>
      </c>
    </row>
    <row r="368" spans="1:5" x14ac:dyDescent="0.25">
      <c r="A368" s="27" t="s">
        <v>32</v>
      </c>
      <c r="B368">
        <f>-ROUND(_xlfn.XLOOKUP(E368,'Subsequent Close'!A:A,'Subsequent Close'!AT:AT),2)</f>
        <v>250.42</v>
      </c>
      <c r="D368" t="s">
        <v>56</v>
      </c>
      <c r="E368" t="s">
        <v>57</v>
      </c>
    </row>
    <row r="369" spans="1:5" x14ac:dyDescent="0.25">
      <c r="A369" s="27" t="s">
        <v>32</v>
      </c>
      <c r="B369">
        <f>-ROUND(_xlfn.XLOOKUP(E369,'Subsequent Close'!A:A,'Subsequent Close'!AT:AT),2)</f>
        <v>271.96</v>
      </c>
      <c r="D369" t="s">
        <v>56</v>
      </c>
      <c r="E369" t="s">
        <v>59</v>
      </c>
    </row>
    <row r="370" spans="1:5" x14ac:dyDescent="0.25">
      <c r="A370" s="27" t="s">
        <v>32</v>
      </c>
      <c r="B370">
        <f>-ROUND(_xlfn.XLOOKUP(E370,'Subsequent Close'!A:A,'Subsequent Close'!AT:AT),2)</f>
        <v>908.79</v>
      </c>
      <c r="D370" t="s">
        <v>56</v>
      </c>
      <c r="E370" t="s">
        <v>61</v>
      </c>
    </row>
    <row r="371" spans="1:5" x14ac:dyDescent="0.25">
      <c r="A371" s="27" t="s">
        <v>32</v>
      </c>
      <c r="B371">
        <f>-ROUND(_xlfn.XLOOKUP(E371,'Subsequent Close'!A:A,'Subsequent Close'!AT:AT),2)</f>
        <v>1736.67</v>
      </c>
      <c r="D371" t="s">
        <v>56</v>
      </c>
      <c r="E371" t="s">
        <v>62</v>
      </c>
    </row>
    <row r="372" spans="1:5" x14ac:dyDescent="0.25">
      <c r="A372" s="27" t="s">
        <v>32</v>
      </c>
      <c r="B372">
        <f>-ROUND(_xlfn.XLOOKUP(E372,'Subsequent Close'!A:A,'Subsequent Close'!AT:AT),2)</f>
        <v>679.91</v>
      </c>
      <c r="D372" t="s">
        <v>56</v>
      </c>
      <c r="E372" t="s">
        <v>63</v>
      </c>
    </row>
    <row r="373" spans="1:5" x14ac:dyDescent="0.25">
      <c r="A373" s="27" t="s">
        <v>32</v>
      </c>
      <c r="B373">
        <f>-ROUND(_xlfn.XLOOKUP(E373,'Subsequent Close'!A:A,'Subsequent Close'!AT:AT),2)</f>
        <v>17366.7</v>
      </c>
      <c r="D373" t="s">
        <v>56</v>
      </c>
      <c r="E373" t="s">
        <v>65</v>
      </c>
    </row>
    <row r="374" spans="1:5" x14ac:dyDescent="0.25">
      <c r="A374" s="27" t="s">
        <v>32</v>
      </c>
      <c r="B374">
        <f>-ROUND(_xlfn.XLOOKUP(E374,'Subsequent Close'!A:A,'Subsequent Close'!AT:AT),2)</f>
        <v>1588.7</v>
      </c>
      <c r="D374" t="s">
        <v>56</v>
      </c>
      <c r="E374" t="s">
        <v>68</v>
      </c>
    </row>
    <row r="375" spans="1:5" x14ac:dyDescent="0.25">
      <c r="A375" s="27" t="s">
        <v>32</v>
      </c>
      <c r="B375">
        <f>-ROUND(_xlfn.XLOOKUP(E375,'Subsequent Close'!A:A,'Subsequent Close'!AT:AT),2)</f>
        <v>1588.7</v>
      </c>
      <c r="D375" t="s">
        <v>56</v>
      </c>
      <c r="E375" t="s">
        <v>70</v>
      </c>
    </row>
    <row r="376" spans="1:5" x14ac:dyDescent="0.25">
      <c r="A376" s="27" t="s">
        <v>32</v>
      </c>
      <c r="B376">
        <f>-ROUND(_xlfn.XLOOKUP(E376,'Subsequent Close'!A:A,'Subsequent Close'!AT:AT),2)</f>
        <v>135.98</v>
      </c>
      <c r="D376" t="s">
        <v>56</v>
      </c>
      <c r="E376" t="s">
        <v>72</v>
      </c>
    </row>
    <row r="377" spans="1:5" x14ac:dyDescent="0.25">
      <c r="A377" s="27" t="s">
        <v>32</v>
      </c>
      <c r="B377">
        <f>-ROUND(_xlfn.XLOOKUP(E377,'Subsequent Close'!A:A,'Subsequent Close'!AT:AT),2)</f>
        <v>407.95</v>
      </c>
      <c r="D377" t="s">
        <v>56</v>
      </c>
      <c r="E377" t="s">
        <v>74</v>
      </c>
    </row>
    <row r="378" spans="1:5" x14ac:dyDescent="0.25">
      <c r="A378" s="27" t="s">
        <v>32</v>
      </c>
      <c r="B378">
        <f>-ROUND(_xlfn.XLOOKUP(E378,'Subsequent Close'!A:A,'Subsequent Close'!AT:AT),2)</f>
        <v>868.33</v>
      </c>
      <c r="D378" t="s">
        <v>56</v>
      </c>
      <c r="E378" t="s">
        <v>76</v>
      </c>
    </row>
    <row r="379" spans="1:5" x14ac:dyDescent="0.25">
      <c r="A379" s="27" t="s">
        <v>32</v>
      </c>
      <c r="B379">
        <f>-ROUND(_xlfn.XLOOKUP(E379,'Subsequent Close'!A:A,'Subsequent Close'!AT:AT),2)</f>
        <v>339.95</v>
      </c>
      <c r="D379" t="s">
        <v>56</v>
      </c>
      <c r="E379" t="s">
        <v>77</v>
      </c>
    </row>
    <row r="380" spans="1:5" x14ac:dyDescent="0.25">
      <c r="A380" s="27" t="s">
        <v>32</v>
      </c>
      <c r="B380">
        <f>-ROUND(_xlfn.XLOOKUP(E380,'Subsequent Close'!A:A,'Subsequent Close'!AT:AT),2)</f>
        <v>868.33</v>
      </c>
      <c r="D380" t="s">
        <v>56</v>
      </c>
      <c r="E380" t="s">
        <v>78</v>
      </c>
    </row>
    <row r="381" spans="1:5" x14ac:dyDescent="0.25">
      <c r="A381" s="27" t="s">
        <v>32</v>
      </c>
      <c r="B381">
        <f>-ROUND(_xlfn.XLOOKUP(E381,'Subsequent Close'!A:A,'Subsequent Close'!AT:AT),2)</f>
        <v>88507.9</v>
      </c>
      <c r="D381" t="s">
        <v>56</v>
      </c>
      <c r="E381" t="s">
        <v>80</v>
      </c>
    </row>
    <row r="382" spans="1:5" x14ac:dyDescent="0.25">
      <c r="A382" s="27" t="s">
        <v>32</v>
      </c>
      <c r="B382">
        <f>-ROUND(_xlfn.XLOOKUP(E382,'Subsequent Close'!A:A,'Subsequent Close'!AT:AT),2)</f>
        <v>10986.48</v>
      </c>
      <c r="D382" t="s">
        <v>56</v>
      </c>
      <c r="E382" t="s">
        <v>82</v>
      </c>
    </row>
    <row r="383" spans="1:5" x14ac:dyDescent="0.25">
      <c r="A383" s="27" t="s">
        <v>32</v>
      </c>
      <c r="B383">
        <f>-ROUND(_xlfn.XLOOKUP(E383,'Subsequent Close'!A:A,'Subsequent Close'!AT:AT),2)</f>
        <v>339.95</v>
      </c>
      <c r="D383" t="s">
        <v>56</v>
      </c>
      <c r="E383" t="s">
        <v>83</v>
      </c>
    </row>
    <row r="384" spans="1:5" x14ac:dyDescent="0.25">
      <c r="A384" s="27" t="s">
        <v>32</v>
      </c>
      <c r="B384">
        <f>-ROUND(_xlfn.XLOOKUP(E384,'Subsequent Close'!A:A,'Subsequent Close'!AT:AT),2)</f>
        <v>2105.7</v>
      </c>
      <c r="D384" t="s">
        <v>56</v>
      </c>
      <c r="E384" t="s">
        <v>84</v>
      </c>
    </row>
    <row r="385" spans="1:5" x14ac:dyDescent="0.25">
      <c r="A385" s="27" t="s">
        <v>32</v>
      </c>
      <c r="B385">
        <f>-ROUND(_xlfn.XLOOKUP(E385,'Subsequent Close'!A:A,'Subsequent Close'!AT:AT),2)</f>
        <v>339.95</v>
      </c>
      <c r="D385" t="s">
        <v>56</v>
      </c>
      <c r="E385" t="s">
        <v>85</v>
      </c>
    </row>
    <row r="386" spans="1:5" x14ac:dyDescent="0.25">
      <c r="A386" s="27" t="s">
        <v>32</v>
      </c>
      <c r="B386">
        <f>-ROUND(_xlfn.XLOOKUP(E386,'Subsequent Close'!A:A,'Subsequent Close'!AT:AT),2)</f>
        <v>868.33</v>
      </c>
      <c r="D386" t="s">
        <v>56</v>
      </c>
      <c r="E386" t="s">
        <v>86</v>
      </c>
    </row>
    <row r="387" spans="1:5" x14ac:dyDescent="0.25">
      <c r="A387" s="27" t="s">
        <v>32</v>
      </c>
      <c r="B387">
        <f>-ROUND(_xlfn.XLOOKUP(E387,'Subsequent Close'!A:A,'Subsequent Close'!AT:AT),2)</f>
        <v>288.11</v>
      </c>
      <c r="D387" t="s">
        <v>56</v>
      </c>
      <c r="E387" t="s">
        <v>87</v>
      </c>
    </row>
    <row r="388" spans="1:5" x14ac:dyDescent="0.25">
      <c r="A388" s="27" t="s">
        <v>32</v>
      </c>
      <c r="B388">
        <f>-ROUND(_xlfn.XLOOKUP(E388,'Subsequent Close'!A:A,'Subsequent Close'!AT:AT),2)</f>
        <v>8340.45</v>
      </c>
      <c r="D388" t="s">
        <v>56</v>
      </c>
      <c r="E388" t="s">
        <v>88</v>
      </c>
    </row>
    <row r="389" spans="1:5" x14ac:dyDescent="0.25">
      <c r="A389" s="27" t="s">
        <v>32</v>
      </c>
      <c r="B389">
        <f>-ROUND(_xlfn.XLOOKUP(E389,'Subsequent Close'!A:A,'Subsequent Close'!AT:AT),2)</f>
        <v>641.83</v>
      </c>
      <c r="D389" t="s">
        <v>56</v>
      </c>
      <c r="E389" t="s">
        <v>89</v>
      </c>
    </row>
    <row r="390" spans="1:5" x14ac:dyDescent="0.25">
      <c r="A390" s="27" t="s">
        <v>32</v>
      </c>
      <c r="B390">
        <f>-ROUND(_xlfn.XLOOKUP(E390,'Subsequent Close'!A:A,'Subsequent Close'!AT:AT),2)</f>
        <v>271.96</v>
      </c>
      <c r="D390" t="s">
        <v>56</v>
      </c>
      <c r="E390" t="s">
        <v>90</v>
      </c>
    </row>
    <row r="391" spans="1:5" x14ac:dyDescent="0.25">
      <c r="A391" s="27" t="s">
        <v>32</v>
      </c>
      <c r="B391">
        <f>-ROUND(_xlfn.XLOOKUP(E391,'Subsequent Close'!A:A,'Subsequent Close'!AT:AT),2)</f>
        <v>1476.17</v>
      </c>
      <c r="D391" t="s">
        <v>56</v>
      </c>
      <c r="E391" t="s">
        <v>91</v>
      </c>
    </row>
    <row r="392" spans="1:5" x14ac:dyDescent="0.25">
      <c r="A392" s="27" t="s">
        <v>32</v>
      </c>
      <c r="B392">
        <f>-ROUND(_xlfn.XLOOKUP(E392,'Subsequent Close'!A:A,'Subsequent Close'!AT:AT),2)</f>
        <v>2605</v>
      </c>
      <c r="D392" t="s">
        <v>56</v>
      </c>
      <c r="E392" t="s">
        <v>92</v>
      </c>
    </row>
    <row r="393" spans="1:5" x14ac:dyDescent="0.25">
      <c r="A393" s="27" t="s">
        <v>32</v>
      </c>
      <c r="B393">
        <f>-ROUND(_xlfn.XLOOKUP(E393,'Subsequent Close'!A:A,'Subsequent Close'!AT:AT),2)</f>
        <v>543.93</v>
      </c>
      <c r="D393" t="s">
        <v>56</v>
      </c>
      <c r="E393" t="s">
        <v>93</v>
      </c>
    </row>
    <row r="394" spans="1:5" x14ac:dyDescent="0.25">
      <c r="A394" s="27" t="s">
        <v>32</v>
      </c>
      <c r="B394">
        <f>-ROUND(_xlfn.XLOOKUP(E394,'Subsequent Close'!A:A,'Subsequent Close'!AT:AT),2)</f>
        <v>407.95</v>
      </c>
      <c r="D394" t="s">
        <v>56</v>
      </c>
      <c r="E394" t="s">
        <v>94</v>
      </c>
    </row>
    <row r="395" spans="1:5" x14ac:dyDescent="0.25">
      <c r="A395" s="27" t="s">
        <v>32</v>
      </c>
      <c r="B395">
        <f>-ROUND(_xlfn.XLOOKUP(E395,'Subsequent Close'!A:A,'Subsequent Close'!AT:AT),2)</f>
        <v>1736.67</v>
      </c>
      <c r="D395" t="s">
        <v>56</v>
      </c>
      <c r="E395" t="s">
        <v>95</v>
      </c>
    </row>
    <row r="396" spans="1:5" x14ac:dyDescent="0.25">
      <c r="A396" s="27" t="s">
        <v>32</v>
      </c>
      <c r="B396">
        <f>-ROUND(_xlfn.XLOOKUP(E396,'Subsequent Close'!A:A,'Subsequent Close'!AT:AT),2)</f>
        <v>1736.67</v>
      </c>
      <c r="D396" t="s">
        <v>56</v>
      </c>
      <c r="E396" t="s">
        <v>96</v>
      </c>
    </row>
    <row r="397" spans="1:5" x14ac:dyDescent="0.25">
      <c r="A397" s="27" t="s">
        <v>32</v>
      </c>
      <c r="B397">
        <f>-ROUND(_xlfn.XLOOKUP(E397,'Subsequent Close'!A:A,'Subsequent Close'!AT:AT),2)</f>
        <v>271.96</v>
      </c>
      <c r="D397" t="s">
        <v>56</v>
      </c>
      <c r="E397" t="s">
        <v>97</v>
      </c>
    </row>
    <row r="398" spans="1:5" x14ac:dyDescent="0.25">
      <c r="A398" s="27" t="s">
        <v>32</v>
      </c>
      <c r="B398">
        <f>-ROUND(_xlfn.XLOOKUP(E398,'Subsequent Close'!A:A,'Subsequent Close'!AT:AT),2)</f>
        <v>347.33</v>
      </c>
      <c r="D398" t="s">
        <v>56</v>
      </c>
      <c r="E398" t="s">
        <v>98</v>
      </c>
    </row>
    <row r="399" spans="1:5" x14ac:dyDescent="0.25">
      <c r="A399" s="27" t="s">
        <v>32</v>
      </c>
      <c r="B399">
        <f>-ROUND(_xlfn.XLOOKUP(E399,'Subsequent Close'!A:A,'Subsequent Close'!AT:AT),2)</f>
        <v>173.67</v>
      </c>
      <c r="D399" t="s">
        <v>56</v>
      </c>
      <c r="E399" t="s">
        <v>99</v>
      </c>
    </row>
    <row r="400" spans="1:5" x14ac:dyDescent="0.25">
      <c r="A400" s="27" t="s">
        <v>32</v>
      </c>
      <c r="B400">
        <f>-ROUND(_xlfn.XLOOKUP(E400,'Subsequent Close'!A:A,'Subsequent Close'!AT:AT),2)</f>
        <v>271.96</v>
      </c>
      <c r="D400" t="s">
        <v>56</v>
      </c>
      <c r="E400" t="s">
        <v>100</v>
      </c>
    </row>
    <row r="401" spans="1:5" x14ac:dyDescent="0.25">
      <c r="A401" s="27" t="s">
        <v>32</v>
      </c>
      <c r="B401">
        <f>-ROUND(_xlfn.XLOOKUP(E401,'Subsequent Close'!A:A,'Subsequent Close'!AT:AT),2)</f>
        <v>271.96</v>
      </c>
      <c r="D401" t="s">
        <v>56</v>
      </c>
      <c r="E401" t="s">
        <v>101</v>
      </c>
    </row>
    <row r="402" spans="1:5" x14ac:dyDescent="0.25">
      <c r="A402" s="27" t="s">
        <v>32</v>
      </c>
      <c r="B402">
        <f>-ROUND(_xlfn.XLOOKUP(E402,'Subsequent Close'!A:A,'Subsequent Close'!AT:AT),2)</f>
        <v>339.95</v>
      </c>
      <c r="D402" t="s">
        <v>56</v>
      </c>
      <c r="E402" t="s">
        <v>102</v>
      </c>
    </row>
    <row r="403" spans="1:5" x14ac:dyDescent="0.25">
      <c r="A403" s="27" t="s">
        <v>32</v>
      </c>
      <c r="B403">
        <f>-ROUND(_xlfn.XLOOKUP(E403,'Subsequent Close'!A:A,'Subsequent Close'!AT:AT),2)</f>
        <v>1736.67</v>
      </c>
      <c r="D403" t="s">
        <v>56</v>
      </c>
      <c r="E403" t="s">
        <v>103</v>
      </c>
    </row>
    <row r="404" spans="1:5" x14ac:dyDescent="0.25">
      <c r="A404" s="27" t="s">
        <v>32</v>
      </c>
      <c r="B404">
        <f>-ROUND(_xlfn.XLOOKUP(E404,'Subsequent Close'!A:A,'Subsequent Close'!AT:AT),2)</f>
        <v>868.33</v>
      </c>
      <c r="D404" t="s">
        <v>56</v>
      </c>
      <c r="E404" t="s">
        <v>104</v>
      </c>
    </row>
    <row r="405" spans="1:5" x14ac:dyDescent="0.25">
      <c r="A405" s="27" t="s">
        <v>32</v>
      </c>
      <c r="B405">
        <f>-ROUND(_xlfn.XLOOKUP(E405,'Subsequent Close'!A:A,'Subsequent Close'!AT:AT),2)</f>
        <v>2605</v>
      </c>
      <c r="D405" t="s">
        <v>56</v>
      </c>
      <c r="E405" t="s">
        <v>105</v>
      </c>
    </row>
    <row r="406" spans="1:5" x14ac:dyDescent="0.25">
      <c r="A406" s="27" t="s">
        <v>32</v>
      </c>
      <c r="B406">
        <f>-ROUND(_xlfn.XLOOKUP(E406,'Subsequent Close'!A:A,'Subsequent Close'!AT:AT),2)</f>
        <v>173.67</v>
      </c>
      <c r="D406" t="s">
        <v>56</v>
      </c>
      <c r="E406" t="s">
        <v>106</v>
      </c>
    </row>
    <row r="407" spans="1:5" x14ac:dyDescent="0.25">
      <c r="A407" s="27" t="s">
        <v>32</v>
      </c>
      <c r="B407">
        <f>-ROUND(_xlfn.XLOOKUP(E407,'Subsequent Close'!A:A,'Subsequent Close'!AT:AT),2)</f>
        <v>1302.5</v>
      </c>
      <c r="D407" t="s">
        <v>56</v>
      </c>
      <c r="E407" t="s">
        <v>107</v>
      </c>
    </row>
    <row r="408" spans="1:5" x14ac:dyDescent="0.25">
      <c r="A408" s="27" t="s">
        <v>32</v>
      </c>
      <c r="B408">
        <f>-ROUND(_xlfn.XLOOKUP(E408,'Subsequent Close'!A:A,'Subsequent Close'!AT:AT),2)</f>
        <v>407.95</v>
      </c>
      <c r="D408" t="s">
        <v>56</v>
      </c>
      <c r="E408" t="s">
        <v>108</v>
      </c>
    </row>
    <row r="409" spans="1:5" x14ac:dyDescent="0.25">
      <c r="A409" s="27" t="s">
        <v>32</v>
      </c>
      <c r="B409">
        <f>-ROUND(_xlfn.XLOOKUP(E409,'Subsequent Close'!A:A,'Subsequent Close'!AT:AT),2)</f>
        <v>1736.67</v>
      </c>
      <c r="D409" t="s">
        <v>56</v>
      </c>
      <c r="E409" t="s">
        <v>109</v>
      </c>
    </row>
    <row r="410" spans="1:5" x14ac:dyDescent="0.25">
      <c r="A410" s="27" t="s">
        <v>32</v>
      </c>
      <c r="B410">
        <f>-ROUND(_xlfn.XLOOKUP(E410,'Subsequent Close'!A:A,'Subsequent Close'!AT:AT),2)</f>
        <v>203.97</v>
      </c>
      <c r="D410" t="s">
        <v>56</v>
      </c>
      <c r="E410" t="s">
        <v>110</v>
      </c>
    </row>
    <row r="411" spans="1:5" x14ac:dyDescent="0.25">
      <c r="A411" s="27" t="s">
        <v>32</v>
      </c>
      <c r="B411">
        <f>-ROUND(_xlfn.XLOOKUP(E411,'Subsequent Close'!A:A,'Subsequent Close'!AT:AT),2)</f>
        <v>173.67</v>
      </c>
      <c r="D411" t="s">
        <v>56</v>
      </c>
      <c r="E411" t="s">
        <v>111</v>
      </c>
    </row>
    <row r="412" spans="1:5" x14ac:dyDescent="0.25">
      <c r="A412" s="27" t="s">
        <v>32</v>
      </c>
      <c r="B412">
        <f>-ROUND(_xlfn.XLOOKUP(E412,'Subsequent Close'!A:A,'Subsequent Close'!AT:AT),2)</f>
        <v>135.98</v>
      </c>
      <c r="D412" t="s">
        <v>56</v>
      </c>
      <c r="E412" t="s">
        <v>112</v>
      </c>
    </row>
    <row r="413" spans="1:5" x14ac:dyDescent="0.25">
      <c r="A413" s="27" t="s">
        <v>32</v>
      </c>
      <c r="B413">
        <f>-ROUND(_xlfn.XLOOKUP(E413,'Subsequent Close'!A:A,'Subsequent Close'!AT:AT),2)</f>
        <v>1359.82</v>
      </c>
      <c r="D413" t="s">
        <v>56</v>
      </c>
      <c r="E413" t="s">
        <v>113</v>
      </c>
    </row>
    <row r="414" spans="1:5" x14ac:dyDescent="0.25">
      <c r="A414" s="27" t="s">
        <v>32</v>
      </c>
      <c r="B414">
        <f>-ROUND(_xlfn.XLOOKUP(E414,'Subsequent Close'!A:A,'Subsequent Close'!AT:AT),2)</f>
        <v>679.91</v>
      </c>
      <c r="D414" t="s">
        <v>56</v>
      </c>
      <c r="E414" t="s">
        <v>114</v>
      </c>
    </row>
    <row r="415" spans="1:5" x14ac:dyDescent="0.25">
      <c r="A415" s="27" t="s">
        <v>32</v>
      </c>
      <c r="B415">
        <f>-ROUND(_xlfn.XLOOKUP(E415,'Subsequent Close'!A:A,'Subsequent Close'!AT:AT),2)</f>
        <v>1221.16</v>
      </c>
      <c r="D415" t="s">
        <v>56</v>
      </c>
      <c r="E415" t="s">
        <v>115</v>
      </c>
    </row>
    <row r="416" spans="1:5" x14ac:dyDescent="0.25">
      <c r="A416" s="27" t="s">
        <v>32</v>
      </c>
      <c r="B416">
        <f>-ROUND(_xlfn.XLOOKUP(E416,'Subsequent Close'!A:A,'Subsequent Close'!AT:AT),2)</f>
        <v>135.98</v>
      </c>
      <c r="D416" t="s">
        <v>56</v>
      </c>
      <c r="E416" t="s">
        <v>116</v>
      </c>
    </row>
    <row r="417" spans="1:5" x14ac:dyDescent="0.25">
      <c r="A417" s="27" t="s">
        <v>32</v>
      </c>
      <c r="B417">
        <f>-ROUND(_xlfn.XLOOKUP(E417,'Subsequent Close'!A:A,'Subsequent Close'!AT:AT),2)</f>
        <v>572.21</v>
      </c>
      <c r="D417" t="s">
        <v>56</v>
      </c>
      <c r="E417" t="s">
        <v>117</v>
      </c>
    </row>
    <row r="418" spans="1:5" x14ac:dyDescent="0.25">
      <c r="A418" s="27" t="s">
        <v>32</v>
      </c>
      <c r="B418">
        <f>-ROUND(_xlfn.XLOOKUP(E418,'Subsequent Close'!A:A,'Subsequent Close'!AT:AT),2)</f>
        <v>1524.08</v>
      </c>
      <c r="D418" t="s">
        <v>56</v>
      </c>
      <c r="E418" t="s">
        <v>118</v>
      </c>
    </row>
    <row r="419" spans="1:5" x14ac:dyDescent="0.25">
      <c r="A419" s="27" t="s">
        <v>32</v>
      </c>
      <c r="B419">
        <f>-ROUND(_xlfn.XLOOKUP(E419,'Subsequent Close'!A:A,'Subsequent Close'!AT:AT),2)</f>
        <v>67.99</v>
      </c>
      <c r="D419" t="s">
        <v>56</v>
      </c>
      <c r="E419" t="s">
        <v>119</v>
      </c>
    </row>
    <row r="420" spans="1:5" x14ac:dyDescent="0.25">
      <c r="A420" s="27" t="s">
        <v>32</v>
      </c>
      <c r="B420">
        <f>-ROUND(_xlfn.XLOOKUP(E420,'Subsequent Close'!A:A,'Subsequent Close'!AT:AT),2)</f>
        <v>2605</v>
      </c>
      <c r="D420" t="s">
        <v>56</v>
      </c>
      <c r="E420" t="s">
        <v>120</v>
      </c>
    </row>
    <row r="421" spans="1:5" x14ac:dyDescent="0.25">
      <c r="A421" s="27" t="s">
        <v>32</v>
      </c>
      <c r="B421">
        <f>-ROUND(_xlfn.XLOOKUP(E421,'Subsequent Close'!A:A,'Subsequent Close'!AT:AT),2)</f>
        <v>1736.67</v>
      </c>
      <c r="D421" t="s">
        <v>56</v>
      </c>
      <c r="E421" t="s">
        <v>121</v>
      </c>
    </row>
    <row r="422" spans="1:5" x14ac:dyDescent="0.25">
      <c r="A422" s="27" t="s">
        <v>32</v>
      </c>
      <c r="B422">
        <f>-ROUND(_xlfn.XLOOKUP(E422,'Subsequent Close'!A:A,'Subsequent Close'!AT:AT),2)</f>
        <v>1736.67</v>
      </c>
      <c r="D422" t="s">
        <v>56</v>
      </c>
      <c r="E422" t="s">
        <v>122</v>
      </c>
    </row>
    <row r="423" spans="1:5" x14ac:dyDescent="0.25">
      <c r="A423" s="27" t="s">
        <v>32</v>
      </c>
      <c r="B423">
        <f>-ROUND(_xlfn.XLOOKUP(E423,'Subsequent Close'!A:A,'Subsequent Close'!AT:AT),2)</f>
        <v>3473.34</v>
      </c>
      <c r="D423" t="s">
        <v>56</v>
      </c>
      <c r="E423" t="s">
        <v>123</v>
      </c>
    </row>
    <row r="424" spans="1:5" x14ac:dyDescent="0.25">
      <c r="A424" s="27" t="s">
        <v>32</v>
      </c>
      <c r="B424">
        <f>-ROUND(_xlfn.XLOOKUP(E424,'Subsequent Close'!A:A,'Subsequent Close'!AT:AT),2)</f>
        <v>1736.67</v>
      </c>
      <c r="D424" t="s">
        <v>56</v>
      </c>
      <c r="E424" t="s">
        <v>124</v>
      </c>
    </row>
    <row r="425" spans="1:5" x14ac:dyDescent="0.25">
      <c r="A425" s="27" t="s">
        <v>32</v>
      </c>
      <c r="B425">
        <f>-ROUND(_xlfn.XLOOKUP(E425,'Subsequent Close'!A:A,'Subsequent Close'!AT:AT),2)</f>
        <v>908.79</v>
      </c>
      <c r="D425" t="s">
        <v>56</v>
      </c>
      <c r="E425" t="s">
        <v>125</v>
      </c>
    </row>
    <row r="426" spans="1:5" x14ac:dyDescent="0.25">
      <c r="A426" s="27" t="s">
        <v>32</v>
      </c>
      <c r="B426">
        <f>-ROUND(_xlfn.XLOOKUP(E426,'Subsequent Close'!A:A,'Subsequent Close'!AT:AT),2)</f>
        <v>271.96</v>
      </c>
      <c r="D426" t="s">
        <v>56</v>
      </c>
      <c r="E426" t="s">
        <v>126</v>
      </c>
    </row>
    <row r="427" spans="1:5" x14ac:dyDescent="0.25">
      <c r="A427" s="27" t="s">
        <v>32</v>
      </c>
      <c r="B427">
        <f>-ROUND(_xlfn.XLOOKUP(E427,'Subsequent Close'!A:A,'Subsequent Close'!AT:AT),2)</f>
        <v>1736.67</v>
      </c>
      <c r="D427" t="s">
        <v>56</v>
      </c>
      <c r="E427" t="s">
        <v>127</v>
      </c>
    </row>
    <row r="428" spans="1:5" x14ac:dyDescent="0.25">
      <c r="A428" s="27" t="s">
        <v>32</v>
      </c>
      <c r="B428">
        <f>-ROUND(_xlfn.XLOOKUP(E428,'Subsequent Close'!A:A,'Subsequent Close'!AT:AT),2)</f>
        <v>1736.67</v>
      </c>
      <c r="D428" t="s">
        <v>56</v>
      </c>
      <c r="E428" t="s">
        <v>128</v>
      </c>
    </row>
    <row r="429" spans="1:5" x14ac:dyDescent="0.25">
      <c r="A429" s="27" t="s">
        <v>32</v>
      </c>
      <c r="B429">
        <f>-ROUND(_xlfn.XLOOKUP(E429,'Subsequent Close'!A:A,'Subsequent Close'!AT:AT),2)</f>
        <v>1042</v>
      </c>
      <c r="D429" t="s">
        <v>56</v>
      </c>
      <c r="E429" t="s">
        <v>129</v>
      </c>
    </row>
    <row r="430" spans="1:5" x14ac:dyDescent="0.25">
      <c r="A430" s="27" t="s">
        <v>32</v>
      </c>
      <c r="B430">
        <f>-ROUND(_xlfn.XLOOKUP(E430,'Subsequent Close'!A:A,'Subsequent Close'!AT:AT),2)</f>
        <v>1736.67</v>
      </c>
      <c r="D430" t="s">
        <v>56</v>
      </c>
      <c r="E430" t="s">
        <v>130</v>
      </c>
    </row>
    <row r="431" spans="1:5" x14ac:dyDescent="0.25">
      <c r="A431" s="27" t="s">
        <v>32</v>
      </c>
      <c r="B431">
        <f>-ROUND(_xlfn.XLOOKUP(E431,'Subsequent Close'!A:A,'Subsequent Close'!AT:AT),2)</f>
        <v>34733.4</v>
      </c>
      <c r="D431" t="s">
        <v>56</v>
      </c>
      <c r="E431" t="s">
        <v>131</v>
      </c>
    </row>
    <row r="432" spans="1:5" x14ac:dyDescent="0.25">
      <c r="A432" s="27" t="s">
        <v>32</v>
      </c>
      <c r="B432">
        <f>-ROUND(_xlfn.XLOOKUP(E432,'Subsequent Close'!A:A,'Subsequent Close'!AT:AT),2)</f>
        <v>434.17</v>
      </c>
      <c r="D432" t="s">
        <v>56</v>
      </c>
      <c r="E432" t="s">
        <v>132</v>
      </c>
    </row>
    <row r="433" spans="1:5" x14ac:dyDescent="0.25">
      <c r="A433" s="27" t="s">
        <v>32</v>
      </c>
      <c r="B433">
        <f>-ROUND(_xlfn.XLOOKUP(E433,'Subsequent Close'!A:A,'Subsequent Close'!AT:AT),2)</f>
        <v>543.93</v>
      </c>
      <c r="D433" t="s">
        <v>56</v>
      </c>
      <c r="E433" t="s">
        <v>133</v>
      </c>
    </row>
    <row r="434" spans="1:5" x14ac:dyDescent="0.25">
      <c r="A434" s="27" t="s">
        <v>32</v>
      </c>
      <c r="B434">
        <f>-ROUND(_xlfn.XLOOKUP(E434,'Subsequent Close'!A:A,'Subsequent Close'!AT:AT),2)</f>
        <v>543.93</v>
      </c>
      <c r="D434" t="s">
        <v>56</v>
      </c>
      <c r="E434" t="s">
        <v>134</v>
      </c>
    </row>
    <row r="435" spans="1:5" x14ac:dyDescent="0.25">
      <c r="A435" s="27" t="s">
        <v>32</v>
      </c>
      <c r="B435">
        <f>-ROUND(_xlfn.XLOOKUP(E435,'Subsequent Close'!A:A,'Subsequent Close'!AT:AT),2)</f>
        <v>8683.35</v>
      </c>
      <c r="D435" t="s">
        <v>56</v>
      </c>
      <c r="E435" t="s">
        <v>135</v>
      </c>
    </row>
    <row r="436" spans="1:5" x14ac:dyDescent="0.25">
      <c r="A436" s="27" t="s">
        <v>32</v>
      </c>
      <c r="B436">
        <f>-ROUND(_xlfn.XLOOKUP(E436,'Subsequent Close'!A:A,'Subsequent Close'!AT:AT),2)</f>
        <v>13025.02</v>
      </c>
      <c r="D436" t="s">
        <v>56</v>
      </c>
      <c r="E436" t="s">
        <v>136</v>
      </c>
    </row>
    <row r="437" spans="1:5" x14ac:dyDescent="0.25">
      <c r="A437" s="27" t="s">
        <v>32</v>
      </c>
      <c r="B437">
        <f>-ROUND(_xlfn.XLOOKUP(E437,'Subsequent Close'!A:A,'Subsequent Close'!AT:AT),2)</f>
        <v>8683.35</v>
      </c>
      <c r="D437" t="s">
        <v>56</v>
      </c>
      <c r="E437" t="s">
        <v>137</v>
      </c>
    </row>
    <row r="438" spans="1:5" x14ac:dyDescent="0.25">
      <c r="A438" s="27" t="s">
        <v>32</v>
      </c>
      <c r="B438">
        <f>-ROUND(_xlfn.XLOOKUP(E438,'Subsequent Close'!A:A,'Subsequent Close'!AT:AT),2)</f>
        <v>52100.1</v>
      </c>
      <c r="D438" t="s">
        <v>56</v>
      </c>
      <c r="E438" t="s">
        <v>138</v>
      </c>
    </row>
    <row r="439" spans="1:5" x14ac:dyDescent="0.25">
      <c r="A439" s="27" t="s">
        <v>32</v>
      </c>
      <c r="B439">
        <f>-ROUND(_xlfn.XLOOKUP(E439,'Subsequent Close'!A:A,'Subsequent Close'!AT:AT),2)</f>
        <v>17366.7</v>
      </c>
      <c r="D439" t="s">
        <v>56</v>
      </c>
      <c r="E439" t="s">
        <v>7</v>
      </c>
    </row>
    <row r="440" spans="1:5" x14ac:dyDescent="0.25">
      <c r="A440" s="27" t="s">
        <v>32</v>
      </c>
      <c r="B440">
        <f>-ROUND(_xlfn.XLOOKUP(E440,'Subsequent Close'!A:A,'Subsequent Close'!AT:AT),2)</f>
        <v>679.91</v>
      </c>
      <c r="D440" t="s">
        <v>56</v>
      </c>
      <c r="E440" t="s">
        <v>139</v>
      </c>
    </row>
    <row r="441" spans="1:5" x14ac:dyDescent="0.25">
      <c r="A441" s="27" t="s">
        <v>32</v>
      </c>
      <c r="B441">
        <f>-ROUND(_xlfn.XLOOKUP(E441,'Subsequent Close'!A:A,'Subsequent Close'!AT:AT),2)</f>
        <v>3473.34</v>
      </c>
      <c r="D441" t="s">
        <v>56</v>
      </c>
      <c r="E441" t="s">
        <v>140</v>
      </c>
    </row>
    <row r="442" spans="1:5" x14ac:dyDescent="0.25">
      <c r="A442" s="27" t="s">
        <v>32</v>
      </c>
      <c r="B442">
        <f>-ROUND(+'Subsequent Close'!BB57,2)</f>
        <v>9544.31</v>
      </c>
      <c r="D442" t="s">
        <v>58</v>
      </c>
      <c r="E442" t="s">
        <v>115</v>
      </c>
    </row>
    <row r="443" spans="1:5" x14ac:dyDescent="0.25">
      <c r="A443" s="27" t="s">
        <v>24</v>
      </c>
      <c r="C443">
        <f>ROUND(_xlfn.XLOOKUP(E443,'True-Up'!A:A,'True-Up'!S:S),2)</f>
        <v>851.8</v>
      </c>
      <c r="D443" t="s">
        <v>60</v>
      </c>
      <c r="E443" s="37" t="s">
        <v>50</v>
      </c>
    </row>
    <row r="444" spans="1:5" x14ac:dyDescent="0.25">
      <c r="A444" s="27" t="s">
        <v>24</v>
      </c>
      <c r="C444">
        <f>ROUND(_xlfn.XLOOKUP(E444,'True-Up'!A:A,'True-Up'!S:S),2)</f>
        <v>1192.52</v>
      </c>
      <c r="D444" t="s">
        <v>60</v>
      </c>
      <c r="E444" s="37" t="s">
        <v>51</v>
      </c>
    </row>
    <row r="445" spans="1:5" x14ac:dyDescent="0.25">
      <c r="A445" s="27" t="s">
        <v>24</v>
      </c>
      <c r="C445">
        <f>ROUND(_xlfn.XLOOKUP(E445,'True-Up'!A:A,'True-Up'!S:S),2)</f>
        <v>1022.16</v>
      </c>
      <c r="D445" t="s">
        <v>60</v>
      </c>
      <c r="E445" s="37" t="s">
        <v>53</v>
      </c>
    </row>
    <row r="446" spans="1:5" x14ac:dyDescent="0.25">
      <c r="A446" s="27" t="s">
        <v>24</v>
      </c>
      <c r="C446">
        <f>ROUND(_xlfn.XLOOKUP(E446,'True-Up'!A:A,'True-Up'!S:S),2)</f>
        <v>1277.7</v>
      </c>
      <c r="D446" t="s">
        <v>60</v>
      </c>
      <c r="E446" s="37" t="s">
        <v>54</v>
      </c>
    </row>
    <row r="447" spans="1:5" x14ac:dyDescent="0.25">
      <c r="A447" s="27" t="s">
        <v>24</v>
      </c>
      <c r="C447">
        <f>ROUND(_xlfn.XLOOKUP(E447,'True-Up'!A:A,'True-Up'!S:S),2)</f>
        <v>133.39</v>
      </c>
      <c r="D447" t="s">
        <v>60</v>
      </c>
      <c r="E447" s="37" t="s">
        <v>55</v>
      </c>
    </row>
    <row r="448" spans="1:5" x14ac:dyDescent="0.25">
      <c r="A448" s="27" t="s">
        <v>24</v>
      </c>
      <c r="C448">
        <f>ROUND(_xlfn.XLOOKUP(E448,'True-Up'!A:A,'True-Up'!S:S),2)</f>
        <v>245.66</v>
      </c>
      <c r="D448" t="s">
        <v>60</v>
      </c>
      <c r="E448" s="37" t="s">
        <v>57</v>
      </c>
    </row>
    <row r="449" spans="1:5" x14ac:dyDescent="0.25">
      <c r="A449" s="27" t="s">
        <v>24</v>
      </c>
      <c r="C449">
        <f>ROUND(_xlfn.XLOOKUP(E449,'True-Up'!A:A,'True-Up'!S:S),2)</f>
        <v>266.79</v>
      </c>
      <c r="D449" t="s">
        <v>60</v>
      </c>
      <c r="E449" s="37" t="s">
        <v>59</v>
      </c>
    </row>
    <row r="450" spans="1:5" x14ac:dyDescent="0.25">
      <c r="A450" s="27" t="s">
        <v>24</v>
      </c>
      <c r="C450">
        <f>ROUND(_xlfn.XLOOKUP(E450,'True-Up'!A:A,'True-Up'!S:S),2)</f>
        <v>891.49</v>
      </c>
      <c r="D450" t="s">
        <v>60</v>
      </c>
      <c r="E450" s="37" t="s">
        <v>61</v>
      </c>
    </row>
    <row r="451" spans="1:5" x14ac:dyDescent="0.25">
      <c r="A451" s="27" t="s">
        <v>24</v>
      </c>
      <c r="C451">
        <f>ROUND(_xlfn.XLOOKUP(E451,'True-Up'!A:A,'True-Up'!S:S),2)</f>
        <v>1703.6</v>
      </c>
      <c r="D451" t="s">
        <v>60</v>
      </c>
      <c r="E451" s="37" t="s">
        <v>62</v>
      </c>
    </row>
    <row r="452" spans="1:5" x14ac:dyDescent="0.25">
      <c r="A452" s="27" t="s">
        <v>24</v>
      </c>
      <c r="C452">
        <f>ROUND(_xlfn.XLOOKUP(E452,'True-Up'!A:A,'True-Up'!S:S),2)</f>
        <v>666.96</v>
      </c>
      <c r="D452" t="s">
        <v>60</v>
      </c>
      <c r="E452" s="37" t="s">
        <v>63</v>
      </c>
    </row>
    <row r="453" spans="1:5" x14ac:dyDescent="0.25">
      <c r="A453" s="27" t="s">
        <v>24</v>
      </c>
      <c r="C453">
        <f>ROUND(_xlfn.XLOOKUP(E453,'True-Up'!A:A,'True-Up'!S:S),2)</f>
        <v>17036.02</v>
      </c>
      <c r="D453" t="s">
        <v>60</v>
      </c>
      <c r="E453" s="37" t="s">
        <v>65</v>
      </c>
    </row>
    <row r="454" spans="1:5" x14ac:dyDescent="0.25">
      <c r="A454" s="27" t="s">
        <v>24</v>
      </c>
      <c r="C454">
        <f>ROUND(_xlfn.XLOOKUP(E454,'True-Up'!A:A,'True-Up'!S:S),2)</f>
        <v>1558.45</v>
      </c>
      <c r="D454" t="s">
        <v>60</v>
      </c>
      <c r="E454" s="37" t="s">
        <v>68</v>
      </c>
    </row>
    <row r="455" spans="1:5" x14ac:dyDescent="0.25">
      <c r="A455" s="27" t="s">
        <v>24</v>
      </c>
      <c r="C455">
        <f>ROUND(_xlfn.XLOOKUP(E455,'True-Up'!A:A,'True-Up'!S:S),2)</f>
        <v>1558.45</v>
      </c>
      <c r="D455" t="s">
        <v>60</v>
      </c>
      <c r="E455" s="37" t="s">
        <v>70</v>
      </c>
    </row>
    <row r="456" spans="1:5" x14ac:dyDescent="0.25">
      <c r="A456" s="27" t="s">
        <v>24</v>
      </c>
      <c r="C456">
        <f>ROUND(_xlfn.XLOOKUP(E456,'True-Up'!A:A,'True-Up'!S:S),2)</f>
        <v>133.39</v>
      </c>
      <c r="D456" t="s">
        <v>60</v>
      </c>
      <c r="E456" s="37" t="s">
        <v>72</v>
      </c>
    </row>
    <row r="457" spans="1:5" x14ac:dyDescent="0.25">
      <c r="A457" s="27" t="s">
        <v>24</v>
      </c>
      <c r="C457">
        <f>ROUND(_xlfn.XLOOKUP(E457,'True-Up'!A:A,'True-Up'!S:S),2)</f>
        <v>400.18</v>
      </c>
      <c r="D457" t="s">
        <v>60</v>
      </c>
      <c r="E457" s="37" t="s">
        <v>74</v>
      </c>
    </row>
    <row r="458" spans="1:5" x14ac:dyDescent="0.25">
      <c r="A458" s="27" t="s">
        <v>24</v>
      </c>
      <c r="C458">
        <f>ROUND(_xlfn.XLOOKUP(E458,'True-Up'!A:A,'True-Up'!S:S),2)</f>
        <v>851.8</v>
      </c>
      <c r="D458" t="s">
        <v>60</v>
      </c>
      <c r="E458" s="37" t="s">
        <v>76</v>
      </c>
    </row>
    <row r="459" spans="1:5" x14ac:dyDescent="0.25">
      <c r="A459" s="27" t="s">
        <v>24</v>
      </c>
      <c r="C459">
        <f>ROUND(_xlfn.XLOOKUP(E459,'True-Up'!A:A,'True-Up'!S:S),2)</f>
        <v>333.48</v>
      </c>
      <c r="D459" t="s">
        <v>60</v>
      </c>
      <c r="E459" s="37" t="s">
        <v>77</v>
      </c>
    </row>
    <row r="460" spans="1:5" x14ac:dyDescent="0.25">
      <c r="A460" s="27" t="s">
        <v>24</v>
      </c>
      <c r="C460">
        <f>ROUND(_xlfn.XLOOKUP(E460,'True-Up'!A:A,'True-Up'!S:S),2)</f>
        <v>851.8</v>
      </c>
      <c r="D460" t="s">
        <v>60</v>
      </c>
      <c r="E460" s="37" t="s">
        <v>78</v>
      </c>
    </row>
    <row r="461" spans="1:5" x14ac:dyDescent="0.25">
      <c r="A461" s="27" t="s">
        <v>24</v>
      </c>
      <c r="C461">
        <f>ROUND(_xlfn.XLOOKUP(E461,'True-Up'!A:A,'True-Up'!S:S),2)</f>
        <v>86822.63</v>
      </c>
      <c r="D461" t="s">
        <v>60</v>
      </c>
      <c r="E461" s="37" t="s">
        <v>80</v>
      </c>
    </row>
    <row r="462" spans="1:5" x14ac:dyDescent="0.25">
      <c r="A462" s="27" t="s">
        <v>24</v>
      </c>
      <c r="C462">
        <f>ROUND(_xlfn.XLOOKUP(E462,'True-Up'!A:A,'True-Up'!S:S),2)</f>
        <v>10777.28</v>
      </c>
      <c r="D462" t="s">
        <v>60</v>
      </c>
      <c r="E462" s="37" t="s">
        <v>82</v>
      </c>
    </row>
    <row r="463" spans="1:5" x14ac:dyDescent="0.25">
      <c r="A463" s="27" t="s">
        <v>24</v>
      </c>
      <c r="C463">
        <f>ROUND(_xlfn.XLOOKUP(E463,'True-Up'!A:A,'True-Up'!S:S),2)</f>
        <v>333.48</v>
      </c>
      <c r="D463" t="s">
        <v>60</v>
      </c>
      <c r="E463" s="37" t="s">
        <v>83</v>
      </c>
    </row>
    <row r="464" spans="1:5" x14ac:dyDescent="0.25">
      <c r="A464" s="27" t="s">
        <v>24</v>
      </c>
      <c r="C464">
        <f>ROUND(_xlfn.XLOOKUP(E464,'True-Up'!A:A,'True-Up'!S:S),2)</f>
        <v>2065.6</v>
      </c>
      <c r="D464" t="s">
        <v>60</v>
      </c>
      <c r="E464" s="37" t="s">
        <v>84</v>
      </c>
    </row>
    <row r="465" spans="1:5" x14ac:dyDescent="0.25">
      <c r="A465" s="27" t="s">
        <v>24</v>
      </c>
      <c r="C465">
        <f>ROUND(_xlfn.XLOOKUP(E465,'True-Up'!A:A,'True-Up'!S:S),2)</f>
        <v>333.48</v>
      </c>
      <c r="D465" t="s">
        <v>60</v>
      </c>
      <c r="E465" s="37" t="s">
        <v>85</v>
      </c>
    </row>
    <row r="466" spans="1:5" x14ac:dyDescent="0.25">
      <c r="A466" s="27" t="s">
        <v>24</v>
      </c>
      <c r="C466">
        <f>ROUND(_xlfn.XLOOKUP(E466,'True-Up'!A:A,'True-Up'!S:S),2)</f>
        <v>851.8</v>
      </c>
      <c r="D466" t="s">
        <v>60</v>
      </c>
      <c r="E466" s="37" t="s">
        <v>86</v>
      </c>
    </row>
    <row r="467" spans="1:5" x14ac:dyDescent="0.25">
      <c r="A467" s="27" t="s">
        <v>24</v>
      </c>
      <c r="C467">
        <f>ROUND(_xlfn.XLOOKUP(E467,'True-Up'!A:A,'True-Up'!S:S),2)</f>
        <v>282.62</v>
      </c>
      <c r="D467" t="s">
        <v>60</v>
      </c>
      <c r="E467" s="37" t="s">
        <v>87</v>
      </c>
    </row>
    <row r="468" spans="1:5" x14ac:dyDescent="0.25">
      <c r="A468" s="27" t="s">
        <v>24</v>
      </c>
      <c r="C468">
        <f>ROUND(_xlfn.XLOOKUP(E468,'True-Up'!A:A,'True-Up'!S:S),2)</f>
        <v>8181.64</v>
      </c>
      <c r="D468" t="s">
        <v>60</v>
      </c>
      <c r="E468" s="37" t="s">
        <v>88</v>
      </c>
    </row>
    <row r="469" spans="1:5" x14ac:dyDescent="0.25">
      <c r="A469" s="27" t="s">
        <v>24</v>
      </c>
      <c r="C469">
        <f>ROUND(_xlfn.XLOOKUP(E469,'True-Up'!A:A,'True-Up'!S:S),2)</f>
        <v>629.61</v>
      </c>
      <c r="D469" t="s">
        <v>60</v>
      </c>
      <c r="E469" s="37" t="s">
        <v>89</v>
      </c>
    </row>
    <row r="470" spans="1:5" x14ac:dyDescent="0.25">
      <c r="A470" s="27" t="s">
        <v>24</v>
      </c>
      <c r="C470">
        <f>ROUND(_xlfn.XLOOKUP(E470,'True-Up'!A:A,'True-Up'!S:S),2)</f>
        <v>266.79</v>
      </c>
      <c r="D470" t="s">
        <v>60</v>
      </c>
      <c r="E470" s="37" t="s">
        <v>90</v>
      </c>
    </row>
    <row r="471" spans="1:5" x14ac:dyDescent="0.25">
      <c r="A471" s="27" t="s">
        <v>24</v>
      </c>
      <c r="C471">
        <f>ROUND(_xlfn.XLOOKUP(E471,'True-Up'!A:A,'True-Up'!S:S),2)</f>
        <v>1448.06</v>
      </c>
      <c r="D471" t="s">
        <v>60</v>
      </c>
      <c r="E471" s="37" t="s">
        <v>91</v>
      </c>
    </row>
    <row r="472" spans="1:5" x14ac:dyDescent="0.25">
      <c r="A472" s="27" t="s">
        <v>24</v>
      </c>
      <c r="C472">
        <f>ROUND(_xlfn.XLOOKUP(E472,'True-Up'!A:A,'True-Up'!S:S),2)</f>
        <v>2555.4</v>
      </c>
      <c r="D472" t="s">
        <v>60</v>
      </c>
      <c r="E472" s="37" t="s">
        <v>92</v>
      </c>
    </row>
    <row r="473" spans="1:5" x14ac:dyDescent="0.25">
      <c r="A473" s="27" t="s">
        <v>24</v>
      </c>
      <c r="C473">
        <f>ROUND(_xlfn.XLOOKUP(E473,'True-Up'!A:A,'True-Up'!S:S),2)</f>
        <v>533.57</v>
      </c>
      <c r="D473" t="s">
        <v>60</v>
      </c>
      <c r="E473" s="37" t="s">
        <v>93</v>
      </c>
    </row>
    <row r="474" spans="1:5" x14ac:dyDescent="0.25">
      <c r="A474" s="27" t="s">
        <v>24</v>
      </c>
      <c r="C474">
        <f>ROUND(_xlfn.XLOOKUP(E474,'True-Up'!A:A,'True-Up'!S:S),2)</f>
        <v>400.18</v>
      </c>
      <c r="D474" t="s">
        <v>60</v>
      </c>
      <c r="E474" s="37" t="s">
        <v>94</v>
      </c>
    </row>
    <row r="475" spans="1:5" x14ac:dyDescent="0.25">
      <c r="A475" s="27" t="s">
        <v>24</v>
      </c>
      <c r="C475">
        <f>ROUND(_xlfn.XLOOKUP(E475,'True-Up'!A:A,'True-Up'!S:S),2)</f>
        <v>1703.6</v>
      </c>
      <c r="D475" t="s">
        <v>60</v>
      </c>
      <c r="E475" s="37" t="s">
        <v>95</v>
      </c>
    </row>
    <row r="476" spans="1:5" x14ac:dyDescent="0.25">
      <c r="A476" s="27" t="s">
        <v>24</v>
      </c>
      <c r="C476">
        <f>ROUND(_xlfn.XLOOKUP(E476,'True-Up'!A:A,'True-Up'!S:S),2)</f>
        <v>1703.6</v>
      </c>
      <c r="D476" t="s">
        <v>60</v>
      </c>
      <c r="E476" s="37" t="s">
        <v>96</v>
      </c>
    </row>
    <row r="477" spans="1:5" x14ac:dyDescent="0.25">
      <c r="A477" s="27" t="s">
        <v>24</v>
      </c>
      <c r="C477">
        <f>ROUND(_xlfn.XLOOKUP(E477,'True-Up'!A:A,'True-Up'!S:S),2)</f>
        <v>266.79</v>
      </c>
      <c r="D477" t="s">
        <v>60</v>
      </c>
      <c r="E477" s="37" t="s">
        <v>97</v>
      </c>
    </row>
    <row r="478" spans="1:5" x14ac:dyDescent="0.25">
      <c r="A478" s="27" t="s">
        <v>24</v>
      </c>
      <c r="C478">
        <f>ROUND(_xlfn.XLOOKUP(E478,'True-Up'!A:A,'True-Up'!S:S),2)</f>
        <v>340.72</v>
      </c>
      <c r="D478" t="s">
        <v>60</v>
      </c>
      <c r="E478" s="37" t="s">
        <v>98</v>
      </c>
    </row>
    <row r="479" spans="1:5" x14ac:dyDescent="0.25">
      <c r="A479" s="27" t="s">
        <v>24</v>
      </c>
      <c r="C479">
        <f>ROUND(_xlfn.XLOOKUP(E479,'True-Up'!A:A,'True-Up'!S:S),2)</f>
        <v>170.36</v>
      </c>
      <c r="D479" t="s">
        <v>60</v>
      </c>
      <c r="E479" s="37" t="s">
        <v>99</v>
      </c>
    </row>
    <row r="480" spans="1:5" x14ac:dyDescent="0.25">
      <c r="A480" s="27" t="s">
        <v>24</v>
      </c>
      <c r="C480">
        <f>ROUND(_xlfn.XLOOKUP(E480,'True-Up'!A:A,'True-Up'!S:S),2)</f>
      </c>
      <c r="D480" t="s">
        <v>60</v>
      </c>
      <c r="E480" s="37" t="s">
        <v>141</v>
      </c>
    </row>
    <row r="481" spans="1:5" x14ac:dyDescent="0.25">
      <c r="A481" s="27" t="s">
        <v>24</v>
      </c>
      <c r="C481">
        <f>ROUND(_xlfn.XLOOKUP(E481,'True-Up'!A:A,'True-Up'!S:S),2)</f>
        <v>266.79</v>
      </c>
      <c r="D481" t="s">
        <v>60</v>
      </c>
      <c r="E481" s="37" t="s">
        <v>100</v>
      </c>
    </row>
    <row r="482" spans="1:5" x14ac:dyDescent="0.25">
      <c r="A482" s="27" t="s">
        <v>24</v>
      </c>
      <c r="C482">
        <f>ROUND(_xlfn.XLOOKUP(E482,'True-Up'!A:A,'True-Up'!S:S),2)</f>
        <v>266.79</v>
      </c>
      <c r="D482" t="s">
        <v>60</v>
      </c>
      <c r="E482" s="37" t="s">
        <v>101</v>
      </c>
    </row>
    <row r="483" spans="1:5" x14ac:dyDescent="0.25">
      <c r="A483" s="27" t="s">
        <v>24</v>
      </c>
      <c r="C483">
        <f>ROUND(_xlfn.XLOOKUP(E483,'True-Up'!A:A,'True-Up'!S:S),2)</f>
        <v>333.48</v>
      </c>
      <c r="D483" t="s">
        <v>60</v>
      </c>
      <c r="E483" s="37" t="s">
        <v>102</v>
      </c>
    </row>
    <row r="484" spans="1:5" x14ac:dyDescent="0.25">
      <c r="A484" s="27" t="s">
        <v>24</v>
      </c>
      <c r="C484">
        <f>ROUND(_xlfn.XLOOKUP(E484,'True-Up'!A:A,'True-Up'!S:S),2)</f>
        <v>1703.6</v>
      </c>
      <c r="D484" t="s">
        <v>60</v>
      </c>
      <c r="E484" s="37" t="s">
        <v>103</v>
      </c>
    </row>
    <row r="485" spans="1:5" x14ac:dyDescent="0.25">
      <c r="A485" s="27" t="s">
        <v>24</v>
      </c>
      <c r="C485">
        <f>ROUND(_xlfn.XLOOKUP(E485,'True-Up'!A:A,'True-Up'!S:S),2)</f>
        <v>851.8</v>
      </c>
      <c r="D485" t="s">
        <v>60</v>
      </c>
      <c r="E485" s="37" t="s">
        <v>104</v>
      </c>
    </row>
    <row r="486" spans="1:5" x14ac:dyDescent="0.25">
      <c r="A486" s="27" t="s">
        <v>24</v>
      </c>
      <c r="C486">
        <f>ROUND(_xlfn.XLOOKUP(E486,'True-Up'!A:A,'True-Up'!S:S),2)</f>
        <v>2555.4</v>
      </c>
      <c r="D486" t="s">
        <v>60</v>
      </c>
      <c r="E486" s="37" t="s">
        <v>105</v>
      </c>
    </row>
    <row r="487" spans="1:5" x14ac:dyDescent="0.25">
      <c r="A487" s="27" t="s">
        <v>24</v>
      </c>
      <c r="C487">
        <f>ROUND(_xlfn.XLOOKUP(E487,'True-Up'!A:A,'True-Up'!S:S),2)</f>
        <v>170.36</v>
      </c>
      <c r="D487" t="s">
        <v>60</v>
      </c>
      <c r="E487" s="37" t="s">
        <v>106</v>
      </c>
    </row>
    <row r="488" spans="1:5" x14ac:dyDescent="0.25">
      <c r="A488" s="27" t="s">
        <v>24</v>
      </c>
      <c r="C488">
        <f>ROUND(_xlfn.XLOOKUP(E488,'True-Up'!A:A,'True-Up'!S:S),2)</f>
        <v>1277.7</v>
      </c>
      <c r="D488" t="s">
        <v>60</v>
      </c>
      <c r="E488" s="37" t="s">
        <v>107</v>
      </c>
    </row>
    <row r="489" spans="1:5" x14ac:dyDescent="0.25">
      <c r="A489" s="27" t="s">
        <v>24</v>
      </c>
      <c r="C489">
        <f>ROUND(_xlfn.XLOOKUP(E489,'True-Up'!A:A,'True-Up'!S:S),2)</f>
        <v>400.18</v>
      </c>
      <c r="D489" t="s">
        <v>60</v>
      </c>
      <c r="E489" s="37" t="s">
        <v>108</v>
      </c>
    </row>
    <row r="490" spans="1:5" x14ac:dyDescent="0.25">
      <c r="A490" s="27" t="s">
        <v>24</v>
      </c>
      <c r="C490">
        <f>ROUND(_xlfn.XLOOKUP(E490,'True-Up'!A:A,'True-Up'!S:S),2)</f>
        <v>1703.6</v>
      </c>
      <c r="D490" t="s">
        <v>60</v>
      </c>
      <c r="E490" s="37" t="s">
        <v>109</v>
      </c>
    </row>
    <row r="491" spans="1:5" x14ac:dyDescent="0.25">
      <c r="A491" s="27" t="s">
        <v>24</v>
      </c>
      <c r="C491">
        <f>ROUND(_xlfn.XLOOKUP(E491,'True-Up'!A:A,'True-Up'!S:S),2)</f>
        <v>200.09</v>
      </c>
      <c r="D491" t="s">
        <v>60</v>
      </c>
      <c r="E491" s="37" t="s">
        <v>110</v>
      </c>
    </row>
    <row r="492" spans="1:5" x14ac:dyDescent="0.25">
      <c r="A492" s="27" t="s">
        <v>24</v>
      </c>
      <c r="C492">
        <f>ROUND(_xlfn.XLOOKUP(E492,'True-Up'!A:A,'True-Up'!S:S),2)</f>
        <v>170.36</v>
      </c>
      <c r="D492" t="s">
        <v>60</v>
      </c>
      <c r="E492" s="37" t="s">
        <v>111</v>
      </c>
    </row>
    <row r="493" spans="1:5" x14ac:dyDescent="0.25">
      <c r="A493" s="27" t="s">
        <v>24</v>
      </c>
      <c r="C493">
        <f>ROUND(_xlfn.XLOOKUP(E493,'True-Up'!A:A,'True-Up'!S:S),2)</f>
        <v>133.39</v>
      </c>
      <c r="D493" t="s">
        <v>60</v>
      </c>
      <c r="E493" s="37" t="s">
        <v>112</v>
      </c>
    </row>
    <row r="494" spans="1:5" x14ac:dyDescent="0.25">
      <c r="A494" s="27" t="s">
        <v>24</v>
      </c>
      <c r="C494">
        <f>ROUND(_xlfn.XLOOKUP(E494,'True-Up'!A:A,'True-Up'!S:S),2)</f>
        <v>1333.93</v>
      </c>
      <c r="D494" t="s">
        <v>60</v>
      </c>
      <c r="E494" s="37" t="s">
        <v>113</v>
      </c>
    </row>
    <row r="495" spans="1:5" x14ac:dyDescent="0.25">
      <c r="A495" s="27" t="s">
        <v>24</v>
      </c>
      <c r="C495">
        <f>ROUND(_xlfn.XLOOKUP(E495,'True-Up'!A:A,'True-Up'!S:S),2)</f>
        <v>666.96</v>
      </c>
      <c r="D495" t="s">
        <v>60</v>
      </c>
      <c r="E495" s="37" t="s">
        <v>114</v>
      </c>
    </row>
    <row r="496" spans="1:5" x14ac:dyDescent="0.25">
      <c r="A496" s="27" t="s">
        <v>24</v>
      </c>
      <c r="C496">
        <f>ROUND(_xlfn.XLOOKUP(E496,'True-Up'!A:A,'True-Up'!S:S),2)</f>
        <v>133.39</v>
      </c>
      <c r="D496" t="s">
        <v>60</v>
      </c>
      <c r="E496" s="37" t="s">
        <v>116</v>
      </c>
    </row>
    <row r="497" spans="1:5" x14ac:dyDescent="0.25">
      <c r="A497" s="27" t="s">
        <v>24</v>
      </c>
      <c r="C497">
        <f>ROUND(_xlfn.XLOOKUP(E497,'True-Up'!A:A,'True-Up'!S:S),2)</f>
        <v>561.32</v>
      </c>
      <c r="D497" t="s">
        <v>60</v>
      </c>
      <c r="E497" s="37" t="s">
        <v>117</v>
      </c>
    </row>
    <row r="498" spans="1:5" x14ac:dyDescent="0.25">
      <c r="A498" s="27" t="s">
        <v>24</v>
      </c>
      <c r="C498">
        <f>ROUND(_xlfn.XLOOKUP(E498,'True-Up'!A:A,'True-Up'!S:S),2)</f>
        <v>1495.06</v>
      </c>
      <c r="D498" t="s">
        <v>60</v>
      </c>
      <c r="E498" s="37" t="s">
        <v>118</v>
      </c>
    </row>
    <row r="499" spans="1:5" x14ac:dyDescent="0.25">
      <c r="A499" s="27" t="s">
        <v>24</v>
      </c>
      <c r="C499">
        <f>ROUND(_xlfn.XLOOKUP(E499,'True-Up'!A:A,'True-Up'!S:S),2)</f>
        <v>66.7</v>
      </c>
      <c r="D499" t="s">
        <v>60</v>
      </c>
      <c r="E499" s="37" t="s">
        <v>119</v>
      </c>
    </row>
    <row r="500" spans="1:5" x14ac:dyDescent="0.25">
      <c r="A500" s="27" t="s">
        <v>24</v>
      </c>
      <c r="C500">
        <f>ROUND(_xlfn.XLOOKUP(E500,'True-Up'!A:A,'True-Up'!S:S),2)</f>
        <v>2555.4</v>
      </c>
      <c r="D500" t="s">
        <v>60</v>
      </c>
      <c r="E500" s="37" t="s">
        <v>120</v>
      </c>
    </row>
    <row r="501" spans="1:5" x14ac:dyDescent="0.25">
      <c r="A501" s="27" t="s">
        <v>24</v>
      </c>
      <c r="C501">
        <f>ROUND(_xlfn.XLOOKUP(E501,'True-Up'!A:A,'True-Up'!S:S),2)</f>
        <v>1703.6</v>
      </c>
      <c r="D501" t="s">
        <v>60</v>
      </c>
      <c r="E501" s="37" t="s">
        <v>121</v>
      </c>
    </row>
    <row r="502" spans="1:5" x14ac:dyDescent="0.25">
      <c r="A502" s="27" t="s">
        <v>24</v>
      </c>
      <c r="C502">
        <f>ROUND(_xlfn.XLOOKUP(E502,'True-Up'!A:A,'True-Up'!S:S),2)</f>
        <v>1703.6</v>
      </c>
      <c r="D502" t="s">
        <v>60</v>
      </c>
      <c r="E502" s="37" t="s">
        <v>122</v>
      </c>
    </row>
    <row r="503" spans="1:5" x14ac:dyDescent="0.25">
      <c r="A503" s="27" t="s">
        <v>24</v>
      </c>
      <c r="C503">
        <f>ROUND(_xlfn.XLOOKUP(E503,'True-Up'!A:A,'True-Up'!S:S),2)</f>
        <v>3407.2</v>
      </c>
      <c r="D503" t="s">
        <v>60</v>
      </c>
      <c r="E503" s="37" t="s">
        <v>123</v>
      </c>
    </row>
    <row r="504" spans="1:5" x14ac:dyDescent="0.25">
      <c r="A504" s="27" t="s">
        <v>24</v>
      </c>
      <c r="C504">
        <f>ROUND(_xlfn.XLOOKUP(E504,'True-Up'!A:A,'True-Up'!S:S),2)</f>
        <v>1703.6</v>
      </c>
      <c r="D504" t="s">
        <v>60</v>
      </c>
      <c r="E504" s="37" t="s">
        <v>124</v>
      </c>
    </row>
    <row r="505" spans="1:5" x14ac:dyDescent="0.25">
      <c r="A505" s="27" t="s">
        <v>24</v>
      </c>
      <c r="C505">
        <f>ROUND(_xlfn.XLOOKUP(E505,'True-Up'!A:A,'True-Up'!S:S),2)</f>
        <v>891.49</v>
      </c>
      <c r="D505" t="s">
        <v>60</v>
      </c>
      <c r="E505" s="37" t="s">
        <v>125</v>
      </c>
    </row>
    <row r="506" spans="1:5" x14ac:dyDescent="0.25">
      <c r="A506" s="27" t="s">
        <v>24</v>
      </c>
      <c r="C506">
        <f>ROUND(_xlfn.XLOOKUP(E506,'True-Up'!A:A,'True-Up'!S:S),2)</f>
        <v>266.79</v>
      </c>
      <c r="D506" t="s">
        <v>60</v>
      </c>
      <c r="E506" s="37" t="s">
        <v>126</v>
      </c>
    </row>
    <row r="507" spans="1:5" x14ac:dyDescent="0.25">
      <c r="A507" s="27" t="s">
        <v>24</v>
      </c>
      <c r="C507">
        <f>ROUND(_xlfn.XLOOKUP(E507,'True-Up'!A:A,'True-Up'!S:S),2)</f>
        <v>3407.2</v>
      </c>
      <c r="D507" t="s">
        <v>60</v>
      </c>
      <c r="E507" s="37" t="s">
        <v>142</v>
      </c>
    </row>
    <row r="508" spans="1:5" x14ac:dyDescent="0.25">
      <c r="A508" s="27" t="s">
        <v>24</v>
      </c>
      <c r="C508">
        <f>ROUND(_xlfn.XLOOKUP(E508,'True-Up'!A:A,'True-Up'!S:S),2)</f>
        <v>1703.6</v>
      </c>
      <c r="D508" t="s">
        <v>60</v>
      </c>
      <c r="E508" s="37" t="s">
        <v>127</v>
      </c>
    </row>
    <row r="509" spans="1:5" x14ac:dyDescent="0.25">
      <c r="A509" s="27" t="s">
        <v>24</v>
      </c>
      <c r="C509">
        <f>ROUND(_xlfn.XLOOKUP(E509,'True-Up'!A:A,'True-Up'!S:S),2)</f>
        <v>1703.6</v>
      </c>
      <c r="D509" t="s">
        <v>60</v>
      </c>
      <c r="E509" s="37" t="s">
        <v>128</v>
      </c>
    </row>
    <row r="510" spans="1:5" x14ac:dyDescent="0.25">
      <c r="A510" s="27" t="s">
        <v>24</v>
      </c>
      <c r="C510">
        <f>ROUND(_xlfn.XLOOKUP(E510,'True-Up'!A:A,'True-Up'!S:S),2)</f>
        <v>1022.16</v>
      </c>
      <c r="D510" t="s">
        <v>60</v>
      </c>
      <c r="E510" s="37" t="s">
        <v>129</v>
      </c>
    </row>
    <row r="511" spans="1:5" x14ac:dyDescent="0.25">
      <c r="A511" s="27" t="s">
        <v>24</v>
      </c>
      <c r="C511">
        <f>ROUND(_xlfn.XLOOKUP(E511,'True-Up'!A:A,'True-Up'!S:S),2)</f>
        <v>1703.6</v>
      </c>
      <c r="D511" t="s">
        <v>60</v>
      </c>
      <c r="E511" s="37" t="s">
        <v>130</v>
      </c>
    </row>
    <row r="512" spans="1:5" x14ac:dyDescent="0.25">
      <c r="A512" s="27" t="s">
        <v>24</v>
      </c>
      <c r="C512">
        <f>ROUND(_xlfn.XLOOKUP(E512,'True-Up'!A:A,'True-Up'!S:S),2)</f>
        <v>34072.04</v>
      </c>
      <c r="D512" t="s">
        <v>60</v>
      </c>
      <c r="E512" s="37" t="s">
        <v>131</v>
      </c>
    </row>
    <row r="513" spans="1:5" x14ac:dyDescent="0.25">
      <c r="A513" s="27" t="s">
        <v>24</v>
      </c>
      <c r="C513">
        <f>ROUND(_xlfn.XLOOKUP(E513,'True-Up'!A:A,'True-Up'!S:S),2)</f>
        <v>425.9</v>
      </c>
      <c r="D513" t="s">
        <v>60</v>
      </c>
      <c r="E513" s="37" t="s">
        <v>132</v>
      </c>
    </row>
    <row r="514" spans="1:5" x14ac:dyDescent="0.25">
      <c r="A514" s="27" t="s">
        <v>24</v>
      </c>
      <c r="C514">
        <f>ROUND(_xlfn.XLOOKUP(E514,'True-Up'!A:A,'True-Up'!S:S),2)</f>
        <v>533.57</v>
      </c>
      <c r="D514" t="s">
        <v>60</v>
      </c>
      <c r="E514" s="37" t="s">
        <v>133</v>
      </c>
    </row>
    <row r="515" spans="1:5" x14ac:dyDescent="0.25">
      <c r="A515" s="27" t="s">
        <v>24</v>
      </c>
      <c r="C515">
        <f>ROUND(_xlfn.XLOOKUP(E515,'True-Up'!A:A,'True-Up'!S:S),2)</f>
        <v>533.57</v>
      </c>
      <c r="D515" t="s">
        <v>60</v>
      </c>
      <c r="E515" s="37" t="s">
        <v>134</v>
      </c>
    </row>
    <row r="516" spans="1:5" x14ac:dyDescent="0.25">
      <c r="A516" s="27" t="s">
        <v>24</v>
      </c>
      <c r="C516">
        <f>ROUND(_xlfn.XLOOKUP(E516,'True-Up'!A:A,'True-Up'!S:S),2)</f>
        <v>8518.01</v>
      </c>
      <c r="D516" t="s">
        <v>60</v>
      </c>
      <c r="E516" s="38" t="s">
        <v>135</v>
      </c>
    </row>
    <row r="517" spans="1:5" x14ac:dyDescent="0.25">
      <c r="A517" s="27" t="s">
        <v>24</v>
      </c>
      <c r="C517">
        <f>ROUND(_xlfn.XLOOKUP(E517,'True-Up'!A:A,'True-Up'!S:S),2)</f>
        <v>12777.02</v>
      </c>
      <c r="D517" t="s">
        <v>60</v>
      </c>
      <c r="E517" s="38" t="s">
        <v>136</v>
      </c>
    </row>
    <row r="518" spans="1:5" x14ac:dyDescent="0.25">
      <c r="A518" s="27" t="s">
        <v>24</v>
      </c>
      <c r="C518">
        <f>ROUND(_xlfn.XLOOKUP(E518,'True-Up'!A:A,'True-Up'!S:S),2)</f>
        <v>8518.01</v>
      </c>
      <c r="D518" t="s">
        <v>60</v>
      </c>
      <c r="E518" s="38" t="s">
        <v>137</v>
      </c>
    </row>
    <row r="519" spans="1:5" x14ac:dyDescent="0.25">
      <c r="A519" s="27" t="s">
        <v>24</v>
      </c>
      <c r="C519">
        <f>ROUND(_xlfn.XLOOKUP(E519,'True-Up'!A:A,'True-Up'!S:S),2)</f>
        <v>51108.07</v>
      </c>
      <c r="D519" t="s">
        <v>60</v>
      </c>
      <c r="E519" s="38" t="s">
        <v>138</v>
      </c>
    </row>
    <row r="520" spans="1:5" x14ac:dyDescent="0.25">
      <c r="A520" s="27" t="s">
        <v>24</v>
      </c>
      <c r="C520">
        <f>ROUND(_xlfn.XLOOKUP(E520,'True-Up'!A:A,'True-Up'!S:S),2)</f>
        <v>17036.02</v>
      </c>
      <c r="D520" t="s">
        <v>60</v>
      </c>
      <c r="E520" s="37" t="s">
        <v>7</v>
      </c>
    </row>
    <row r="521" spans="1:5" x14ac:dyDescent="0.25">
      <c r="A521" s="27" t="s">
        <v>24</v>
      </c>
      <c r="C521">
        <f>ROUND(_xlfn.XLOOKUP(E521,'True-Up'!A:A,'True-Up'!S:S),2)</f>
        <v>666.96</v>
      </c>
      <c r="D521" t="s">
        <v>60</v>
      </c>
      <c r="E521" s="37" t="s">
        <v>139</v>
      </c>
    </row>
    <row r="522" spans="1:5" x14ac:dyDescent="0.25">
      <c r="A522" s="27" t="s">
        <v>28</v>
      </c>
      <c r="C522">
        <f>ROUND(_xlfn.XLOOKUP(E522,'True-Up'!A:A,'True-Up'!U:U),2)</f>
        <v>0.38</v>
      </c>
      <c r="D522" t="s">
        <v>60</v>
      </c>
      <c r="E522" s="37" t="s">
        <v>50</v>
      </c>
    </row>
    <row r="523" spans="1:5" x14ac:dyDescent="0.25">
      <c r="A523" s="27" t="s">
        <v>28</v>
      </c>
      <c r="C523">
        <f>ROUND(_xlfn.XLOOKUP(E523,'True-Up'!A:A,'True-Up'!U:U),2)</f>
        <v>0.53</v>
      </c>
      <c r="D523" t="s">
        <v>60</v>
      </c>
      <c r="E523" s="37" t="s">
        <v>51</v>
      </c>
    </row>
    <row r="524" spans="1:5" x14ac:dyDescent="0.25">
      <c r="A524" s="27" t="s">
        <v>28</v>
      </c>
      <c r="C524">
        <f>ROUND(_xlfn.XLOOKUP(E524,'True-Up'!A:A,'True-Up'!U:U),2)</f>
        <v>0.46</v>
      </c>
      <c r="D524" t="s">
        <v>60</v>
      </c>
      <c r="E524" s="37" t="s">
        <v>53</v>
      </c>
    </row>
    <row r="525" spans="1:5" x14ac:dyDescent="0.25">
      <c r="A525" s="27" t="s">
        <v>28</v>
      </c>
      <c r="C525">
        <f>ROUND(_xlfn.XLOOKUP(E525,'True-Up'!A:A,'True-Up'!U:U),2)</f>
        <v>0.57</v>
      </c>
      <c r="D525" t="s">
        <v>60</v>
      </c>
      <c r="E525" s="37" t="s">
        <v>54</v>
      </c>
    </row>
    <row r="526" spans="1:5" x14ac:dyDescent="0.25">
      <c r="A526" s="27" t="s">
        <v>28</v>
      </c>
      <c r="C526">
        <f>ROUND(_xlfn.XLOOKUP(E526,'True-Up'!A:A,'True-Up'!U:U),2)</f>
        <v>0.06</v>
      </c>
      <c r="D526" t="s">
        <v>60</v>
      </c>
      <c r="E526" s="37" t="s">
        <v>55</v>
      </c>
    </row>
    <row r="527" spans="1:5" x14ac:dyDescent="0.25">
      <c r="A527" s="27" t="s">
        <v>28</v>
      </c>
      <c r="C527">
        <f>ROUND(_xlfn.XLOOKUP(E527,'True-Up'!A:A,'True-Up'!U:U),2)</f>
        <v>0.11</v>
      </c>
      <c r="D527" t="s">
        <v>60</v>
      </c>
      <c r="E527" s="37" t="s">
        <v>57</v>
      </c>
    </row>
    <row r="528" spans="1:5" x14ac:dyDescent="0.25">
      <c r="A528" s="27" t="s">
        <v>28</v>
      </c>
      <c r="C528">
        <f>ROUND(_xlfn.XLOOKUP(E528,'True-Up'!A:A,'True-Up'!U:U),2)</f>
        <v>0.12</v>
      </c>
      <c r="D528" t="s">
        <v>60</v>
      </c>
      <c r="E528" s="37" t="s">
        <v>59</v>
      </c>
    </row>
    <row r="529" spans="1:5" x14ac:dyDescent="0.25">
      <c r="A529" s="27" t="s">
        <v>28</v>
      </c>
      <c r="C529">
        <f>ROUND(_xlfn.XLOOKUP(E529,'True-Up'!A:A,'True-Up'!U:U),2)</f>
        <v>0.4</v>
      </c>
      <c r="D529" t="s">
        <v>60</v>
      </c>
      <c r="E529" s="37" t="s">
        <v>61</v>
      </c>
    </row>
    <row r="530" spans="1:5" x14ac:dyDescent="0.25">
      <c r="A530" s="27" t="s">
        <v>28</v>
      </c>
      <c r="C530">
        <f>ROUND(_xlfn.XLOOKUP(E530,'True-Up'!A:A,'True-Up'!U:U),2)</f>
        <v>0.76</v>
      </c>
      <c r="D530" t="s">
        <v>60</v>
      </c>
      <c r="E530" s="37" t="s">
        <v>62</v>
      </c>
    </row>
    <row r="531" spans="1:5" x14ac:dyDescent="0.25">
      <c r="A531" s="27" t="s">
        <v>28</v>
      </c>
      <c r="C531">
        <f>ROUND(_xlfn.XLOOKUP(E531,'True-Up'!A:A,'True-Up'!U:U),2)</f>
        <v>0.3</v>
      </c>
      <c r="D531" t="s">
        <v>60</v>
      </c>
      <c r="E531" s="37" t="s">
        <v>63</v>
      </c>
    </row>
    <row r="532" spans="1:5" x14ac:dyDescent="0.25">
      <c r="A532" s="27" t="s">
        <v>28</v>
      </c>
      <c r="C532">
        <f>ROUND(_xlfn.XLOOKUP(E532,'True-Up'!A:A,'True-Up'!U:U),2)</f>
        <v>7.58</v>
      </c>
      <c r="D532" t="s">
        <v>60</v>
      </c>
      <c r="E532" s="37" t="s">
        <v>65</v>
      </c>
    </row>
    <row r="533" spans="1:5" x14ac:dyDescent="0.25">
      <c r="A533" s="27" t="s">
        <v>28</v>
      </c>
      <c r="C533">
        <f>ROUND(_xlfn.XLOOKUP(E533,'True-Up'!A:A,'True-Up'!U:U),2)</f>
        <v>0.69</v>
      </c>
      <c r="D533" t="s">
        <v>60</v>
      </c>
      <c r="E533" s="37" t="s">
        <v>68</v>
      </c>
    </row>
    <row r="534" spans="1:5" x14ac:dyDescent="0.25">
      <c r="A534" s="27" t="s">
        <v>28</v>
      </c>
      <c r="C534">
        <f>ROUND(_xlfn.XLOOKUP(E534,'True-Up'!A:A,'True-Up'!U:U),2)</f>
        <v>0.69</v>
      </c>
      <c r="D534" t="s">
        <v>60</v>
      </c>
      <c r="E534" s="37" t="s">
        <v>70</v>
      </c>
    </row>
    <row r="535" spans="1:5" x14ac:dyDescent="0.25">
      <c r="A535" s="27" t="s">
        <v>28</v>
      </c>
      <c r="C535">
        <f>ROUND(_xlfn.XLOOKUP(E535,'True-Up'!A:A,'True-Up'!U:U),2)</f>
        <v>0.06</v>
      </c>
      <c r="D535" t="s">
        <v>60</v>
      </c>
      <c r="E535" s="37" t="s">
        <v>72</v>
      </c>
    </row>
    <row r="536" spans="1:5" x14ac:dyDescent="0.25">
      <c r="A536" s="27" t="s">
        <v>28</v>
      </c>
      <c r="C536">
        <f>ROUND(_xlfn.XLOOKUP(E536,'True-Up'!A:A,'True-Up'!U:U),2)</f>
        <v>0.18</v>
      </c>
      <c r="D536" t="s">
        <v>60</v>
      </c>
      <c r="E536" s="37" t="s">
        <v>74</v>
      </c>
    </row>
    <row r="537" spans="1:5" x14ac:dyDescent="0.25">
      <c r="A537" s="27" t="s">
        <v>28</v>
      </c>
      <c r="C537">
        <f>ROUND(_xlfn.XLOOKUP(E537,'True-Up'!A:A,'True-Up'!U:U),2)</f>
        <v>0.38</v>
      </c>
      <c r="D537" t="s">
        <v>60</v>
      </c>
      <c r="E537" s="37" t="s">
        <v>76</v>
      </c>
    </row>
    <row r="538" spans="1:5" x14ac:dyDescent="0.25">
      <c r="A538" s="27" t="s">
        <v>28</v>
      </c>
      <c r="C538">
        <f>ROUND(_xlfn.XLOOKUP(E538,'True-Up'!A:A,'True-Up'!U:U),2)</f>
        <v>0.15</v>
      </c>
      <c r="D538" t="s">
        <v>60</v>
      </c>
      <c r="E538" s="37" t="s">
        <v>77</v>
      </c>
    </row>
    <row r="539" spans="1:5" x14ac:dyDescent="0.25">
      <c r="A539" s="27" t="s">
        <v>28</v>
      </c>
      <c r="C539">
        <f>ROUND(_xlfn.XLOOKUP(E539,'True-Up'!A:A,'True-Up'!U:U),2)</f>
        <v>0.38</v>
      </c>
      <c r="D539" t="s">
        <v>60</v>
      </c>
      <c r="E539" s="37" t="s">
        <v>78</v>
      </c>
    </row>
    <row r="540" spans="1:5" x14ac:dyDescent="0.25">
      <c r="A540" s="27" t="s">
        <v>28</v>
      </c>
      <c r="C540">
        <f>ROUND(_xlfn.XLOOKUP(E540,'True-Up'!A:A,'True-Up'!U:U),2)</f>
        <v>38.65</v>
      </c>
      <c r="D540" t="s">
        <v>60</v>
      </c>
      <c r="E540" s="37" t="s">
        <v>80</v>
      </c>
    </row>
    <row r="541" spans="1:5" x14ac:dyDescent="0.25">
      <c r="A541" s="27" t="s">
        <v>28</v>
      </c>
      <c r="C541">
        <f>ROUND(_xlfn.XLOOKUP(E541,'True-Up'!A:A,'True-Up'!U:U),2)</f>
        <v>4.8</v>
      </c>
      <c r="D541" t="s">
        <v>60</v>
      </c>
      <c r="E541" s="37" t="s">
        <v>82</v>
      </c>
    </row>
    <row r="542" spans="1:5" x14ac:dyDescent="0.25">
      <c r="A542" s="27" t="s">
        <v>28</v>
      </c>
      <c r="C542">
        <f>ROUND(_xlfn.XLOOKUP(E542,'True-Up'!A:A,'True-Up'!U:U),2)</f>
        <v>0.15</v>
      </c>
      <c r="D542" t="s">
        <v>60</v>
      </c>
      <c r="E542" s="37" t="s">
        <v>83</v>
      </c>
    </row>
    <row r="543" spans="1:5" x14ac:dyDescent="0.25">
      <c r="A543" s="27" t="s">
        <v>28</v>
      </c>
      <c r="C543">
        <f>ROUND(_xlfn.XLOOKUP(E543,'True-Up'!A:A,'True-Up'!U:U),2)</f>
        <v>0.92</v>
      </c>
      <c r="D543" t="s">
        <v>60</v>
      </c>
      <c r="E543" s="37" t="s">
        <v>84</v>
      </c>
    </row>
    <row r="544" spans="1:5" x14ac:dyDescent="0.25">
      <c r="A544" s="27" t="s">
        <v>28</v>
      </c>
      <c r="C544">
        <f>ROUND(_xlfn.XLOOKUP(E544,'True-Up'!A:A,'True-Up'!U:U),2)</f>
        <v>0.15</v>
      </c>
      <c r="D544" t="s">
        <v>60</v>
      </c>
      <c r="E544" s="37" t="s">
        <v>85</v>
      </c>
    </row>
    <row r="545" spans="1:5" x14ac:dyDescent="0.25">
      <c r="A545" s="27" t="s">
        <v>28</v>
      </c>
      <c r="C545">
        <f>ROUND(_xlfn.XLOOKUP(E545,'True-Up'!A:A,'True-Up'!U:U),2)</f>
        <v>0.38</v>
      </c>
      <c r="D545" t="s">
        <v>60</v>
      </c>
      <c r="E545" s="37" t="s">
        <v>86</v>
      </c>
    </row>
    <row r="546" spans="1:5" x14ac:dyDescent="0.25">
      <c r="A546" s="27" t="s">
        <v>28</v>
      </c>
      <c r="C546">
        <f>ROUND(_xlfn.XLOOKUP(E546,'True-Up'!A:A,'True-Up'!U:U),2)</f>
        <v>0.13</v>
      </c>
      <c r="D546" t="s">
        <v>60</v>
      </c>
      <c r="E546" s="37" t="s">
        <v>87</v>
      </c>
    </row>
    <row r="547" spans="1:5" x14ac:dyDescent="0.25">
      <c r="A547" s="27" t="s">
        <v>28</v>
      </c>
      <c r="C547">
        <f>ROUND(_xlfn.XLOOKUP(E547,'True-Up'!A:A,'True-Up'!U:U),2)</f>
        <v>3.64</v>
      </c>
      <c r="D547" t="s">
        <v>60</v>
      </c>
      <c r="E547" s="37" t="s">
        <v>88</v>
      </c>
    </row>
    <row r="548" spans="1:5" x14ac:dyDescent="0.25">
      <c r="A548" s="27" t="s">
        <v>28</v>
      </c>
      <c r="C548">
        <f>ROUND(_xlfn.XLOOKUP(E548,'True-Up'!A:A,'True-Up'!U:U),2)</f>
        <v>0.28</v>
      </c>
      <c r="D548" t="s">
        <v>60</v>
      </c>
      <c r="E548" s="37" t="s">
        <v>89</v>
      </c>
    </row>
    <row r="549" spans="1:5" x14ac:dyDescent="0.25">
      <c r="A549" s="27" t="s">
        <v>28</v>
      </c>
      <c r="C549">
        <f>ROUND(_xlfn.XLOOKUP(E549,'True-Up'!A:A,'True-Up'!U:U),2)</f>
        <v>0.12</v>
      </c>
      <c r="D549" t="s">
        <v>60</v>
      </c>
      <c r="E549" s="37" t="s">
        <v>90</v>
      </c>
    </row>
    <row r="550" spans="1:5" x14ac:dyDescent="0.25">
      <c r="A550" s="27" t="s">
        <v>28</v>
      </c>
      <c r="C550">
        <f>ROUND(_xlfn.XLOOKUP(E550,'True-Up'!A:A,'True-Up'!U:U),2)</f>
        <v>0.64</v>
      </c>
      <c r="D550" t="s">
        <v>60</v>
      </c>
      <c r="E550" s="37" t="s">
        <v>91</v>
      </c>
    </row>
    <row r="551" spans="1:5" x14ac:dyDescent="0.25">
      <c r="A551" s="27" t="s">
        <v>28</v>
      </c>
      <c r="C551">
        <f>ROUND(_xlfn.XLOOKUP(E551,'True-Up'!A:A,'True-Up'!U:U),2)</f>
        <v>1.14</v>
      </c>
      <c r="D551" t="s">
        <v>60</v>
      </c>
      <c r="E551" s="37" t="s">
        <v>92</v>
      </c>
    </row>
    <row r="552" spans="1:5" x14ac:dyDescent="0.25">
      <c r="A552" s="27" t="s">
        <v>28</v>
      </c>
      <c r="C552">
        <f>ROUND(_xlfn.XLOOKUP(E552,'True-Up'!A:A,'True-Up'!U:U),2)</f>
        <v>0.24</v>
      </c>
      <c r="D552" t="s">
        <v>60</v>
      </c>
      <c r="E552" s="37" t="s">
        <v>93</v>
      </c>
    </row>
    <row r="553" spans="1:5" x14ac:dyDescent="0.25">
      <c r="A553" s="27" t="s">
        <v>28</v>
      </c>
      <c r="C553">
        <f>ROUND(_xlfn.XLOOKUP(E553,'True-Up'!A:A,'True-Up'!U:U),2)</f>
        <v>0.18</v>
      </c>
      <c r="D553" t="s">
        <v>60</v>
      </c>
      <c r="E553" s="37" t="s">
        <v>94</v>
      </c>
    </row>
    <row r="554" spans="1:5" x14ac:dyDescent="0.25">
      <c r="A554" s="27" t="s">
        <v>28</v>
      </c>
      <c r="C554">
        <f>ROUND(_xlfn.XLOOKUP(E554,'True-Up'!A:A,'True-Up'!U:U),2)</f>
        <v>0.76</v>
      </c>
      <c r="D554" t="s">
        <v>60</v>
      </c>
      <c r="E554" s="37" t="s">
        <v>95</v>
      </c>
    </row>
    <row r="555" spans="1:5" x14ac:dyDescent="0.25">
      <c r="A555" s="27" t="s">
        <v>28</v>
      </c>
      <c r="C555">
        <f>ROUND(_xlfn.XLOOKUP(E555,'True-Up'!A:A,'True-Up'!U:U),2)</f>
        <v>0.76</v>
      </c>
      <c r="D555" t="s">
        <v>60</v>
      </c>
      <c r="E555" s="37" t="s">
        <v>96</v>
      </c>
    </row>
    <row r="556" spans="1:5" x14ac:dyDescent="0.25">
      <c r="A556" s="27" t="s">
        <v>28</v>
      </c>
      <c r="C556">
        <f>ROUND(_xlfn.XLOOKUP(E556,'True-Up'!A:A,'True-Up'!U:U),2)</f>
        <v>0.12</v>
      </c>
      <c r="D556" t="s">
        <v>60</v>
      </c>
      <c r="E556" s="37" t="s">
        <v>97</v>
      </c>
    </row>
    <row r="557" spans="1:5" x14ac:dyDescent="0.25">
      <c r="A557" s="27" t="s">
        <v>28</v>
      </c>
      <c r="C557">
        <f>ROUND(_xlfn.XLOOKUP(E557,'True-Up'!A:A,'True-Up'!U:U),2)</f>
        <v>0.15</v>
      </c>
      <c r="D557" t="s">
        <v>60</v>
      </c>
      <c r="E557" s="37" t="s">
        <v>98</v>
      </c>
    </row>
    <row r="558" spans="1:5" x14ac:dyDescent="0.25">
      <c r="A558" s="27" t="s">
        <v>28</v>
      </c>
      <c r="C558">
        <f>ROUND(_xlfn.XLOOKUP(E558,'True-Up'!A:A,'True-Up'!U:U),2)</f>
        <v>0.08</v>
      </c>
      <c r="D558" t="s">
        <v>60</v>
      </c>
      <c r="E558" s="37" t="s">
        <v>99</v>
      </c>
    </row>
    <row r="559" spans="1:5" x14ac:dyDescent="0.25">
      <c r="A559" s="27" t="s">
        <v>28</v>
      </c>
      <c r="C559">
        <f>ROUND(_xlfn.XLOOKUP(E559,'True-Up'!A:A,'True-Up'!U:U),2)</f>
      </c>
      <c r="D559" t="s">
        <v>60</v>
      </c>
      <c r="E559" s="37" t="s">
        <v>141</v>
      </c>
    </row>
    <row r="560" spans="1:5" x14ac:dyDescent="0.25">
      <c r="A560" s="27" t="s">
        <v>28</v>
      </c>
      <c r="C560">
        <f>ROUND(_xlfn.XLOOKUP(E560,'True-Up'!A:A,'True-Up'!U:U),2)</f>
        <v>0.12</v>
      </c>
      <c r="D560" t="s">
        <v>60</v>
      </c>
      <c r="E560" s="37" t="s">
        <v>100</v>
      </c>
    </row>
    <row r="561" spans="1:5" x14ac:dyDescent="0.25">
      <c r="A561" s="27" t="s">
        <v>28</v>
      </c>
      <c r="C561">
        <f>ROUND(_xlfn.XLOOKUP(E561,'True-Up'!A:A,'True-Up'!U:U),2)</f>
        <v>0.12</v>
      </c>
      <c r="D561" t="s">
        <v>60</v>
      </c>
      <c r="E561" s="37" t="s">
        <v>101</v>
      </c>
    </row>
    <row r="562" spans="1:5" x14ac:dyDescent="0.25">
      <c r="A562" s="27" t="s">
        <v>28</v>
      </c>
      <c r="C562">
        <f>ROUND(_xlfn.XLOOKUP(E562,'True-Up'!A:A,'True-Up'!U:U),2)</f>
        <v>0.15</v>
      </c>
      <c r="D562" t="s">
        <v>60</v>
      </c>
      <c r="E562" s="37" t="s">
        <v>102</v>
      </c>
    </row>
    <row r="563" spans="1:5" x14ac:dyDescent="0.25">
      <c r="A563" s="27" t="s">
        <v>28</v>
      </c>
      <c r="C563">
        <f>ROUND(_xlfn.XLOOKUP(E563,'True-Up'!A:A,'True-Up'!U:U),2)</f>
        <v>0.76</v>
      </c>
      <c r="D563" t="s">
        <v>60</v>
      </c>
      <c r="E563" s="37" t="s">
        <v>103</v>
      </c>
    </row>
    <row r="564" spans="1:5" x14ac:dyDescent="0.25">
      <c r="A564" s="27" t="s">
        <v>28</v>
      </c>
      <c r="C564">
        <f>ROUND(_xlfn.XLOOKUP(E564,'True-Up'!A:A,'True-Up'!U:U),2)</f>
        <v>0.38</v>
      </c>
      <c r="D564" t="s">
        <v>60</v>
      </c>
      <c r="E564" s="37" t="s">
        <v>104</v>
      </c>
    </row>
    <row r="565" spans="1:5" x14ac:dyDescent="0.25">
      <c r="A565" s="27" t="s">
        <v>28</v>
      </c>
      <c r="C565">
        <f>ROUND(_xlfn.XLOOKUP(E565,'True-Up'!A:A,'True-Up'!U:U),2)</f>
        <v>1.14</v>
      </c>
      <c r="D565" t="s">
        <v>60</v>
      </c>
      <c r="E565" s="37" t="s">
        <v>105</v>
      </c>
    </row>
    <row r="566" spans="1:5" x14ac:dyDescent="0.25">
      <c r="A566" s="27" t="s">
        <v>28</v>
      </c>
      <c r="C566">
        <f>ROUND(_xlfn.XLOOKUP(E566,'True-Up'!A:A,'True-Up'!U:U),2)</f>
        <v>0.08</v>
      </c>
      <c r="D566" t="s">
        <v>60</v>
      </c>
      <c r="E566" s="37" t="s">
        <v>106</v>
      </c>
    </row>
    <row r="567" spans="1:5" x14ac:dyDescent="0.25">
      <c r="A567" s="27" t="s">
        <v>28</v>
      </c>
      <c r="C567">
        <f>ROUND(_xlfn.XLOOKUP(E567,'True-Up'!A:A,'True-Up'!U:U),2)</f>
        <v>0.57</v>
      </c>
      <c r="D567" t="s">
        <v>60</v>
      </c>
      <c r="E567" s="37" t="s">
        <v>107</v>
      </c>
    </row>
    <row r="568" spans="1:5" x14ac:dyDescent="0.25">
      <c r="A568" s="27" t="s">
        <v>28</v>
      </c>
      <c r="C568">
        <f>ROUND(_xlfn.XLOOKUP(E568,'True-Up'!A:A,'True-Up'!U:U),2)</f>
        <v>0.18</v>
      </c>
      <c r="D568" t="s">
        <v>60</v>
      </c>
      <c r="E568" s="37" t="s">
        <v>108</v>
      </c>
    </row>
    <row r="569" spans="1:5" x14ac:dyDescent="0.25">
      <c r="A569" s="27" t="s">
        <v>28</v>
      </c>
      <c r="C569">
        <f>ROUND(_xlfn.XLOOKUP(E569,'True-Up'!A:A,'True-Up'!U:U),2)</f>
        <v>0.76</v>
      </c>
      <c r="D569" t="s">
        <v>60</v>
      </c>
      <c r="E569" s="37" t="s">
        <v>109</v>
      </c>
    </row>
    <row r="570" spans="1:5" x14ac:dyDescent="0.25">
      <c r="A570" s="27" t="s">
        <v>28</v>
      </c>
      <c r="C570">
        <f>ROUND(_xlfn.XLOOKUP(E570,'True-Up'!A:A,'True-Up'!U:U),2)</f>
        <v>0.09</v>
      </c>
      <c r="D570" t="s">
        <v>60</v>
      </c>
      <c r="E570" s="37" t="s">
        <v>110</v>
      </c>
    </row>
    <row r="571" spans="1:5" x14ac:dyDescent="0.25">
      <c r="A571" s="27" t="s">
        <v>28</v>
      </c>
      <c r="C571">
        <f>ROUND(_xlfn.XLOOKUP(E571,'True-Up'!A:A,'True-Up'!U:U),2)</f>
        <v>0.08</v>
      </c>
      <c r="D571" t="s">
        <v>60</v>
      </c>
      <c r="E571" s="37" t="s">
        <v>111</v>
      </c>
    </row>
    <row r="572" spans="1:5" x14ac:dyDescent="0.25">
      <c r="A572" s="27" t="s">
        <v>28</v>
      </c>
      <c r="C572">
        <f>ROUND(_xlfn.XLOOKUP(E572,'True-Up'!A:A,'True-Up'!U:U),2)</f>
        <v>0.06</v>
      </c>
      <c r="D572" t="s">
        <v>60</v>
      </c>
      <c r="E572" s="37" t="s">
        <v>112</v>
      </c>
    </row>
    <row r="573" spans="1:5" x14ac:dyDescent="0.25">
      <c r="A573" s="27" t="s">
        <v>28</v>
      </c>
      <c r="C573">
        <f>ROUND(_xlfn.XLOOKUP(E573,'True-Up'!A:A,'True-Up'!U:U),2)</f>
        <v>0.59</v>
      </c>
      <c r="D573" t="s">
        <v>60</v>
      </c>
      <c r="E573" s="37" t="s">
        <v>113</v>
      </c>
    </row>
    <row r="574" spans="1:5" x14ac:dyDescent="0.25">
      <c r="A574" s="27" t="s">
        <v>28</v>
      </c>
      <c r="C574">
        <f>ROUND(_xlfn.XLOOKUP(E574,'True-Up'!A:A,'True-Up'!U:U),2)</f>
        <v>0.3</v>
      </c>
      <c r="D574" t="s">
        <v>60</v>
      </c>
      <c r="E574" s="37" t="s">
        <v>114</v>
      </c>
    </row>
    <row r="575" spans="1:5" x14ac:dyDescent="0.25">
      <c r="A575" s="27" t="s">
        <v>28</v>
      </c>
      <c r="C575">
        <f>ROUND(_xlfn.XLOOKUP(E575,'True-Up'!A:A,'True-Up'!U:U),2)</f>
        <v>0.06</v>
      </c>
      <c r="D575" t="s">
        <v>60</v>
      </c>
      <c r="E575" s="37" t="s">
        <v>116</v>
      </c>
    </row>
    <row r="576" spans="1:5" x14ac:dyDescent="0.25">
      <c r="A576" s="27" t="s">
        <v>28</v>
      </c>
      <c r="C576">
        <f>ROUND(_xlfn.XLOOKUP(E576,'True-Up'!A:A,'True-Up'!U:U),2)</f>
        <v>0.25</v>
      </c>
      <c r="D576" t="s">
        <v>60</v>
      </c>
      <c r="E576" s="37" t="s">
        <v>117</v>
      </c>
    </row>
    <row r="577" spans="1:5" x14ac:dyDescent="0.25">
      <c r="A577" s="27" t="s">
        <v>28</v>
      </c>
      <c r="C577">
        <f>ROUND(_xlfn.XLOOKUP(E577,'True-Up'!A:A,'True-Up'!U:U),2)</f>
        <v>0.67</v>
      </c>
      <c r="D577" t="s">
        <v>60</v>
      </c>
      <c r="E577" s="37" t="s">
        <v>118</v>
      </c>
    </row>
    <row r="578" spans="1:5" x14ac:dyDescent="0.25">
      <c r="A578" s="27" t="s">
        <v>28</v>
      </c>
      <c r="C578">
        <f>ROUND(_xlfn.XLOOKUP(E578,'True-Up'!A:A,'True-Up'!U:U),2)</f>
        <v>0.03</v>
      </c>
      <c r="D578" t="s">
        <v>60</v>
      </c>
      <c r="E578" s="37" t="s">
        <v>119</v>
      </c>
    </row>
    <row r="579" spans="1:5" x14ac:dyDescent="0.25">
      <c r="A579" s="27" t="s">
        <v>28</v>
      </c>
      <c r="C579">
        <f>ROUND(_xlfn.XLOOKUP(E579,'True-Up'!A:A,'True-Up'!U:U),2)</f>
        <v>1.14</v>
      </c>
      <c r="D579" t="s">
        <v>60</v>
      </c>
      <c r="E579" s="37" t="s">
        <v>120</v>
      </c>
    </row>
    <row r="580" spans="1:5" x14ac:dyDescent="0.25">
      <c r="A580" s="27" t="s">
        <v>28</v>
      </c>
      <c r="C580">
        <f>ROUND(_xlfn.XLOOKUP(E580,'True-Up'!A:A,'True-Up'!U:U),2)</f>
        <v>0.76</v>
      </c>
      <c r="D580" t="s">
        <v>60</v>
      </c>
      <c r="E580" s="37" t="s">
        <v>121</v>
      </c>
    </row>
    <row r="581" spans="1:5" x14ac:dyDescent="0.25">
      <c r="A581" s="27" t="s">
        <v>28</v>
      </c>
      <c r="C581">
        <f>ROUND(_xlfn.XLOOKUP(E581,'True-Up'!A:A,'True-Up'!U:U),2)</f>
        <v>0.76</v>
      </c>
      <c r="D581" t="s">
        <v>60</v>
      </c>
      <c r="E581" s="37" t="s">
        <v>122</v>
      </c>
    </row>
    <row r="582" spans="1:5" x14ac:dyDescent="0.25">
      <c r="A582" s="27" t="s">
        <v>28</v>
      </c>
      <c r="C582">
        <f>ROUND(_xlfn.XLOOKUP(E582,'True-Up'!A:A,'True-Up'!U:U),2)</f>
        <v>1.52</v>
      </c>
      <c r="D582" t="s">
        <v>60</v>
      </c>
      <c r="E582" s="37" t="s">
        <v>123</v>
      </c>
    </row>
    <row r="583" spans="1:5" x14ac:dyDescent="0.25">
      <c r="A583" s="27" t="s">
        <v>28</v>
      </c>
      <c r="C583">
        <f>ROUND(_xlfn.XLOOKUP(E583,'True-Up'!A:A,'True-Up'!U:U),2)</f>
        <v>0.76</v>
      </c>
      <c r="D583" t="s">
        <v>60</v>
      </c>
      <c r="E583" s="37" t="s">
        <v>124</v>
      </c>
    </row>
    <row r="584" spans="1:5" x14ac:dyDescent="0.25">
      <c r="A584" s="27" t="s">
        <v>28</v>
      </c>
      <c r="C584">
        <f>ROUND(_xlfn.XLOOKUP(E584,'True-Up'!A:A,'True-Up'!U:U),2)</f>
        <v>0.4</v>
      </c>
      <c r="D584" t="s">
        <v>60</v>
      </c>
      <c r="E584" s="37" t="s">
        <v>125</v>
      </c>
    </row>
    <row r="585" spans="1:5" x14ac:dyDescent="0.25">
      <c r="A585" s="27" t="s">
        <v>28</v>
      </c>
      <c r="C585">
        <f>ROUND(_xlfn.XLOOKUP(E585,'True-Up'!A:A,'True-Up'!U:U),2)</f>
        <v>0.12</v>
      </c>
      <c r="D585" t="s">
        <v>60</v>
      </c>
      <c r="E585" s="37" t="s">
        <v>126</v>
      </c>
    </row>
    <row r="586" spans="1:5" x14ac:dyDescent="0.25">
      <c r="A586" s="27" t="s">
        <v>28</v>
      </c>
      <c r="C586">
        <f>ROUND(_xlfn.XLOOKUP(E586,'True-Up'!A:A,'True-Up'!U:U),2)</f>
        <v>1.52</v>
      </c>
      <c r="D586" t="s">
        <v>60</v>
      </c>
      <c r="E586" s="37" t="s">
        <v>142</v>
      </c>
    </row>
    <row r="587" spans="1:5" x14ac:dyDescent="0.25">
      <c r="A587" s="27" t="s">
        <v>28</v>
      </c>
      <c r="C587">
        <f>ROUND(_xlfn.XLOOKUP(E587,'True-Up'!A:A,'True-Up'!U:U),2)</f>
        <v>0.76</v>
      </c>
      <c r="D587" t="s">
        <v>60</v>
      </c>
      <c r="E587" s="37" t="s">
        <v>127</v>
      </c>
    </row>
    <row r="588" spans="1:5" x14ac:dyDescent="0.25">
      <c r="A588" s="27" t="s">
        <v>28</v>
      </c>
      <c r="C588">
        <f>ROUND(_xlfn.XLOOKUP(E588,'True-Up'!A:A,'True-Up'!U:U),2)</f>
        <v>0.76</v>
      </c>
      <c r="D588" t="s">
        <v>60</v>
      </c>
      <c r="E588" s="37" t="s">
        <v>128</v>
      </c>
    </row>
    <row r="589" spans="1:5" x14ac:dyDescent="0.25">
      <c r="A589" s="27" t="s">
        <v>28</v>
      </c>
      <c r="C589">
        <f>ROUND(_xlfn.XLOOKUP(E589,'True-Up'!A:A,'True-Up'!U:U),2)</f>
        <v>0.46</v>
      </c>
      <c r="D589" t="s">
        <v>60</v>
      </c>
      <c r="E589" s="37" t="s">
        <v>129</v>
      </c>
    </row>
    <row r="590" spans="1:5" x14ac:dyDescent="0.25">
      <c r="A590" s="27" t="s">
        <v>28</v>
      </c>
      <c r="C590">
        <f>ROUND(_xlfn.XLOOKUP(E590,'True-Up'!A:A,'True-Up'!U:U),2)</f>
        <v>0.76</v>
      </c>
      <c r="D590" t="s">
        <v>60</v>
      </c>
      <c r="E590" s="37" t="s">
        <v>130</v>
      </c>
    </row>
    <row r="591" spans="1:5" x14ac:dyDescent="0.25">
      <c r="A591" s="27" t="s">
        <v>28</v>
      </c>
      <c r="C591">
        <f>ROUND(_xlfn.XLOOKUP(E591,'True-Up'!A:A,'True-Up'!U:U),2)</f>
        <v>15.17</v>
      </c>
      <c r="D591" t="s">
        <v>60</v>
      </c>
      <c r="E591" s="37" t="s">
        <v>131</v>
      </c>
    </row>
    <row r="592" spans="1:5" x14ac:dyDescent="0.25">
      <c r="A592" s="27" t="s">
        <v>28</v>
      </c>
      <c r="C592">
        <f>ROUND(_xlfn.XLOOKUP(E592,'True-Up'!A:A,'True-Up'!U:U),2)</f>
        <v>0.19</v>
      </c>
      <c r="D592" t="s">
        <v>60</v>
      </c>
      <c r="E592" s="37" t="s">
        <v>132</v>
      </c>
    </row>
    <row r="593" spans="1:5" x14ac:dyDescent="0.25">
      <c r="A593" s="27" t="s">
        <v>28</v>
      </c>
      <c r="C593">
        <f>ROUND(_xlfn.XLOOKUP(E593,'True-Up'!A:A,'True-Up'!U:U),2)</f>
        <v>0.24</v>
      </c>
      <c r="D593" t="s">
        <v>60</v>
      </c>
      <c r="E593" s="37" t="s">
        <v>133</v>
      </c>
    </row>
    <row r="594" spans="1:5" x14ac:dyDescent="0.25">
      <c r="A594" s="27" t="s">
        <v>28</v>
      </c>
      <c r="C594">
        <f>ROUND(_xlfn.XLOOKUP(E594,'True-Up'!A:A,'True-Up'!U:U),2)</f>
        <v>0.24</v>
      </c>
      <c r="D594" t="s">
        <v>60</v>
      </c>
      <c r="E594" s="37" t="s">
        <v>134</v>
      </c>
    </row>
    <row r="595" spans="1:5" x14ac:dyDescent="0.25">
      <c r="A595" s="27" t="s">
        <v>28</v>
      </c>
      <c r="C595">
        <f>ROUND(_xlfn.XLOOKUP(E595,'True-Up'!A:A,'True-Up'!U:U),2)</f>
        <v>3.79</v>
      </c>
      <c r="D595" t="s">
        <v>60</v>
      </c>
      <c r="E595" s="38" t="s">
        <v>135</v>
      </c>
    </row>
    <row r="596" spans="1:5" x14ac:dyDescent="0.25">
      <c r="A596" s="27" t="s">
        <v>28</v>
      </c>
      <c r="C596">
        <f>ROUND(_xlfn.XLOOKUP(E596,'True-Up'!A:A,'True-Up'!U:U),2)</f>
        <v>5.69</v>
      </c>
      <c r="D596" t="s">
        <v>60</v>
      </c>
      <c r="E596" s="38" t="s">
        <v>136</v>
      </c>
    </row>
    <row r="597" spans="1:5" x14ac:dyDescent="0.25">
      <c r="A597" s="27" t="s">
        <v>28</v>
      </c>
      <c r="C597">
        <f>ROUND(_xlfn.XLOOKUP(E597,'True-Up'!A:A,'True-Up'!U:U),2)</f>
        <v>3.79</v>
      </c>
      <c r="D597" t="s">
        <v>60</v>
      </c>
      <c r="E597" s="38" t="s">
        <v>137</v>
      </c>
    </row>
    <row r="598" spans="1:5" x14ac:dyDescent="0.25">
      <c r="A598" s="27" t="s">
        <v>28</v>
      </c>
      <c r="C598">
        <f>ROUND(_xlfn.XLOOKUP(E598,'True-Up'!A:A,'True-Up'!U:U),2)</f>
        <v>22.75</v>
      </c>
      <c r="D598" t="s">
        <v>60</v>
      </c>
      <c r="E598" s="38" t="s">
        <v>138</v>
      </c>
    </row>
    <row r="599" spans="1:5" x14ac:dyDescent="0.25">
      <c r="A599" s="27" t="s">
        <v>28</v>
      </c>
      <c r="C599">
        <f>ROUND(_xlfn.XLOOKUP(E599,'True-Up'!A:A,'True-Up'!U:U),2)</f>
        <v>7.58</v>
      </c>
      <c r="D599" t="s">
        <v>60</v>
      </c>
      <c r="E599" s="37" t="s">
        <v>7</v>
      </c>
    </row>
    <row r="600" spans="1:5" x14ac:dyDescent="0.25">
      <c r="A600" s="27" t="s">
        <v>28</v>
      </c>
      <c r="C600">
        <f>ROUND(_xlfn.XLOOKUP(E600,'True-Up'!A:A,'True-Up'!U:U),2)</f>
        <v>0.3</v>
      </c>
      <c r="D600" t="s">
        <v>60</v>
      </c>
      <c r="E600" s="37" t="s">
        <v>139</v>
      </c>
    </row>
    <row r="601" spans="1:5" x14ac:dyDescent="0.25">
      <c r="A601" s="27" t="s">
        <v>30</v>
      </c>
      <c r="B601">
        <f>-ROUND(_xlfn.XLOOKUP(E601,'True-Up'!A:A,'True-Up'!V:V),2)</f>
        <v>1187.57</v>
      </c>
      <c r="D601" t="s">
        <v>60</v>
      </c>
      <c r="E601" s="37" t="s">
        <v>50</v>
      </c>
    </row>
    <row r="602" spans="1:5" x14ac:dyDescent="0.25">
      <c r="A602" s="27" t="s">
        <v>30</v>
      </c>
      <c r="B602">
        <f>-ROUND(_xlfn.XLOOKUP(E602,'True-Up'!A:A,'True-Up'!V:V),2)</f>
        <v>1662.6</v>
      </c>
      <c r="D602" t="s">
        <v>60</v>
      </c>
      <c r="E602" s="37" t="s">
        <v>51</v>
      </c>
    </row>
    <row r="603" spans="1:5" x14ac:dyDescent="0.25">
      <c r="A603" s="27" t="s">
        <v>30</v>
      </c>
      <c r="B603">
        <f>-ROUND(_xlfn.XLOOKUP(E603,'True-Up'!A:A,'True-Up'!V:V),2)</f>
        <v>1425.09</v>
      </c>
      <c r="D603" t="s">
        <v>60</v>
      </c>
      <c r="E603" s="37" t="s">
        <v>53</v>
      </c>
    </row>
    <row r="604" spans="1:5" x14ac:dyDescent="0.25">
      <c r="A604" s="27" t="s">
        <v>30</v>
      </c>
      <c r="B604">
        <f>-ROUND(_xlfn.XLOOKUP(E604,'True-Up'!A:A,'True-Up'!V:V),2)</f>
        <v>1781.36</v>
      </c>
      <c r="D604" t="s">
        <v>60</v>
      </c>
      <c r="E604" s="37" t="s">
        <v>54</v>
      </c>
    </row>
    <row r="605" spans="1:5" x14ac:dyDescent="0.25">
      <c r="A605" s="27" t="s">
        <v>30</v>
      </c>
      <c r="B605">
        <f>-ROUND(_xlfn.XLOOKUP(E605,'True-Up'!A:A,'True-Up'!V:V),2)</f>
        <v>185.97</v>
      </c>
      <c r="D605" t="s">
        <v>60</v>
      </c>
      <c r="E605" s="37" t="s">
        <v>55</v>
      </c>
    </row>
    <row r="606" spans="1:5" x14ac:dyDescent="0.25">
      <c r="A606" s="27" t="s">
        <v>30</v>
      </c>
      <c r="B606">
        <f>-ROUND(_xlfn.XLOOKUP(E606,'True-Up'!A:A,'True-Up'!V:V),2)</f>
        <v>342.49</v>
      </c>
      <c r="D606" t="s">
        <v>60</v>
      </c>
      <c r="E606" s="37" t="s">
        <v>57</v>
      </c>
    </row>
    <row r="607" spans="1:5" x14ac:dyDescent="0.25">
      <c r="A607" s="27" t="s">
        <v>30</v>
      </c>
      <c r="B607">
        <f>-ROUND(_xlfn.XLOOKUP(E607,'True-Up'!A:A,'True-Up'!V:V),2)</f>
        <v>371.95</v>
      </c>
      <c r="D607" t="s">
        <v>60</v>
      </c>
      <c r="E607" s="37" t="s">
        <v>59</v>
      </c>
    </row>
    <row r="608" spans="1:5" x14ac:dyDescent="0.25">
      <c r="A608" s="27" t="s">
        <v>30</v>
      </c>
      <c r="B608">
        <f>-ROUND(_xlfn.XLOOKUP(E608,'True-Up'!A:A,'True-Up'!V:V),2)</f>
        <v>1242.91</v>
      </c>
      <c r="D608" t="s">
        <v>60</v>
      </c>
      <c r="E608" s="37" t="s">
        <v>61</v>
      </c>
    </row>
    <row r="609" spans="1:5" x14ac:dyDescent="0.25">
      <c r="A609" s="27" t="s">
        <v>30</v>
      </c>
      <c r="B609">
        <f>-ROUND(_xlfn.XLOOKUP(E609,'True-Up'!A:A,'True-Up'!V:V),2)</f>
        <v>2375.14</v>
      </c>
      <c r="D609" t="s">
        <v>60</v>
      </c>
      <c r="E609" s="37" t="s">
        <v>62</v>
      </c>
    </row>
    <row r="610" spans="1:5" x14ac:dyDescent="0.25">
      <c r="A610" s="27" t="s">
        <v>30</v>
      </c>
      <c r="B610">
        <f>-ROUND(_xlfn.XLOOKUP(E610,'True-Up'!A:A,'True-Up'!V:V),2)</f>
        <v>929.87</v>
      </c>
      <c r="D610" t="s">
        <v>60</v>
      </c>
      <c r="E610" s="37" t="s">
        <v>63</v>
      </c>
    </row>
    <row r="611" spans="1:5" x14ac:dyDescent="0.25">
      <c r="A611" s="27" t="s">
        <v>30</v>
      </c>
      <c r="B611">
        <f>-ROUND(_xlfn.XLOOKUP(E611,'True-Up'!A:A,'True-Up'!V:V),2)</f>
        <v>23751.44</v>
      </c>
      <c r="D611" t="s">
        <v>60</v>
      </c>
      <c r="E611" s="37" t="s">
        <v>65</v>
      </c>
    </row>
    <row r="612" spans="1:5" x14ac:dyDescent="0.25">
      <c r="A612" s="27" t="s">
        <v>30</v>
      </c>
      <c r="B612">
        <f>-ROUND(_xlfn.XLOOKUP(E612,'True-Up'!A:A,'True-Up'!V:V),2)</f>
        <v>2172.78</v>
      </c>
      <c r="D612" t="s">
        <v>60</v>
      </c>
      <c r="E612" s="37" t="s">
        <v>68</v>
      </c>
    </row>
    <row r="613" spans="1:5" x14ac:dyDescent="0.25">
      <c r="A613" s="27" t="s">
        <v>30</v>
      </c>
      <c r="B613">
        <f>-ROUND(_xlfn.XLOOKUP(E613,'True-Up'!A:A,'True-Up'!V:V),2)</f>
        <v>2172.78</v>
      </c>
      <c r="D613" t="s">
        <v>60</v>
      </c>
      <c r="E613" s="37" t="s">
        <v>70</v>
      </c>
    </row>
    <row r="614" spans="1:5" x14ac:dyDescent="0.25">
      <c r="A614" s="27" t="s">
        <v>30</v>
      </c>
      <c r="B614">
        <f>-ROUND(_xlfn.XLOOKUP(E614,'True-Up'!A:A,'True-Up'!V:V),2)</f>
        <v>185.97</v>
      </c>
      <c r="D614" t="s">
        <v>60</v>
      </c>
      <c r="E614" s="37" t="s">
        <v>72</v>
      </c>
    </row>
    <row r="615" spans="1:5" x14ac:dyDescent="0.25">
      <c r="A615" s="27" t="s">
        <v>30</v>
      </c>
      <c r="B615">
        <f>-ROUND(_xlfn.XLOOKUP(E615,'True-Up'!A:A,'True-Up'!V:V),2)</f>
        <v>557.92</v>
      </c>
      <c r="D615" t="s">
        <v>60</v>
      </c>
      <c r="E615" s="37" t="s">
        <v>74</v>
      </c>
    </row>
    <row r="616" spans="1:5" x14ac:dyDescent="0.25">
      <c r="A616" s="27" t="s">
        <v>30</v>
      </c>
      <c r="B616">
        <f>-ROUND(_xlfn.XLOOKUP(E616,'True-Up'!A:A,'True-Up'!V:V),2)</f>
        <v>1187.57</v>
      </c>
      <c r="D616" t="s">
        <v>60</v>
      </c>
      <c r="E616" s="37" t="s">
        <v>76</v>
      </c>
    </row>
    <row r="617" spans="1:5" x14ac:dyDescent="0.25">
      <c r="A617" s="27" t="s">
        <v>30</v>
      </c>
      <c r="B617">
        <f>-ROUND(_xlfn.XLOOKUP(E617,'True-Up'!A:A,'True-Up'!V:V),2)</f>
        <v>464.94</v>
      </c>
      <c r="D617" t="s">
        <v>60</v>
      </c>
      <c r="E617" s="37" t="s">
        <v>77</v>
      </c>
    </row>
    <row r="618" spans="1:5" x14ac:dyDescent="0.25">
      <c r="A618" s="27" t="s">
        <v>30</v>
      </c>
      <c r="B618">
        <f>-ROUND(_xlfn.XLOOKUP(E618,'True-Up'!A:A,'True-Up'!V:V),2)</f>
        <v>1187.57</v>
      </c>
      <c r="D618" t="s">
        <v>60</v>
      </c>
      <c r="E618" s="37" t="s">
        <v>78</v>
      </c>
    </row>
    <row r="619" spans="1:5" x14ac:dyDescent="0.25">
      <c r="A619" s="27" t="s">
        <v>30</v>
      </c>
      <c r="B619">
        <f>-ROUND(_xlfn.XLOOKUP(E619,'True-Up'!A:A,'True-Up'!V:V),2)</f>
        <v>121047.16</v>
      </c>
      <c r="D619" t="s">
        <v>60</v>
      </c>
      <c r="E619" s="37" t="s">
        <v>80</v>
      </c>
    </row>
    <row r="620" spans="1:5" x14ac:dyDescent="0.25">
      <c r="A620" s="27" t="s">
        <v>30</v>
      </c>
      <c r="B620">
        <f>-ROUND(_xlfn.XLOOKUP(E620,'True-Up'!A:A,'True-Up'!V:V),2)</f>
        <v>15025.57</v>
      </c>
      <c r="D620" t="s">
        <v>60</v>
      </c>
      <c r="E620" s="37" t="s">
        <v>82</v>
      </c>
    </row>
    <row r="621" spans="1:5" x14ac:dyDescent="0.25">
      <c r="A621" s="27" t="s">
        <v>30</v>
      </c>
      <c r="B621">
        <f>-ROUND(_xlfn.XLOOKUP(E621,'True-Up'!A:A,'True-Up'!V:V),2)</f>
        <v>464.94</v>
      </c>
      <c r="D621" t="s">
        <v>60</v>
      </c>
      <c r="E621" s="37" t="s">
        <v>83</v>
      </c>
    </row>
    <row r="622" spans="1:5" x14ac:dyDescent="0.25">
      <c r="A622" s="27" t="s">
        <v>30</v>
      </c>
      <c r="B622">
        <f>-ROUND(_xlfn.XLOOKUP(E622,'True-Up'!A:A,'True-Up'!V:V),2)</f>
        <v>2879.84</v>
      </c>
      <c r="D622" t="s">
        <v>60</v>
      </c>
      <c r="E622" s="37" t="s">
        <v>84</v>
      </c>
    </row>
    <row r="623" spans="1:5" x14ac:dyDescent="0.25">
      <c r="A623" s="27" t="s">
        <v>30</v>
      </c>
      <c r="B623">
        <f>-ROUND(_xlfn.XLOOKUP(E623,'True-Up'!A:A,'True-Up'!V:V),2)</f>
        <v>464.94</v>
      </c>
      <c r="D623" t="s">
        <v>60</v>
      </c>
      <c r="E623" s="37" t="s">
        <v>85</v>
      </c>
    </row>
    <row r="624" spans="1:5" x14ac:dyDescent="0.25">
      <c r="A624" s="27" t="s">
        <v>30</v>
      </c>
      <c r="B624">
        <f>-ROUND(_xlfn.XLOOKUP(E624,'True-Up'!A:A,'True-Up'!V:V),2)</f>
        <v>1187.57</v>
      </c>
      <c r="D624" t="s">
        <v>60</v>
      </c>
      <c r="E624" s="37" t="s">
        <v>86</v>
      </c>
    </row>
    <row r="625" spans="1:5" x14ac:dyDescent="0.25">
      <c r="A625" s="27" t="s">
        <v>30</v>
      </c>
      <c r="B625">
        <f>-ROUND(_xlfn.XLOOKUP(E625,'True-Up'!A:A,'True-Up'!V:V),2)</f>
        <v>394.03</v>
      </c>
      <c r="D625" t="s">
        <v>60</v>
      </c>
      <c r="E625" s="37" t="s">
        <v>87</v>
      </c>
    </row>
    <row r="626" spans="1:5" x14ac:dyDescent="0.25">
      <c r="A626" s="27" t="s">
        <v>30</v>
      </c>
      <c r="B626">
        <f>-ROUND(_xlfn.XLOOKUP(E626,'True-Up'!A:A,'True-Up'!V:V),2)</f>
        <v>11406.76</v>
      </c>
      <c r="D626" t="s">
        <v>60</v>
      </c>
      <c r="E626" s="37" t="s">
        <v>88</v>
      </c>
    </row>
    <row r="627" spans="1:5" x14ac:dyDescent="0.25">
      <c r="A627" s="27" t="s">
        <v>30</v>
      </c>
      <c r="B627">
        <f>-ROUND(_xlfn.XLOOKUP(E627,'True-Up'!A:A,'True-Up'!V:V),2)</f>
        <v>877.8</v>
      </c>
      <c r="D627" t="s">
        <v>60</v>
      </c>
      <c r="E627" s="37" t="s">
        <v>89</v>
      </c>
    </row>
    <row r="628" spans="1:5" x14ac:dyDescent="0.25">
      <c r="A628" s="27" t="s">
        <v>30</v>
      </c>
      <c r="B628">
        <f>-ROUND(_xlfn.XLOOKUP(E628,'True-Up'!A:A,'True-Up'!V:V),2)</f>
        <v>371.95</v>
      </c>
      <c r="D628" t="s">
        <v>60</v>
      </c>
      <c r="E628" s="37" t="s">
        <v>90</v>
      </c>
    </row>
    <row r="629" spans="1:5" x14ac:dyDescent="0.25">
      <c r="A629" s="27" t="s">
        <v>30</v>
      </c>
      <c r="B629">
        <f>-ROUND(_xlfn.XLOOKUP(E629,'True-Up'!A:A,'True-Up'!V:V),2)</f>
        <v>2018.87</v>
      </c>
      <c r="D629" t="s">
        <v>60</v>
      </c>
      <c r="E629" s="37" t="s">
        <v>91</v>
      </c>
    </row>
    <row r="630" spans="1:5" x14ac:dyDescent="0.25">
      <c r="A630" s="27" t="s">
        <v>30</v>
      </c>
      <c r="B630">
        <f>-ROUND(_xlfn.XLOOKUP(E630,'True-Up'!A:A,'True-Up'!V:V),2)</f>
        <v>3562.72</v>
      </c>
      <c r="D630" t="s">
        <v>60</v>
      </c>
      <c r="E630" s="37" t="s">
        <v>92</v>
      </c>
    </row>
    <row r="631" spans="1:5" x14ac:dyDescent="0.25">
      <c r="A631" s="27" t="s">
        <v>30</v>
      </c>
      <c r="B631">
        <f>-ROUND(_xlfn.XLOOKUP(E631,'True-Up'!A:A,'True-Up'!V:V),2)</f>
        <v>743.9</v>
      </c>
      <c r="D631" t="s">
        <v>60</v>
      </c>
      <c r="E631" s="37" t="s">
        <v>93</v>
      </c>
    </row>
    <row r="632" spans="1:5" x14ac:dyDescent="0.25">
      <c r="A632" s="27" t="s">
        <v>30</v>
      </c>
      <c r="B632">
        <f>-ROUND(_xlfn.XLOOKUP(E632,'True-Up'!A:A,'True-Up'!V:V),2)</f>
        <v>557.92</v>
      </c>
      <c r="D632" t="s">
        <v>60</v>
      </c>
      <c r="E632" s="37" t="s">
        <v>94</v>
      </c>
    </row>
    <row r="633" spans="1:5" x14ac:dyDescent="0.25">
      <c r="A633" s="27" t="s">
        <v>30</v>
      </c>
      <c r="B633">
        <f>-ROUND(_xlfn.XLOOKUP(E633,'True-Up'!A:A,'True-Up'!V:V),2)</f>
        <v>2375.14</v>
      </c>
      <c r="D633" t="s">
        <v>60</v>
      </c>
      <c r="E633" s="37" t="s">
        <v>95</v>
      </c>
    </row>
    <row r="634" spans="1:5" x14ac:dyDescent="0.25">
      <c r="A634" s="27" t="s">
        <v>30</v>
      </c>
      <c r="B634">
        <f>-ROUND(_xlfn.XLOOKUP(E634,'True-Up'!A:A,'True-Up'!V:V),2)</f>
        <v>2375.14</v>
      </c>
      <c r="D634" t="s">
        <v>60</v>
      </c>
      <c r="E634" s="37" t="s">
        <v>96</v>
      </c>
    </row>
    <row r="635" spans="1:5" x14ac:dyDescent="0.25">
      <c r="A635" s="27" t="s">
        <v>30</v>
      </c>
      <c r="B635">
        <f>-ROUND(_xlfn.XLOOKUP(E635,'True-Up'!A:A,'True-Up'!V:V),2)</f>
        <v>371.95</v>
      </c>
      <c r="D635" t="s">
        <v>60</v>
      </c>
      <c r="E635" s="37" t="s">
        <v>97</v>
      </c>
    </row>
    <row r="636" spans="1:5" x14ac:dyDescent="0.25">
      <c r="A636" s="27" t="s">
        <v>30</v>
      </c>
      <c r="B636">
        <f>-ROUND(_xlfn.XLOOKUP(E636,'True-Up'!A:A,'True-Up'!V:V),2)</f>
        <v>475.03</v>
      </c>
      <c r="D636" t="s">
        <v>60</v>
      </c>
      <c r="E636" s="37" t="s">
        <v>98</v>
      </c>
    </row>
    <row r="637" spans="1:5" x14ac:dyDescent="0.25">
      <c r="A637" s="27" t="s">
        <v>30</v>
      </c>
      <c r="B637">
        <f>-ROUND(_xlfn.XLOOKUP(E637,'True-Up'!A:A,'True-Up'!V:V),2)</f>
        <v>237.51</v>
      </c>
      <c r="D637" t="s">
        <v>60</v>
      </c>
      <c r="E637" s="37" t="s">
        <v>99</v>
      </c>
    </row>
    <row r="638" spans="1:5" x14ac:dyDescent="0.25">
      <c r="A638" s="27" t="s">
        <v>30</v>
      </c>
      <c r="B638">
        <f>-ROUND(_xlfn.XLOOKUP(E638,'True-Up'!A:A,'True-Up'!V:V),2)</f>
      </c>
      <c r="D638" t="s">
        <v>60</v>
      </c>
      <c r="E638" s="37" t="s">
        <v>141</v>
      </c>
    </row>
    <row r="639" spans="1:5" x14ac:dyDescent="0.25">
      <c r="A639" s="27" t="s">
        <v>30</v>
      </c>
      <c r="B639">
        <f>-ROUND(_xlfn.XLOOKUP(E639,'True-Up'!A:A,'True-Up'!V:V),2)</f>
        <v>371.95</v>
      </c>
      <c r="D639" t="s">
        <v>60</v>
      </c>
      <c r="E639" s="37" t="s">
        <v>100</v>
      </c>
    </row>
    <row r="640" spans="1:5" x14ac:dyDescent="0.25">
      <c r="A640" s="27" t="s">
        <v>30</v>
      </c>
      <c r="B640">
        <f>-ROUND(_xlfn.XLOOKUP(E640,'True-Up'!A:A,'True-Up'!V:V),2)</f>
        <v>371.95</v>
      </c>
      <c r="D640" t="s">
        <v>60</v>
      </c>
      <c r="E640" s="37" t="s">
        <v>101</v>
      </c>
    </row>
    <row r="641" spans="1:5" x14ac:dyDescent="0.25">
      <c r="A641" s="27" t="s">
        <v>30</v>
      </c>
      <c r="B641">
        <f>-ROUND(_xlfn.XLOOKUP(E641,'True-Up'!A:A,'True-Up'!V:V),2)</f>
        <v>464.94</v>
      </c>
      <c r="D641" t="s">
        <v>60</v>
      </c>
      <c r="E641" s="37" t="s">
        <v>102</v>
      </c>
    </row>
    <row r="642" spans="1:5" x14ac:dyDescent="0.25">
      <c r="A642" s="27" t="s">
        <v>30</v>
      </c>
      <c r="B642">
        <f>-ROUND(_xlfn.XLOOKUP(E642,'True-Up'!A:A,'True-Up'!V:V),2)</f>
        <v>2375.14</v>
      </c>
      <c r="D642" t="s">
        <v>60</v>
      </c>
      <c r="E642" s="37" t="s">
        <v>103</v>
      </c>
    </row>
    <row r="643" spans="1:5" x14ac:dyDescent="0.25">
      <c r="A643" s="27" t="s">
        <v>30</v>
      </c>
      <c r="B643">
        <f>-ROUND(_xlfn.XLOOKUP(E643,'True-Up'!A:A,'True-Up'!V:V),2)</f>
        <v>1187.57</v>
      </c>
      <c r="D643" t="s">
        <v>60</v>
      </c>
      <c r="E643" s="37" t="s">
        <v>104</v>
      </c>
    </row>
    <row r="644" spans="1:5" x14ac:dyDescent="0.25">
      <c r="A644" s="27" t="s">
        <v>30</v>
      </c>
      <c r="B644">
        <f>-ROUND(_xlfn.XLOOKUP(E644,'True-Up'!A:A,'True-Up'!V:V),2)</f>
        <v>3562.72</v>
      </c>
      <c r="D644" t="s">
        <v>60</v>
      </c>
      <c r="E644" s="37" t="s">
        <v>105</v>
      </c>
    </row>
    <row r="645" spans="1:5" x14ac:dyDescent="0.25">
      <c r="A645" s="27" t="s">
        <v>30</v>
      </c>
      <c r="B645">
        <f>-ROUND(_xlfn.XLOOKUP(E645,'True-Up'!A:A,'True-Up'!V:V),2)</f>
        <v>237.51</v>
      </c>
      <c r="D645" t="s">
        <v>60</v>
      </c>
      <c r="E645" s="37" t="s">
        <v>106</v>
      </c>
    </row>
    <row r="646" spans="1:5" x14ac:dyDescent="0.25">
      <c r="A646" s="27" t="s">
        <v>30</v>
      </c>
      <c r="B646">
        <f>-ROUND(_xlfn.XLOOKUP(E646,'True-Up'!A:A,'True-Up'!V:V),2)</f>
        <v>1781.36</v>
      </c>
      <c r="D646" t="s">
        <v>60</v>
      </c>
      <c r="E646" s="37" t="s">
        <v>107</v>
      </c>
    </row>
    <row r="647" spans="1:5" x14ac:dyDescent="0.25">
      <c r="A647" s="27" t="s">
        <v>30</v>
      </c>
      <c r="B647">
        <f>-ROUND(_xlfn.XLOOKUP(E647,'True-Up'!A:A,'True-Up'!V:V),2)</f>
        <v>557.92</v>
      </c>
      <c r="D647" t="s">
        <v>60</v>
      </c>
      <c r="E647" s="37" t="s">
        <v>108</v>
      </c>
    </row>
    <row r="648" spans="1:5" x14ac:dyDescent="0.25">
      <c r="A648" s="27" t="s">
        <v>30</v>
      </c>
      <c r="B648">
        <f>-ROUND(_xlfn.XLOOKUP(E648,'True-Up'!A:A,'True-Up'!V:V),2)</f>
        <v>2375.14</v>
      </c>
      <c r="D648" t="s">
        <v>60</v>
      </c>
      <c r="E648" s="37" t="s">
        <v>109</v>
      </c>
    </row>
    <row r="649" spans="1:5" x14ac:dyDescent="0.25">
      <c r="A649" s="27" t="s">
        <v>30</v>
      </c>
      <c r="B649">
        <f>-ROUND(_xlfn.XLOOKUP(E649,'True-Up'!A:A,'True-Up'!V:V),2)</f>
        <v>278.96</v>
      </c>
      <c r="D649" t="s">
        <v>60</v>
      </c>
      <c r="E649" s="37" t="s">
        <v>110</v>
      </c>
    </row>
    <row r="650" spans="1:5" x14ac:dyDescent="0.25">
      <c r="A650" s="27" t="s">
        <v>30</v>
      </c>
      <c r="B650">
        <f>-ROUND(_xlfn.XLOOKUP(E650,'True-Up'!A:A,'True-Up'!V:V),2)</f>
        <v>237.51</v>
      </c>
      <c r="D650" t="s">
        <v>60</v>
      </c>
      <c r="E650" s="37" t="s">
        <v>111</v>
      </c>
    </row>
    <row r="651" spans="1:5" x14ac:dyDescent="0.25">
      <c r="A651" s="27" t="s">
        <v>30</v>
      </c>
      <c r="B651">
        <f>-ROUND(_xlfn.XLOOKUP(E651,'True-Up'!A:A,'True-Up'!V:V),2)</f>
        <v>185.97</v>
      </c>
      <c r="D651" t="s">
        <v>60</v>
      </c>
      <c r="E651" s="37" t="s">
        <v>112</v>
      </c>
    </row>
    <row r="652" spans="1:5" x14ac:dyDescent="0.25">
      <c r="A652" s="27" t="s">
        <v>30</v>
      </c>
      <c r="B652">
        <f>-ROUND(_xlfn.XLOOKUP(E652,'True-Up'!A:A,'True-Up'!V:V),2)</f>
        <v>1859.74</v>
      </c>
      <c r="D652" t="s">
        <v>60</v>
      </c>
      <c r="E652" s="37" t="s">
        <v>113</v>
      </c>
    </row>
    <row r="653" spans="1:5" x14ac:dyDescent="0.25">
      <c r="A653" s="27" t="s">
        <v>30</v>
      </c>
      <c r="B653">
        <f>-ROUND(_xlfn.XLOOKUP(E653,'True-Up'!A:A,'True-Up'!V:V),2)</f>
        <v>929.87</v>
      </c>
      <c r="D653" t="s">
        <v>60</v>
      </c>
      <c r="E653" s="37" t="s">
        <v>114</v>
      </c>
    </row>
    <row r="654" spans="1:5" x14ac:dyDescent="0.25">
      <c r="A654" s="27" t="s">
        <v>30</v>
      </c>
      <c r="B654">
        <f>-ROUND(_xlfn.XLOOKUP(E654,'True-Up'!A:A,'True-Up'!V:V),2)</f>
        <v>185.97</v>
      </c>
      <c r="D654" t="s">
        <v>60</v>
      </c>
      <c r="E654" s="37" t="s">
        <v>116</v>
      </c>
    </row>
    <row r="655" spans="1:5" x14ac:dyDescent="0.25">
      <c r="A655" s="27" t="s">
        <v>30</v>
      </c>
      <c r="B655">
        <f>-ROUND(_xlfn.XLOOKUP(E655,'True-Up'!A:A,'True-Up'!V:V),2)</f>
        <v>782.58</v>
      </c>
      <c r="D655" t="s">
        <v>60</v>
      </c>
      <c r="E655" s="37" t="s">
        <v>117</v>
      </c>
    </row>
    <row r="656" spans="1:5" x14ac:dyDescent="0.25">
      <c r="A656" s="27" t="s">
        <v>30</v>
      </c>
      <c r="B656">
        <f>-ROUND(_xlfn.XLOOKUP(E656,'True-Up'!A:A,'True-Up'!V:V),2)</f>
        <v>2084.4</v>
      </c>
      <c r="D656" t="s">
        <v>60</v>
      </c>
      <c r="E656" s="37" t="s">
        <v>118</v>
      </c>
    </row>
    <row r="657" spans="1:5" x14ac:dyDescent="0.25">
      <c r="A657" s="27" t="s">
        <v>30</v>
      </c>
      <c r="B657">
        <f>-ROUND(_xlfn.XLOOKUP(E657,'True-Up'!A:A,'True-Up'!V:V),2)</f>
        <v>92.99</v>
      </c>
      <c r="D657" t="s">
        <v>60</v>
      </c>
      <c r="E657" s="37" t="s">
        <v>119</v>
      </c>
    </row>
    <row r="658" spans="1:5" x14ac:dyDescent="0.25">
      <c r="A658" s="27" t="s">
        <v>30</v>
      </c>
      <c r="B658">
        <f>-ROUND(_xlfn.XLOOKUP(E658,'True-Up'!A:A,'True-Up'!V:V),2)</f>
        <v>3562.72</v>
      </c>
      <c r="D658" t="s">
        <v>60</v>
      </c>
      <c r="E658" s="37" t="s">
        <v>120</v>
      </c>
    </row>
    <row r="659" spans="1:5" x14ac:dyDescent="0.25">
      <c r="A659" s="27" t="s">
        <v>30</v>
      </c>
      <c r="B659">
        <f>-ROUND(_xlfn.XLOOKUP(E659,'True-Up'!A:A,'True-Up'!V:V),2)</f>
        <v>2375.14</v>
      </c>
      <c r="D659" t="s">
        <v>60</v>
      </c>
      <c r="E659" s="37" t="s">
        <v>121</v>
      </c>
    </row>
    <row r="660" spans="1:5" x14ac:dyDescent="0.25">
      <c r="A660" s="27" t="s">
        <v>30</v>
      </c>
      <c r="B660">
        <f>-ROUND(_xlfn.XLOOKUP(E660,'True-Up'!A:A,'True-Up'!V:V),2)</f>
        <v>2375.14</v>
      </c>
      <c r="D660" t="s">
        <v>60</v>
      </c>
      <c r="E660" s="37" t="s">
        <v>122</v>
      </c>
    </row>
    <row r="661" spans="1:5" x14ac:dyDescent="0.25">
      <c r="A661" s="27" t="s">
        <v>30</v>
      </c>
      <c r="B661">
        <f>-ROUND(_xlfn.XLOOKUP(E661,'True-Up'!A:A,'True-Up'!V:V),2)</f>
        <v>4750.29</v>
      </c>
      <c r="D661" t="s">
        <v>60</v>
      </c>
      <c r="E661" s="37" t="s">
        <v>123</v>
      </c>
    </row>
    <row r="662" spans="1:5" x14ac:dyDescent="0.25">
      <c r="A662" s="27" t="s">
        <v>30</v>
      </c>
      <c r="B662">
        <f>-ROUND(_xlfn.XLOOKUP(E662,'True-Up'!A:A,'True-Up'!V:V),2)</f>
        <v>2375.14</v>
      </c>
      <c r="D662" t="s">
        <v>60</v>
      </c>
      <c r="E662" s="37" t="s">
        <v>124</v>
      </c>
    </row>
    <row r="663" spans="1:5" x14ac:dyDescent="0.25">
      <c r="A663" s="27" t="s">
        <v>30</v>
      </c>
      <c r="B663">
        <f>-ROUND(_xlfn.XLOOKUP(E663,'True-Up'!A:A,'True-Up'!V:V),2)</f>
        <v>1242.91</v>
      </c>
      <c r="D663" t="s">
        <v>60</v>
      </c>
      <c r="E663" s="37" t="s">
        <v>125</v>
      </c>
    </row>
    <row r="664" spans="1:5" x14ac:dyDescent="0.25">
      <c r="A664" s="27" t="s">
        <v>30</v>
      </c>
      <c r="B664">
        <f>-ROUND(_xlfn.XLOOKUP(E664,'True-Up'!A:A,'True-Up'!V:V),2)</f>
        <v>371.95</v>
      </c>
      <c r="D664" t="s">
        <v>60</v>
      </c>
      <c r="E664" s="37" t="s">
        <v>126</v>
      </c>
    </row>
    <row r="665" spans="1:5" x14ac:dyDescent="0.25">
      <c r="A665" s="27" t="s">
        <v>30</v>
      </c>
      <c r="B665">
        <f>-ROUND(_xlfn.XLOOKUP(E665,'True-Up'!A:A,'True-Up'!V:V),2)</f>
        <v>4750.29</v>
      </c>
      <c r="D665" t="s">
        <v>60</v>
      </c>
      <c r="E665" s="37" t="s">
        <v>142</v>
      </c>
    </row>
    <row r="666" spans="1:5" x14ac:dyDescent="0.25">
      <c r="A666" s="27" t="s">
        <v>30</v>
      </c>
      <c r="B666">
        <f>-ROUND(_xlfn.XLOOKUP(E666,'True-Up'!A:A,'True-Up'!V:V),2)</f>
        <v>2375.14</v>
      </c>
      <c r="D666" t="s">
        <v>60</v>
      </c>
      <c r="E666" s="37" t="s">
        <v>127</v>
      </c>
    </row>
    <row r="667" spans="1:5" x14ac:dyDescent="0.25">
      <c r="A667" s="27" t="s">
        <v>30</v>
      </c>
      <c r="B667">
        <f>-ROUND(_xlfn.XLOOKUP(E667,'True-Up'!A:A,'True-Up'!V:V),2)</f>
        <v>2375.14</v>
      </c>
      <c r="D667" t="s">
        <v>60</v>
      </c>
      <c r="E667" s="37" t="s">
        <v>128</v>
      </c>
    </row>
    <row r="668" spans="1:5" x14ac:dyDescent="0.25">
      <c r="A668" s="27" t="s">
        <v>30</v>
      </c>
      <c r="B668">
        <f>-ROUND(_xlfn.XLOOKUP(E668,'True-Up'!A:A,'True-Up'!V:V),2)</f>
        <v>1425.09</v>
      </c>
      <c r="D668" t="s">
        <v>60</v>
      </c>
      <c r="E668" s="37" t="s">
        <v>129</v>
      </c>
    </row>
    <row r="669" spans="1:5" x14ac:dyDescent="0.25">
      <c r="A669" s="27" t="s">
        <v>30</v>
      </c>
      <c r="B669">
        <f>-ROUND(_xlfn.XLOOKUP(E669,'True-Up'!A:A,'True-Up'!V:V),2)</f>
        <v>2375.14</v>
      </c>
      <c r="D669" t="s">
        <v>60</v>
      </c>
      <c r="E669" s="37" t="s">
        <v>130</v>
      </c>
    </row>
    <row r="670" spans="1:5" x14ac:dyDescent="0.25">
      <c r="A670" s="27" t="s">
        <v>30</v>
      </c>
      <c r="B670">
        <f>-ROUND(_xlfn.XLOOKUP(E670,'True-Up'!A:A,'True-Up'!V:V),2)</f>
        <v>47502.87</v>
      </c>
      <c r="D670" t="s">
        <v>60</v>
      </c>
      <c r="E670" s="37" t="s">
        <v>131</v>
      </c>
    </row>
    <row r="671" spans="1:5" x14ac:dyDescent="0.25">
      <c r="A671" s="27" t="s">
        <v>30</v>
      </c>
      <c r="B671">
        <f>-ROUND(_xlfn.XLOOKUP(E671,'True-Up'!A:A,'True-Up'!V:V),2)</f>
        <v>593.79</v>
      </c>
      <c r="D671" t="s">
        <v>60</v>
      </c>
      <c r="E671" s="37" t="s">
        <v>132</v>
      </c>
    </row>
    <row r="672" spans="1:5" x14ac:dyDescent="0.25">
      <c r="A672" s="27" t="s">
        <v>30</v>
      </c>
      <c r="B672">
        <f>-ROUND(_xlfn.XLOOKUP(E672,'True-Up'!A:A,'True-Up'!V:V),2)</f>
        <v>743.9</v>
      </c>
      <c r="D672" t="s">
        <v>60</v>
      </c>
      <c r="E672" s="37" t="s">
        <v>133</v>
      </c>
    </row>
    <row r="673" spans="1:5" x14ac:dyDescent="0.25">
      <c r="A673" s="27" t="s">
        <v>30</v>
      </c>
      <c r="B673">
        <f>-ROUND(_xlfn.XLOOKUP(E673,'True-Up'!A:A,'True-Up'!V:V),2)</f>
        <v>743.9</v>
      </c>
      <c r="D673" t="s">
        <v>60</v>
      </c>
      <c r="E673" s="37" t="s">
        <v>134</v>
      </c>
    </row>
    <row r="674" spans="1:5" x14ac:dyDescent="0.25">
      <c r="A674" s="27" t="s">
        <v>30</v>
      </c>
      <c r="B674">
        <f>-ROUND(_xlfn.XLOOKUP(E674,'True-Up'!A:A,'True-Up'!V:V),2)</f>
        <v>11875.72</v>
      </c>
      <c r="D674" t="s">
        <v>60</v>
      </c>
      <c r="E674" s="38" t="s">
        <v>135</v>
      </c>
    </row>
    <row r="675" spans="1:5" x14ac:dyDescent="0.25">
      <c r="A675" s="27" t="s">
        <v>30</v>
      </c>
      <c r="B675">
        <f>-ROUND(_xlfn.XLOOKUP(E675,'True-Up'!A:A,'True-Up'!V:V),2)</f>
        <v>17813.58</v>
      </c>
      <c r="D675" t="s">
        <v>60</v>
      </c>
      <c r="E675" s="38" t="s">
        <v>136</v>
      </c>
    </row>
    <row r="676" spans="1:5" x14ac:dyDescent="0.25">
      <c r="A676" s="27" t="s">
        <v>30</v>
      </c>
      <c r="B676">
        <f>-ROUND(_xlfn.XLOOKUP(E676,'True-Up'!A:A,'True-Up'!V:V),2)</f>
        <v>11875.72</v>
      </c>
      <c r="D676" t="s">
        <v>60</v>
      </c>
      <c r="E676" s="38" t="s">
        <v>137</v>
      </c>
    </row>
    <row r="677" spans="1:5" x14ac:dyDescent="0.25">
      <c r="A677" s="27" t="s">
        <v>30</v>
      </c>
      <c r="B677">
        <f>-ROUND(_xlfn.XLOOKUP(E677,'True-Up'!A:A,'True-Up'!V:V),2)</f>
        <v>71254.31</v>
      </c>
      <c r="D677" t="s">
        <v>60</v>
      </c>
      <c r="E677" s="38" t="s">
        <v>138</v>
      </c>
    </row>
    <row r="678" spans="1:5" x14ac:dyDescent="0.25">
      <c r="A678" s="27" t="s">
        <v>30</v>
      </c>
      <c r="B678">
        <f>-ROUND(_xlfn.XLOOKUP(E678,'True-Up'!A:A,'True-Up'!V:V),2)</f>
        <v>23751.44</v>
      </c>
      <c r="D678" t="s">
        <v>60</v>
      </c>
      <c r="E678" s="37" t="s">
        <v>7</v>
      </c>
    </row>
    <row r="679" spans="1:5" x14ac:dyDescent="0.25">
      <c r="A679" s="27" t="s">
        <v>30</v>
      </c>
      <c r="B679">
        <f>-ROUND(_xlfn.XLOOKUP(E679,'True-Up'!A:A,'True-Up'!V:V),2)</f>
        <v>929.87</v>
      </c>
      <c r="D679" t="s">
        <v>60</v>
      </c>
      <c r="E679" s="37" t="s">
        <v>139</v>
      </c>
    </row>
    <row r="680" spans="1:5" x14ac:dyDescent="0.25">
      <c r="A680" s="27" t="s">
        <v>24</v>
      </c>
      <c r="C680">
        <f>ROUND(_xlfn.XLOOKUP(E680,'May 26 Distribution Checking'!A:A,'May 26 Distribution Checking'!Y:Y),2)</f>
        <v>5107.5</v>
      </c>
      <c r="D680" t="s">
        <v>64</v>
      </c>
      <c r="E680" s="37" t="s">
        <v>50</v>
      </c>
    </row>
    <row r="681" spans="1:5" x14ac:dyDescent="0.25">
      <c r="A681" s="27" t="s">
        <v>24</v>
      </c>
      <c r="C681">
        <f>ROUND(_xlfn.XLOOKUP(E681,'May 26 Distribution Checking'!A:A,'May 26 Distribution Checking'!Y:Y),2)</f>
        <v>7150.49</v>
      </c>
      <c r="D681" t="s">
        <v>64</v>
      </c>
      <c r="E681" s="37" t="s">
        <v>51</v>
      </c>
    </row>
    <row r="682" spans="1:5" x14ac:dyDescent="0.25">
      <c r="A682" s="27" t="s">
        <v>24</v>
      </c>
      <c r="C682">
        <f>ROUND(_xlfn.XLOOKUP(E682,'May 26 Distribution Checking'!A:A,'May 26 Distribution Checking'!Y:Y),2)</f>
        <v>6128.99</v>
      </c>
      <c r="D682" t="s">
        <v>64</v>
      </c>
      <c r="E682" s="37" t="s">
        <v>53</v>
      </c>
    </row>
    <row r="683" spans="1:5" x14ac:dyDescent="0.25">
      <c r="A683" s="27" t="s">
        <v>24</v>
      </c>
      <c r="C683">
        <f>ROUND(_xlfn.XLOOKUP(E683,'May 26 Distribution Checking'!A:A,'May 26 Distribution Checking'!Y:Y),2)</f>
        <v>7661.24</v>
      </c>
      <c r="D683" t="s">
        <v>64</v>
      </c>
      <c r="E683" s="37" t="s">
        <v>54</v>
      </c>
    </row>
    <row r="684" spans="1:5" x14ac:dyDescent="0.25">
      <c r="A684" s="27" t="s">
        <v>24</v>
      </c>
      <c r="C684">
        <f>ROUND(_xlfn.XLOOKUP(E684,'May 26 Distribution Checking'!A:A,'May 26 Distribution Checking'!Y:Y),2)</f>
        <v>799.84</v>
      </c>
      <c r="D684" t="s">
        <v>64</v>
      </c>
      <c r="E684" s="37" t="s">
        <v>55</v>
      </c>
    </row>
    <row r="685" spans="1:5" x14ac:dyDescent="0.25">
      <c r="A685" s="27" t="s">
        <v>24</v>
      </c>
      <c r="C685">
        <f>ROUND(_xlfn.XLOOKUP(E685,'May 26 Distribution Checking'!A:A,'May 26 Distribution Checking'!Y:Y),2)</f>
        <v>1472.98</v>
      </c>
      <c r="D685" t="s">
        <v>64</v>
      </c>
      <c r="E685" s="37" t="s">
        <v>57</v>
      </c>
    </row>
    <row r="686" spans="1:5" x14ac:dyDescent="0.25">
      <c r="A686" s="27" t="s">
        <v>24</v>
      </c>
      <c r="C686">
        <f>ROUND(_xlfn.XLOOKUP(E686,'May 26 Distribution Checking'!A:A,'May 26 Distribution Checking'!Y:Y),2)</f>
        <v>1599.67</v>
      </c>
      <c r="D686" t="s">
        <v>64</v>
      </c>
      <c r="E686" s="37" t="s">
        <v>59</v>
      </c>
    </row>
    <row r="687" spans="1:5" x14ac:dyDescent="0.25">
      <c r="A687" s="27" t="s">
        <v>24</v>
      </c>
      <c r="C687">
        <f>ROUND(_xlfn.XLOOKUP(E687,'May 26 Distribution Checking'!A:A,'May 26 Distribution Checking'!Y:Y),2)</f>
        <v>5345.47</v>
      </c>
      <c r="D687" t="s">
        <v>64</v>
      </c>
      <c r="E687" s="37" t="s">
        <v>61</v>
      </c>
    </row>
    <row r="688" spans="1:5" x14ac:dyDescent="0.25">
      <c r="A688" s="27" t="s">
        <v>24</v>
      </c>
      <c r="C688">
        <f>ROUND(_xlfn.XLOOKUP(E688,'May 26 Distribution Checking'!A:A,'May 26 Distribution Checking'!Y:Y),2)</f>
        <v>10214.99</v>
      </c>
      <c r="D688" t="s">
        <v>64</v>
      </c>
      <c r="E688" s="37" t="s">
        <v>62</v>
      </c>
    </row>
    <row r="689" spans="1:5" x14ac:dyDescent="0.25">
      <c r="A689" s="27" t="s">
        <v>24</v>
      </c>
      <c r="C689">
        <f>ROUND(_xlfn.XLOOKUP(E689,'May 26 Distribution Checking'!A:A,'May 26 Distribution Checking'!Y:Y),2)</f>
        <v>3999.18</v>
      </c>
      <c r="D689" t="s">
        <v>64</v>
      </c>
      <c r="E689" s="37" t="s">
        <v>63</v>
      </c>
    </row>
    <row r="690" spans="1:5" x14ac:dyDescent="0.25">
      <c r="A690" s="27" t="s">
        <v>24</v>
      </c>
      <c r="C690">
        <f>ROUND(_xlfn.XLOOKUP(E690,'May 26 Distribution Checking'!A:A,'May 26 Distribution Checking'!Y:Y),2)</f>
        <v>102149.9</v>
      </c>
      <c r="D690" t="s">
        <v>64</v>
      </c>
      <c r="E690" s="37" t="s">
        <v>65</v>
      </c>
    </row>
    <row r="691" spans="1:5" x14ac:dyDescent="0.25">
      <c r="A691" s="27" t="s">
        <v>24</v>
      </c>
      <c r="C691">
        <f>ROUND(_xlfn.XLOOKUP(E691,'May 26 Distribution Checking'!A:A,'May 26 Distribution Checking'!Y:Y),2)</f>
        <v>9344.66</v>
      </c>
      <c r="D691" t="s">
        <v>64</v>
      </c>
      <c r="E691" s="37" t="s">
        <v>68</v>
      </c>
    </row>
    <row r="692" spans="1:5" x14ac:dyDescent="0.25">
      <c r="A692" s="27" t="s">
        <v>24</v>
      </c>
      <c r="C692">
        <f>ROUND(_xlfn.XLOOKUP(E692,'May 26 Distribution Checking'!A:A,'May 26 Distribution Checking'!Y:Y),2)</f>
        <v>9344.66</v>
      </c>
      <c r="D692" t="s">
        <v>64</v>
      </c>
      <c r="E692" s="37" t="s">
        <v>70</v>
      </c>
    </row>
    <row r="693" spans="1:5" x14ac:dyDescent="0.25">
      <c r="A693" s="27" t="s">
        <v>24</v>
      </c>
      <c r="C693">
        <f>ROUND(_xlfn.XLOOKUP(E693,'May 26 Distribution Checking'!A:A,'May 26 Distribution Checking'!Y:Y),2)</f>
        <v>799.84</v>
      </c>
      <c r="D693" t="s">
        <v>64</v>
      </c>
      <c r="E693" s="37" t="s">
        <v>72</v>
      </c>
    </row>
    <row r="694" spans="1:5" x14ac:dyDescent="0.25">
      <c r="A694" s="27" t="s">
        <v>24</v>
      </c>
      <c r="C694">
        <f>ROUND(_xlfn.XLOOKUP(E694,'May 26 Distribution Checking'!A:A,'May 26 Distribution Checking'!Y:Y),2)</f>
        <v>2399.51</v>
      </c>
      <c r="D694" t="s">
        <v>64</v>
      </c>
      <c r="E694" s="37" t="s">
        <v>74</v>
      </c>
    </row>
    <row r="695" spans="1:5" x14ac:dyDescent="0.25">
      <c r="A695" s="27" t="s">
        <v>24</v>
      </c>
      <c r="C695">
        <f>ROUND(_xlfn.XLOOKUP(E695,'May 26 Distribution Checking'!A:A,'May 26 Distribution Checking'!Y:Y),2)</f>
        <v>5107.5</v>
      </c>
      <c r="D695" t="s">
        <v>64</v>
      </c>
      <c r="E695" s="37" t="s">
        <v>76</v>
      </c>
    </row>
    <row r="696" spans="1:5" x14ac:dyDescent="0.25">
      <c r="A696" s="27" t="s">
        <v>24</v>
      </c>
      <c r="C696">
        <f>ROUND(_xlfn.XLOOKUP(E696,'May 26 Distribution Checking'!A:A,'May 26 Distribution Checking'!Y:Y),2)</f>
        <v>1999.59</v>
      </c>
      <c r="D696" t="s">
        <v>64</v>
      </c>
      <c r="E696" s="37" t="s">
        <v>77</v>
      </c>
    </row>
    <row r="697" spans="1:5" x14ac:dyDescent="0.25">
      <c r="A697" s="27" t="s">
        <v>24</v>
      </c>
      <c r="C697">
        <f>ROUND(_xlfn.XLOOKUP(E697,'May 26 Distribution Checking'!A:A,'May 26 Distribution Checking'!Y:Y),2)</f>
        <v>5107.5</v>
      </c>
      <c r="D697" t="s">
        <v>64</v>
      </c>
      <c r="E697" s="37" t="s">
        <v>78</v>
      </c>
    </row>
    <row r="698" spans="1:5" x14ac:dyDescent="0.25">
      <c r="A698" s="27" t="s">
        <v>24</v>
      </c>
      <c r="C698">
        <f>ROUND(_xlfn.XLOOKUP(E698,'May 26 Distribution Checking'!A:A,'May 26 Distribution Checking'!Y:Y),2)</f>
        <v>520598.24</v>
      </c>
      <c r="D698" t="s">
        <v>64</v>
      </c>
      <c r="E698" s="37" t="s">
        <v>80</v>
      </c>
    </row>
    <row r="699" spans="1:5" x14ac:dyDescent="0.25">
      <c r="A699" s="27" t="s">
        <v>24</v>
      </c>
      <c r="C699">
        <f>ROUND(_xlfn.XLOOKUP(E699,'May 26 Distribution Checking'!A:A,'May 26 Distribution Checking'!Y:Y),2)</f>
        <v>64621.8</v>
      </c>
      <c r="D699" t="s">
        <v>64</v>
      </c>
      <c r="E699" s="37" t="s">
        <v>82</v>
      </c>
    </row>
    <row r="700" spans="1:5" x14ac:dyDescent="0.25">
      <c r="A700" s="27" t="s">
        <v>24</v>
      </c>
      <c r="C700">
        <f>ROUND(_xlfn.XLOOKUP(E700,'May 26 Distribution Checking'!A:A,'May 26 Distribution Checking'!Y:Y),2)</f>
        <v>1999.59</v>
      </c>
      <c r="D700" t="s">
        <v>64</v>
      </c>
      <c r="E700" s="37" t="s">
        <v>83</v>
      </c>
    </row>
    <row r="701" spans="1:5" x14ac:dyDescent="0.25">
      <c r="A701" s="27" t="s">
        <v>24</v>
      </c>
      <c r="C701">
        <f>ROUND(_xlfn.XLOOKUP(E701,'May 26 Distribution Checking'!A:A,'May 26 Distribution Checking'!Y:Y),2)</f>
        <v>12385.59</v>
      </c>
      <c r="D701" t="s">
        <v>64</v>
      </c>
      <c r="E701" s="37" t="s">
        <v>84</v>
      </c>
    </row>
    <row r="702" spans="1:5" x14ac:dyDescent="0.25">
      <c r="A702" s="27" t="s">
        <v>24</v>
      </c>
      <c r="C702">
        <f>ROUND(_xlfn.XLOOKUP(E702,'May 26 Distribution Checking'!A:A,'May 26 Distribution Checking'!Y:Y),2)</f>
        <v>1999.59</v>
      </c>
      <c r="D702" t="s">
        <v>64</v>
      </c>
      <c r="E702" s="37" t="s">
        <v>85</v>
      </c>
    </row>
    <row r="703" spans="1:5" x14ac:dyDescent="0.25">
      <c r="A703" s="27" t="s">
        <v>24</v>
      </c>
      <c r="C703">
        <f>ROUND(_xlfn.XLOOKUP(E703,'May 26 Distribution Checking'!A:A,'May 26 Distribution Checking'!Y:Y),2)</f>
        <v>5107.5</v>
      </c>
      <c r="D703" t="s">
        <v>64</v>
      </c>
      <c r="E703" s="37" t="s">
        <v>86</v>
      </c>
    </row>
    <row r="704" spans="1:5" x14ac:dyDescent="0.25">
      <c r="A704" s="27" t="s">
        <v>24</v>
      </c>
      <c r="C704">
        <f>ROUND(_xlfn.XLOOKUP(E704,'May 26 Distribution Checking'!A:A,'May 26 Distribution Checking'!Y:Y),2)</f>
        <v>1694.64</v>
      </c>
      <c r="D704" t="s">
        <v>64</v>
      </c>
      <c r="E704" s="37" t="s">
        <v>87</v>
      </c>
    </row>
    <row r="705" spans="1:5" x14ac:dyDescent="0.25">
      <c r="A705" s="27" t="s">
        <v>24</v>
      </c>
      <c r="C705">
        <f>ROUND(_xlfn.XLOOKUP(E705,'May 26 Distribution Checking'!A:A,'May 26 Distribution Checking'!Y:Y),2)</f>
        <v>49058.05</v>
      </c>
      <c r="D705" t="s">
        <v>64</v>
      </c>
      <c r="E705" s="39" t="s">
        <v>88</v>
      </c>
    </row>
    <row r="706" spans="1:5" x14ac:dyDescent="0.25">
      <c r="A706" s="27" t="s">
        <v>24</v>
      </c>
      <c r="C706">
        <f>ROUND(_xlfn.XLOOKUP(E706,'May 26 Distribution Checking'!A:A,'May 26 Distribution Checking'!Y:Y),2)</f>
        <v>3775.22</v>
      </c>
      <c r="D706" t="s">
        <v>64</v>
      </c>
      <c r="E706" s="39" t="s">
        <v>89</v>
      </c>
    </row>
    <row r="707" spans="1:5" x14ac:dyDescent="0.25">
      <c r="A707" s="27" t="s">
        <v>24</v>
      </c>
      <c r="C707">
        <f>ROUND(_xlfn.XLOOKUP(E707,'May 26 Distribution Checking'!A:A,'May 26 Distribution Checking'!Y:Y),2)</f>
        <v>1599.67</v>
      </c>
      <c r="D707" t="s">
        <v>64</v>
      </c>
      <c r="E707" s="37" t="s">
        <v>90</v>
      </c>
    </row>
    <row r="708" spans="1:5" x14ac:dyDescent="0.25">
      <c r="A708" s="27" t="s">
        <v>24</v>
      </c>
      <c r="C708">
        <f>ROUND(_xlfn.XLOOKUP(E708,'May 26 Distribution Checking'!A:A,'May 26 Distribution Checking'!Y:Y),2)</f>
        <v>8682.74</v>
      </c>
      <c r="D708" t="s">
        <v>64</v>
      </c>
      <c r="E708" s="37" t="s">
        <v>91</v>
      </c>
    </row>
    <row r="709" spans="1:5" x14ac:dyDescent="0.25">
      <c r="A709" s="27" t="s">
        <v>24</v>
      </c>
      <c r="C709">
        <f>ROUND(_xlfn.XLOOKUP(E709,'May 26 Distribution Checking'!A:A,'May 26 Distribution Checking'!Y:Y),2)</f>
        <v>15322.49</v>
      </c>
      <c r="D709" t="s">
        <v>64</v>
      </c>
      <c r="E709" s="37" t="s">
        <v>92</v>
      </c>
    </row>
    <row r="710" spans="1:5" x14ac:dyDescent="0.25">
      <c r="A710" s="27" t="s">
        <v>24</v>
      </c>
      <c r="C710">
        <f>ROUND(_xlfn.XLOOKUP(E710,'May 26 Distribution Checking'!A:A,'May 26 Distribution Checking'!Y:Y),2)</f>
        <v>3199.35</v>
      </c>
      <c r="D710" t="s">
        <v>64</v>
      </c>
      <c r="E710" s="37" t="s">
        <v>93</v>
      </c>
    </row>
    <row r="711" spans="1:5" x14ac:dyDescent="0.25">
      <c r="A711" s="27" t="s">
        <v>24</v>
      </c>
      <c r="C711">
        <f>ROUND(_xlfn.XLOOKUP(E711,'May 26 Distribution Checking'!A:A,'May 26 Distribution Checking'!Y:Y),2)</f>
        <v>2399.51</v>
      </c>
      <c r="D711" t="s">
        <v>64</v>
      </c>
      <c r="E711" s="37" t="s">
        <v>94</v>
      </c>
    </row>
    <row r="712" spans="1:5" x14ac:dyDescent="0.25">
      <c r="A712" s="27" t="s">
        <v>24</v>
      </c>
      <c r="C712">
        <f>ROUND(_xlfn.XLOOKUP(E712,'May 26 Distribution Checking'!A:A,'May 26 Distribution Checking'!Y:Y),2)</f>
        <v>10214.99</v>
      </c>
      <c r="D712" t="s">
        <v>64</v>
      </c>
      <c r="E712" s="37" t="s">
        <v>95</v>
      </c>
    </row>
    <row r="713" spans="1:5" x14ac:dyDescent="0.25">
      <c r="A713" s="27" t="s">
        <v>24</v>
      </c>
      <c r="C713">
        <f>ROUND(_xlfn.XLOOKUP(E713,'May 26 Distribution Checking'!A:A,'May 26 Distribution Checking'!Y:Y),2)</f>
        <v>10214.99</v>
      </c>
      <c r="D713" t="s">
        <v>64</v>
      </c>
      <c r="E713" s="37" t="s">
        <v>96</v>
      </c>
    </row>
    <row r="714" spans="1:5" x14ac:dyDescent="0.25">
      <c r="A714" s="27" t="s">
        <v>24</v>
      </c>
      <c r="C714">
        <f>ROUND(_xlfn.XLOOKUP(E714,'May 26 Distribution Checking'!A:A,'May 26 Distribution Checking'!Y:Y),2)</f>
        <v>1599.67</v>
      </c>
      <c r="D714" t="s">
        <v>64</v>
      </c>
      <c r="E714" s="37" t="s">
        <v>97</v>
      </c>
    </row>
    <row r="715" spans="1:5" x14ac:dyDescent="0.25">
      <c r="A715" s="27" t="s">
        <v>24</v>
      </c>
      <c r="C715">
        <f>ROUND(_xlfn.XLOOKUP(E715,'May 26 Distribution Checking'!A:A,'May 26 Distribution Checking'!Y:Y),2)</f>
        <v>2043</v>
      </c>
      <c r="D715" t="s">
        <v>64</v>
      </c>
      <c r="E715" s="37" t="s">
        <v>98</v>
      </c>
    </row>
    <row r="716" spans="1:5" x14ac:dyDescent="0.25">
      <c r="A716" s="27" t="s">
        <v>24</v>
      </c>
      <c r="C716">
        <f>ROUND(_xlfn.XLOOKUP(E716,'May 26 Distribution Checking'!A:A,'May 26 Distribution Checking'!Y:Y),2)</f>
        <v>1021.5</v>
      </c>
      <c r="D716" t="s">
        <v>64</v>
      </c>
      <c r="E716" s="37" t="s">
        <v>99</v>
      </c>
    </row>
    <row r="717" spans="1:5" x14ac:dyDescent="0.25">
      <c r="A717" s="27" t="s">
        <v>24</v>
      </c>
      <c r="C717">
        <f>ROUND(_xlfn.XLOOKUP(E717,'May 26 Distribution Checking'!A:A,'May 26 Distribution Checking'!Y:Y),2)</f>
      </c>
      <c r="D717" t="s">
        <v>64</v>
      </c>
      <c r="E717" s="37" t="s">
        <v>141</v>
      </c>
    </row>
    <row r="718" spans="1:5" x14ac:dyDescent="0.25">
      <c r="A718" s="27" t="s">
        <v>24</v>
      </c>
      <c r="C718">
        <f>ROUND(_xlfn.XLOOKUP(E718,'May 26 Distribution Checking'!A:A,'May 26 Distribution Checking'!Y:Y),2)</f>
        <v>1599.67</v>
      </c>
      <c r="D718" t="s">
        <v>64</v>
      </c>
      <c r="E718" s="37" t="s">
        <v>100</v>
      </c>
    </row>
    <row r="719" spans="1:5" x14ac:dyDescent="0.25">
      <c r="A719" s="27" t="s">
        <v>24</v>
      </c>
      <c r="C719">
        <f>ROUND(_xlfn.XLOOKUP(E719,'May 26 Distribution Checking'!A:A,'May 26 Distribution Checking'!Y:Y),2)</f>
        <v>1599.67</v>
      </c>
      <c r="D719" t="s">
        <v>64</v>
      </c>
      <c r="E719" s="37" t="s">
        <v>101</v>
      </c>
    </row>
    <row r="720" spans="1:5" x14ac:dyDescent="0.25">
      <c r="A720" s="27" t="s">
        <v>24</v>
      </c>
      <c r="C720">
        <f>ROUND(_xlfn.XLOOKUP(E720,'May 26 Distribution Checking'!A:A,'May 26 Distribution Checking'!Y:Y),2)</f>
        <v>1999.59</v>
      </c>
      <c r="D720" t="s">
        <v>64</v>
      </c>
      <c r="E720" s="37" t="s">
        <v>102</v>
      </c>
    </row>
    <row r="721" spans="1:5" x14ac:dyDescent="0.25">
      <c r="A721" s="27" t="s">
        <v>24</v>
      </c>
      <c r="C721">
        <f>ROUND(_xlfn.XLOOKUP(E721,'May 26 Distribution Checking'!A:A,'May 26 Distribution Checking'!Y:Y),2)</f>
        <v>10214.99</v>
      </c>
      <c r="D721" t="s">
        <v>64</v>
      </c>
      <c r="E721" s="37" t="s">
        <v>103</v>
      </c>
    </row>
    <row r="722" spans="1:5" x14ac:dyDescent="0.25">
      <c r="A722" s="27" t="s">
        <v>24</v>
      </c>
      <c r="C722">
        <f>ROUND(_xlfn.XLOOKUP(E722,'May 26 Distribution Checking'!A:A,'May 26 Distribution Checking'!Y:Y),2)</f>
        <v>5107.5</v>
      </c>
      <c r="D722" t="s">
        <v>64</v>
      </c>
      <c r="E722" s="37" t="s">
        <v>104</v>
      </c>
    </row>
    <row r="723" spans="1:5" x14ac:dyDescent="0.25">
      <c r="A723" s="27" t="s">
        <v>24</v>
      </c>
      <c r="C723">
        <f>ROUND(_xlfn.XLOOKUP(E723,'May 26 Distribution Checking'!A:A,'May 26 Distribution Checking'!Y:Y),2)</f>
        <v>15322.49</v>
      </c>
      <c r="D723" t="s">
        <v>64</v>
      </c>
      <c r="E723" s="37" t="s">
        <v>105</v>
      </c>
    </row>
    <row r="724" spans="1:5" x14ac:dyDescent="0.25">
      <c r="A724" s="27" t="s">
        <v>24</v>
      </c>
      <c r="C724">
        <f>ROUND(_xlfn.XLOOKUP(E724,'May 26 Distribution Checking'!A:A,'May 26 Distribution Checking'!Y:Y),2)</f>
        <v>1021.5</v>
      </c>
      <c r="D724" t="s">
        <v>64</v>
      </c>
      <c r="E724" s="37" t="s">
        <v>106</v>
      </c>
    </row>
    <row r="725" spans="1:5" x14ac:dyDescent="0.25">
      <c r="A725" s="27" t="s">
        <v>24</v>
      </c>
      <c r="C725">
        <f>ROUND(_xlfn.XLOOKUP(E725,'May 26 Distribution Checking'!A:A,'May 26 Distribution Checking'!Y:Y),2)</f>
        <v>7661.24</v>
      </c>
      <c r="D725" t="s">
        <v>64</v>
      </c>
      <c r="E725" s="37" t="s">
        <v>107</v>
      </c>
    </row>
    <row r="726" spans="1:5" x14ac:dyDescent="0.25">
      <c r="A726" s="27" t="s">
        <v>24</v>
      </c>
      <c r="C726">
        <f>ROUND(_xlfn.XLOOKUP(E726,'May 26 Distribution Checking'!A:A,'May 26 Distribution Checking'!Y:Y),2)</f>
        <v>2399.51</v>
      </c>
      <c r="D726" t="s">
        <v>64</v>
      </c>
      <c r="E726" s="37" t="s">
        <v>108</v>
      </c>
    </row>
    <row r="727" spans="1:5" x14ac:dyDescent="0.25">
      <c r="A727" s="27" t="s">
        <v>24</v>
      </c>
      <c r="C727">
        <f>ROUND(_xlfn.XLOOKUP(E727,'May 26 Distribution Checking'!A:A,'May 26 Distribution Checking'!Y:Y),2)</f>
        <v>10214.99</v>
      </c>
      <c r="D727" t="s">
        <v>64</v>
      </c>
      <c r="E727" s="37" t="s">
        <v>109</v>
      </c>
    </row>
    <row r="728" spans="1:5" x14ac:dyDescent="0.25">
      <c r="A728" s="27" t="s">
        <v>24</v>
      </c>
      <c r="C728">
        <f>ROUND(_xlfn.XLOOKUP(E728,'May 26 Distribution Checking'!A:A,'May 26 Distribution Checking'!Y:Y),2)</f>
        <v>1199.76</v>
      </c>
      <c r="D728" t="s">
        <v>64</v>
      </c>
      <c r="E728" s="37" t="s">
        <v>110</v>
      </c>
    </row>
    <row r="729" spans="1:5" x14ac:dyDescent="0.25">
      <c r="A729" s="27" t="s">
        <v>24</v>
      </c>
      <c r="C729">
        <f>ROUND(_xlfn.XLOOKUP(E729,'May 26 Distribution Checking'!A:A,'May 26 Distribution Checking'!Y:Y),2)</f>
        <v>1021.5</v>
      </c>
      <c r="D729" t="s">
        <v>64</v>
      </c>
      <c r="E729" s="37" t="s">
        <v>111</v>
      </c>
    </row>
    <row r="730" spans="1:5" x14ac:dyDescent="0.25">
      <c r="A730" s="27" t="s">
        <v>24</v>
      </c>
      <c r="C730">
        <f>ROUND(_xlfn.XLOOKUP(E730,'May 26 Distribution Checking'!A:A,'May 26 Distribution Checking'!Y:Y),2)</f>
        <v>799.84</v>
      </c>
      <c r="D730" t="s">
        <v>64</v>
      </c>
      <c r="E730" s="37" t="s">
        <v>112</v>
      </c>
    </row>
    <row r="731" spans="1:5" x14ac:dyDescent="0.25">
      <c r="A731" s="27" t="s">
        <v>24</v>
      </c>
      <c r="C731">
        <f>ROUND(_xlfn.XLOOKUP(E731,'May 26 Distribution Checking'!A:A,'May 26 Distribution Checking'!Y:Y),2)</f>
        <v>7998.37</v>
      </c>
      <c r="D731" t="s">
        <v>64</v>
      </c>
      <c r="E731" s="37" t="s">
        <v>113</v>
      </c>
    </row>
    <row r="732" spans="1:5" x14ac:dyDescent="0.25">
      <c r="A732" s="27" t="s">
        <v>24</v>
      </c>
      <c r="C732">
        <f>ROUND(_xlfn.XLOOKUP(E732,'May 26 Distribution Checking'!A:A,'May 26 Distribution Checking'!Y:Y),2)</f>
        <v>3999.18</v>
      </c>
      <c r="D732" t="s">
        <v>64</v>
      </c>
      <c r="E732" s="37" t="s">
        <v>114</v>
      </c>
    </row>
    <row r="733" spans="1:5" x14ac:dyDescent="0.25">
      <c r="A733" s="27" t="s">
        <v>24</v>
      </c>
      <c r="C733">
        <f>ROUND(_xlfn.XLOOKUP(E733,'May 26 Distribution Checking'!A:A,'May 26 Distribution Checking'!Y:Y),2)</f>
        <v>7182.81</v>
      </c>
      <c r="D733" t="s">
        <v>64</v>
      </c>
      <c r="E733" s="40" t="s">
        <v>115</v>
      </c>
    </row>
    <row r="734" spans="1:5" x14ac:dyDescent="0.25">
      <c r="A734" s="27" t="s">
        <v>24</v>
      </c>
      <c r="C734">
        <f>ROUND(_xlfn.XLOOKUP(E734,'May 26 Distribution Checking'!A:A,'May 26 Distribution Checking'!Y:Y),2)</f>
        <v>799.84</v>
      </c>
      <c r="D734" t="s">
        <v>64</v>
      </c>
      <c r="E734" s="37" t="s">
        <v>116</v>
      </c>
    </row>
    <row r="735" spans="1:5" x14ac:dyDescent="0.25">
      <c r="A735" s="27" t="s">
        <v>24</v>
      </c>
      <c r="C735">
        <f>ROUND(_xlfn.XLOOKUP(E735,'May 26 Distribution Checking'!A:A,'May 26 Distribution Checking'!Y:Y),2)</f>
        <v>3365.72</v>
      </c>
      <c r="D735" t="s">
        <v>64</v>
      </c>
      <c r="E735" s="37" t="s">
        <v>117</v>
      </c>
    </row>
    <row r="736" spans="1:5" x14ac:dyDescent="0.25">
      <c r="A736" s="27" t="s">
        <v>24</v>
      </c>
      <c r="C736">
        <f>ROUND(_xlfn.XLOOKUP(E736,'May 26 Distribution Checking'!A:A,'May 26 Distribution Checking'!Y:Y),2)</f>
        <v>8964.58</v>
      </c>
      <c r="D736" t="s">
        <v>64</v>
      </c>
      <c r="E736" s="37" t="s">
        <v>118</v>
      </c>
    </row>
    <row r="737" spans="1:5" x14ac:dyDescent="0.25">
      <c r="A737" s="27" t="s">
        <v>24</v>
      </c>
      <c r="C737">
        <f>ROUND(_xlfn.XLOOKUP(E737,'May 26 Distribution Checking'!A:A,'May 26 Distribution Checking'!Y:Y),2)</f>
        <v>399.92</v>
      </c>
      <c r="D737" t="s">
        <v>64</v>
      </c>
      <c r="E737" s="37" t="s">
        <v>119</v>
      </c>
    </row>
    <row r="738" spans="1:5" x14ac:dyDescent="0.25">
      <c r="A738" s="27" t="s">
        <v>24</v>
      </c>
      <c r="C738">
        <f>ROUND(_xlfn.XLOOKUP(E738,'May 26 Distribution Checking'!A:A,'May 26 Distribution Checking'!Y:Y),2)</f>
        <v>15322.49</v>
      </c>
      <c r="D738" t="s">
        <v>64</v>
      </c>
      <c r="E738" s="37" t="s">
        <v>120</v>
      </c>
    </row>
    <row r="739" spans="1:5" x14ac:dyDescent="0.25">
      <c r="A739" s="27" t="s">
        <v>24</v>
      </c>
      <c r="C739">
        <f>ROUND(_xlfn.XLOOKUP(E739,'May 26 Distribution Checking'!A:A,'May 26 Distribution Checking'!Y:Y),2)</f>
        <v>10214.99</v>
      </c>
      <c r="D739" t="s">
        <v>64</v>
      </c>
      <c r="E739" s="37" t="s">
        <v>121</v>
      </c>
    </row>
    <row r="740" spans="1:5" x14ac:dyDescent="0.25">
      <c r="A740" s="27" t="s">
        <v>24</v>
      </c>
      <c r="C740">
        <f>ROUND(_xlfn.XLOOKUP(E740,'May 26 Distribution Checking'!A:A,'May 26 Distribution Checking'!Y:Y),2)</f>
        <v>10214.99</v>
      </c>
      <c r="D740" t="s">
        <v>64</v>
      </c>
      <c r="E740" s="37" t="s">
        <v>122</v>
      </c>
    </row>
    <row r="741" spans="1:5" x14ac:dyDescent="0.25">
      <c r="A741" s="27" t="s">
        <v>24</v>
      </c>
      <c r="C741">
        <f>ROUND(_xlfn.XLOOKUP(E741,'May 26 Distribution Checking'!A:A,'May 26 Distribution Checking'!Y:Y),2)</f>
        <v>20429.98</v>
      </c>
      <c r="D741" t="s">
        <v>64</v>
      </c>
      <c r="E741" s="37" t="s">
        <v>123</v>
      </c>
    </row>
    <row r="742" spans="1:5" x14ac:dyDescent="0.25">
      <c r="A742" s="27" t="s">
        <v>24</v>
      </c>
      <c r="C742">
        <f>ROUND(_xlfn.XLOOKUP(E742,'May 26 Distribution Checking'!A:A,'May 26 Distribution Checking'!Y:Y),2)</f>
        <v>10214.99</v>
      </c>
      <c r="D742" t="s">
        <v>64</v>
      </c>
      <c r="E742" s="37" t="s">
        <v>124</v>
      </c>
    </row>
    <row r="743" spans="1:5" x14ac:dyDescent="0.25">
      <c r="A743" s="27" t="s">
        <v>24</v>
      </c>
      <c r="C743">
        <f>ROUND(_xlfn.XLOOKUP(E743,'May 26 Distribution Checking'!A:A,'May 26 Distribution Checking'!Y:Y),2)</f>
        <v>5345.47</v>
      </c>
      <c r="D743" t="s">
        <v>64</v>
      </c>
      <c r="E743" s="37" t="s">
        <v>125</v>
      </c>
    </row>
    <row r="744" spans="1:5" x14ac:dyDescent="0.25">
      <c r="A744" s="27" t="s">
        <v>24</v>
      </c>
      <c r="C744">
        <f>ROUND(_xlfn.XLOOKUP(E744,'May 26 Distribution Checking'!A:A,'May 26 Distribution Checking'!Y:Y),2)</f>
        <v>1599.67</v>
      </c>
      <c r="D744" t="s">
        <v>64</v>
      </c>
      <c r="E744" s="37" t="s">
        <v>126</v>
      </c>
    </row>
    <row r="745" spans="1:5" x14ac:dyDescent="0.25">
      <c r="A745" s="27" t="s">
        <v>24</v>
      </c>
      <c r="C745">
        <f>ROUND(_xlfn.XLOOKUP(E745,'May 26 Distribution Checking'!A:A,'May 26 Distribution Checking'!Y:Y),2)</f>
      </c>
      <c r="D745" t="s">
        <v>64</v>
      </c>
      <c r="E745" s="37" t="s">
        <v>142</v>
      </c>
    </row>
    <row r="746" spans="1:5" x14ac:dyDescent="0.25">
      <c r="A746" s="27" t="s">
        <v>24</v>
      </c>
      <c r="C746">
        <f>ROUND(_xlfn.XLOOKUP(E746,'May 26 Distribution Checking'!A:A,'May 26 Distribution Checking'!Y:Y),2)</f>
        <v>10214.99</v>
      </c>
      <c r="D746" t="s">
        <v>64</v>
      </c>
      <c r="E746" s="37" t="s">
        <v>127</v>
      </c>
    </row>
    <row r="747" spans="1:5" x14ac:dyDescent="0.25">
      <c r="A747" s="27" t="s">
        <v>24</v>
      </c>
      <c r="C747">
        <f>ROUND(_xlfn.XLOOKUP(E747,'May 26 Distribution Checking'!A:A,'May 26 Distribution Checking'!Y:Y),2)</f>
        <v>10214.99</v>
      </c>
      <c r="D747" t="s">
        <v>64</v>
      </c>
      <c r="E747" s="37" t="s">
        <v>128</v>
      </c>
    </row>
    <row r="748" spans="1:5" x14ac:dyDescent="0.25">
      <c r="A748" s="27" t="s">
        <v>24</v>
      </c>
      <c r="C748">
        <f>ROUND(_xlfn.XLOOKUP(E748,'May 26 Distribution Checking'!A:A,'May 26 Distribution Checking'!Y:Y),2)</f>
        <v>6128.99</v>
      </c>
      <c r="D748" t="s">
        <v>64</v>
      </c>
      <c r="E748" s="37" t="s">
        <v>129</v>
      </c>
    </row>
    <row r="749" spans="1:5" x14ac:dyDescent="0.25">
      <c r="A749" s="27" t="s">
        <v>24</v>
      </c>
      <c r="C749">
        <f>ROUND(_xlfn.XLOOKUP(E749,'May 26 Distribution Checking'!A:A,'May 26 Distribution Checking'!Y:Y),2)</f>
        <v>10214.99</v>
      </c>
      <c r="D749" t="s">
        <v>64</v>
      </c>
      <c r="E749" s="37" t="s">
        <v>130</v>
      </c>
    </row>
    <row r="750" spans="1:5" x14ac:dyDescent="0.25">
      <c r="A750" s="27" t="s">
        <v>24</v>
      </c>
      <c r="C750">
        <f>ROUND(_xlfn.XLOOKUP(E750,'May 26 Distribution Checking'!A:A,'May 26 Distribution Checking'!Y:Y),2)</f>
        <v>204299.8</v>
      </c>
      <c r="D750" t="s">
        <v>64</v>
      </c>
      <c r="E750" s="37" t="s">
        <v>131</v>
      </c>
    </row>
    <row r="751" spans="1:5" x14ac:dyDescent="0.25">
      <c r="A751" s="27" t="s">
        <v>24</v>
      </c>
      <c r="C751">
        <f>ROUND(_xlfn.XLOOKUP(E751,'May 26 Distribution Checking'!A:A,'May 26 Distribution Checking'!Y:Y),2)</f>
        <v>2553.75</v>
      </c>
      <c r="D751" t="s">
        <v>64</v>
      </c>
      <c r="E751" s="37" t="s">
        <v>132</v>
      </c>
    </row>
    <row r="752" spans="1:5" x14ac:dyDescent="0.25">
      <c r="A752" s="27" t="s">
        <v>24</v>
      </c>
      <c r="C752">
        <f>ROUND(_xlfn.XLOOKUP(E752,'May 26 Distribution Checking'!A:A,'May 26 Distribution Checking'!Y:Y),2)</f>
        <v>3199.35</v>
      </c>
      <c r="D752" t="s">
        <v>64</v>
      </c>
      <c r="E752" s="37" t="s">
        <v>133</v>
      </c>
    </row>
    <row r="753" spans="1:5" x14ac:dyDescent="0.25">
      <c r="A753" s="27" t="s">
        <v>24</v>
      </c>
      <c r="C753">
        <f>ROUND(_xlfn.XLOOKUP(E753,'May 26 Distribution Checking'!A:A,'May 26 Distribution Checking'!Y:Y),2)</f>
        <v>3199.35</v>
      </c>
      <c r="D753" t="s">
        <v>64</v>
      </c>
      <c r="E753" s="37" t="s">
        <v>134</v>
      </c>
    </row>
    <row r="754" spans="1:5" x14ac:dyDescent="0.25">
      <c r="A754" s="27" t="s">
        <v>24</v>
      </c>
      <c r="C754">
        <f>ROUND(_xlfn.XLOOKUP(E754,'May 26 Distribution Checking'!A:A,'May 26 Distribution Checking'!Y:Y),2)</f>
        <v>51074.95</v>
      </c>
      <c r="D754" t="s">
        <v>64</v>
      </c>
      <c r="E754" s="37" t="s">
        <v>135</v>
      </c>
    </row>
    <row r="755" spans="1:5" x14ac:dyDescent="0.25">
      <c r="A755" s="27" t="s">
        <v>24</v>
      </c>
      <c r="C755">
        <f>ROUND(_xlfn.XLOOKUP(E755,'May 26 Distribution Checking'!A:A,'May 26 Distribution Checking'!Y:Y),2)</f>
        <v>76612.43</v>
      </c>
      <c r="D755" t="s">
        <v>64</v>
      </c>
      <c r="E755" s="37" t="s">
        <v>136</v>
      </c>
    </row>
    <row r="756" spans="1:5" x14ac:dyDescent="0.25">
      <c r="A756" s="27" t="s">
        <v>24</v>
      </c>
      <c r="C756">
        <f>ROUND(_xlfn.XLOOKUP(E756,'May 26 Distribution Checking'!A:A,'May 26 Distribution Checking'!Y:Y),2)</f>
        <v>51074.95</v>
      </c>
      <c r="D756" t="s">
        <v>64</v>
      </c>
      <c r="E756" s="37" t="s">
        <v>137</v>
      </c>
    </row>
    <row r="757" spans="1:5" x14ac:dyDescent="0.25">
      <c r="A757" s="27" t="s">
        <v>24</v>
      </c>
      <c r="C757">
        <f>ROUND(_xlfn.XLOOKUP(E757,'May 26 Distribution Checking'!A:A,'May 26 Distribution Checking'!Y:Y),2)</f>
        <v>306449.7</v>
      </c>
      <c r="D757" t="s">
        <v>64</v>
      </c>
      <c r="E757" s="37" t="s">
        <v>138</v>
      </c>
    </row>
    <row r="758" spans="1:5" x14ac:dyDescent="0.25">
      <c r="A758" s="27" t="s">
        <v>24</v>
      </c>
      <c r="C758">
        <f>ROUND(_xlfn.XLOOKUP(E758,'May 26 Distribution Checking'!A:A,'May 26 Distribution Checking'!Y:Y),2)</f>
        <v>170590.34</v>
      </c>
      <c r="D758" t="s">
        <v>64</v>
      </c>
      <c r="E758" s="41" t="s">
        <v>7</v>
      </c>
    </row>
    <row r="759" spans="1:5" x14ac:dyDescent="0.25">
      <c r="A759" s="27" t="s">
        <v>24</v>
      </c>
      <c r="C759">
        <f>ROUND(_xlfn.XLOOKUP(E759,'May 26 Distribution Checking'!A:A,'May 26 Distribution Checking'!Y:Y),2)</f>
        <v>3999.18</v>
      </c>
      <c r="D759" t="s">
        <v>64</v>
      </c>
      <c r="E759" s="37" t="s">
        <v>139</v>
      </c>
    </row>
    <row r="760" spans="1:5" x14ac:dyDescent="0.25">
      <c r="A760" s="27" t="s">
        <v>24</v>
      </c>
      <c r="C760">
        <f>ROUND(_xlfn.XLOOKUP(E760,'May 26 Distribution Checking'!A:A,'May 26 Distribution Checking'!Y:Y),2)</f>
        <v>20429.98</v>
      </c>
      <c r="D760" t="s">
        <v>64</v>
      </c>
      <c r="E760" s="37" t="s">
        <v>140</v>
      </c>
    </row>
    <row r="761" spans="1:5" x14ac:dyDescent="0.25">
      <c r="A761" s="27" t="s">
        <v>24</v>
      </c>
      <c r="C761">
        <f>ROUND(_xlfn.XLOOKUP(E761,'May 26 Distribution Checking'!A:A,'May 26 Distribution Checking'!Y:Y),2)</f>
        <v>255.37</v>
      </c>
      <c r="D761" t="s">
        <v>64</v>
      </c>
      <c r="E761" s="37" t="s">
        <v>8</v>
      </c>
    </row>
    <row r="762" spans="1:5" x14ac:dyDescent="0.25">
      <c r="A762" s="27" t="s">
        <v>48</v>
      </c>
      <c r="B762">
        <v>126350</v>
      </c>
      <c r="D762" t="s">
        <v>69</v>
      </c>
      <c r="E762" s="37" t="s">
        <v>115</v>
      </c>
    </row>
    <row r="763" spans="1:5" x14ac:dyDescent="0.25">
      <c r="A763" s="27" t="s">
        <v>35</v>
      </c>
      <c r="C763">
        <v>5008186</v>
      </c>
      <c r="D763" t="s">
        <v>71</v>
      </c>
      <c r="E763" s="41" t="s">
        <v>7</v>
      </c>
    </row>
    <row r="764" spans="1:5" x14ac:dyDescent="0.25">
      <c r="A764" s="27" t="s">
        <v>48</v>
      </c>
      <c r="B764">
        <v>5161409.84</v>
      </c>
      <c r="D764" t="s">
        <v>73</v>
      </c>
      <c r="E764" s="41" t="s">
        <v>7</v>
      </c>
    </row>
    <row r="765" spans="1:5" x14ac:dyDescent="0.25">
      <c r="A765" s="27" t="s">
        <v>24</v>
      </c>
      <c r="B765">
        <v>320894.82</v>
      </c>
      <c r="D765" t="s">
        <v>75</v>
      </c>
      <c r="E765" s="40" t="s">
        <v>115</v>
      </c>
    </row>
    <row r="766" spans="1:5" x14ac:dyDescent="0.25">
      <c r="A766" s="27" t="s">
        <v>28</v>
      </c>
      <c r="B766" s="4">
        <v>142.85</v>
      </c>
      <c r="D766" t="s">
        <v>75</v>
      </c>
      <c r="E766" s="40" t="s">
        <v>115</v>
      </c>
    </row>
    <row r="767" spans="1:5" x14ac:dyDescent="0.25">
      <c r="A767" s="27" t="s">
        <v>30</v>
      </c>
      <c r="B767">
        <v>38696.33</v>
      </c>
      <c r="D767" t="s">
        <v>75</v>
      </c>
      <c r="E767" s="40" t="s">
        <v>115</v>
      </c>
    </row>
    <row r="768" spans="1:5" x14ac:dyDescent="0.25">
      <c r="A768" s="32" t="s">
        <v>79</v>
      </c>
      <c r="C768">
        <v>486084.34</v>
      </c>
      <c r="D768" t="s">
        <v>75</v>
      </c>
      <c r="E768" s="40" t="s">
        <v>115</v>
      </c>
    </row>
    <row r="769" spans="1:5" x14ac:dyDescent="0.25">
      <c r="A769" s="27" t="s">
        <v>30</v>
      </c>
      <c r="C769">
        <v>0.2</v>
      </c>
      <c r="D769" t="s">
        <v>143</v>
      </c>
      <c r="E769" s="40" t="s">
        <v>115</v>
      </c>
    </row>
    <row r="770" spans="1:5" x14ac:dyDescent="0.25">
      <c r="A770" s="27" t="s">
        <v>35</v>
      </c>
      <c r="B770">
        <v>255.37</v>
      </c>
      <c r="D770" t="s">
        <v>81</v>
      </c>
      <c r="E770" s="37" t="s">
        <v>8</v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"/>
  </sheetPr>
  <dimension ref="A1:AI99"/>
  <sheetViews>
    <sheetView workbookViewId="0" zoomScale="100" zoomScaleNormal="100">
      <selection activeCell="D18" sqref="D18"/>
    </sheetView>
  </sheetViews>
  <sheetFormatPr defaultRowHeight="14.5" outlineLevelRow="0" outlineLevelCol="0" x14ac:dyDescent="0.35" customHeight="1"/>
  <cols>
    <col min="1" max="1" width="76.7265625" customWidth="1"/>
    <col min="2" max="2" width="12.26953125" customWidth="1"/>
    <col min="3" max="3" width="13.81640625" customWidth="1"/>
    <col min="4" max="4" width="11" customWidth="1"/>
    <col min="5" max="5" width="13.7265625" customWidth="1"/>
    <col min="6" max="7" width="8.7265625" customWidth="1"/>
    <col min="8" max="8" width="12.26953125" customWidth="1"/>
    <col min="9" max="9" width="12.81640625" customWidth="1"/>
    <col min="11" max="11" width="14.54296875" customWidth="1"/>
    <col min="12" max="12" width="5" customWidth="1"/>
    <col min="14" max="14" width="30.7265625" customWidth="1"/>
    <col min="15" max="15" width="8.7265625" customWidth="1"/>
    <col min="16" max="16" width="11.1796875" customWidth="1"/>
    <col min="17" max="17" width="9.54296875" style="42" customWidth="1"/>
    <col min="18" max="18" width="11" customWidth="1"/>
    <col min="19" max="19" width="38" style="42" customWidth="1"/>
    <col min="20" max="21" width="11.1796875" customWidth="1"/>
    <col min="22" max="22" width="11.1796875" style="43" customWidth="1"/>
    <col min="24" max="24" width="21" customWidth="1"/>
    <col min="25" max="25" width="7.81640625" customWidth="1"/>
    <col min="26" max="26" width="10.453125" customWidth="1"/>
    <col min="27" max="27" width="24.54296875" customWidth="1"/>
    <col min="28" max="28" width="11.81640625" customWidth="1"/>
  </cols>
  <sheetData>
    <row r="1" ht="15" customHeight="1" spans="1:11" x14ac:dyDescent="0.25">
      <c r="A1" s="44" t="s">
        <v>144</v>
      </c>
      <c r="B1" s="45">
        <v>189065693.36999997</v>
      </c>
      <c r="C1" s="45">
        <v>698301.630434743</v>
      </c>
      <c r="D1" s="45">
        <v>8.36735125631094e-11</v>
      </c>
      <c r="E1" s="45">
        <v>148297.2146739266</v>
      </c>
      <c r="F1" s="45"/>
      <c r="G1" s="45"/>
      <c r="H1" s="45">
        <v>144412292.21510863</v>
      </c>
      <c r="I1" s="45"/>
      <c r="K1" s="45">
        <v>-142412291.8706655</v>
      </c>
    </row>
    <row r="2" ht="72.5" customHeight="1" spans="3:28" x14ac:dyDescent="0.25">
      <c r="C2" s="46" t="s">
        <v>145</v>
      </c>
      <c r="D2" s="46" t="s">
        <v>146</v>
      </c>
      <c r="E2" s="46" t="s">
        <v>147</v>
      </c>
      <c r="F2" s="46"/>
      <c r="G2" s="46"/>
      <c r="N2" s="47" t="s">
        <v>148</v>
      </c>
      <c r="O2" s="48"/>
      <c r="P2" s="48"/>
      <c r="Q2" s="49" t="s">
        <v>149</v>
      </c>
      <c r="R2" s="50"/>
      <c r="S2" s="51" t="s">
        <v>149</v>
      </c>
      <c r="T2" s="50"/>
      <c r="U2" s="52"/>
      <c r="X2" s="53" t="s">
        <v>150</v>
      </c>
      <c r="Y2" s="50"/>
      <c r="Z2" s="52"/>
      <c r="AB2" s="54"/>
    </row>
    <row r="3" ht="116" customHeight="1" spans="1:28" x14ac:dyDescent="0.25">
      <c r="A3" s="55" t="s">
        <v>151</v>
      </c>
      <c r="B3" s="56" t="s">
        <v>152</v>
      </c>
      <c r="C3" s="56" t="s">
        <v>153</v>
      </c>
      <c r="D3" s="56" t="s">
        <v>154</v>
      </c>
      <c r="E3" s="56" t="s">
        <v>155</v>
      </c>
      <c r="F3" s="56" t="s">
        <v>156</v>
      </c>
      <c r="G3" s="57" t="s">
        <v>157</v>
      </c>
      <c r="H3" s="57" t="s">
        <v>158</v>
      </c>
      <c r="I3" s="57" t="s">
        <v>159</v>
      </c>
      <c r="J3" s="57"/>
      <c r="K3" s="57" t="s">
        <v>160</v>
      </c>
      <c r="L3" s="57" t="s">
        <v>161</v>
      </c>
      <c r="N3" s="58" t="s">
        <v>162</v>
      </c>
      <c r="O3" s="57" t="s">
        <v>163</v>
      </c>
      <c r="P3" s="57" t="s">
        <v>164</v>
      </c>
      <c r="Q3" s="59" t="s">
        <v>165</v>
      </c>
      <c r="R3" s="57" t="s">
        <v>166</v>
      </c>
      <c r="S3" s="59" t="s">
        <v>167</v>
      </c>
      <c r="T3" s="57" t="s">
        <v>168</v>
      </c>
      <c r="U3" s="60" t="s">
        <v>169</v>
      </c>
      <c r="V3" s="61" t="s">
        <v>170</v>
      </c>
      <c r="X3" s="58" t="s">
        <v>171</v>
      </c>
      <c r="Y3" s="57" t="s">
        <v>172</v>
      </c>
      <c r="Z3" s="60" t="s">
        <v>173</v>
      </c>
      <c r="AB3" s="62" t="s">
        <v>174</v>
      </c>
    </row>
    <row r="4" spans="1:28" x14ac:dyDescent="0.25">
      <c r="A4" s="29" t="s">
        <v>50</v>
      </c>
      <c r="B4" s="45">
        <v>500000</v>
      </c>
      <c r="C4" s="45">
        <v>-123101.892170701</v>
      </c>
      <c r="D4" s="45">
        <v>-335.3914554840885</v>
      </c>
      <c r="E4" s="45">
        <v>-12681.6643681703</v>
      </c>
      <c r="F4" s="45"/>
      <c r="G4" s="45">
        <v>5107.495064181762</v>
      </c>
      <c r="H4" s="45">
        <v>368988.54706982634</v>
      </c>
      <c r="I4" s="45">
        <v>131011.45293017366</v>
      </c>
      <c r="J4" s="45"/>
      <c r="K4" s="45">
        <v>-363881.048082341</v>
      </c>
      <c r="L4" s="45">
        <v>0.003923303601368389</v>
      </c>
      <c r="N4" s="63"/>
      <c r="O4" s="45">
        <v>-335.3914554840885</v>
      </c>
      <c r="P4" s="45">
        <v>-12681.664368170314</v>
      </c>
      <c r="Q4" s="64">
        <v>-868.3349846001933</v>
      </c>
      <c r="R4" s="45">
        <v>-13885.3908082546</v>
      </c>
      <c r="S4" s="64"/>
      <c r="T4" s="45"/>
      <c r="U4" s="16">
        <v>-13885.390808254595</v>
      </c>
      <c r="V4" s="65">
        <f>+P4</f>
        <v>-12681.664368170314</v>
      </c>
      <c r="X4" s="63">
        <v>5107.495064181762</v>
      </c>
      <c r="Y4" s="45">
        <v>0</v>
      </c>
      <c r="Z4" s="16">
        <v>5107.495064181762</v>
      </c>
      <c r="AB4" s="66">
        <v>-8777.89574407283</v>
      </c>
    </row>
    <row r="5" spans="1:28" x14ac:dyDescent="0.25">
      <c r="A5" s="29" t="s">
        <v>51</v>
      </c>
      <c r="B5" s="45">
        <v>700000</v>
      </c>
      <c r="C5" s="45">
        <v>-172342.65303898125</v>
      </c>
      <c r="D5" s="45">
        <v>-469.5480376778869</v>
      </c>
      <c r="E5" s="45">
        <v>-17754.33011543844</v>
      </c>
      <c r="F5" s="45"/>
      <c r="G5" s="45">
        <v>7150.493089854467</v>
      </c>
      <c r="H5" s="45">
        <v>516583.9618977569</v>
      </c>
      <c r="I5" s="45">
        <v>183416.0381022431</v>
      </c>
      <c r="J5" s="45"/>
      <c r="K5" s="45">
        <v>-509433.471315278</v>
      </c>
      <c r="L5" s="45">
        <v>-0.0025073755359699135</v>
      </c>
      <c r="N5" s="63"/>
      <c r="O5" s="45">
        <v>-469.5480376778869</v>
      </c>
      <c r="P5" s="45">
        <v>-17754.33011543844</v>
      </c>
      <c r="Q5" s="64">
        <v>-1215.6689784402704</v>
      </c>
      <c r="R5" s="45">
        <v>-19439.547131556596</v>
      </c>
      <c r="S5" s="64"/>
      <c r="T5" s="45"/>
      <c r="U5" s="16">
        <v>-19439.547131556596</v>
      </c>
      <c r="V5" s="65">
        <f t="shared" ref="V5:V68" si="0">+P5</f>
        <v>-17754.33011543844</v>
      </c>
      <c r="X5" s="63">
        <v>7150.493089854467</v>
      </c>
      <c r="Y5" s="45">
        <v>0</v>
      </c>
      <c r="Z5" s="16">
        <v>7150.493089854467</v>
      </c>
      <c r="AB5" s="66">
        <v>-12289.05404170213</v>
      </c>
    </row>
    <row r="6" spans="1:28" x14ac:dyDescent="0.25">
      <c r="A6" s="29" t="s">
        <v>53</v>
      </c>
      <c r="B6" s="45">
        <v>600000</v>
      </c>
      <c r="C6" s="45">
        <v>-147722.2726048408</v>
      </c>
      <c r="D6" s="45">
        <v>-402.4697465809295</v>
      </c>
      <c r="E6" s="45">
        <v>-15217.997241804318</v>
      </c>
      <c r="F6" s="45"/>
      <c r="G6" s="45">
        <v>6128.994077018116</v>
      </c>
      <c r="H6" s="45">
        <v>442786.25448379206</v>
      </c>
      <c r="I6" s="45">
        <v>157213.74551620794</v>
      </c>
      <c r="J6" s="45"/>
      <c r="K6" s="45">
        <v>-436657.25969880976</v>
      </c>
      <c r="L6" s="45">
        <v>0.0007079641773088952</v>
      </c>
      <c r="N6" s="63"/>
      <c r="O6" s="45">
        <v>-402.4697465809295</v>
      </c>
      <c r="P6" s="45">
        <v>-15217.997241804318</v>
      </c>
      <c r="Q6" s="64">
        <v>-1042.0019815202318</v>
      </c>
      <c r="R6" s="45">
        <v>-16662.46896990548</v>
      </c>
      <c r="S6" s="64"/>
      <c r="T6" s="45"/>
      <c r="U6" s="16">
        <v>-16662.46896990548</v>
      </c>
      <c r="V6" s="65">
        <f t="shared" si="0"/>
        <v>-15217.997241804318</v>
      </c>
      <c r="X6" s="63">
        <v>6128.994077018116</v>
      </c>
      <c r="Y6" s="45">
        <v>0</v>
      </c>
      <c r="Z6" s="16">
        <v>6128.994077018116</v>
      </c>
      <c r="AB6" s="66">
        <v>-10533.474892887363</v>
      </c>
    </row>
    <row r="7" spans="1:28" x14ac:dyDescent="0.25">
      <c r="A7" s="29" t="s">
        <v>54</v>
      </c>
      <c r="B7" s="45">
        <v>750000</v>
      </c>
      <c r="C7" s="45">
        <v>-184652.84325605107</v>
      </c>
      <c r="D7" s="45">
        <v>-503.0871832262492</v>
      </c>
      <c r="E7" s="45">
        <v>-19022.49655225547</v>
      </c>
      <c r="F7" s="45"/>
      <c r="G7" s="45">
        <v>7661.242596272645</v>
      </c>
      <c r="H7" s="45">
        <v>553482.8156047398</v>
      </c>
      <c r="I7" s="45">
        <v>196517.18439526018</v>
      </c>
      <c r="J7" s="45"/>
      <c r="K7" s="45">
        <v>-545821.582123512</v>
      </c>
      <c r="L7" s="45">
        <v>-0.009115044875215972</v>
      </c>
      <c r="N7" s="63"/>
      <c r="O7" s="45">
        <v>-503.0871832262492</v>
      </c>
      <c r="P7" s="45">
        <v>-19022.49655225547</v>
      </c>
      <c r="Q7" s="64">
        <v>-1302.5024769002898</v>
      </c>
      <c r="R7" s="45">
        <v>-20828.086212382008</v>
      </c>
      <c r="S7" s="64"/>
      <c r="T7" s="45"/>
      <c r="U7" s="16">
        <v>-20828.086212382008</v>
      </c>
      <c r="V7" s="65">
        <f t="shared" si="0"/>
        <v>-19022.49655225547</v>
      </c>
      <c r="X7" s="63">
        <v>7661.242596272645</v>
      </c>
      <c r="Y7" s="45">
        <v>0</v>
      </c>
      <c r="Z7" s="16">
        <v>7661.242596272645</v>
      </c>
      <c r="AB7" s="66">
        <v>-13166.843616109363</v>
      </c>
    </row>
    <row r="8" spans="1:28" x14ac:dyDescent="0.25">
      <c r="A8" s="29" t="s">
        <v>55</v>
      </c>
      <c r="B8" s="45">
        <v>78300.32</v>
      </c>
      <c r="C8" s="45">
        <v>-19495.07859961313</v>
      </c>
      <c r="D8" s="45">
        <v>-52.52251657933812</v>
      </c>
      <c r="E8" s="45">
        <v>-1985.9567563206656</v>
      </c>
      <c r="F8" s="45"/>
      <c r="G8" s="45">
        <v>799.8369958477051</v>
      </c>
      <c r="H8" s="45">
        <v>57566.59912333458</v>
      </c>
      <c r="I8" s="45">
        <v>20733.72087666543</v>
      </c>
      <c r="J8" s="45"/>
      <c r="K8" s="45">
        <v>-56766.76574521985</v>
      </c>
      <c r="L8" s="45">
        <v>-0.003617732974817045</v>
      </c>
      <c r="N8" s="63"/>
      <c r="O8" s="45">
        <v>-52.52251657933812</v>
      </c>
      <c r="P8" s="45">
        <v>-1985.9567563206656</v>
      </c>
      <c r="Q8" s="64">
        <v>-135.98181432278042</v>
      </c>
      <c r="R8" s="45">
        <v>-2174.461087222784</v>
      </c>
      <c r="S8" s="64"/>
      <c r="T8" s="45"/>
      <c r="U8" s="16">
        <v>-2174.461087222784</v>
      </c>
      <c r="V8" s="65">
        <f t="shared" si="0"/>
        <v>-1985.9567563206656</v>
      </c>
      <c r="X8" s="63">
        <v>799.8369958477051</v>
      </c>
      <c r="Y8" s="45">
        <v>0</v>
      </c>
      <c r="Z8" s="16">
        <v>799.8369958477051</v>
      </c>
      <c r="AB8" s="66">
        <v>-1374.624091375079</v>
      </c>
    </row>
    <row r="9" spans="1:28" x14ac:dyDescent="0.25">
      <c r="A9" s="29" t="s">
        <v>57</v>
      </c>
      <c r="B9" s="45">
        <v>144197.96</v>
      </c>
      <c r="C9" s="45">
        <v>-36027.743025995995</v>
      </c>
      <c r="D9" s="45">
        <v>-96.7255273644696</v>
      </c>
      <c r="E9" s="45">
        <v>-3657.3402625897143</v>
      </c>
      <c r="F9" s="45"/>
      <c r="G9" s="45">
        <v>1472.9807379301585</v>
      </c>
      <c r="H9" s="45">
        <v>105889.13192197998</v>
      </c>
      <c r="I9" s="45">
        <v>38308.828078020015</v>
      </c>
      <c r="J9" s="45"/>
      <c r="K9" s="45">
        <v>-104416.1504685395</v>
      </c>
      <c r="L9" s="45">
        <v>0.0007155103137392871</v>
      </c>
      <c r="N9" s="63"/>
      <c r="O9" s="45">
        <v>-96.7255273644696</v>
      </c>
      <c r="P9" s="45">
        <v>-3657.3402625897143</v>
      </c>
      <c r="Q9" s="64">
        <v>-250.42426675195856</v>
      </c>
      <c r="R9" s="45">
        <v>-4004.4900567061422</v>
      </c>
      <c r="S9" s="64"/>
      <c r="T9" s="45"/>
      <c r="U9" s="16">
        <v>-4004.4900567061422</v>
      </c>
      <c r="V9" s="65">
        <f t="shared" si="0"/>
        <v>-3657.3402625897143</v>
      </c>
      <c r="X9" s="63">
        <v>1472.9807379301585</v>
      </c>
      <c r="Y9" s="45">
        <v>0</v>
      </c>
      <c r="Z9" s="16">
        <v>1472.9807379301585</v>
      </c>
      <c r="AB9" s="66">
        <v>-2531.509318775984</v>
      </c>
    </row>
    <row r="10" spans="1:28" x14ac:dyDescent="0.25">
      <c r="A10" s="29" t="s">
        <v>59</v>
      </c>
      <c r="B10" s="45">
        <v>156600.63</v>
      </c>
      <c r="C10" s="45">
        <v>-38990.165744236234</v>
      </c>
      <c r="D10" s="45">
        <v>-105.0450264508545</v>
      </c>
      <c r="E10" s="45">
        <v>-3971.9132590080408</v>
      </c>
      <c r="F10" s="45"/>
      <c r="G10" s="45">
        <v>1599.6738895455092</v>
      </c>
      <c r="H10" s="45">
        <v>115133.17985985038</v>
      </c>
      <c r="I10" s="45">
        <v>41467.45014014962</v>
      </c>
      <c r="J10" s="45"/>
      <c r="K10" s="45">
        <v>-113533.50435982952</v>
      </c>
      <c r="L10" s="45">
        <v>0.0016104753558465745</v>
      </c>
      <c r="N10" s="63"/>
      <c r="O10" s="45">
        <v>-105.0450264508545</v>
      </c>
      <c r="P10" s="45">
        <v>-3971.9132590080408</v>
      </c>
      <c r="Q10" s="64">
        <v>-271.9636112788611</v>
      </c>
      <c r="R10" s="45">
        <v>-4348.9218967377565</v>
      </c>
      <c r="S10" s="64"/>
      <c r="T10" s="45"/>
      <c r="U10" s="16">
        <v>-4348.9218967377565</v>
      </c>
      <c r="V10" s="65">
        <f t="shared" si="0"/>
        <v>-3971.9132590080408</v>
      </c>
      <c r="X10" s="63">
        <v>1599.6738895455092</v>
      </c>
      <c r="Y10" s="45">
        <v>0</v>
      </c>
      <c r="Z10" s="16">
        <v>1599.6738895455092</v>
      </c>
      <c r="AB10" s="66">
        <v>-2749.2480071922473</v>
      </c>
    </row>
    <row r="11" spans="1:28" x14ac:dyDescent="0.25">
      <c r="A11" s="29" t="s">
        <v>61</v>
      </c>
      <c r="B11" s="45">
        <v>523296.86</v>
      </c>
      <c r="C11" s="45">
        <v>-130540.74894085136</v>
      </c>
      <c r="D11" s="45">
        <v>-351.0185910513392</v>
      </c>
      <c r="E11" s="45">
        <v>-13272.550286874874</v>
      </c>
      <c r="F11" s="45"/>
      <c r="G11" s="45">
        <v>5345.47225910363</v>
      </c>
      <c r="H11" s="45">
        <v>384478.014440326</v>
      </c>
      <c r="I11" s="45">
        <v>138818.84555967397</v>
      </c>
      <c r="J11" s="45"/>
      <c r="K11" s="45">
        <v>-379132.5439115182</v>
      </c>
      <c r="L11" s="45">
        <v>-0.0017302957894571591</v>
      </c>
      <c r="N11" s="63"/>
      <c r="O11" s="45">
        <v>-351.0185910513392</v>
      </c>
      <c r="P11" s="45">
        <v>-13272.550286874874</v>
      </c>
      <c r="Q11" s="64">
        <v>-908.7939417388588</v>
      </c>
      <c r="R11" s="45">
        <v>-14532.362819665072</v>
      </c>
      <c r="S11" s="64"/>
      <c r="T11" s="45"/>
      <c r="U11" s="16">
        <v>-14532.362819665072</v>
      </c>
      <c r="V11" s="65">
        <f t="shared" si="0"/>
        <v>-13272.550286874874</v>
      </c>
      <c r="X11" s="63">
        <v>5345.47225910363</v>
      </c>
      <c r="Y11" s="45">
        <v>0</v>
      </c>
      <c r="Z11" s="16">
        <v>5345.47225910363</v>
      </c>
      <c r="AB11" s="66">
        <v>-9186.890560561442</v>
      </c>
    </row>
    <row r="12" spans="1:28" x14ac:dyDescent="0.25">
      <c r="A12" s="29" t="s">
        <v>62</v>
      </c>
      <c r="B12" s="45">
        <v>1000000</v>
      </c>
      <c r="C12" s="45">
        <v>-246203.78434140154</v>
      </c>
      <c r="D12" s="45">
        <v>-670.782910968177</v>
      </c>
      <c r="E12" s="45">
        <v>-25363.328736340627</v>
      </c>
      <c r="F12" s="45"/>
      <c r="G12" s="45">
        <v>10214.990128363524</v>
      </c>
      <c r="H12" s="45">
        <v>737977.0941396531</v>
      </c>
      <c r="I12" s="45">
        <v>262022.90586034686</v>
      </c>
      <c r="J12" s="45"/>
      <c r="K12" s="45">
        <v>-727762.1061646828</v>
      </c>
      <c r="L12" s="45">
        <v>-0.002153393155822414</v>
      </c>
      <c r="N12" s="63"/>
      <c r="O12" s="45">
        <v>-670.782910968177</v>
      </c>
      <c r="P12" s="45">
        <v>-25363.328736340627</v>
      </c>
      <c r="Q12" s="64">
        <v>-1736.6699692003865</v>
      </c>
      <c r="R12" s="45">
        <v>-27770.78161650919</v>
      </c>
      <c r="S12" s="64"/>
      <c r="T12" s="45"/>
      <c r="U12" s="16">
        <v>-27770.78161650919</v>
      </c>
      <c r="V12" s="65">
        <f t="shared" si="0"/>
        <v>-25363.328736340627</v>
      </c>
      <c r="X12" s="63">
        <v>10214.990128363524</v>
      </c>
      <c r="Y12" s="45">
        <v>0</v>
      </c>
      <c r="Z12" s="16">
        <v>10214.990128363524</v>
      </c>
      <c r="AB12" s="66">
        <v>-17555.791488145667</v>
      </c>
    </row>
    <row r="13" spans="1:28" x14ac:dyDescent="0.25">
      <c r="A13" s="29" t="s">
        <v>63</v>
      </c>
      <c r="B13" s="45">
        <v>391501.58</v>
      </c>
      <c r="C13" s="45">
        <v>-97475.42008808552</v>
      </c>
      <c r="D13" s="45">
        <v>-262.6125694810762</v>
      </c>
      <c r="E13" s="45">
        <v>-9929.78327433666</v>
      </c>
      <c r="F13" s="45"/>
      <c r="G13" s="45">
        <v>3999.184774938723</v>
      </c>
      <c r="H13" s="45">
        <v>287832.9488430355</v>
      </c>
      <c r="I13" s="45">
        <v>103668.63115696452</v>
      </c>
      <c r="J13" s="45"/>
      <c r="K13" s="45">
        <v>-283833.7644648789</v>
      </c>
      <c r="L13" s="45">
        <v>-0.0003967821098740387</v>
      </c>
      <c r="N13" s="63"/>
      <c r="O13" s="45">
        <v>-262.6125694810762</v>
      </c>
      <c r="P13" s="45">
        <v>-9929.78327433666</v>
      </c>
      <c r="Q13" s="64">
        <v>-679.9090368805026</v>
      </c>
      <c r="R13" s="45">
        <v>-10872.304880698239</v>
      </c>
      <c r="S13" s="64"/>
      <c r="T13" s="45"/>
      <c r="U13" s="16">
        <v>-10872.304880698239</v>
      </c>
      <c r="V13" s="65">
        <f t="shared" si="0"/>
        <v>-9929.78327433666</v>
      </c>
      <c r="X13" s="63">
        <v>3999.184774938723</v>
      </c>
      <c r="Y13" s="45">
        <v>0</v>
      </c>
      <c r="Z13" s="16">
        <v>3999.184774938723</v>
      </c>
      <c r="AB13" s="66">
        <v>-6873.120105759515</v>
      </c>
    </row>
    <row r="14" spans="1:28" x14ac:dyDescent="0.25">
      <c r="A14" s="29" t="s">
        <v>65</v>
      </c>
      <c r="B14" s="45">
        <v>10000000</v>
      </c>
      <c r="C14" s="45">
        <v>-2462037.8734140135</v>
      </c>
      <c r="D14" s="45">
        <v>-6707.82910968177</v>
      </c>
      <c r="E14" s="45">
        <v>-253633.28736340627</v>
      </c>
      <c r="F14" s="45"/>
      <c r="G14" s="45">
        <v>102149.90128363525</v>
      </c>
      <c r="H14" s="45">
        <v>7379770.911396533</v>
      </c>
      <c r="I14" s="45">
        <v>2620229.0886034667</v>
      </c>
      <c r="J14" s="45"/>
      <c r="K14" s="45">
        <v>-7277621.011646828</v>
      </c>
      <c r="L14" s="45">
        <v>-0.0015339296805905178</v>
      </c>
      <c r="N14" s="63"/>
      <c r="O14" s="45">
        <v>-6707.82910968177</v>
      </c>
      <c r="P14" s="45">
        <v>-253633.28736340627</v>
      </c>
      <c r="Q14" s="64">
        <v>-17366.699692003865</v>
      </c>
      <c r="R14" s="45">
        <v>-277707.81616509194</v>
      </c>
      <c r="S14" s="64"/>
      <c r="T14" s="45"/>
      <c r="U14" s="16">
        <v>-277707.81616509194</v>
      </c>
      <c r="V14" s="65">
        <f t="shared" si="0"/>
        <v>-253633.28736340627</v>
      </c>
      <c r="X14" s="63">
        <v>102149.90128363525</v>
      </c>
      <c r="Y14" s="45">
        <v>0</v>
      </c>
      <c r="Z14" s="16">
        <v>102149.90128363525</v>
      </c>
      <c r="AB14" s="66">
        <v>-175557.9148814567</v>
      </c>
    </row>
    <row r="15" spans="1:28" x14ac:dyDescent="0.25">
      <c r="A15" s="29" t="s">
        <v>68</v>
      </c>
      <c r="B15" s="45">
        <v>914798.44</v>
      </c>
      <c r="C15" s="45">
        <v>-228016.15902893676</v>
      </c>
      <c r="D15" s="45">
        <v>-613.6311605327064</v>
      </c>
      <c r="E15" s="45">
        <v>-23202.333561211475</v>
      </c>
      <c r="F15" s="45"/>
      <c r="G15" s="45">
        <v>9344.657034042351</v>
      </c>
      <c r="H15" s="45">
        <v>672310.9732833614</v>
      </c>
      <c r="I15" s="45">
        <v>242487.46671663853</v>
      </c>
      <c r="J15" s="45"/>
      <c r="K15" s="45">
        <v>-662966.3183763969</v>
      </c>
      <c r="L15" s="45">
        <v>-0.002127077839759295</v>
      </c>
      <c r="N15" s="63"/>
      <c r="O15" s="45">
        <v>-613.6311605327064</v>
      </c>
      <c r="P15" s="45">
        <v>-23202.333561211475</v>
      </c>
      <c r="Q15" s="64">
        <v>-1588.7029786193614</v>
      </c>
      <c r="R15" s="45">
        <v>-25404.66770036354</v>
      </c>
      <c r="S15" s="64"/>
      <c r="T15" s="45"/>
      <c r="U15" s="16">
        <v>-25404.66770036354</v>
      </c>
      <c r="V15" s="65">
        <f t="shared" si="0"/>
        <v>-23202.333561211475</v>
      </c>
      <c r="X15" s="63">
        <v>9344.657034042351</v>
      </c>
      <c r="Y15" s="45">
        <v>0</v>
      </c>
      <c r="Z15" s="16">
        <v>9344.657034042351</v>
      </c>
      <c r="AB15" s="66">
        <v>-16060.01066632119</v>
      </c>
    </row>
    <row r="16" spans="1:28" x14ac:dyDescent="0.25">
      <c r="A16" s="29" t="s">
        <v>70</v>
      </c>
      <c r="B16" s="45">
        <v>914798.44</v>
      </c>
      <c r="C16" s="45">
        <v>-228016.15902893676</v>
      </c>
      <c r="D16" s="45">
        <v>-613.6311605327064</v>
      </c>
      <c r="E16" s="45">
        <v>-23202.333561211475</v>
      </c>
      <c r="F16" s="45"/>
      <c r="G16" s="45">
        <v>9344.657034042351</v>
      </c>
      <c r="H16" s="45">
        <v>672310.9732833614</v>
      </c>
      <c r="I16" s="45">
        <v>242487.46671663853</v>
      </c>
      <c r="J16" s="45"/>
      <c r="K16" s="45">
        <v>-662966.3183763969</v>
      </c>
      <c r="L16" s="45">
        <v>-0.002127077839759295</v>
      </c>
      <c r="N16" s="63"/>
      <c r="O16" s="45">
        <v>-613.6311605327064</v>
      </c>
      <c r="P16" s="45">
        <v>-23202.333561211475</v>
      </c>
      <c r="Q16" s="64">
        <v>-1588.7029786193614</v>
      </c>
      <c r="R16" s="45">
        <v>-25404.66770036354</v>
      </c>
      <c r="S16" s="64"/>
      <c r="T16" s="45"/>
      <c r="U16" s="16">
        <v>-25404.66770036354</v>
      </c>
      <c r="V16" s="65">
        <f t="shared" si="0"/>
        <v>-23202.333561211475</v>
      </c>
      <c r="X16" s="63">
        <v>9344.657034042351</v>
      </c>
      <c r="Y16" s="45">
        <v>0</v>
      </c>
      <c r="Z16" s="16">
        <v>9344.657034042351</v>
      </c>
      <c r="AB16" s="66">
        <v>-16060.01066632119</v>
      </c>
    </row>
    <row r="17" spans="1:28" x14ac:dyDescent="0.25">
      <c r="A17" s="29" t="s">
        <v>72</v>
      </c>
      <c r="B17" s="45">
        <v>78300.32</v>
      </c>
      <c r="C17" s="45">
        <v>-19495.07859961313</v>
      </c>
      <c r="D17" s="45">
        <v>-52.52251657933812</v>
      </c>
      <c r="E17" s="45">
        <v>-1985.9567563206656</v>
      </c>
      <c r="F17" s="45"/>
      <c r="G17" s="45">
        <v>799.8369958477051</v>
      </c>
      <c r="H17" s="45">
        <v>57566.59912333458</v>
      </c>
      <c r="I17" s="45">
        <v>20733.72087666543</v>
      </c>
      <c r="J17" s="45"/>
      <c r="K17" s="45">
        <v>-56766.76574521985</v>
      </c>
      <c r="L17" s="45">
        <v>-0.003617732974817045</v>
      </c>
      <c r="N17" s="63"/>
      <c r="O17" s="45">
        <v>-52.52251657933812</v>
      </c>
      <c r="P17" s="45">
        <v>-1985.9567563206656</v>
      </c>
      <c r="Q17" s="64">
        <v>-135.98181432278042</v>
      </c>
      <c r="R17" s="45">
        <v>-2174.461087222784</v>
      </c>
      <c r="S17" s="64"/>
      <c r="T17" s="45"/>
      <c r="U17" s="16">
        <v>-2174.461087222784</v>
      </c>
      <c r="V17" s="65">
        <f t="shared" si="0"/>
        <v>-1985.9567563206656</v>
      </c>
      <c r="X17" s="63">
        <v>799.8369958477051</v>
      </c>
      <c r="Y17" s="45">
        <v>0</v>
      </c>
      <c r="Z17" s="16">
        <v>799.8369958477051</v>
      </c>
      <c r="AB17" s="66">
        <v>-1374.624091375079</v>
      </c>
    </row>
    <row r="18" spans="1:28" x14ac:dyDescent="0.25">
      <c r="A18" s="29" t="s">
        <v>74</v>
      </c>
      <c r="B18" s="45">
        <v>234900.95</v>
      </c>
      <c r="C18" s="45">
        <v>-58485.244343849336</v>
      </c>
      <c r="D18" s="45">
        <v>-157.56754303025082</v>
      </c>
      <c r="E18" s="45">
        <v>-5957.870015328663</v>
      </c>
      <c r="F18" s="45"/>
      <c r="G18" s="45">
        <v>2399.5108853932143</v>
      </c>
      <c r="H18" s="45">
        <v>172699.77898318498</v>
      </c>
      <c r="I18" s="45">
        <v>62201.17101681503</v>
      </c>
      <c r="J18" s="45"/>
      <c r="K18" s="45">
        <v>-170300.27010504936</v>
      </c>
      <c r="L18" s="45">
        <v>-0.0020072575971425977</v>
      </c>
      <c r="N18" s="63"/>
      <c r="O18" s="45">
        <v>-157.56754303025082</v>
      </c>
      <c r="P18" s="45">
        <v>-5957.870015328663</v>
      </c>
      <c r="Q18" s="64">
        <v>-407.9454256016415</v>
      </c>
      <c r="R18" s="45">
        <v>-6523.382983960555</v>
      </c>
      <c r="S18" s="64"/>
      <c r="T18" s="45"/>
      <c r="U18" s="16">
        <v>-6523.382983960555</v>
      </c>
      <c r="V18" s="65">
        <f t="shared" si="0"/>
        <v>-5957.870015328663</v>
      </c>
      <c r="X18" s="63">
        <v>2399.5108853932143</v>
      </c>
      <c r="Y18" s="45">
        <v>0</v>
      </c>
      <c r="Z18" s="16">
        <v>2399.5108853932143</v>
      </c>
      <c r="AB18" s="66">
        <v>-4123.872098567341</v>
      </c>
    </row>
    <row r="19" spans="1:28" x14ac:dyDescent="0.25">
      <c r="A19" s="29" t="s">
        <v>76</v>
      </c>
      <c r="B19" s="45">
        <v>500000</v>
      </c>
      <c r="C19" s="45">
        <v>-123101.89217070077</v>
      </c>
      <c r="D19" s="45">
        <v>-335.3914554840885</v>
      </c>
      <c r="E19" s="45">
        <v>-12681.664368170314</v>
      </c>
      <c r="F19" s="45"/>
      <c r="G19" s="45">
        <v>5107.495064181762</v>
      </c>
      <c r="H19" s="45">
        <v>368988.54706982657</v>
      </c>
      <c r="I19" s="45">
        <v>131011.45293017343</v>
      </c>
      <c r="J19" s="45"/>
      <c r="K19" s="45">
        <v>-363881.0480823414</v>
      </c>
      <c r="L19" s="45">
        <v>0.003923303426745406</v>
      </c>
      <c r="N19" s="63"/>
      <c r="O19" s="45">
        <v>-335.3914554840885</v>
      </c>
      <c r="P19" s="45">
        <v>-12681.664368170314</v>
      </c>
      <c r="Q19" s="64">
        <v>-868.3349846001933</v>
      </c>
      <c r="R19" s="45">
        <v>-13885.390808254595</v>
      </c>
      <c r="S19" s="64"/>
      <c r="T19" s="45"/>
      <c r="U19" s="16">
        <v>-13885.390808254595</v>
      </c>
      <c r="V19" s="65">
        <f t="shared" si="0"/>
        <v>-12681.664368170314</v>
      </c>
      <c r="X19" s="63">
        <v>5107.495064181762</v>
      </c>
      <c r="Y19" s="45">
        <v>0</v>
      </c>
      <c r="Z19" s="16">
        <v>5107.495064181762</v>
      </c>
      <c r="AB19" s="66">
        <v>-8777.895744072834</v>
      </c>
    </row>
    <row r="20" spans="1:28" x14ac:dyDescent="0.25">
      <c r="A20" s="29" t="s">
        <v>77</v>
      </c>
      <c r="B20" s="45">
        <v>195750.79</v>
      </c>
      <c r="C20" s="45">
        <v>-48737.695044042775</v>
      </c>
      <c r="D20" s="45">
        <v>-131.3062847405381</v>
      </c>
      <c r="E20" s="45">
        <v>-4964.89163716833</v>
      </c>
      <c r="F20" s="45"/>
      <c r="G20" s="45">
        <v>1999.5923874693615</v>
      </c>
      <c r="H20" s="45">
        <v>143916.48942151773</v>
      </c>
      <c r="I20" s="45">
        <v>51834.300578482274</v>
      </c>
      <c r="J20" s="45"/>
      <c r="K20" s="45">
        <v>-141916.89723243946</v>
      </c>
      <c r="L20" s="45">
        <v>-0.00019839108404084982</v>
      </c>
      <c r="N20" s="63"/>
      <c r="O20" s="45">
        <v>-131.3062847405381</v>
      </c>
      <c r="P20" s="45">
        <v>-4964.89163716833</v>
      </c>
      <c r="Q20" s="64">
        <v>-339.9545184402513</v>
      </c>
      <c r="R20" s="45">
        <v>-5436.152440349119</v>
      </c>
      <c r="S20" s="64"/>
      <c r="T20" s="45"/>
      <c r="U20" s="16">
        <v>-5436.152440349119</v>
      </c>
      <c r="V20" s="65">
        <f t="shared" si="0"/>
        <v>-4964.89163716833</v>
      </c>
      <c r="X20" s="63">
        <v>1999.5923874693615</v>
      </c>
      <c r="Y20" s="45">
        <v>0</v>
      </c>
      <c r="Z20" s="16">
        <v>1999.5923874693615</v>
      </c>
      <c r="AB20" s="66">
        <v>-3436.5600528797577</v>
      </c>
    </row>
    <row r="21" spans="1:28" x14ac:dyDescent="0.25">
      <c r="A21" s="29" t="s">
        <v>78</v>
      </c>
      <c r="B21" s="45">
        <v>500000</v>
      </c>
      <c r="C21" s="45">
        <v>-119426.6121707008</v>
      </c>
      <c r="D21" s="45">
        <v>-335.3914554840885</v>
      </c>
      <c r="E21" s="45">
        <v>-12681.664368170314</v>
      </c>
      <c r="F21" s="45"/>
      <c r="G21" s="45">
        <v>5107.495064181762</v>
      </c>
      <c r="H21" s="45">
        <v>372663.82706982654</v>
      </c>
      <c r="I21" s="45">
        <v>127336.17293017346</v>
      </c>
      <c r="J21" s="45"/>
      <c r="K21" s="45">
        <v>-367556.3280823414</v>
      </c>
      <c r="L21" s="45">
        <v>0.003923303368537745</v>
      </c>
      <c r="N21" s="63"/>
      <c r="O21" s="45">
        <v>-335.3914554840885</v>
      </c>
      <c r="P21" s="45">
        <v>-12681.664368170314</v>
      </c>
      <c r="Q21" s="64">
        <v>-868.3349846001933</v>
      </c>
      <c r="R21" s="45">
        <v>-13885.390808254595</v>
      </c>
      <c r="S21" s="64"/>
      <c r="T21" s="45"/>
      <c r="U21" s="16">
        <v>-13885.390808254595</v>
      </c>
      <c r="V21" s="65">
        <f t="shared" si="0"/>
        <v>-12681.664368170314</v>
      </c>
      <c r="X21" s="63">
        <v>5107.495064181762</v>
      </c>
      <c r="Y21" s="45">
        <v>0</v>
      </c>
      <c r="Z21" s="16">
        <v>5107.495064181762</v>
      </c>
      <c r="AB21" s="66">
        <v>-8777.895744072834</v>
      </c>
    </row>
    <row r="22" spans="1:28" x14ac:dyDescent="0.25">
      <c r="A22" s="29" t="s">
        <v>80</v>
      </c>
      <c r="B22" s="45">
        <v>50964145.41</v>
      </c>
      <c r="C22" s="45">
        <v>-12688968.604265422</v>
      </c>
      <c r="D22" s="45">
        <v>-34185.87781312317</v>
      </c>
      <c r="E22" s="45">
        <v>-1292620.3738004938</v>
      </c>
      <c r="F22" s="45"/>
      <c r="G22" s="45">
        <v>520598.2422636333</v>
      </c>
      <c r="H22" s="45">
        <v>37468968.79638459</v>
      </c>
      <c r="I22" s="45">
        <v>13495176.613615409</v>
      </c>
      <c r="J22" s="45"/>
      <c r="K22" s="45">
        <v>-36948370.49401925</v>
      </c>
      <c r="L22" s="45">
        <v>0.06010170700028539</v>
      </c>
      <c r="N22" s="63"/>
      <c r="O22" s="45">
        <v>-34185.87781312317</v>
      </c>
      <c r="P22" s="45">
        <v>-1292620.3738004938</v>
      </c>
      <c r="Q22" s="64">
        <v>-88507.9008395087</v>
      </c>
      <c r="R22" s="45">
        <v>-1415314.1524531257</v>
      </c>
      <c r="S22" s="64"/>
      <c r="T22" s="45"/>
      <c r="U22" s="16">
        <v>-1415314.1524531257</v>
      </c>
      <c r="V22" s="65">
        <f t="shared" si="0"/>
        <v>-1292620.3738004938</v>
      </c>
      <c r="X22" s="63">
        <v>520598.2422636333</v>
      </c>
      <c r="Y22" s="45">
        <v>0</v>
      </c>
      <c r="Z22" s="16">
        <v>520598.2422636333</v>
      </c>
      <c r="AB22" s="66">
        <v>-894715.9101894924</v>
      </c>
    </row>
    <row r="23" spans="1:28" x14ac:dyDescent="0.25">
      <c r="A23" s="29" t="s">
        <v>82</v>
      </c>
      <c r="B23" s="45">
        <v>6326173.38</v>
      </c>
      <c r="C23" s="45">
        <v>-1587135.717075915</v>
      </c>
      <c r="D23" s="45">
        <v>-4243.488995125517</v>
      </c>
      <c r="E23" s="45">
        <v>-160452.8150800271</v>
      </c>
      <c r="F23" s="45"/>
      <c r="G23" s="45">
        <v>64621.79862701611</v>
      </c>
      <c r="H23" s="45">
        <v>4638963.157475948</v>
      </c>
      <c r="I23" s="45">
        <v>1687210.2225240516</v>
      </c>
      <c r="J23" s="45"/>
      <c r="K23" s="45">
        <v>-4574341.359781929</v>
      </c>
      <c r="L23" s="45">
        <v>-0.0009329970707767643</v>
      </c>
      <c r="N23" s="63"/>
      <c r="O23" s="45">
        <v>-4243.488995125517</v>
      </c>
      <c r="P23" s="45">
        <v>-160452.8150800271</v>
      </c>
      <c r="Q23" s="64">
        <v>-10986.475329000905</v>
      </c>
      <c r="R23" s="45">
        <v>-175682.77940415352</v>
      </c>
      <c r="S23" s="64"/>
      <c r="T23" s="45"/>
      <c r="U23" s="16">
        <v>-175682.77940415352</v>
      </c>
      <c r="V23" s="65">
        <f t="shared" si="0"/>
        <v>-160452.8150800271</v>
      </c>
      <c r="X23" s="63">
        <v>64621.79862701611</v>
      </c>
      <c r="Y23" s="45">
        <v>0</v>
      </c>
      <c r="Z23" s="16">
        <v>64621.79862701611</v>
      </c>
      <c r="AB23" s="66">
        <v>-111060.98077713742</v>
      </c>
    </row>
    <row r="24" spans="1:28" x14ac:dyDescent="0.25">
      <c r="A24" s="29" t="s">
        <v>83</v>
      </c>
      <c r="B24" s="45">
        <v>195750.79</v>
      </c>
      <c r="C24" s="45">
        <v>-48737.695044042775</v>
      </c>
      <c r="D24" s="45">
        <v>-131.3062847405381</v>
      </c>
      <c r="E24" s="45">
        <v>-4964.89163716833</v>
      </c>
      <c r="F24" s="45"/>
      <c r="G24" s="45">
        <v>1999.5923874693615</v>
      </c>
      <c r="H24" s="45">
        <v>143916.48942151773</v>
      </c>
      <c r="I24" s="45">
        <v>51834.300578482274</v>
      </c>
      <c r="J24" s="45"/>
      <c r="K24" s="45">
        <v>-141916.89723243946</v>
      </c>
      <c r="L24" s="45">
        <v>-0.00019839108404084982</v>
      </c>
      <c r="N24" s="63"/>
      <c r="O24" s="45">
        <v>-131.3062847405381</v>
      </c>
      <c r="P24" s="45">
        <v>-4964.89163716833</v>
      </c>
      <c r="Q24" s="64">
        <v>-339.9545184402513</v>
      </c>
      <c r="R24" s="45">
        <v>-5436.152440349119</v>
      </c>
      <c r="S24" s="64"/>
      <c r="T24" s="45"/>
      <c r="U24" s="16">
        <v>-5436.152440349119</v>
      </c>
      <c r="V24" s="65">
        <f t="shared" si="0"/>
        <v>-4964.89163716833</v>
      </c>
      <c r="X24" s="63">
        <v>1999.5923874693615</v>
      </c>
      <c r="Y24" s="45">
        <v>0</v>
      </c>
      <c r="Z24" s="16">
        <v>1999.5923874693615</v>
      </c>
      <c r="AB24" s="66">
        <v>-3436.5600528797577</v>
      </c>
    </row>
    <row r="25" spans="1:28" x14ac:dyDescent="0.25">
      <c r="A25" s="29" t="s">
        <v>84</v>
      </c>
      <c r="B25" s="45">
        <v>1212491.36</v>
      </c>
      <c r="C25" s="45">
        <v>-301499.48274222563</v>
      </c>
      <c r="D25" s="45">
        <v>-813.3184839845635</v>
      </c>
      <c r="E25" s="45">
        <v>-30752.816953652655</v>
      </c>
      <c r="F25" s="45"/>
      <c r="G25" s="45">
        <v>12385.587273126066</v>
      </c>
      <c r="H25" s="45">
        <v>891811.3290932634</v>
      </c>
      <c r="I25" s="45">
        <v>320680.03090673673</v>
      </c>
      <c r="J25" s="45"/>
      <c r="K25" s="45">
        <v>-879425.7441628244</v>
      </c>
      <c r="L25" s="45">
        <v>-0.002342687052077963</v>
      </c>
      <c r="N25" s="63"/>
      <c r="O25" s="45">
        <v>-813.3184839845635</v>
      </c>
      <c r="P25" s="45">
        <v>-30752.816953652655</v>
      </c>
      <c r="Q25" s="64">
        <v>-2105.697332826935</v>
      </c>
      <c r="R25" s="45">
        <v>-33671.832770464156</v>
      </c>
      <c r="S25" s="64"/>
      <c r="T25" s="45"/>
      <c r="U25" s="16">
        <v>-33671.832770464156</v>
      </c>
      <c r="V25" s="65">
        <f t="shared" si="0"/>
        <v>-30752.816953652655</v>
      </c>
      <c r="X25" s="63">
        <v>12385.587273126066</v>
      </c>
      <c r="Y25" s="45">
        <v>0</v>
      </c>
      <c r="Z25" s="16">
        <v>12385.587273126066</v>
      </c>
      <c r="AB25" s="66">
        <v>-21286.245497338088</v>
      </c>
    </row>
    <row r="26" spans="1:28" x14ac:dyDescent="0.25">
      <c r="A26" s="29" t="s">
        <v>85</v>
      </c>
      <c r="B26" s="45">
        <v>195750.79</v>
      </c>
      <c r="C26" s="45">
        <v>-48737.695044042775</v>
      </c>
      <c r="D26" s="45">
        <v>-131.3062847405381</v>
      </c>
      <c r="E26" s="45">
        <v>-4964.89163716833</v>
      </c>
      <c r="F26" s="45"/>
      <c r="G26" s="45">
        <v>1999.5923874693615</v>
      </c>
      <c r="H26" s="45">
        <v>143916.48942151773</v>
      </c>
      <c r="I26" s="45">
        <v>51834.300578482274</v>
      </c>
      <c r="J26" s="45"/>
      <c r="K26" s="45">
        <v>-141916.89723243946</v>
      </c>
      <c r="L26" s="45">
        <v>-0.00019839108404084982</v>
      </c>
      <c r="N26" s="63"/>
      <c r="O26" s="45">
        <v>-131.3062847405381</v>
      </c>
      <c r="P26" s="45">
        <v>-4964.89163716833</v>
      </c>
      <c r="Q26" s="64">
        <v>-339.9545184402513</v>
      </c>
      <c r="R26" s="45">
        <v>-5436.152440349119</v>
      </c>
      <c r="S26" s="64"/>
      <c r="T26" s="45"/>
      <c r="U26" s="16">
        <v>-5436.152440349119</v>
      </c>
      <c r="V26" s="65">
        <f t="shared" si="0"/>
        <v>-4964.89163716833</v>
      </c>
      <c r="X26" s="63">
        <v>1999.5923874693615</v>
      </c>
      <c r="Y26" s="45">
        <v>0</v>
      </c>
      <c r="Z26" s="16">
        <v>1999.5923874693615</v>
      </c>
      <c r="AB26" s="66">
        <v>-3436.5600528797577</v>
      </c>
    </row>
    <row r="27" spans="1:28" x14ac:dyDescent="0.25">
      <c r="A27" s="29" t="s">
        <v>86</v>
      </c>
      <c r="B27" s="45">
        <v>500000</v>
      </c>
      <c r="C27" s="45">
        <v>-123101.89217070077</v>
      </c>
      <c r="D27" s="45">
        <v>-335.3914554840885</v>
      </c>
      <c r="E27" s="45">
        <v>-12681.664368170314</v>
      </c>
      <c r="F27" s="45"/>
      <c r="G27" s="45">
        <v>5107.495064181762</v>
      </c>
      <c r="H27" s="45">
        <v>368988.54706982657</v>
      </c>
      <c r="I27" s="45">
        <v>131011.45293017343</v>
      </c>
      <c r="J27" s="45"/>
      <c r="K27" s="45">
        <v>-363881.0480823414</v>
      </c>
      <c r="L27" s="45">
        <v>0.003923303426745406</v>
      </c>
      <c r="N27" s="63"/>
      <c r="O27" s="45">
        <v>-335.3914554840885</v>
      </c>
      <c r="P27" s="45">
        <v>-12681.664368170314</v>
      </c>
      <c r="Q27" s="64">
        <v>-868.3349846001933</v>
      </c>
      <c r="R27" s="45">
        <v>-13885.390808254595</v>
      </c>
      <c r="S27" s="64"/>
      <c r="T27" s="45"/>
      <c r="U27" s="16">
        <v>-13885.390808254595</v>
      </c>
      <c r="V27" s="65">
        <f t="shared" si="0"/>
        <v>-12681.664368170314</v>
      </c>
      <c r="X27" s="63">
        <v>5107.495064181762</v>
      </c>
      <c r="Y27" s="45">
        <v>0</v>
      </c>
      <c r="Z27" s="16">
        <v>5107.495064181762</v>
      </c>
      <c r="AB27" s="66">
        <v>-8777.895744072834</v>
      </c>
    </row>
    <row r="28" spans="1:28" x14ac:dyDescent="0.25">
      <c r="A28" s="29" t="s">
        <v>87</v>
      </c>
      <c r="B28" s="45">
        <v>165897.64</v>
      </c>
      <c r="C28" s="45">
        <v>-40417.984860523065</v>
      </c>
      <c r="D28" s="45">
        <v>-111.28130188195792</v>
      </c>
      <c r="E28" s="45">
        <v>-4207.716379903082</v>
      </c>
      <c r="F28" s="45"/>
      <c r="G28" s="45">
        <v>1694.642754918806</v>
      </c>
      <c r="H28" s="45">
        <v>122855.30021261072</v>
      </c>
      <c r="I28" s="45">
        <v>43042.3397873893</v>
      </c>
      <c r="J28" s="45"/>
      <c r="K28" s="45">
        <v>-121160.65633978797</v>
      </c>
      <c r="L28" s="45">
        <v>0.0011179039452144934</v>
      </c>
      <c r="N28" s="63"/>
      <c r="O28" s="45">
        <v>-111.28130188195792</v>
      </c>
      <c r="P28" s="45">
        <v>-4207.716379903082</v>
      </c>
      <c r="Q28" s="64">
        <v>-288.1094493492168</v>
      </c>
      <c r="R28" s="45">
        <v>-4607.107131134257</v>
      </c>
      <c r="S28" s="64"/>
      <c r="T28" s="45"/>
      <c r="U28" s="16">
        <v>-4607.107131134257</v>
      </c>
      <c r="V28" s="65">
        <f t="shared" si="0"/>
        <v>-4207.716379903082</v>
      </c>
      <c r="X28" s="63">
        <v>1694.642754918806</v>
      </c>
      <c r="Y28" s="45">
        <v>0</v>
      </c>
      <c r="Z28" s="16">
        <v>1694.642754918806</v>
      </c>
      <c r="AB28" s="66">
        <v>-2912.4643762154506</v>
      </c>
    </row>
    <row r="29" spans="1:28" x14ac:dyDescent="0.25">
      <c r="A29" s="29" t="s">
        <v>88</v>
      </c>
      <c r="B29" s="45">
        <v>4802554.5</v>
      </c>
      <c r="C29" s="45">
        <v>-1253009.868045318</v>
      </c>
      <c r="D29" s="45">
        <v>-3221.4714875933714</v>
      </c>
      <c r="E29" s="45">
        <v>-121808.76855769241</v>
      </c>
      <c r="F29" s="45"/>
      <c r="G29" s="45">
        <v>49058.046808427825</v>
      </c>
      <c r="H29" s="45">
        <v>3473572.438717824</v>
      </c>
      <c r="I29" s="45">
        <v>1328982.061282176</v>
      </c>
      <c r="J29" s="45"/>
      <c r="K29" s="45">
        <v>-3424514.3919562697</v>
      </c>
      <c r="L29" s="45">
        <v>-0.000046873625251464546</v>
      </c>
      <c r="N29" s="63"/>
      <c r="O29" s="45">
        <v>-3221.4714875933714</v>
      </c>
      <c r="P29" s="45">
        <v>-121808.76855769241</v>
      </c>
      <c r="Q29" s="64">
        <v>-8340.452175598177</v>
      </c>
      <c r="R29" s="45">
        <v>-133370.69222088397</v>
      </c>
      <c r="S29" s="64"/>
      <c r="T29" s="45"/>
      <c r="U29" s="16">
        <v>-133370.69222088397</v>
      </c>
      <c r="V29" s="65">
        <f t="shared" si="0"/>
        <v>-121808.76855769241</v>
      </c>
      <c r="X29" s="63">
        <v>49058.046808427825</v>
      </c>
      <c r="Y29" s="45">
        <v>0</v>
      </c>
      <c r="Z29" s="16">
        <v>49058.046808427825</v>
      </c>
      <c r="AB29" s="66">
        <v>-84312.64541245614</v>
      </c>
    </row>
    <row r="30" spans="1:28" x14ac:dyDescent="0.25">
      <c r="A30" s="29" t="s">
        <v>89</v>
      </c>
      <c r="B30" s="45">
        <v>369576.65</v>
      </c>
      <c r="C30" s="45">
        <v>-96424.35460283066</v>
      </c>
      <c r="D30" s="45">
        <v>-247.90570111287525</v>
      </c>
      <c r="E30" s="45">
        <v>-9373.6940672255</v>
      </c>
      <c r="F30" s="45"/>
      <c r="G30" s="45">
        <v>3775.221831423662</v>
      </c>
      <c r="H30" s="45">
        <v>267305.9174602546</v>
      </c>
      <c r="I30" s="45">
        <v>102270.7325397454</v>
      </c>
      <c r="J30" s="45"/>
      <c r="K30" s="45">
        <v>-263530.7015997393</v>
      </c>
      <c r="L30" s="45">
        <v>-0.00597090835299241</v>
      </c>
      <c r="N30" s="63"/>
      <c r="O30" s="45">
        <v>-247.90570111287525</v>
      </c>
      <c r="P30" s="45">
        <v>-9373.6940672255</v>
      </c>
      <c r="Q30" s="64">
        <v>-641.8326693726821</v>
      </c>
      <c r="R30" s="45">
        <v>-10263.432437711057</v>
      </c>
      <c r="S30" s="64"/>
      <c r="T30" s="45"/>
      <c r="U30" s="16">
        <v>-10263.432437711057</v>
      </c>
      <c r="V30" s="65">
        <f t="shared" si="0"/>
        <v>-9373.6940672255</v>
      </c>
      <c r="X30" s="63">
        <v>3775.221831423662</v>
      </c>
      <c r="Y30" s="45">
        <v>0</v>
      </c>
      <c r="Z30" s="16">
        <v>3775.221831423662</v>
      </c>
      <c r="AB30" s="66">
        <v>-6488.210606287395</v>
      </c>
    </row>
    <row r="31" spans="1:28" x14ac:dyDescent="0.25">
      <c r="A31" s="29" t="s">
        <v>90</v>
      </c>
      <c r="B31" s="45">
        <v>156600.63</v>
      </c>
      <c r="C31" s="45">
        <v>-38990.165744236234</v>
      </c>
      <c r="D31" s="45">
        <v>-105.0450264508545</v>
      </c>
      <c r="E31" s="45">
        <v>-3971.9132590080408</v>
      </c>
      <c r="F31" s="45"/>
      <c r="G31" s="45">
        <v>1599.6738895455092</v>
      </c>
      <c r="H31" s="45">
        <v>115133.17985985038</v>
      </c>
      <c r="I31" s="45">
        <v>41467.45014014962</v>
      </c>
      <c r="J31" s="45"/>
      <c r="K31" s="45">
        <v>-113533.50435982952</v>
      </c>
      <c r="L31" s="45">
        <v>0.0016104753558465745</v>
      </c>
      <c r="N31" s="63"/>
      <c r="O31" s="45">
        <v>-105.0450264508545</v>
      </c>
      <c r="P31" s="45">
        <v>-3971.9132590080408</v>
      </c>
      <c r="Q31" s="64">
        <v>-271.9636112788611</v>
      </c>
      <c r="R31" s="45">
        <v>-4348.9218967377565</v>
      </c>
      <c r="S31" s="64"/>
      <c r="T31" s="45"/>
      <c r="U31" s="16">
        <v>-4348.9218967377565</v>
      </c>
      <c r="V31" s="65">
        <f t="shared" si="0"/>
        <v>-3971.9132590080408</v>
      </c>
      <c r="X31" s="63">
        <v>1599.6738895455092</v>
      </c>
      <c r="Y31" s="45">
        <v>0</v>
      </c>
      <c r="Z31" s="16">
        <v>1599.6738895455092</v>
      </c>
      <c r="AB31" s="66">
        <v>-2749.2480071922473</v>
      </c>
    </row>
    <row r="32" spans="1:28" x14ac:dyDescent="0.25">
      <c r="A32" s="29" t="s">
        <v>91</v>
      </c>
      <c r="B32" s="45">
        <v>850000</v>
      </c>
      <c r="C32" s="45">
        <v>-203025.2436901913</v>
      </c>
      <c r="D32" s="45">
        <v>-570.1654743232066</v>
      </c>
      <c r="E32" s="45">
        <v>-21558.829425889417</v>
      </c>
      <c r="F32" s="45"/>
      <c r="G32" s="45">
        <v>8682.741609108996</v>
      </c>
      <c r="H32" s="45">
        <v>633528.503018705</v>
      </c>
      <c r="I32" s="45">
        <v>216471.49698129494</v>
      </c>
      <c r="J32" s="45"/>
      <c r="K32" s="45">
        <v>-624845.7537399804</v>
      </c>
      <c r="L32" s="45">
        <v>0.007669615662962315</v>
      </c>
      <c r="N32" s="63"/>
      <c r="O32" s="45">
        <v>-570.1654743232066</v>
      </c>
      <c r="P32" s="45">
        <v>-21558.829425889417</v>
      </c>
      <c r="Q32" s="64">
        <v>-1476.1694738203284</v>
      </c>
      <c r="R32" s="45">
        <v>-23605.164374032953</v>
      </c>
      <c r="S32" s="64"/>
      <c r="T32" s="45"/>
      <c r="U32" s="16">
        <v>-23605.164374032953</v>
      </c>
      <c r="V32" s="65">
        <f t="shared" si="0"/>
        <v>-21558.829425889417</v>
      </c>
      <c r="X32" s="63">
        <v>8682.741609108996</v>
      </c>
      <c r="Y32" s="45">
        <v>0</v>
      </c>
      <c r="Z32" s="16">
        <v>8682.741609108996</v>
      </c>
      <c r="AB32" s="66">
        <v>-14922.422764923956</v>
      </c>
    </row>
    <row r="33" spans="1:28" x14ac:dyDescent="0.25">
      <c r="A33" s="29" t="s">
        <v>92</v>
      </c>
      <c r="B33" s="45">
        <v>1500000</v>
      </c>
      <c r="C33" s="45">
        <v>-369305.67651210236</v>
      </c>
      <c r="D33" s="45">
        <v>-1006.1743664524984</v>
      </c>
      <c r="E33" s="45">
        <v>-38044.99310451094</v>
      </c>
      <c r="F33" s="45"/>
      <c r="G33" s="45">
        <v>15322.48519254529</v>
      </c>
      <c r="H33" s="45">
        <v>1106965.6412094794</v>
      </c>
      <c r="I33" s="45">
        <v>393034.3587905206</v>
      </c>
      <c r="J33" s="45"/>
      <c r="K33" s="45">
        <v>-1091643.154247024</v>
      </c>
      <c r="L33" s="45">
        <v>0.0017699100353638642</v>
      </c>
      <c r="N33" s="63"/>
      <c r="O33" s="45">
        <v>-1006.1743664524984</v>
      </c>
      <c r="P33" s="45">
        <v>-38044.99310451094</v>
      </c>
      <c r="Q33" s="64">
        <v>-2605.0049538005796</v>
      </c>
      <c r="R33" s="45">
        <v>-41656.172424764016</v>
      </c>
      <c r="S33" s="64"/>
      <c r="T33" s="45"/>
      <c r="U33" s="16">
        <v>-41656.172424764016</v>
      </c>
      <c r="V33" s="65">
        <f t="shared" si="0"/>
        <v>-38044.99310451094</v>
      </c>
      <c r="X33" s="63">
        <v>15322.48519254529</v>
      </c>
      <c r="Y33" s="45">
        <v>0</v>
      </c>
      <c r="Z33" s="16">
        <v>15322.48519254529</v>
      </c>
      <c r="AB33" s="66">
        <v>-26333.687232218726</v>
      </c>
    </row>
    <row r="34" spans="1:28" x14ac:dyDescent="0.25">
      <c r="A34" s="29" t="s">
        <v>93</v>
      </c>
      <c r="B34" s="45">
        <v>313201.26</v>
      </c>
      <c r="C34" s="45">
        <v>-77980.35148847237</v>
      </c>
      <c r="D34" s="45">
        <v>-210.090052901709</v>
      </c>
      <c r="E34" s="45">
        <v>-7943.826518016052</v>
      </c>
      <c r="F34" s="45"/>
      <c r="G34" s="45">
        <v>3199.3477790910183</v>
      </c>
      <c r="H34" s="45">
        <v>230266.3397197009</v>
      </c>
      <c r="I34" s="45">
        <v>82934.92028029912</v>
      </c>
      <c r="J34" s="45"/>
      <c r="K34" s="45">
        <v>-227066.99871965905</v>
      </c>
      <c r="L34" s="45">
        <v>-0.006779049181204755</v>
      </c>
      <c r="N34" s="63"/>
      <c r="O34" s="45">
        <v>-210.090052901709</v>
      </c>
      <c r="P34" s="45">
        <v>-7943.826518016052</v>
      </c>
      <c r="Q34" s="64">
        <v>-543.9272225577222</v>
      </c>
      <c r="R34" s="45">
        <v>-8697.843793475484</v>
      </c>
      <c r="S34" s="64"/>
      <c r="T34" s="45"/>
      <c r="U34" s="16">
        <v>-8697.843793475484</v>
      </c>
      <c r="V34" s="65">
        <f t="shared" si="0"/>
        <v>-7943.826518016052</v>
      </c>
      <c r="X34" s="63">
        <v>3199.3477790910183</v>
      </c>
      <c r="Y34" s="45">
        <v>0</v>
      </c>
      <c r="Z34" s="16">
        <v>3199.3477790910183</v>
      </c>
      <c r="AB34" s="66">
        <v>-5498.4960143844655</v>
      </c>
    </row>
    <row r="35" spans="1:28" x14ac:dyDescent="0.25">
      <c r="A35" s="29" t="s">
        <v>94</v>
      </c>
      <c r="B35" s="45">
        <v>234900.95</v>
      </c>
      <c r="C35" s="45">
        <v>-58485.244343849336</v>
      </c>
      <c r="D35" s="45">
        <v>-157.56754303025082</v>
      </c>
      <c r="E35" s="45">
        <v>-5957.870015328663</v>
      </c>
      <c r="F35" s="45"/>
      <c r="G35" s="45">
        <v>2399.5108853932143</v>
      </c>
      <c r="H35" s="45">
        <v>172699.77898318498</v>
      </c>
      <c r="I35" s="45">
        <v>62201.17101681503</v>
      </c>
      <c r="J35" s="45"/>
      <c r="K35" s="45">
        <v>-170300.27010504936</v>
      </c>
      <c r="L35" s="45">
        <v>-0.0020072575971425977</v>
      </c>
      <c r="N35" s="63"/>
      <c r="O35" s="45">
        <v>-157.56754303025082</v>
      </c>
      <c r="P35" s="45">
        <v>-5957.870015328663</v>
      </c>
      <c r="Q35" s="64">
        <v>-407.9454256016415</v>
      </c>
      <c r="R35" s="45">
        <v>-6523.382983960555</v>
      </c>
      <c r="S35" s="64"/>
      <c r="T35" s="45"/>
      <c r="U35" s="16">
        <v>-6523.382983960555</v>
      </c>
      <c r="V35" s="65">
        <f t="shared" si="0"/>
        <v>-5957.870015328663</v>
      </c>
      <c r="X35" s="63">
        <v>2399.5108853932143</v>
      </c>
      <c r="Y35" s="45">
        <v>0</v>
      </c>
      <c r="Z35" s="16">
        <v>2399.5108853932143</v>
      </c>
      <c r="AB35" s="66">
        <v>-4123.872098567341</v>
      </c>
    </row>
    <row r="36" spans="1:28" x14ac:dyDescent="0.25">
      <c r="A36" s="29" t="s">
        <v>95</v>
      </c>
      <c r="B36" s="45">
        <v>1000000</v>
      </c>
      <c r="C36" s="45">
        <v>-246203.78434140154</v>
      </c>
      <c r="D36" s="45">
        <v>-670.782910968177</v>
      </c>
      <c r="E36" s="45">
        <v>-25363.328736340627</v>
      </c>
      <c r="F36" s="45"/>
      <c r="G36" s="45">
        <v>10214.990128363524</v>
      </c>
      <c r="H36" s="45">
        <v>737977.0941396531</v>
      </c>
      <c r="I36" s="45">
        <v>262022.90586034686</v>
      </c>
      <c r="J36" s="45"/>
      <c r="K36" s="45">
        <v>-727762.1061646828</v>
      </c>
      <c r="L36" s="45">
        <v>-0.002153393155822414</v>
      </c>
      <c r="N36" s="63"/>
      <c r="O36" s="45">
        <v>-670.782910968177</v>
      </c>
      <c r="P36" s="45">
        <v>-25363.328736340627</v>
      </c>
      <c r="Q36" s="64">
        <v>-1736.6699692003865</v>
      </c>
      <c r="R36" s="45">
        <v>-27770.78161650919</v>
      </c>
      <c r="S36" s="64"/>
      <c r="T36" s="45"/>
      <c r="U36" s="16">
        <v>-27770.78161650919</v>
      </c>
      <c r="V36" s="65">
        <f t="shared" si="0"/>
        <v>-25363.328736340627</v>
      </c>
      <c r="X36" s="63">
        <v>10214.990128363524</v>
      </c>
      <c r="Y36" s="45">
        <v>0</v>
      </c>
      <c r="Z36" s="16">
        <v>10214.990128363524</v>
      </c>
      <c r="AB36" s="66">
        <v>-17555.791488145667</v>
      </c>
    </row>
    <row r="37" spans="1:28" x14ac:dyDescent="0.25">
      <c r="A37" s="29" t="s">
        <v>96</v>
      </c>
      <c r="B37" s="45">
        <v>1000000</v>
      </c>
      <c r="C37" s="45">
        <v>-246203.78434140154</v>
      </c>
      <c r="D37" s="45">
        <v>-670.782910968177</v>
      </c>
      <c r="E37" s="45">
        <v>-25363.328736340627</v>
      </c>
      <c r="F37" s="45"/>
      <c r="G37" s="45">
        <v>10214.990128363524</v>
      </c>
      <c r="H37" s="45">
        <v>737977.0941396531</v>
      </c>
      <c r="I37" s="45">
        <v>262022.90586034686</v>
      </c>
      <c r="J37" s="45"/>
      <c r="K37" s="45">
        <v>-727762.1061646828</v>
      </c>
      <c r="L37" s="45">
        <v>-0.002153393155822414</v>
      </c>
      <c r="N37" s="63"/>
      <c r="O37" s="45">
        <v>-670.782910968177</v>
      </c>
      <c r="P37" s="45">
        <v>-25363.328736340627</v>
      </c>
      <c r="Q37" s="64">
        <v>-1736.6699692003865</v>
      </c>
      <c r="R37" s="45">
        <v>-27770.78161650919</v>
      </c>
      <c r="S37" s="64"/>
      <c r="T37" s="45"/>
      <c r="U37" s="16">
        <v>-27770.78161650919</v>
      </c>
      <c r="V37" s="65">
        <f t="shared" si="0"/>
        <v>-25363.328736340627</v>
      </c>
      <c r="X37" s="63">
        <v>10214.990128363524</v>
      </c>
      <c r="Y37" s="45">
        <v>0</v>
      </c>
      <c r="Z37" s="16">
        <v>10214.990128363524</v>
      </c>
      <c r="AB37" s="66">
        <v>-17555.791488145667</v>
      </c>
    </row>
    <row r="38" spans="1:28" x14ac:dyDescent="0.25">
      <c r="A38" s="29" t="s">
        <v>97</v>
      </c>
      <c r="B38" s="45">
        <v>156600.63</v>
      </c>
      <c r="C38" s="45">
        <v>-38990.165744236234</v>
      </c>
      <c r="D38" s="45">
        <v>-105.0450264508545</v>
      </c>
      <c r="E38" s="45">
        <v>-3971.9132590080408</v>
      </c>
      <c r="F38" s="45"/>
      <c r="G38" s="45">
        <v>1599.6738895455092</v>
      </c>
      <c r="H38" s="45">
        <v>115133.17985985038</v>
      </c>
      <c r="I38" s="45">
        <v>41467.45014014962</v>
      </c>
      <c r="J38" s="45"/>
      <c r="K38" s="45">
        <v>-113533.50435982952</v>
      </c>
      <c r="L38" s="45">
        <v>0.0016104753558465745</v>
      </c>
      <c r="N38" s="63"/>
      <c r="O38" s="45">
        <v>-105.0450264508545</v>
      </c>
      <c r="P38" s="45">
        <v>-3971.9132590080408</v>
      </c>
      <c r="Q38" s="64">
        <v>-271.9636112788611</v>
      </c>
      <c r="R38" s="45">
        <v>-4348.9218967377565</v>
      </c>
      <c r="S38" s="64"/>
      <c r="T38" s="45"/>
      <c r="U38" s="16">
        <v>-4348.9218967377565</v>
      </c>
      <c r="V38" s="65">
        <f t="shared" si="0"/>
        <v>-3971.9132590080408</v>
      </c>
      <c r="X38" s="63">
        <v>1599.6738895455092</v>
      </c>
      <c r="Y38" s="45">
        <v>0</v>
      </c>
      <c r="Z38" s="16">
        <v>1599.6738895455092</v>
      </c>
      <c r="AB38" s="66">
        <v>-2749.2480071922473</v>
      </c>
    </row>
    <row r="39" spans="1:28" x14ac:dyDescent="0.25">
      <c r="A39" s="29" t="s">
        <v>98</v>
      </c>
      <c r="B39" s="45">
        <v>200000</v>
      </c>
      <c r="C39" s="45">
        <v>-47770.650868280296</v>
      </c>
      <c r="D39" s="45">
        <v>-134.15658219359466</v>
      </c>
      <c r="E39" s="45">
        <v>-5072.6657472681545</v>
      </c>
      <c r="F39" s="45"/>
      <c r="G39" s="45">
        <v>2042.9980256727051</v>
      </c>
      <c r="H39" s="45">
        <v>149065.52482793067</v>
      </c>
      <c r="I39" s="45">
        <v>50934.47517206933</v>
      </c>
      <c r="J39" s="45"/>
      <c r="K39" s="45">
        <v>-147022.53323293655</v>
      </c>
      <c r="L39" s="45">
        <v>-0.006430678584592897</v>
      </c>
      <c r="N39" s="63"/>
      <c r="O39" s="45">
        <v>-134.15658219359466</v>
      </c>
      <c r="P39" s="45">
        <v>-5072.6657472681545</v>
      </c>
      <c r="Q39" s="64">
        <v>-347.3339938400773</v>
      </c>
      <c r="R39" s="45">
        <v>-5554.156323301827</v>
      </c>
      <c r="S39" s="64"/>
      <c r="T39" s="45"/>
      <c r="U39" s="16">
        <v>-5554.156323301827</v>
      </c>
      <c r="V39" s="65">
        <f t="shared" si="0"/>
        <v>-5072.6657472681545</v>
      </c>
      <c r="X39" s="63">
        <v>2042.9980256727051</v>
      </c>
      <c r="Y39" s="45">
        <v>0</v>
      </c>
      <c r="Z39" s="16">
        <v>2042.9980256727051</v>
      </c>
      <c r="AB39" s="66">
        <v>-3511.158297629122</v>
      </c>
    </row>
    <row r="40" spans="1:28" x14ac:dyDescent="0.25">
      <c r="A40" s="29" t="s">
        <v>99</v>
      </c>
      <c r="B40" s="45">
        <v>100000</v>
      </c>
      <c r="C40" s="45">
        <v>-23885.330434140153</v>
      </c>
      <c r="D40" s="45">
        <v>-67.07829109679733</v>
      </c>
      <c r="E40" s="45">
        <v>-2536.3328736340773</v>
      </c>
      <c r="F40" s="45"/>
      <c r="G40" s="45">
        <v>1021.4990128363526</v>
      </c>
      <c r="H40" s="45">
        <v>74532.75741396533</v>
      </c>
      <c r="I40" s="45">
        <v>25467.24258603467</v>
      </c>
      <c r="J40" s="45"/>
      <c r="K40" s="45">
        <v>-73511.26161646828</v>
      </c>
      <c r="L40" s="45">
        <v>-0.0032153393068483638</v>
      </c>
      <c r="N40" s="63"/>
      <c r="O40" s="45">
        <v>-67.07829109679733</v>
      </c>
      <c r="P40" s="45">
        <v>-2536.3328736340773</v>
      </c>
      <c r="Q40" s="64">
        <v>-173.66699692003866</v>
      </c>
      <c r="R40" s="45">
        <v>-2777.0781616509134</v>
      </c>
      <c r="S40" s="64"/>
      <c r="T40" s="45"/>
      <c r="U40" s="16">
        <v>-2777.0781616509134</v>
      </c>
      <c r="V40" s="65">
        <f t="shared" si="0"/>
        <v>-2536.3328736340773</v>
      </c>
      <c r="X40" s="63">
        <v>1021.4990128363526</v>
      </c>
      <c r="Y40" s="45">
        <v>0</v>
      </c>
      <c r="Z40" s="16">
        <v>1021.4990128363526</v>
      </c>
      <c r="AB40" s="66">
        <v>-1755.579148814561</v>
      </c>
    </row>
    <row r="41" spans="1:28" x14ac:dyDescent="0.25">
      <c r="A41" s="29" t="s">
        <v>141</v>
      </c>
      <c r="B41" s="45">
        <v>0</v>
      </c>
      <c r="C41" s="45">
        <v>0</v>
      </c>
      <c r="D41" s="45">
        <v>0</v>
      </c>
      <c r="E41" s="45">
        <v>0</v>
      </c>
      <c r="F41" s="45"/>
      <c r="G41" s="45">
        <v>0</v>
      </c>
      <c r="H41" s="45">
        <v>0</v>
      </c>
      <c r="I41" s="45">
        <v>0</v>
      </c>
      <c r="J41" s="45"/>
      <c r="K41" s="45">
        <v>0</v>
      </c>
      <c r="L41" s="45">
        <v>0</v>
      </c>
      <c r="N41" s="63"/>
      <c r="O41" s="45">
        <v>0</v>
      </c>
      <c r="P41" s="45">
        <v>0</v>
      </c>
      <c r="Q41" s="64">
        <v>0</v>
      </c>
      <c r="R41" s="45">
        <v>0</v>
      </c>
      <c r="S41" s="64"/>
      <c r="T41" s="45"/>
      <c r="U41" s="16">
        <v>0</v>
      </c>
      <c r="V41" s="65">
        <f t="shared" si="0"/>
        <v>0</v>
      </c>
      <c r="X41" s="63">
        <v>0</v>
      </c>
      <c r="Y41" s="45">
        <v>0</v>
      </c>
      <c r="Z41" s="16">
        <v>0</v>
      </c>
      <c r="AB41" s="66">
        <v>0</v>
      </c>
    </row>
    <row r="42" spans="1:28" x14ac:dyDescent="0.25">
      <c r="A42" s="29" t="s">
        <v>100</v>
      </c>
      <c r="B42" s="45">
        <v>156600.63</v>
      </c>
      <c r="C42" s="45">
        <v>-38990.165744236234</v>
      </c>
      <c r="D42" s="45">
        <v>-105.0450264508545</v>
      </c>
      <c r="E42" s="45">
        <v>-3971.9132590080408</v>
      </c>
      <c r="F42" s="45"/>
      <c r="G42" s="45">
        <v>1599.6738895455092</v>
      </c>
      <c r="H42" s="45">
        <v>115133.17985985038</v>
      </c>
      <c r="I42" s="45">
        <v>41467.45014014962</v>
      </c>
      <c r="J42" s="45"/>
      <c r="K42" s="45">
        <v>-113533.50435982952</v>
      </c>
      <c r="L42" s="45">
        <v>0.0016104753558465745</v>
      </c>
      <c r="N42" s="63"/>
      <c r="O42" s="45">
        <v>-105.0450264508545</v>
      </c>
      <c r="P42" s="45">
        <v>-3971.9132590080408</v>
      </c>
      <c r="Q42" s="64">
        <v>-271.9636112788611</v>
      </c>
      <c r="R42" s="45">
        <v>-4348.9218967377565</v>
      </c>
      <c r="S42" s="64"/>
      <c r="T42" s="45"/>
      <c r="U42" s="16">
        <v>-4348.9218967377565</v>
      </c>
      <c r="V42" s="65">
        <f t="shared" si="0"/>
        <v>-3971.9132590080408</v>
      </c>
      <c r="X42" s="63">
        <v>1599.6738895455092</v>
      </c>
      <c r="Y42" s="45">
        <v>0</v>
      </c>
      <c r="Z42" s="16">
        <v>1599.6738895455092</v>
      </c>
      <c r="AB42" s="66">
        <v>-2749.2480071922473</v>
      </c>
    </row>
    <row r="43" spans="1:28" x14ac:dyDescent="0.25">
      <c r="A43" s="29" t="s">
        <v>101</v>
      </c>
      <c r="B43" s="45">
        <v>156600.63</v>
      </c>
      <c r="C43" s="45">
        <v>-38990.165744236234</v>
      </c>
      <c r="D43" s="45">
        <v>-105.0450264508545</v>
      </c>
      <c r="E43" s="45">
        <v>-3971.9132590080408</v>
      </c>
      <c r="F43" s="45"/>
      <c r="G43" s="45">
        <v>1599.6738895455092</v>
      </c>
      <c r="H43" s="45">
        <v>115133.17985985038</v>
      </c>
      <c r="I43" s="45">
        <v>41467.45014014962</v>
      </c>
      <c r="J43" s="45"/>
      <c r="K43" s="45">
        <v>-113533.50435982952</v>
      </c>
      <c r="L43" s="45">
        <v>0.0016104753558465745</v>
      </c>
      <c r="N43" s="63"/>
      <c r="O43" s="45">
        <v>-105.0450264508545</v>
      </c>
      <c r="P43" s="45">
        <v>-3971.9132590080408</v>
      </c>
      <c r="Q43" s="64">
        <v>-271.9636112788611</v>
      </c>
      <c r="R43" s="45">
        <v>-4348.9218967377565</v>
      </c>
      <c r="S43" s="64"/>
      <c r="T43" s="45"/>
      <c r="U43" s="16">
        <v>-4348.9218967377565</v>
      </c>
      <c r="V43" s="65">
        <f t="shared" si="0"/>
        <v>-3971.9132590080408</v>
      </c>
      <c r="X43" s="63">
        <v>1599.6738895455092</v>
      </c>
      <c r="Y43" s="45">
        <v>0</v>
      </c>
      <c r="Z43" s="16">
        <v>1599.6738895455092</v>
      </c>
      <c r="AB43" s="66">
        <v>-2749.2480071922473</v>
      </c>
    </row>
    <row r="44" spans="1:28" x14ac:dyDescent="0.25">
      <c r="A44" s="29" t="s">
        <v>102</v>
      </c>
      <c r="B44" s="45">
        <v>195750.79</v>
      </c>
      <c r="C44" s="45">
        <v>-48737.695044042775</v>
      </c>
      <c r="D44" s="45">
        <v>-131.3062847405381</v>
      </c>
      <c r="E44" s="45">
        <v>-4964.89163716833</v>
      </c>
      <c r="F44" s="45"/>
      <c r="G44" s="45">
        <v>1999.5923874693615</v>
      </c>
      <c r="H44" s="45">
        <v>143916.48942151773</v>
      </c>
      <c r="I44" s="45">
        <v>51834.300578482274</v>
      </c>
      <c r="J44" s="45"/>
      <c r="K44" s="45">
        <v>-141916.89723243946</v>
      </c>
      <c r="L44" s="45">
        <v>-0.00019839108404084982</v>
      </c>
      <c r="N44" s="63"/>
      <c r="O44" s="45">
        <v>-131.3062847405381</v>
      </c>
      <c r="P44" s="45">
        <v>-4964.89163716833</v>
      </c>
      <c r="Q44" s="64">
        <v>-339.9545184402513</v>
      </c>
      <c r="R44" s="45">
        <v>-5436.152440349119</v>
      </c>
      <c r="S44" s="64"/>
      <c r="T44" s="45"/>
      <c r="U44" s="16">
        <v>-5436.152440349119</v>
      </c>
      <c r="V44" s="65">
        <f t="shared" si="0"/>
        <v>-4964.89163716833</v>
      </c>
      <c r="X44" s="63">
        <v>1999.5923874693615</v>
      </c>
      <c r="Y44" s="45">
        <v>0</v>
      </c>
      <c r="Z44" s="16">
        <v>1999.5923874693615</v>
      </c>
      <c r="AB44" s="66">
        <v>-3436.5600528797577</v>
      </c>
    </row>
    <row r="45" spans="1:28" x14ac:dyDescent="0.25">
      <c r="A45" s="29" t="s">
        <v>103</v>
      </c>
      <c r="B45" s="45">
        <v>1000000</v>
      </c>
      <c r="C45" s="45">
        <v>-246203.78434140154</v>
      </c>
      <c r="D45" s="45">
        <v>-670.782910968177</v>
      </c>
      <c r="E45" s="45">
        <v>-25363.328736340627</v>
      </c>
      <c r="F45" s="45"/>
      <c r="G45" s="45">
        <v>10214.990128363524</v>
      </c>
      <c r="H45" s="45">
        <v>737977.0941396531</v>
      </c>
      <c r="I45" s="45">
        <v>262022.90586034686</v>
      </c>
      <c r="J45" s="45"/>
      <c r="K45" s="45">
        <v>-727762.1061646828</v>
      </c>
      <c r="L45" s="45">
        <v>-0.002153393155822414</v>
      </c>
      <c r="N45" s="63"/>
      <c r="O45" s="45">
        <v>-670.782910968177</v>
      </c>
      <c r="P45" s="45">
        <v>-25363.328736340627</v>
      </c>
      <c r="Q45" s="64">
        <v>-1736.6699692003865</v>
      </c>
      <c r="R45" s="45">
        <v>-27770.78161650919</v>
      </c>
      <c r="S45" s="64"/>
      <c r="T45" s="45"/>
      <c r="U45" s="16">
        <v>-27770.78161650919</v>
      </c>
      <c r="V45" s="65">
        <f t="shared" si="0"/>
        <v>-25363.328736340627</v>
      </c>
      <c r="X45" s="63">
        <v>10214.990128363524</v>
      </c>
      <c r="Y45" s="45">
        <v>0</v>
      </c>
      <c r="Z45" s="16">
        <v>10214.990128363524</v>
      </c>
      <c r="AB45" s="66">
        <v>-17555.791488145667</v>
      </c>
    </row>
    <row r="46" spans="1:28" x14ac:dyDescent="0.25">
      <c r="A46" s="29" t="s">
        <v>104</v>
      </c>
      <c r="B46" s="45">
        <v>500000</v>
      </c>
      <c r="C46" s="45">
        <v>-123101.89217070077</v>
      </c>
      <c r="D46" s="45">
        <v>-335.3914554840885</v>
      </c>
      <c r="E46" s="45">
        <v>-12681.664368170314</v>
      </c>
      <c r="F46" s="45"/>
      <c r="G46" s="45">
        <v>5107.495064181762</v>
      </c>
      <c r="H46" s="45">
        <v>368988.54706982657</v>
      </c>
      <c r="I46" s="45">
        <v>131011.45293017343</v>
      </c>
      <c r="J46" s="45"/>
      <c r="K46" s="45">
        <v>-363881.0480823414</v>
      </c>
      <c r="L46" s="45">
        <v>0.003923303426745406</v>
      </c>
      <c r="N46" s="63"/>
      <c r="O46" s="45">
        <v>-335.3914554840885</v>
      </c>
      <c r="P46" s="45">
        <v>-12681.664368170314</v>
      </c>
      <c r="Q46" s="64">
        <v>-868.3349846001933</v>
      </c>
      <c r="R46" s="45">
        <v>-13885.390808254595</v>
      </c>
      <c r="S46" s="64"/>
      <c r="T46" s="45"/>
      <c r="U46" s="16">
        <v>-13885.390808254595</v>
      </c>
      <c r="V46" s="65">
        <f t="shared" si="0"/>
        <v>-12681.664368170314</v>
      </c>
      <c r="X46" s="63">
        <v>5107.495064181762</v>
      </c>
      <c r="Y46" s="45">
        <v>0</v>
      </c>
      <c r="Z46" s="16">
        <v>5107.495064181762</v>
      </c>
      <c r="AB46" s="66">
        <v>-8777.895744072834</v>
      </c>
    </row>
    <row r="47" spans="1:28" x14ac:dyDescent="0.25">
      <c r="A47" s="29" t="s">
        <v>105</v>
      </c>
      <c r="B47" s="45">
        <v>1500000</v>
      </c>
      <c r="C47" s="45">
        <v>-369305.67651210236</v>
      </c>
      <c r="D47" s="45">
        <v>-1006.1743664524984</v>
      </c>
      <c r="E47" s="45">
        <v>-38044.99310451094</v>
      </c>
      <c r="F47" s="45"/>
      <c r="G47" s="45">
        <v>15322.48519254529</v>
      </c>
      <c r="H47" s="45">
        <v>1106965.6412094794</v>
      </c>
      <c r="I47" s="45">
        <v>393034.3587905206</v>
      </c>
      <c r="J47" s="45"/>
      <c r="K47" s="45">
        <v>-1091643.154247024</v>
      </c>
      <c r="L47" s="45">
        <v>0.0017699100353638642</v>
      </c>
      <c r="N47" s="63"/>
      <c r="O47" s="45">
        <v>-1006.1743664524984</v>
      </c>
      <c r="P47" s="45">
        <v>-38044.99310451094</v>
      </c>
      <c r="Q47" s="64">
        <v>-2605.0049538005796</v>
      </c>
      <c r="R47" s="45">
        <v>-41656.172424764016</v>
      </c>
      <c r="S47" s="64"/>
      <c r="T47" s="45"/>
      <c r="U47" s="16">
        <v>-41656.172424764016</v>
      </c>
      <c r="V47" s="65">
        <f t="shared" si="0"/>
        <v>-38044.99310451094</v>
      </c>
      <c r="X47" s="63">
        <v>15322.48519254529</v>
      </c>
      <c r="Y47" s="45">
        <v>0</v>
      </c>
      <c r="Z47" s="16">
        <v>15322.48519254529</v>
      </c>
      <c r="AB47" s="66">
        <v>-26333.687232218726</v>
      </c>
    </row>
    <row r="48" spans="1:28" x14ac:dyDescent="0.25">
      <c r="A48" s="29" t="s">
        <v>106</v>
      </c>
      <c r="B48" s="45">
        <v>100000</v>
      </c>
      <c r="C48" s="45">
        <v>-23885.330434140153</v>
      </c>
      <c r="D48" s="45">
        <v>-67.07829109679733</v>
      </c>
      <c r="E48" s="45">
        <v>-2536.3328736340773</v>
      </c>
      <c r="F48" s="45"/>
      <c r="G48" s="45">
        <v>1021.4990128363526</v>
      </c>
      <c r="H48" s="45">
        <v>74532.75741396533</v>
      </c>
      <c r="I48" s="45">
        <v>25467.24258603467</v>
      </c>
      <c r="J48" s="45"/>
      <c r="K48" s="45">
        <v>-73511.26161646828</v>
      </c>
      <c r="L48" s="45">
        <v>-0.0032153393068483638</v>
      </c>
      <c r="N48" s="63"/>
      <c r="O48" s="45">
        <v>-67.07829109679733</v>
      </c>
      <c r="P48" s="45">
        <v>-2536.3328736340773</v>
      </c>
      <c r="Q48" s="64">
        <v>-173.66699692003866</v>
      </c>
      <c r="R48" s="45">
        <v>-2777.0781616509134</v>
      </c>
      <c r="S48" s="64"/>
      <c r="T48" s="45"/>
      <c r="U48" s="16">
        <v>-2777.0781616509134</v>
      </c>
      <c r="V48" s="65">
        <f t="shared" si="0"/>
        <v>-2536.3328736340773</v>
      </c>
      <c r="X48" s="63">
        <v>1021.4990128363526</v>
      </c>
      <c r="Y48" s="45">
        <v>0</v>
      </c>
      <c r="Z48" s="16">
        <v>1021.4990128363526</v>
      </c>
      <c r="AB48" s="66">
        <v>-1755.579148814561</v>
      </c>
    </row>
    <row r="49" spans="1:28" x14ac:dyDescent="0.25">
      <c r="A49" s="29" t="s">
        <v>107</v>
      </c>
      <c r="B49" s="45">
        <v>750000</v>
      </c>
      <c r="C49" s="45">
        <v>-184652.84325605107</v>
      </c>
      <c r="D49" s="45">
        <v>-503.0871832262492</v>
      </c>
      <c r="E49" s="45">
        <v>-19022.49655225547</v>
      </c>
      <c r="F49" s="45"/>
      <c r="G49" s="45">
        <v>7661.242596272645</v>
      </c>
      <c r="H49" s="45">
        <v>553482.8156047398</v>
      </c>
      <c r="I49" s="45">
        <v>196517.18439526018</v>
      </c>
      <c r="J49" s="45"/>
      <c r="K49" s="45">
        <v>-545821.582123512</v>
      </c>
      <c r="L49" s="45">
        <v>-0.009115044875215972</v>
      </c>
      <c r="N49" s="63"/>
      <c r="O49" s="45">
        <v>-503.0871832262492</v>
      </c>
      <c r="P49" s="45">
        <v>-19022.49655225547</v>
      </c>
      <c r="Q49" s="64">
        <v>-1302.5024769002898</v>
      </c>
      <c r="R49" s="45">
        <v>-20828.086212382008</v>
      </c>
      <c r="S49" s="64"/>
      <c r="T49" s="45"/>
      <c r="U49" s="16">
        <v>-20828.086212382008</v>
      </c>
      <c r="V49" s="65">
        <f t="shared" si="0"/>
        <v>-19022.49655225547</v>
      </c>
      <c r="X49" s="63">
        <v>7661.242596272645</v>
      </c>
      <c r="Y49" s="45">
        <v>0</v>
      </c>
      <c r="Z49" s="16">
        <v>7661.242596272645</v>
      </c>
      <c r="AB49" s="66">
        <v>-13166.843616109363</v>
      </c>
    </row>
    <row r="50" spans="1:28" x14ac:dyDescent="0.25">
      <c r="A50" s="29" t="s">
        <v>108</v>
      </c>
      <c r="B50" s="45">
        <v>234900.95</v>
      </c>
      <c r="C50" s="45">
        <v>-58485.244343849336</v>
      </c>
      <c r="D50" s="45">
        <v>-157.56754303025082</v>
      </c>
      <c r="E50" s="45">
        <v>-5957.870015328663</v>
      </c>
      <c r="F50" s="45"/>
      <c r="G50" s="45">
        <v>2399.5108853932143</v>
      </c>
      <c r="H50" s="45">
        <v>172699.77898318498</v>
      </c>
      <c r="I50" s="45">
        <v>62201.17101681503</v>
      </c>
      <c r="J50" s="45"/>
      <c r="K50" s="45">
        <v>-170300.27010504936</v>
      </c>
      <c r="L50" s="45">
        <v>-0.0020072575971425977</v>
      </c>
      <c r="N50" s="63"/>
      <c r="O50" s="45">
        <v>-157.56754303025082</v>
      </c>
      <c r="P50" s="45">
        <v>-5957.870015328663</v>
      </c>
      <c r="Q50" s="64">
        <v>-407.9454256016415</v>
      </c>
      <c r="R50" s="45">
        <v>-6523.382983960555</v>
      </c>
      <c r="S50" s="64"/>
      <c r="T50" s="45"/>
      <c r="U50" s="16">
        <v>-6523.382983960555</v>
      </c>
      <c r="V50" s="65">
        <f t="shared" si="0"/>
        <v>-5957.870015328663</v>
      </c>
      <c r="X50" s="63">
        <v>2399.5108853932143</v>
      </c>
      <c r="Y50" s="45">
        <v>0</v>
      </c>
      <c r="Z50" s="16">
        <v>2399.5108853932143</v>
      </c>
      <c r="AB50" s="66">
        <v>-4123.872098567341</v>
      </c>
    </row>
    <row r="51" spans="1:28" x14ac:dyDescent="0.25">
      <c r="A51" s="29" t="s">
        <v>109</v>
      </c>
      <c r="B51" s="45">
        <v>1000000</v>
      </c>
      <c r="C51" s="45">
        <v>-246203.78434140154</v>
      </c>
      <c r="D51" s="45">
        <v>-670.782910968177</v>
      </c>
      <c r="E51" s="45">
        <v>-25363.328736340627</v>
      </c>
      <c r="F51" s="45"/>
      <c r="G51" s="45">
        <v>10214.990128363524</v>
      </c>
      <c r="H51" s="45">
        <v>737977.0941396531</v>
      </c>
      <c r="I51" s="45">
        <v>262022.90586034686</v>
      </c>
      <c r="J51" s="45"/>
      <c r="K51" s="45">
        <v>-727762.1061646828</v>
      </c>
      <c r="L51" s="45">
        <v>-0.002153393155822414</v>
      </c>
      <c r="N51" s="63"/>
      <c r="O51" s="45">
        <v>-670.782910968177</v>
      </c>
      <c r="P51" s="45">
        <v>-25363.328736340627</v>
      </c>
      <c r="Q51" s="64">
        <v>-1736.6699692003865</v>
      </c>
      <c r="R51" s="45">
        <v>-27770.78161650919</v>
      </c>
      <c r="S51" s="64"/>
      <c r="T51" s="45"/>
      <c r="U51" s="16">
        <v>-27770.78161650919</v>
      </c>
      <c r="V51" s="65">
        <f t="shared" si="0"/>
        <v>-25363.328736340627</v>
      </c>
      <c r="X51" s="63">
        <v>10214.990128363524</v>
      </c>
      <c r="Y51" s="45">
        <v>0</v>
      </c>
      <c r="Z51" s="16">
        <v>10214.990128363524</v>
      </c>
      <c r="AB51" s="66">
        <v>-17555.791488145667</v>
      </c>
    </row>
    <row r="52" spans="1:28" x14ac:dyDescent="0.25">
      <c r="A52" s="29" t="s">
        <v>110</v>
      </c>
      <c r="B52" s="45">
        <v>117450.47</v>
      </c>
      <c r="C52" s="45">
        <v>-29242.62644442964</v>
      </c>
      <c r="D52" s="45">
        <v>-78.78376816119999</v>
      </c>
      <c r="E52" s="45">
        <v>-2978.934880847708</v>
      </c>
      <c r="F52" s="45"/>
      <c r="G52" s="45">
        <v>1199.7553916216564</v>
      </c>
      <c r="H52" s="45">
        <v>86349.88029818311</v>
      </c>
      <c r="I52" s="45">
        <v>31100.58970181689</v>
      </c>
      <c r="J52" s="45"/>
      <c r="K52" s="45">
        <v>-85150.1214872196</v>
      </c>
      <c r="L52" s="45">
        <v>0.003419341854396407</v>
      </c>
      <c r="N52" s="63"/>
      <c r="O52" s="45">
        <v>-78.78376816119999</v>
      </c>
      <c r="P52" s="45">
        <v>-2978.934880847708</v>
      </c>
      <c r="Q52" s="64">
        <v>-203.9727041174709</v>
      </c>
      <c r="R52" s="45">
        <v>-3261.691353126379</v>
      </c>
      <c r="S52" s="64"/>
      <c r="T52" s="45"/>
      <c r="U52" s="16">
        <v>-3261.691353126379</v>
      </c>
      <c r="V52" s="65">
        <f t="shared" si="0"/>
        <v>-2978.934880847708</v>
      </c>
      <c r="X52" s="63">
        <v>1199.7553916216564</v>
      </c>
      <c r="Y52" s="45">
        <v>0</v>
      </c>
      <c r="Z52" s="16">
        <v>1199.7553916216564</v>
      </c>
      <c r="AB52" s="66">
        <v>-2061.9359615047224</v>
      </c>
    </row>
    <row r="53" spans="1:28" x14ac:dyDescent="0.25">
      <c r="A53" s="29" t="s">
        <v>111</v>
      </c>
      <c r="B53" s="45">
        <v>100000</v>
      </c>
      <c r="C53" s="45">
        <v>-23885.330434140153</v>
      </c>
      <c r="D53" s="45">
        <v>-67.07829109679733</v>
      </c>
      <c r="E53" s="45">
        <v>-2536.3328736340773</v>
      </c>
      <c r="F53" s="45"/>
      <c r="G53" s="45">
        <v>1021.4990128363526</v>
      </c>
      <c r="H53" s="45">
        <v>74532.75741396533</v>
      </c>
      <c r="I53" s="45">
        <v>25467.24258603467</v>
      </c>
      <c r="J53" s="45"/>
      <c r="K53" s="45">
        <v>-73511.26161646828</v>
      </c>
      <c r="L53" s="45">
        <v>-0.0032153393068483638</v>
      </c>
      <c r="N53" s="63"/>
      <c r="O53" s="45">
        <v>-67.07829109679733</v>
      </c>
      <c r="P53" s="45">
        <v>-2536.3328736340773</v>
      </c>
      <c r="Q53" s="64">
        <v>-173.66699692003866</v>
      </c>
      <c r="R53" s="45">
        <v>-2777.0781616509134</v>
      </c>
      <c r="S53" s="64"/>
      <c r="T53" s="45"/>
      <c r="U53" s="16">
        <v>-2777.0781616509134</v>
      </c>
      <c r="V53" s="65">
        <f t="shared" si="0"/>
        <v>-2536.3328736340773</v>
      </c>
      <c r="X53" s="63">
        <v>1021.4990128363526</v>
      </c>
      <c r="Y53" s="45">
        <v>0</v>
      </c>
      <c r="Z53" s="16">
        <v>1021.4990128363526</v>
      </c>
      <c r="AB53" s="66">
        <v>-1755.579148814561</v>
      </c>
    </row>
    <row r="54" spans="1:28" x14ac:dyDescent="0.25">
      <c r="A54" s="29" t="s">
        <v>112</v>
      </c>
      <c r="B54" s="45">
        <v>78300.32</v>
      </c>
      <c r="C54" s="45">
        <v>-19495.07859961313</v>
      </c>
      <c r="D54" s="45">
        <v>-52.52251657933812</v>
      </c>
      <c r="E54" s="45">
        <v>-1985.9567563206656</v>
      </c>
      <c r="F54" s="45"/>
      <c r="G54" s="45">
        <v>799.8369958477051</v>
      </c>
      <c r="H54" s="45">
        <v>57566.59912333458</v>
      </c>
      <c r="I54" s="45">
        <v>20733.72087666543</v>
      </c>
      <c r="J54" s="45"/>
      <c r="K54" s="45">
        <v>-56766.76574521985</v>
      </c>
      <c r="L54" s="45">
        <v>-0.003617732974817045</v>
      </c>
      <c r="N54" s="63"/>
      <c r="O54" s="45">
        <v>-52.52251657933812</v>
      </c>
      <c r="P54" s="45">
        <v>-1985.9567563206656</v>
      </c>
      <c r="Q54" s="64">
        <v>-135.98181432278042</v>
      </c>
      <c r="R54" s="45">
        <v>-2174.461087222784</v>
      </c>
      <c r="S54" s="64"/>
      <c r="T54" s="45"/>
      <c r="U54" s="16">
        <v>-2174.461087222784</v>
      </c>
      <c r="V54" s="65">
        <f t="shared" si="0"/>
        <v>-1985.9567563206656</v>
      </c>
      <c r="X54" s="63">
        <v>799.8369958477051</v>
      </c>
      <c r="Y54" s="45">
        <v>0</v>
      </c>
      <c r="Z54" s="16">
        <v>799.8369958477051</v>
      </c>
      <c r="AB54" s="66">
        <v>-1374.624091375079</v>
      </c>
    </row>
    <row r="55" spans="1:28" x14ac:dyDescent="0.25">
      <c r="A55" s="29" t="s">
        <v>113</v>
      </c>
      <c r="B55" s="45">
        <v>783003.16</v>
      </c>
      <c r="C55" s="45">
        <v>-194950.82017617114</v>
      </c>
      <c r="D55" s="45">
        <v>-525.2251389621524</v>
      </c>
      <c r="E55" s="45">
        <v>-19859.56654867332</v>
      </c>
      <c r="F55" s="45"/>
      <c r="G55" s="45">
        <v>7998.369549877446</v>
      </c>
      <c r="H55" s="45">
        <v>575665.9176860709</v>
      </c>
      <c r="I55" s="45">
        <v>207337.24231392913</v>
      </c>
      <c r="J55" s="45"/>
      <c r="K55" s="45">
        <v>-567667.5389297578</v>
      </c>
      <c r="L55" s="45">
        <v>0.009206435673149826</v>
      </c>
      <c r="N55" s="63"/>
      <c r="O55" s="45">
        <v>-525.2251389621524</v>
      </c>
      <c r="P55" s="45">
        <v>-19859.56654867332</v>
      </c>
      <c r="Q55" s="64">
        <v>-1359.8180737610053</v>
      </c>
      <c r="R55" s="45">
        <v>-21744.609761396478</v>
      </c>
      <c r="S55" s="64"/>
      <c r="T55" s="45"/>
      <c r="U55" s="16">
        <v>-21744.609761396478</v>
      </c>
      <c r="V55" s="65">
        <f t="shared" si="0"/>
        <v>-19859.56654867332</v>
      </c>
      <c r="X55" s="63">
        <v>7998.369549877446</v>
      </c>
      <c r="Y55" s="45">
        <v>0</v>
      </c>
      <c r="Z55" s="16">
        <v>7998.369549877446</v>
      </c>
      <c r="AB55" s="66">
        <v>-13746.24021151903</v>
      </c>
    </row>
    <row r="56" spans="1:28" x14ac:dyDescent="0.25">
      <c r="A56" s="29" t="s">
        <v>114</v>
      </c>
      <c r="B56" s="45">
        <v>391501.58</v>
      </c>
      <c r="C56" s="45">
        <v>-97475.42008808552</v>
      </c>
      <c r="D56" s="45">
        <v>-262.6125694810762</v>
      </c>
      <c r="E56" s="45">
        <v>-9929.78327433666</v>
      </c>
      <c r="F56" s="45"/>
      <c r="G56" s="45">
        <v>3999.184774938723</v>
      </c>
      <c r="H56" s="45">
        <v>287832.9488430355</v>
      </c>
      <c r="I56" s="45">
        <v>103668.63115696452</v>
      </c>
      <c r="J56" s="45"/>
      <c r="K56" s="45">
        <v>-283833.7644648789</v>
      </c>
      <c r="L56" s="45">
        <v>-0.0003967821098740387</v>
      </c>
      <c r="N56" s="63"/>
      <c r="O56" s="45">
        <v>-262.6125694810762</v>
      </c>
      <c r="P56" s="45">
        <v>-9929.78327433666</v>
      </c>
      <c r="Q56" s="64">
        <v>-679.9090368805026</v>
      </c>
      <c r="R56" s="45">
        <v>-10872.304880698239</v>
      </c>
      <c r="S56" s="64"/>
      <c r="T56" s="45"/>
      <c r="U56" s="16">
        <v>-10872.304880698239</v>
      </c>
      <c r="V56" s="65">
        <f t="shared" si="0"/>
        <v>-9929.78327433666</v>
      </c>
      <c r="X56" s="63">
        <v>3999.184774938723</v>
      </c>
      <c r="Y56" s="45">
        <v>0</v>
      </c>
      <c r="Z56" s="16">
        <v>3999.184774938723</v>
      </c>
      <c r="AB56" s="66">
        <v>-6873.120105759515</v>
      </c>
    </row>
    <row r="57" spans="1:28" x14ac:dyDescent="0.25">
      <c r="A57" s="29" t="s">
        <v>115</v>
      </c>
      <c r="B57" s="45">
        <v>703163.88</v>
      </c>
      <c r="C57" s="45">
        <v>-310280.5768200925</v>
      </c>
      <c r="D57" s="45">
        <v>126350.365848634</v>
      </c>
      <c r="E57" s="45">
        <v>-17834.5766439607</v>
      </c>
      <c r="F57" s="45"/>
      <c r="G57" s="45">
        <v>7182.812092821795</v>
      </c>
      <c r="H57" s="45">
        <v>508581.90447740257</v>
      </c>
      <c r="I57" s="45">
        <v>194581.97552259744</v>
      </c>
      <c r="J57" s="45"/>
      <c r="K57" s="45">
        <v>-501398.7508031011</v>
      </c>
      <c r="L57" s="45">
        <v>0.3415814796635459</v>
      </c>
      <c r="N57" s="63"/>
      <c r="O57" s="45">
        <v>126350.365848634</v>
      </c>
      <c r="P57" s="45">
        <v>-17834.576643960667</v>
      </c>
      <c r="Q57" s="64">
        <v>-1221.1635938224242</v>
      </c>
      <c r="R57" s="45">
        <v>107294.62561085091</v>
      </c>
      <c r="S57" s="64">
        <v>-9544.31305836808</v>
      </c>
      <c r="T57" s="45">
        <v>-126350</v>
      </c>
      <c r="U57" s="16">
        <v>-28599.687447517164</v>
      </c>
      <c r="V57" s="65">
        <f>+P57+T57</f>
        <v>-144184.57664396067</v>
      </c>
      <c r="X57" s="63">
        <v>7182.812092821795</v>
      </c>
      <c r="Y57" s="45">
        <v>0</v>
      </c>
      <c r="Z57" s="16">
        <v>7182.812092821795</v>
      </c>
      <c r="AB57" s="66">
        <v>-21416.87535469537</v>
      </c>
    </row>
    <row r="58" spans="1:28" x14ac:dyDescent="0.25">
      <c r="A58" s="29" t="s">
        <v>116</v>
      </c>
      <c r="B58" s="45">
        <v>78300.32</v>
      </c>
      <c r="C58" s="45">
        <v>-19495.07859961313</v>
      </c>
      <c r="D58" s="45">
        <v>-52.52251657933812</v>
      </c>
      <c r="E58" s="45">
        <v>-1985.9567563206656</v>
      </c>
      <c r="F58" s="45"/>
      <c r="G58" s="45">
        <v>799.8369958477051</v>
      </c>
      <c r="H58" s="45">
        <v>57566.59912333458</v>
      </c>
      <c r="I58" s="45">
        <v>20733.72087666543</v>
      </c>
      <c r="J58" s="45"/>
      <c r="K58" s="45">
        <v>-56766.76574521985</v>
      </c>
      <c r="L58" s="45">
        <v>-0.003617732974817045</v>
      </c>
      <c r="N58" s="63"/>
      <c r="O58" s="45">
        <v>-52.52251657933812</v>
      </c>
      <c r="P58" s="45">
        <v>-1985.9567563206656</v>
      </c>
      <c r="Q58" s="64">
        <v>-135.98181432278042</v>
      </c>
      <c r="R58" s="45">
        <v>-2174.461087222784</v>
      </c>
      <c r="S58" s="64"/>
      <c r="T58" s="45"/>
      <c r="U58" s="16">
        <v>-2174.461087222784</v>
      </c>
      <c r="V58" s="65">
        <f t="shared" si="0"/>
        <v>-1985.9567563206656</v>
      </c>
      <c r="X58" s="63">
        <v>799.8369958477051</v>
      </c>
      <c r="Y58" s="45">
        <v>0</v>
      </c>
      <c r="Z58" s="16">
        <v>799.8369958477051</v>
      </c>
      <c r="AB58" s="66">
        <v>-1374.624091375079</v>
      </c>
    </row>
    <row r="59" spans="1:28" x14ac:dyDescent="0.25">
      <c r="A59" s="29" t="s">
        <v>117</v>
      </c>
      <c r="B59" s="45">
        <v>329488.2</v>
      </c>
      <c r="C59" s="45">
        <v>-82663.32213191444</v>
      </c>
      <c r="D59" s="45">
        <v>-221.0150539256574</v>
      </c>
      <c r="E59" s="45">
        <v>-8356.917531345156</v>
      </c>
      <c r="F59" s="45"/>
      <c r="G59" s="45">
        <v>3365.718710412267</v>
      </c>
      <c r="H59" s="45">
        <v>241612.66399322703</v>
      </c>
      <c r="I59" s="45">
        <v>87875.53600677298</v>
      </c>
      <c r="J59" s="45"/>
      <c r="K59" s="45">
        <v>-238246.94361659832</v>
      </c>
      <c r="L59" s="45">
        <v>0.0016662164462104556</v>
      </c>
      <c r="N59" s="63"/>
      <c r="O59" s="45">
        <v>-221.0150539256574</v>
      </c>
      <c r="P59" s="45">
        <v>-8356.917531345156</v>
      </c>
      <c r="Q59" s="64">
        <v>-572.2122621458908</v>
      </c>
      <c r="R59" s="45">
        <v>-9150.144847416705</v>
      </c>
      <c r="S59" s="64"/>
      <c r="T59" s="45"/>
      <c r="U59" s="16">
        <v>-9150.144847416705</v>
      </c>
      <c r="V59" s="65">
        <f t="shared" si="0"/>
        <v>-8356.917531345156</v>
      </c>
      <c r="X59" s="63">
        <v>3365.718710412267</v>
      </c>
      <c r="Y59" s="45">
        <v>0</v>
      </c>
      <c r="Z59" s="16">
        <v>3365.718710412267</v>
      </c>
      <c r="AB59" s="66">
        <v>-5784.426137004438</v>
      </c>
    </row>
    <row r="60" spans="1:28" x14ac:dyDescent="0.25">
      <c r="A60" s="29" t="s">
        <v>118</v>
      </c>
      <c r="B60" s="45">
        <v>877590.41</v>
      </c>
      <c r="C60" s="45">
        <v>-219128.90796423622</v>
      </c>
      <c r="D60" s="45">
        <v>-588.6726498575881</v>
      </c>
      <c r="E60" s="45">
        <v>-22258.61406468996</v>
      </c>
      <c r="F60" s="45"/>
      <c r="G60" s="45">
        <v>8964.577374896498</v>
      </c>
      <c r="H60" s="45">
        <v>644578.7926961128</v>
      </c>
      <c r="I60" s="45">
        <v>233011.61730388727</v>
      </c>
      <c r="J60" s="45"/>
      <c r="K60" s="45">
        <v>-635614.2124413067</v>
      </c>
      <c r="L60" s="45">
        <v>0.002879909590774332</v>
      </c>
      <c r="N60" s="63"/>
      <c r="O60" s="45">
        <v>-588.6726498575881</v>
      </c>
      <c r="P60" s="45">
        <v>-22258.61406468996</v>
      </c>
      <c r="Q60" s="64">
        <v>-1524.0849103052544</v>
      </c>
      <c r="R60" s="45">
        <v>-24371.3716248528</v>
      </c>
      <c r="S60" s="64"/>
      <c r="T60" s="45"/>
      <c r="U60" s="16">
        <v>-24371.3716248528</v>
      </c>
      <c r="V60" s="65">
        <f t="shared" si="0"/>
        <v>-22258.61406468996</v>
      </c>
      <c r="X60" s="63">
        <v>8964.577374896498</v>
      </c>
      <c r="Y60" s="45">
        <v>0</v>
      </c>
      <c r="Z60" s="16">
        <v>8964.577374896498</v>
      </c>
      <c r="AB60" s="66">
        <v>-15406.794249956301</v>
      </c>
    </row>
    <row r="61" spans="1:28" x14ac:dyDescent="0.25">
      <c r="A61" s="29" t="s">
        <v>119</v>
      </c>
      <c r="B61" s="45">
        <v>39150.16</v>
      </c>
      <c r="C61" s="45">
        <v>-9747.549299806567</v>
      </c>
      <c r="D61" s="45">
        <v>-26.26125828966906</v>
      </c>
      <c r="E61" s="45">
        <v>-992.9783781603328</v>
      </c>
      <c r="F61" s="45"/>
      <c r="G61" s="45">
        <v>399.91849792385256</v>
      </c>
      <c r="H61" s="45">
        <v>28783.289561667287</v>
      </c>
      <c r="I61" s="45">
        <v>10366.870438332717</v>
      </c>
      <c r="J61" s="45"/>
      <c r="K61" s="45">
        <v>-28383.37287260992</v>
      </c>
      <c r="L61" s="45">
        <v>-0.0018088664874085225</v>
      </c>
      <c r="N61" s="63"/>
      <c r="O61" s="45">
        <v>-26.26125828966906</v>
      </c>
      <c r="P61" s="45">
        <v>-992.9783781603328</v>
      </c>
      <c r="Q61" s="64">
        <v>-67.99090716139021</v>
      </c>
      <c r="R61" s="45">
        <v>-1087.230543611392</v>
      </c>
      <c r="S61" s="64"/>
      <c r="T61" s="45"/>
      <c r="U61" s="16">
        <v>-1087.230543611392</v>
      </c>
      <c r="V61" s="65">
        <f t="shared" si="0"/>
        <v>-992.9783781603328</v>
      </c>
      <c r="X61" s="63">
        <v>399.91849792385256</v>
      </c>
      <c r="Y61" s="45">
        <v>0</v>
      </c>
      <c r="Z61" s="16">
        <v>399.91849792385256</v>
      </c>
      <c r="AB61" s="66">
        <v>-687.3120456875395</v>
      </c>
    </row>
    <row r="62" spans="1:28" x14ac:dyDescent="0.25">
      <c r="A62" s="29" t="s">
        <v>120</v>
      </c>
      <c r="B62" s="45">
        <v>1500000</v>
      </c>
      <c r="C62" s="45">
        <v>-369305.67651210236</v>
      </c>
      <c r="D62" s="45">
        <v>-1006.1743664524984</v>
      </c>
      <c r="E62" s="45">
        <v>-38044.99310451094</v>
      </c>
      <c r="F62" s="45"/>
      <c r="G62" s="45">
        <v>15322.48519254529</v>
      </c>
      <c r="H62" s="45">
        <v>1106965.6412094794</v>
      </c>
      <c r="I62" s="45">
        <v>393034.3587905206</v>
      </c>
      <c r="J62" s="45"/>
      <c r="K62" s="45">
        <v>-1091643.154247024</v>
      </c>
      <c r="L62" s="45">
        <v>0.0017699100353638642</v>
      </c>
      <c r="N62" s="63"/>
      <c r="O62" s="45">
        <v>-1006.1743664524984</v>
      </c>
      <c r="P62" s="45">
        <v>-38044.99310451094</v>
      </c>
      <c r="Q62" s="64">
        <v>-2605.0049538005796</v>
      </c>
      <c r="R62" s="45">
        <v>-41656.172424764016</v>
      </c>
      <c r="S62" s="64"/>
      <c r="T62" s="45"/>
      <c r="U62" s="16">
        <v>-41656.172424764016</v>
      </c>
      <c r="V62" s="65">
        <f t="shared" si="0"/>
        <v>-38044.99310451094</v>
      </c>
      <c r="X62" s="63">
        <v>15322.48519254529</v>
      </c>
      <c r="Y62" s="45">
        <v>0</v>
      </c>
      <c r="Z62" s="16">
        <v>15322.48519254529</v>
      </c>
      <c r="AB62" s="66">
        <v>-26333.687232218726</v>
      </c>
    </row>
    <row r="63" spans="1:28" x14ac:dyDescent="0.25">
      <c r="A63" s="29" t="s">
        <v>121</v>
      </c>
      <c r="B63" s="45">
        <v>1000000</v>
      </c>
      <c r="C63" s="45">
        <v>-246203.78434140154</v>
      </c>
      <c r="D63" s="45">
        <v>-670.782910968177</v>
      </c>
      <c r="E63" s="45">
        <v>-25363.328736340627</v>
      </c>
      <c r="F63" s="45"/>
      <c r="G63" s="45">
        <v>10214.990128363524</v>
      </c>
      <c r="H63" s="45">
        <v>737977.0941396531</v>
      </c>
      <c r="I63" s="45">
        <v>262022.90586034686</v>
      </c>
      <c r="J63" s="45"/>
      <c r="K63" s="45">
        <v>-727762.1061646828</v>
      </c>
      <c r="L63" s="45">
        <v>-0.002153393155822414</v>
      </c>
      <c r="N63" s="63"/>
      <c r="O63" s="45">
        <v>-670.782910968177</v>
      </c>
      <c r="P63" s="45">
        <v>-25363.328736340627</v>
      </c>
      <c r="Q63" s="64">
        <v>-1736.6699692003865</v>
      </c>
      <c r="R63" s="45">
        <v>-27770.78161650919</v>
      </c>
      <c r="S63" s="64"/>
      <c r="T63" s="45"/>
      <c r="U63" s="16">
        <v>-27770.78161650919</v>
      </c>
      <c r="V63" s="65">
        <f t="shared" si="0"/>
        <v>-25363.328736340627</v>
      </c>
      <c r="X63" s="63">
        <v>10214.990128363524</v>
      </c>
      <c r="Y63" s="45">
        <v>0</v>
      </c>
      <c r="Z63" s="16">
        <v>10214.990128363524</v>
      </c>
      <c r="AB63" s="66">
        <v>-17555.791488145667</v>
      </c>
    </row>
    <row r="64" spans="1:28" x14ac:dyDescent="0.25">
      <c r="A64" s="29" t="s">
        <v>122</v>
      </c>
      <c r="B64" s="45">
        <v>1000000</v>
      </c>
      <c r="C64" s="45">
        <v>-246203.78434140154</v>
      </c>
      <c r="D64" s="45">
        <v>-670.782910968177</v>
      </c>
      <c r="E64" s="45">
        <v>-25363.328736340627</v>
      </c>
      <c r="F64" s="45"/>
      <c r="G64" s="45">
        <v>10214.990128363524</v>
      </c>
      <c r="H64" s="45">
        <v>737977.0941396531</v>
      </c>
      <c r="I64" s="45">
        <v>262022.90586034686</v>
      </c>
      <c r="J64" s="45"/>
      <c r="K64" s="45">
        <v>-727762.1061646828</v>
      </c>
      <c r="L64" s="45">
        <v>-0.002153393155822414</v>
      </c>
      <c r="N64" s="63"/>
      <c r="O64" s="45">
        <v>-670.782910968177</v>
      </c>
      <c r="P64" s="45">
        <v>-25363.328736340627</v>
      </c>
      <c r="Q64" s="64">
        <v>-1736.6699692003865</v>
      </c>
      <c r="R64" s="45">
        <v>-27770.78161650919</v>
      </c>
      <c r="S64" s="64"/>
      <c r="T64" s="45"/>
      <c r="U64" s="16">
        <v>-27770.78161650919</v>
      </c>
      <c r="V64" s="65">
        <f t="shared" si="0"/>
        <v>-25363.328736340627</v>
      </c>
      <c r="X64" s="63">
        <v>10214.990128363524</v>
      </c>
      <c r="Y64" s="45">
        <v>0</v>
      </c>
      <c r="Z64" s="16">
        <v>10214.990128363524</v>
      </c>
      <c r="AB64" s="66">
        <v>-17555.791488145667</v>
      </c>
    </row>
    <row r="65" spans="1:28" x14ac:dyDescent="0.25">
      <c r="A65" s="29" t="s">
        <v>123</v>
      </c>
      <c r="B65" s="45">
        <v>2000000</v>
      </c>
      <c r="C65" s="45">
        <v>-492407.56868280284</v>
      </c>
      <c r="D65" s="45">
        <v>-1341.565821936354</v>
      </c>
      <c r="E65" s="45">
        <v>-50726.657472681254</v>
      </c>
      <c r="F65" s="45"/>
      <c r="G65" s="45">
        <v>20429.98025672705</v>
      </c>
      <c r="H65" s="45">
        <v>1475954.1882793065</v>
      </c>
      <c r="I65" s="45">
        <v>524045.8117206935</v>
      </c>
      <c r="J65" s="45"/>
      <c r="K65" s="45">
        <v>-1455524.2023293655</v>
      </c>
      <c r="L65" s="45">
        <v>0.0056932139304990415</v>
      </c>
      <c r="N65" s="63"/>
      <c r="O65" s="45">
        <v>-1341.565821936354</v>
      </c>
      <c r="P65" s="45">
        <v>-50726.657472681254</v>
      </c>
      <c r="Q65" s="64">
        <v>-3473.339938400773</v>
      </c>
      <c r="R65" s="45">
        <v>-55541.56323301838</v>
      </c>
      <c r="S65" s="64"/>
      <c r="T65" s="45"/>
      <c r="U65" s="16">
        <v>-55541.56323301838</v>
      </c>
      <c r="V65" s="65">
        <f t="shared" si="0"/>
        <v>-50726.657472681254</v>
      </c>
      <c r="X65" s="63">
        <v>20429.98025672705</v>
      </c>
      <c r="Y65" s="45">
        <v>0</v>
      </c>
      <c r="Z65" s="16">
        <v>20429.98025672705</v>
      </c>
      <c r="AB65" s="66">
        <v>-35111.582976291334</v>
      </c>
    </row>
    <row r="66" spans="1:28" x14ac:dyDescent="0.25">
      <c r="A66" s="29" t="s">
        <v>124</v>
      </c>
      <c r="B66" s="45">
        <v>1000000</v>
      </c>
      <c r="C66" s="45">
        <v>-246203.78434140154</v>
      </c>
      <c r="D66" s="45">
        <v>-670.782910968177</v>
      </c>
      <c r="E66" s="45">
        <v>-25363.328736340627</v>
      </c>
      <c r="F66" s="45"/>
      <c r="G66" s="45">
        <v>10214.990128363524</v>
      </c>
      <c r="H66" s="45">
        <v>737977.0941396531</v>
      </c>
      <c r="I66" s="45">
        <v>262022.90586034686</v>
      </c>
      <c r="J66" s="45"/>
      <c r="K66" s="45">
        <v>-727762.1061646828</v>
      </c>
      <c r="L66" s="45">
        <v>-0.002153393155822414</v>
      </c>
      <c r="N66" s="63"/>
      <c r="O66" s="45">
        <v>-670.782910968177</v>
      </c>
      <c r="P66" s="45">
        <v>-25363.328736340627</v>
      </c>
      <c r="Q66" s="64">
        <v>-1736.6699692003865</v>
      </c>
      <c r="R66" s="45">
        <v>-27770.78161650919</v>
      </c>
      <c r="S66" s="64"/>
      <c r="T66" s="45"/>
      <c r="U66" s="16">
        <v>-27770.78161650919</v>
      </c>
      <c r="V66" s="65">
        <f t="shared" si="0"/>
        <v>-25363.328736340627</v>
      </c>
      <c r="X66" s="63">
        <v>10214.990128363524</v>
      </c>
      <c r="Y66" s="45">
        <v>0</v>
      </c>
      <c r="Z66" s="16">
        <v>10214.990128363524</v>
      </c>
      <c r="AB66" s="66">
        <v>-17555.791488145667</v>
      </c>
    </row>
    <row r="67" spans="1:28" x14ac:dyDescent="0.25">
      <c r="A67" s="29" t="s">
        <v>125</v>
      </c>
      <c r="B67" s="45">
        <v>523296.86</v>
      </c>
      <c r="C67" s="45">
        <v>-130540.74894085136</v>
      </c>
      <c r="D67" s="45">
        <v>-351.0185910513392</v>
      </c>
      <c r="E67" s="45">
        <v>-13272.550286874874</v>
      </c>
      <c r="F67" s="45"/>
      <c r="G67" s="45">
        <v>5345.47225910363</v>
      </c>
      <c r="H67" s="45">
        <v>384478.014440326</v>
      </c>
      <c r="I67" s="45">
        <v>138818.84555967397</v>
      </c>
      <c r="J67" s="45"/>
      <c r="K67" s="45">
        <v>-379132.5439115182</v>
      </c>
      <c r="L67" s="45">
        <v>-0.0017302957894571591</v>
      </c>
      <c r="N67" s="63"/>
      <c r="O67" s="45">
        <v>-351.0185910513392</v>
      </c>
      <c r="P67" s="45">
        <v>-13272.550286874874</v>
      </c>
      <c r="Q67" s="64">
        <v>-908.7939417388588</v>
      </c>
      <c r="R67" s="45">
        <v>-14532.362819665072</v>
      </c>
      <c r="S67" s="64"/>
      <c r="T67" s="45"/>
      <c r="U67" s="16">
        <v>-14532.362819665072</v>
      </c>
      <c r="V67" s="65">
        <f t="shared" si="0"/>
        <v>-13272.550286874874</v>
      </c>
      <c r="X67" s="63">
        <v>5345.47225910363</v>
      </c>
      <c r="Y67" s="45">
        <v>0</v>
      </c>
      <c r="Z67" s="16">
        <v>5345.47225910363</v>
      </c>
      <c r="AB67" s="66">
        <v>-9186.890560561442</v>
      </c>
    </row>
    <row r="68" spans="1:28" x14ac:dyDescent="0.25">
      <c r="A68" s="29" t="s">
        <v>126</v>
      </c>
      <c r="B68" s="45">
        <v>156600.63</v>
      </c>
      <c r="C68" s="45">
        <v>-38990.165744236234</v>
      </c>
      <c r="D68" s="45">
        <v>-105.0450264508545</v>
      </c>
      <c r="E68" s="45">
        <v>-3971.9132590080408</v>
      </c>
      <c r="F68" s="45"/>
      <c r="G68" s="45">
        <v>1599.6738895455092</v>
      </c>
      <c r="H68" s="45">
        <v>115133.17985985038</v>
      </c>
      <c r="I68" s="45">
        <v>41467.45014014962</v>
      </c>
      <c r="J68" s="45"/>
      <c r="K68" s="45">
        <v>-113533.50435982952</v>
      </c>
      <c r="L68" s="45">
        <v>0.0016104753558465745</v>
      </c>
      <c r="N68" s="63"/>
      <c r="O68" s="45">
        <v>-105.0450264508545</v>
      </c>
      <c r="P68" s="45">
        <v>-3971.9132590080408</v>
      </c>
      <c r="Q68" s="64">
        <v>-271.9636112788611</v>
      </c>
      <c r="R68" s="45">
        <v>-4348.9218967377565</v>
      </c>
      <c r="S68" s="64"/>
      <c r="T68" s="45"/>
      <c r="U68" s="16">
        <v>-4348.9218967377565</v>
      </c>
      <c r="V68" s="65">
        <f t="shared" si="0"/>
        <v>-3971.9132590080408</v>
      </c>
      <c r="X68" s="63">
        <v>1599.6738895455092</v>
      </c>
      <c r="Y68" s="45">
        <v>0</v>
      </c>
      <c r="Z68" s="16">
        <v>1599.6738895455092</v>
      </c>
      <c r="AB68" s="66">
        <v>-2749.2480071922473</v>
      </c>
    </row>
    <row r="69" spans="1:28" x14ac:dyDescent="0.25">
      <c r="A69" s="29" t="s">
        <v>142</v>
      </c>
      <c r="B69" s="45">
        <v>0</v>
      </c>
      <c r="E69" s="45">
        <v>0</v>
      </c>
      <c r="F69" s="45"/>
      <c r="G69" s="45">
        <v>0</v>
      </c>
      <c r="H69" s="45">
        <v>0</v>
      </c>
      <c r="I69" s="45">
        <v>0</v>
      </c>
      <c r="J69" s="45"/>
      <c r="K69" s="45">
        <v>0</v>
      </c>
      <c r="L69" s="45">
        <v>0</v>
      </c>
      <c r="N69" s="63"/>
      <c r="O69" s="45">
        <v>0</v>
      </c>
      <c r="P69" s="45">
        <v>0</v>
      </c>
      <c r="Q69" s="64">
        <v>0</v>
      </c>
      <c r="R69" s="45">
        <v>0</v>
      </c>
      <c r="S69" s="64"/>
      <c r="T69" s="45"/>
      <c r="U69" s="16">
        <v>0</v>
      </c>
      <c r="V69" s="65">
        <f t="shared" ref="V69:V85" si="1">+P69</f>
        <v>0</v>
      </c>
      <c r="X69" s="63">
        <v>0</v>
      </c>
      <c r="Y69" s="45">
        <v>0</v>
      </c>
      <c r="Z69" s="16">
        <v>0</v>
      </c>
      <c r="AB69" s="66">
        <v>0</v>
      </c>
    </row>
    <row r="70" spans="1:28" x14ac:dyDescent="0.25">
      <c r="A70" s="29" t="s">
        <v>127</v>
      </c>
      <c r="B70" s="45">
        <v>1000000</v>
      </c>
      <c r="C70" s="45">
        <v>-246203.78434140154</v>
      </c>
      <c r="D70" s="45">
        <v>-670.782910968177</v>
      </c>
      <c r="E70" s="45">
        <v>-25363.328736340627</v>
      </c>
      <c r="F70" s="45"/>
      <c r="G70" s="45">
        <v>10214.990128363524</v>
      </c>
      <c r="H70" s="45">
        <v>737977.0941396531</v>
      </c>
      <c r="I70" s="45">
        <v>262022.90586034686</v>
      </c>
      <c r="J70" s="45"/>
      <c r="K70" s="45">
        <v>-727762.1061646828</v>
      </c>
      <c r="L70" s="45">
        <v>-0.002153393155822414</v>
      </c>
      <c r="N70" s="63"/>
      <c r="O70" s="45">
        <v>-670.782910968177</v>
      </c>
      <c r="P70" s="45">
        <v>-25363.328736340627</v>
      </c>
      <c r="Q70" s="64">
        <v>-1736.6699692003865</v>
      </c>
      <c r="R70" s="45">
        <v>-27770.78161650919</v>
      </c>
      <c r="S70" s="64"/>
      <c r="T70" s="45"/>
      <c r="U70" s="16">
        <v>-27770.78161650919</v>
      </c>
      <c r="V70" s="65">
        <f t="shared" si="1"/>
        <v>-25363.328736340627</v>
      </c>
      <c r="X70" s="63">
        <v>10214.990128363524</v>
      </c>
      <c r="Y70" s="45">
        <v>0</v>
      </c>
      <c r="Z70" s="16">
        <v>10214.990128363524</v>
      </c>
      <c r="AB70" s="66">
        <v>-17555.791488145667</v>
      </c>
    </row>
    <row r="71" spans="1:28" x14ac:dyDescent="0.25">
      <c r="A71" s="29" t="s">
        <v>128</v>
      </c>
      <c r="B71" s="45">
        <v>1000000</v>
      </c>
      <c r="C71" s="45">
        <v>-246203.78434140154</v>
      </c>
      <c r="D71" s="45">
        <v>-670.782910968177</v>
      </c>
      <c r="E71" s="45">
        <v>-25363.328736340627</v>
      </c>
      <c r="F71" s="45"/>
      <c r="G71" s="45">
        <v>10214.990128363524</v>
      </c>
      <c r="H71" s="45">
        <v>737977.0941396531</v>
      </c>
      <c r="I71" s="45">
        <v>262022.90586034686</v>
      </c>
      <c r="J71" s="45"/>
      <c r="K71" s="45">
        <v>-727762.1061646828</v>
      </c>
      <c r="L71" s="45">
        <v>-0.002153393155822414</v>
      </c>
      <c r="N71" s="63"/>
      <c r="O71" s="45">
        <v>-670.782910968177</v>
      </c>
      <c r="P71" s="45">
        <v>-25363.328736340627</v>
      </c>
      <c r="Q71" s="64">
        <v>-1736.6699692003865</v>
      </c>
      <c r="R71" s="45">
        <v>-27770.78161650919</v>
      </c>
      <c r="S71" s="64"/>
      <c r="T71" s="45"/>
      <c r="U71" s="16">
        <v>-27770.78161650919</v>
      </c>
      <c r="V71" s="65">
        <f t="shared" si="1"/>
        <v>-25363.328736340627</v>
      </c>
      <c r="X71" s="63">
        <v>10214.990128363524</v>
      </c>
      <c r="Y71" s="45">
        <v>0</v>
      </c>
      <c r="Z71" s="16">
        <v>10214.990128363524</v>
      </c>
      <c r="AB71" s="66">
        <v>-17555.791488145667</v>
      </c>
    </row>
    <row r="72" spans="1:28" x14ac:dyDescent="0.25">
      <c r="A72" s="29" t="s">
        <v>129</v>
      </c>
      <c r="B72" s="45">
        <v>600000</v>
      </c>
      <c r="C72" s="45">
        <v>-147722.2726048408</v>
      </c>
      <c r="D72" s="45">
        <v>-402.4697465809295</v>
      </c>
      <c r="E72" s="45">
        <v>-15217.997241804318</v>
      </c>
      <c r="F72" s="45"/>
      <c r="G72" s="45">
        <v>6128.994077018116</v>
      </c>
      <c r="H72" s="45">
        <v>442786.25448379206</v>
      </c>
      <c r="I72" s="45">
        <v>157213.74551620794</v>
      </c>
      <c r="J72" s="45"/>
      <c r="K72" s="45">
        <v>-436657.25969880976</v>
      </c>
      <c r="L72" s="45">
        <v>0.0007079641773088952</v>
      </c>
      <c r="N72" s="63"/>
      <c r="O72" s="45">
        <v>-402.4697465809295</v>
      </c>
      <c r="P72" s="45">
        <v>-15217.997241804318</v>
      </c>
      <c r="Q72" s="64">
        <v>-1042.0019815202318</v>
      </c>
      <c r="R72" s="45">
        <v>-16662.46896990548</v>
      </c>
      <c r="S72" s="64"/>
      <c r="T72" s="45"/>
      <c r="U72" s="16">
        <v>-16662.46896990548</v>
      </c>
      <c r="V72" s="65">
        <f t="shared" si="1"/>
        <v>-15217.997241804318</v>
      </c>
      <c r="X72" s="63">
        <v>6128.994077018116</v>
      </c>
      <c r="Y72" s="45">
        <v>0</v>
      </c>
      <c r="Z72" s="16">
        <v>6128.994077018116</v>
      </c>
      <c r="AB72" s="66">
        <v>-10533.474892887363</v>
      </c>
    </row>
    <row r="73" spans="1:28" x14ac:dyDescent="0.25">
      <c r="A73" s="29" t="s">
        <v>130</v>
      </c>
      <c r="B73" s="45">
        <v>1000000</v>
      </c>
      <c r="C73" s="45">
        <v>-246203.78434140154</v>
      </c>
      <c r="D73" s="45">
        <v>-670.782910968177</v>
      </c>
      <c r="E73" s="45">
        <v>-25363.328736340627</v>
      </c>
      <c r="F73" s="45"/>
      <c r="G73" s="45">
        <v>10214.990128363524</v>
      </c>
      <c r="H73" s="45">
        <v>737977.0941396531</v>
      </c>
      <c r="I73" s="45">
        <v>262022.90586034686</v>
      </c>
      <c r="J73" s="45"/>
      <c r="K73" s="45">
        <v>-727762.1061646828</v>
      </c>
      <c r="L73" s="45">
        <v>-0.002153393155822414</v>
      </c>
      <c r="N73" s="63"/>
      <c r="O73" s="45">
        <v>-670.782910968177</v>
      </c>
      <c r="P73" s="45">
        <v>-25363.328736340627</v>
      </c>
      <c r="Q73" s="64">
        <v>-1736.6699692003865</v>
      </c>
      <c r="R73" s="45">
        <v>-27770.78161650919</v>
      </c>
      <c r="S73" s="64"/>
      <c r="T73" s="45"/>
      <c r="U73" s="16">
        <v>-27770.78161650919</v>
      </c>
      <c r="V73" s="65">
        <f t="shared" si="1"/>
        <v>-25363.328736340627</v>
      </c>
      <c r="X73" s="63">
        <v>10214.990128363524</v>
      </c>
      <c r="Y73" s="45">
        <v>0</v>
      </c>
      <c r="Z73" s="16">
        <v>10214.990128363524</v>
      </c>
      <c r="AB73" s="66">
        <v>-17555.791488145667</v>
      </c>
    </row>
    <row r="74" spans="1:28" x14ac:dyDescent="0.25">
      <c r="A74" s="29" t="s">
        <v>131</v>
      </c>
      <c r="B74" s="45">
        <v>20000000</v>
      </c>
      <c r="C74" s="45">
        <v>-4849075.706828028</v>
      </c>
      <c r="D74" s="45">
        <v>-13415.65821936354</v>
      </c>
      <c r="E74" s="45">
        <v>-507266.57472681254</v>
      </c>
      <c r="F74" s="45"/>
      <c r="G74" s="45">
        <v>204299.8025672705</v>
      </c>
      <c r="H74" s="45">
        <v>14834541.862793066</v>
      </c>
      <c r="I74" s="45">
        <v>5165458.137206934</v>
      </c>
      <c r="J74" s="45"/>
      <c r="K74" s="45">
        <v>-14630242.063293656</v>
      </c>
      <c r="L74" s="45">
        <v>-0.003067861223826185</v>
      </c>
      <c r="N74" s="63"/>
      <c r="O74" s="45">
        <v>-13415.65821936354</v>
      </c>
      <c r="P74" s="45">
        <v>-507266.57472681254</v>
      </c>
      <c r="Q74" s="64">
        <v>-34733.39938400773</v>
      </c>
      <c r="R74" s="45">
        <v>-555415.6323301839</v>
      </c>
      <c r="S74" s="64"/>
      <c r="T74" s="45"/>
      <c r="U74" s="16">
        <v>-555415.6323301839</v>
      </c>
      <c r="V74" s="65">
        <f t="shared" si="1"/>
        <v>-507266.57472681254</v>
      </c>
      <c r="X74" s="63">
        <v>204299.8025672705</v>
      </c>
      <c r="Y74" s="45">
        <v>0</v>
      </c>
      <c r="Z74" s="16">
        <v>204299.8025672705</v>
      </c>
      <c r="AB74" s="66">
        <v>-351115.8297629134</v>
      </c>
    </row>
    <row r="75" spans="1:28" x14ac:dyDescent="0.25">
      <c r="A75" s="29" t="s">
        <v>132</v>
      </c>
      <c r="B75" s="45">
        <v>250000</v>
      </c>
      <c r="C75" s="45">
        <v>-59713.311085350404</v>
      </c>
      <c r="D75" s="45">
        <v>-167.69572774204426</v>
      </c>
      <c r="E75" s="45">
        <v>-6340.832184085157</v>
      </c>
      <c r="F75" s="45"/>
      <c r="G75" s="45">
        <v>2553.747532090881</v>
      </c>
      <c r="H75" s="45">
        <v>186331.90853491327</v>
      </c>
      <c r="I75" s="45">
        <v>63668.091465086734</v>
      </c>
      <c r="J75" s="45"/>
      <c r="K75" s="45">
        <v>-183778.1640411707</v>
      </c>
      <c r="L75" s="45">
        <v>-0.0030383483203877404</v>
      </c>
      <c r="N75" s="63"/>
      <c r="O75" s="45">
        <v>-167.69572774204426</v>
      </c>
      <c r="P75" s="45">
        <v>-6340.832184085157</v>
      </c>
      <c r="Q75" s="64">
        <v>-434.1674923000966</v>
      </c>
      <c r="R75" s="45">
        <v>-6942.6954041272975</v>
      </c>
      <c r="S75" s="64"/>
      <c r="T75" s="45"/>
      <c r="U75" s="16">
        <v>-6942.6954041272975</v>
      </c>
      <c r="V75" s="65">
        <f t="shared" si="1"/>
        <v>-6340.832184085157</v>
      </c>
      <c r="X75" s="63">
        <v>2553.747532090881</v>
      </c>
      <c r="Y75" s="45">
        <v>0</v>
      </c>
      <c r="Z75" s="16">
        <v>2553.747532090881</v>
      </c>
      <c r="AB75" s="66">
        <v>-4388.947872036417</v>
      </c>
    </row>
    <row r="76" spans="1:35" x14ac:dyDescent="0.25">
      <c r="A76" s="29" t="s">
        <v>133</v>
      </c>
      <c r="B76" s="45">
        <v>313201.26</v>
      </c>
      <c r="C76" s="45">
        <v>-77980.35148847237</v>
      </c>
      <c r="D76" s="45">
        <v>-210.090052901709</v>
      </c>
      <c r="E76" s="45">
        <v>-7943.826518016052</v>
      </c>
      <c r="F76" s="45"/>
      <c r="G76" s="45">
        <v>3199.3477790910183</v>
      </c>
      <c r="H76" s="45">
        <v>230266.3397197009</v>
      </c>
      <c r="I76" s="45">
        <v>82934.92028029912</v>
      </c>
      <c r="J76" s="45"/>
      <c r="K76" s="45">
        <v>-227066.99871965905</v>
      </c>
      <c r="L76" s="45">
        <v>-0.006779049181204755</v>
      </c>
      <c r="N76" s="63"/>
      <c r="O76" s="45">
        <v>-210.090052901709</v>
      </c>
      <c r="P76" s="45">
        <v>-7943.826518016052</v>
      </c>
      <c r="Q76" s="64">
        <v>-543.9272225577222</v>
      </c>
      <c r="R76" s="45">
        <v>-8697.843793475484</v>
      </c>
      <c r="S76" s="64"/>
      <c r="T76" s="45"/>
      <c r="U76" s="16">
        <v>-8697.843793475484</v>
      </c>
      <c r="V76" s="65">
        <f t="shared" si="1"/>
        <v>-7943.826518016052</v>
      </c>
      <c r="X76" s="63">
        <v>3199.3477790910183</v>
      </c>
      <c r="Y76" s="45">
        <v>0</v>
      </c>
      <c r="Z76" s="16">
        <v>3199.3477790910183</v>
      </c>
      <c r="AB76" s="66">
        <v>-5498.4960143844655</v>
      </c>
      <c r="AI76" s="67"/>
    </row>
    <row r="77" spans="1:35" x14ac:dyDescent="0.25">
      <c r="A77" s="29" t="s">
        <v>134</v>
      </c>
      <c r="B77" s="45">
        <v>313201.26</v>
      </c>
      <c r="C77" s="45">
        <v>-77980.35148847237</v>
      </c>
      <c r="D77" s="45">
        <v>-210.090052901709</v>
      </c>
      <c r="E77" s="45">
        <v>-7943.826518016052</v>
      </c>
      <c r="F77" s="45"/>
      <c r="G77" s="45">
        <v>3199.3477790910183</v>
      </c>
      <c r="H77" s="45">
        <v>230266.3397197009</v>
      </c>
      <c r="I77" s="45">
        <v>82934.92028029912</v>
      </c>
      <c r="J77" s="45"/>
      <c r="K77" s="45">
        <v>-227066.99871965905</v>
      </c>
      <c r="L77" s="45">
        <v>-0.006779049181204755</v>
      </c>
      <c r="N77" s="63"/>
      <c r="O77" s="45">
        <v>-210.090052901709</v>
      </c>
      <c r="P77" s="45">
        <v>-7943.826518016052</v>
      </c>
      <c r="Q77" s="64">
        <v>-543.9272225577222</v>
      </c>
      <c r="R77" s="45">
        <v>-8697.843793475484</v>
      </c>
      <c r="S77" s="64"/>
      <c r="T77" s="45"/>
      <c r="U77" s="16">
        <v>-8697.843793475484</v>
      </c>
      <c r="V77" s="65">
        <f t="shared" si="1"/>
        <v>-7943.826518016052</v>
      </c>
      <c r="X77" s="63">
        <v>3199.3477790910183</v>
      </c>
      <c r="Y77" s="45">
        <v>0</v>
      </c>
      <c r="Z77" s="16">
        <v>3199.3477790910183</v>
      </c>
      <c r="AB77" s="66">
        <v>-5498.4960143844655</v>
      </c>
      <c r="AI77" s="67"/>
    </row>
    <row r="78" spans="1:35" x14ac:dyDescent="0.25">
      <c r="A78" s="29" t="s">
        <v>135</v>
      </c>
      <c r="B78" s="45">
        <v>5000000</v>
      </c>
      <c r="C78" s="4">
        <v>3768981.07384257</v>
      </c>
      <c r="D78" s="4">
        <v>-3353.914554840885</v>
      </c>
      <c r="E78" s="4">
        <v>-126816.64368170314</v>
      </c>
      <c r="F78" s="45"/>
      <c r="G78" s="45">
        <v>51074.950641817624</v>
      </c>
      <c r="H78" s="45">
        <v>3689885.4662478436</v>
      </c>
      <c r="I78" s="4">
        <v>1310114.5337521564</v>
      </c>
      <c r="J78" s="45"/>
      <c r="K78" s="4">
        <v>-3638810.515606023</v>
      </c>
      <c r="L78" s="45">
        <v>3.0486262403428555e-9</v>
      </c>
      <c r="N78" s="63"/>
      <c r="O78" s="45">
        <v>-3353.914554840885</v>
      </c>
      <c r="P78" s="45">
        <v>-126816.64368170314</v>
      </c>
      <c r="Q78" s="64">
        <v>-8683.349846001933</v>
      </c>
      <c r="R78" s="45">
        <v>-138853.90808254597</v>
      </c>
      <c r="S78" s="64"/>
      <c r="T78" s="45"/>
      <c r="U78" s="16">
        <v>-138853.90808254597</v>
      </c>
      <c r="V78" s="65">
        <f t="shared" si="1"/>
        <v>-126816.64368170314</v>
      </c>
      <c r="X78" s="63">
        <v>51074.950641817624</v>
      </c>
      <c r="Y78" s="45">
        <v>0</v>
      </c>
      <c r="Z78" s="16">
        <v>51074.950641817624</v>
      </c>
      <c r="AB78" s="66">
        <v>-87778.95744072835</v>
      </c>
      <c r="AF78" s="45"/>
      <c r="AI78" s="67"/>
    </row>
    <row r="79" spans="1:35" x14ac:dyDescent="0.25">
      <c r="A79" s="29" t="s">
        <v>136</v>
      </c>
      <c r="B79" s="45">
        <v>7500000</v>
      </c>
      <c r="C79" s="4">
        <v>5653471.61076385</v>
      </c>
      <c r="D79" s="4">
        <v>-5030.871832261793</v>
      </c>
      <c r="E79" s="4">
        <v>-190224.96552255377</v>
      </c>
      <c r="F79" s="45"/>
      <c r="G79" s="45">
        <v>76612.42596272644</v>
      </c>
      <c r="H79" s="45">
        <v>5534828.199371761</v>
      </c>
      <c r="I79" s="4">
        <v>1965171.8006282393</v>
      </c>
      <c r="J79" s="45"/>
      <c r="K79" s="4">
        <v>-5458215.773409034</v>
      </c>
      <c r="L79" s="45">
        <v>1.4551915228366852e-10</v>
      </c>
      <c r="N79" s="63"/>
      <c r="O79" s="45">
        <v>-5030.871832261793</v>
      </c>
      <c r="P79" s="45">
        <v>-190224.96552255377</v>
      </c>
      <c r="Q79" s="64">
        <v>-13025.024769002897</v>
      </c>
      <c r="R79" s="45">
        <v>-208280.86212381846</v>
      </c>
      <c r="S79" s="64"/>
      <c r="T79" s="45"/>
      <c r="U79" s="16">
        <v>-208280.86212381846</v>
      </c>
      <c r="V79" s="65">
        <f t="shared" si="1"/>
        <v>-190224.96552255377</v>
      </c>
      <c r="X79" s="63">
        <v>76612.42596272644</v>
      </c>
      <c r="Y79" s="45">
        <v>0</v>
      </c>
      <c r="Z79" s="16">
        <v>76612.42596272644</v>
      </c>
      <c r="AB79" s="66">
        <v>-131668.43616109202</v>
      </c>
      <c r="AF79" s="45"/>
      <c r="AI79" s="67"/>
    </row>
    <row r="80" spans="1:32" x14ac:dyDescent="0.25">
      <c r="A80" s="29" t="s">
        <v>137</v>
      </c>
      <c r="B80" s="45">
        <v>5000000</v>
      </c>
      <c r="C80" s="4">
        <v>3768981.07384257</v>
      </c>
      <c r="D80" s="4">
        <v>-3353.91455484089</v>
      </c>
      <c r="E80" s="4">
        <v>-126816.64368170314</v>
      </c>
      <c r="F80" s="45"/>
      <c r="G80" s="45">
        <v>51074.950641817624</v>
      </c>
      <c r="H80" s="45">
        <v>3689885.4662478436</v>
      </c>
      <c r="I80" s="4">
        <v>1310114.5337521564</v>
      </c>
      <c r="J80" s="45"/>
      <c r="K80" s="4">
        <v>-3638810.515606023</v>
      </c>
      <c r="L80" s="45">
        <v>3.0486262403428555e-9</v>
      </c>
      <c r="N80" s="63"/>
      <c r="O80" s="45">
        <v>-3353.91455484089</v>
      </c>
      <c r="P80" s="45">
        <v>-126816.64368170314</v>
      </c>
      <c r="Q80" s="64">
        <v>-8683.349846001933</v>
      </c>
      <c r="R80" s="45">
        <v>-138853.90808254597</v>
      </c>
      <c r="S80" s="64"/>
      <c r="T80" s="45"/>
      <c r="U80" s="16">
        <v>-138853.90808254597</v>
      </c>
      <c r="V80" s="65">
        <f t="shared" si="1"/>
        <v>-126816.64368170314</v>
      </c>
      <c r="X80" s="63">
        <v>51074.950641817624</v>
      </c>
      <c r="Y80" s="45">
        <v>0</v>
      </c>
      <c r="Z80" s="16">
        <v>51074.950641817624</v>
      </c>
      <c r="AB80" s="66">
        <v>-87778.95744072835</v>
      </c>
      <c r="AF80" s="45"/>
    </row>
    <row r="81" spans="1:32" x14ac:dyDescent="0.25">
      <c r="A81" s="29" t="s">
        <v>138</v>
      </c>
      <c r="B81" s="45">
        <v>30000000</v>
      </c>
      <c r="C81" s="4">
        <v>22613886.4430554</v>
      </c>
      <c r="D81" s="4">
        <v>-20123.487329047173</v>
      </c>
      <c r="E81" s="4">
        <v>-760899.8620902151</v>
      </c>
      <c r="F81" s="45"/>
      <c r="G81" s="45">
        <v>306449.70385090576</v>
      </c>
      <c r="H81" s="45">
        <v>22139312.797487043</v>
      </c>
      <c r="I81" s="4">
        <v>7860687.202512957</v>
      </c>
      <c r="J81" s="45"/>
      <c r="K81" s="4">
        <v>-21832863.093636137</v>
      </c>
      <c r="L81" s="45">
        <v>5.820766091346741e-10</v>
      </c>
      <c r="N81" s="63"/>
      <c r="O81" s="45">
        <v>-20123.487329047173</v>
      </c>
      <c r="P81" s="45">
        <v>-760899.8620902151</v>
      </c>
      <c r="Q81" s="64">
        <v>-52100.09907601159</v>
      </c>
      <c r="R81" s="45">
        <v>-833123.4484952738</v>
      </c>
      <c r="S81" s="64"/>
      <c r="T81" s="45"/>
      <c r="U81" s="16">
        <v>-833123.4484952738</v>
      </c>
      <c r="V81" s="65">
        <f t="shared" si="1"/>
        <v>-760899.8620902151</v>
      </c>
      <c r="X81" s="63">
        <v>306449.70385090576</v>
      </c>
      <c r="Y81" s="45">
        <v>0</v>
      </c>
      <c r="Z81" s="16">
        <v>306449.70385090576</v>
      </c>
      <c r="AB81" s="66">
        <v>-526673.7446443681</v>
      </c>
      <c r="AF81" s="45"/>
    </row>
    <row r="82" spans="1:35" x14ac:dyDescent="0.25">
      <c r="A82" s="29" t="s">
        <v>7</v>
      </c>
      <c r="B82" s="45">
        <v>10000000</v>
      </c>
      <c r="C82" s="45">
        <v>-2388532.4234140143</v>
      </c>
      <c r="D82" s="45">
        <v>-6707.82910968177</v>
      </c>
      <c r="E82" s="45">
        <v>4671621.444853012</v>
      </c>
      <c r="F82" s="45"/>
      <c r="G82" s="45">
        <v>170590.33514367088</v>
      </c>
      <c r="H82" s="45">
        <v>12446971.527472988</v>
      </c>
      <c r="I82" s="45">
        <v>-2446971.527472988</v>
      </c>
      <c r="J82" s="45"/>
      <c r="K82" s="4">
        <v>-12276381.1938632</v>
      </c>
      <c r="L82" s="45">
        <v>-0.0015338831290137023</v>
      </c>
      <c r="N82" s="63">
        <v>5008186.21114857</v>
      </c>
      <c r="O82" s="45">
        <v>-6707.82910968177</v>
      </c>
      <c r="P82" s="45">
        <v>0</v>
      </c>
      <c r="Q82" s="64">
        <v>-17366.699692003865</v>
      </c>
      <c r="R82" s="45">
        <v>4984111.682346885</v>
      </c>
      <c r="S82" s="64"/>
      <c r="T82" s="45">
        <v>-5161409.84</v>
      </c>
      <c r="U82" s="16">
        <v>-177298.15765311476</v>
      </c>
      <c r="V82" s="65">
        <f t="shared" si="1"/>
        <v>0</v>
      </c>
      <c r="X82" s="68">
        <v>170590.33514367088</v>
      </c>
      <c r="Y82" s="45">
        <v>0</v>
      </c>
      <c r="Z82" s="16">
        <v>170590.33514367088</v>
      </c>
      <c r="AB82" s="66">
        <v>-6707.822509443882</v>
      </c>
      <c r="AI82" s="67"/>
    </row>
    <row r="83" spans="1:35" x14ac:dyDescent="0.25">
      <c r="A83" s="29" t="s">
        <v>139</v>
      </c>
      <c r="B83" s="45">
        <v>391501.58</v>
      </c>
      <c r="C83" s="45">
        <v>-97475.42008808552</v>
      </c>
      <c r="D83" s="45">
        <v>-262.6125694810762</v>
      </c>
      <c r="E83" s="45">
        <v>-9929.78327433666</v>
      </c>
      <c r="F83" s="45"/>
      <c r="G83" s="45">
        <v>3999.184774938723</v>
      </c>
      <c r="H83" s="45">
        <v>287832.9488430355</v>
      </c>
      <c r="I83" s="45">
        <v>103668.63115696452</v>
      </c>
      <c r="J83" s="45"/>
      <c r="K83" s="45">
        <v>-283833.7644648789</v>
      </c>
      <c r="L83" s="45">
        <v>-0.0003967821098740387</v>
      </c>
      <c r="N83" s="63"/>
      <c r="O83" s="45">
        <v>-262.6125694810762</v>
      </c>
      <c r="P83" s="45">
        <v>-9929.78327433666</v>
      </c>
      <c r="Q83" s="64">
        <v>-679.9090368805026</v>
      </c>
      <c r="R83" s="45">
        <v>-10872.304880698239</v>
      </c>
      <c r="S83" s="64"/>
      <c r="T83" s="45"/>
      <c r="U83" s="16">
        <v>-10872.304880698239</v>
      </c>
      <c r="V83" s="65">
        <f t="shared" si="1"/>
        <v>-9929.78327433666</v>
      </c>
      <c r="X83" s="63">
        <v>3999.184774938723</v>
      </c>
      <c r="Y83" s="45">
        <v>0</v>
      </c>
      <c r="Z83" s="16">
        <v>3999.184774938723</v>
      </c>
      <c r="AB83" s="66">
        <v>-6873.120105759515</v>
      </c>
      <c r="AI83" s="67"/>
    </row>
    <row r="84" spans="1:35" x14ac:dyDescent="0.25">
      <c r="A84" s="29" t="s">
        <v>140</v>
      </c>
      <c r="B84" s="45">
        <v>2000000</v>
      </c>
      <c r="C84" s="45">
        <v>-492407.56868280284</v>
      </c>
      <c r="D84" s="45">
        <v>-1341.565821936354</v>
      </c>
      <c r="E84" s="45">
        <v>-50726.657472681254</v>
      </c>
      <c r="F84" s="45"/>
      <c r="G84" s="45">
        <v>20429.98025672705</v>
      </c>
      <c r="H84" s="45">
        <v>1475954.1882793065</v>
      </c>
      <c r="I84" s="45">
        <v>524045.8117206935</v>
      </c>
      <c r="J84" s="45"/>
      <c r="K84" s="45">
        <v>-1455524.2023293655</v>
      </c>
      <c r="L84" s="45">
        <v>0.0056932139304990415</v>
      </c>
      <c r="N84" s="63"/>
      <c r="O84" s="45">
        <v>-1341.565821936354</v>
      </c>
      <c r="P84" s="45">
        <v>-50726.657472681254</v>
      </c>
      <c r="Q84" s="64">
        <v>-3473.339938400773</v>
      </c>
      <c r="R84" s="45">
        <v>-55541.56323301838</v>
      </c>
      <c r="S84" s="64"/>
      <c r="T84" s="45"/>
      <c r="U84" s="16">
        <v>-55541.5632330184</v>
      </c>
      <c r="V84" s="65">
        <f t="shared" si="1"/>
        <v>-50726.657472681254</v>
      </c>
      <c r="X84" s="63">
        <v>20429.98025672705</v>
      </c>
      <c r="Y84" s="45">
        <v>0</v>
      </c>
      <c r="Z84" s="16">
        <v>20429.98025672705</v>
      </c>
      <c r="AB84" s="66">
        <v>-35111.582976291334</v>
      </c>
      <c r="AI84" s="67"/>
    </row>
    <row r="85" ht="15" customHeight="1" spans="1:28" x14ac:dyDescent="0.25">
      <c r="A85" s="29" t="s">
        <v>8</v>
      </c>
      <c r="B85" s="45">
        <v>0</v>
      </c>
      <c r="C85" s="45">
        <v>0</v>
      </c>
      <c r="D85" s="45">
        <v>0</v>
      </c>
      <c r="E85" s="69">
        <v>18377.816164986634</v>
      </c>
      <c r="F85" s="69"/>
      <c r="G85" s="45">
        <v>255.37475320908814</v>
      </c>
      <c r="H85" s="45">
        <v>18633.190918195723</v>
      </c>
      <c r="I85" s="45">
        <v>-18633.190918195723</v>
      </c>
      <c r="K85" s="45">
        <v>-18377.8161649866</v>
      </c>
      <c r="L85" s="45">
        <v>3.385025593161117e-11</v>
      </c>
      <c r="N85" s="70">
        <v>19702.0748095278</v>
      </c>
      <c r="O85" s="71">
        <v>0</v>
      </c>
      <c r="P85" s="72">
        <v>0</v>
      </c>
      <c r="Q85" s="73">
        <v>0</v>
      </c>
      <c r="R85" s="71">
        <v>19702.0748095278</v>
      </c>
      <c r="S85" s="74"/>
      <c r="T85" s="71"/>
      <c r="U85" s="20">
        <v>19702.0748095278</v>
      </c>
      <c r="V85" s="65">
        <f t="shared" si="1"/>
        <v>0</v>
      </c>
      <c r="X85" s="70">
        <v>255.37475320908814</v>
      </c>
      <c r="Y85" s="71">
        <v>0</v>
      </c>
      <c r="Z85" s="20">
        <v>255.37475320908814</v>
      </c>
      <c r="AB85" s="75">
        <v>19957.44956273689</v>
      </c>
    </row>
    <row r="86" spans="14:28" x14ac:dyDescent="0.25">
      <c r="N86" s="76">
        <v>5027888.285958098</v>
      </c>
      <c r="O86" s="77"/>
      <c r="P86" s="77">
        <v>-4541702.046344073</v>
      </c>
      <c r="Q86" s="76">
        <v>-328344.71188172756</v>
      </c>
      <c r="R86" s="77">
        <v>157841.5277323018</v>
      </c>
      <c r="S86" s="76">
        <v>-9544.31305836808</v>
      </c>
      <c r="T86" s="77">
        <v>-5287759.84</v>
      </c>
      <c r="U86" s="77">
        <v>-5139462.62532607</v>
      </c>
      <c r="V86" s="78">
        <f>SUM(V4:V85)</f>
        <v>-4668052.046344073</v>
      </c>
      <c r="X86" s="76">
        <v>1999999.9999999995</v>
      </c>
      <c r="Y86" s="77">
        <v>0</v>
      </c>
      <c r="Z86" s="77">
        <v>1999999.9999999995</v>
      </c>
      <c r="AB86" s="77">
        <v>-3139462.625326072</v>
      </c>
    </row>
    <row r="87" spans="8:9" x14ac:dyDescent="0.25">
      <c r="H87" s="4"/>
      <c r="I87" s="4"/>
    </row>
    <row r="88" spans="8:28" x14ac:dyDescent="0.25">
      <c r="H88" s="4"/>
      <c r="I88" s="4"/>
      <c r="K88" s="4"/>
      <c r="S88" s="79" t="s">
        <v>175</v>
      </c>
      <c r="T88" s="80"/>
      <c r="U88" s="45">
        <v>-147745.923913043</v>
      </c>
      <c r="V88" s="65"/>
      <c r="Y88" s="80"/>
      <c r="Z88" s="45"/>
      <c r="AA88" s="80" t="s">
        <v>176</v>
      </c>
      <c r="AB88" s="45">
        <v>2000000</v>
      </c>
    </row>
    <row r="89" spans="11:28" x14ac:dyDescent="0.25">
      <c r="K89" s="4"/>
      <c r="S89" s="79" t="s">
        <v>177</v>
      </c>
      <c r="T89" s="80"/>
      <c r="U89" s="81">
        <v>-551.290760869565</v>
      </c>
      <c r="V89" s="65"/>
      <c r="Y89" s="80"/>
      <c r="AA89" s="80" t="s">
        <v>178</v>
      </c>
      <c r="AB89" s="81">
        <v>148297.21467391256</v>
      </c>
    </row>
    <row r="90" spans="11:28" x14ac:dyDescent="0.25">
      <c r="K90" s="4"/>
      <c r="S90" s="82" t="s">
        <v>179</v>
      </c>
      <c r="T90" s="44"/>
      <c r="U90" s="77">
        <v>-148297.21467391256</v>
      </c>
      <c r="V90" s="78"/>
      <c r="Y90" s="44"/>
      <c r="Z90" s="77"/>
      <c r="AA90" s="44" t="s">
        <v>180</v>
      </c>
      <c r="AB90" s="77">
        <v>2148297.2146739126</v>
      </c>
    </row>
    <row r="91" spans="26:26" x14ac:dyDescent="0.25">
      <c r="Z91" s="1"/>
    </row>
    <row r="92" spans="19:31" x14ac:dyDescent="0.25">
      <c r="S92" s="82" t="s">
        <v>181</v>
      </c>
      <c r="T92" s="44"/>
      <c r="U92" s="4">
        <v>2.2351741790771484e-8</v>
      </c>
      <c r="V92" s="83"/>
      <c r="Z92" s="1"/>
      <c r="AB92" s="4"/>
      <c r="AE92" s="67"/>
    </row>
    <row r="93" spans="31:31" x14ac:dyDescent="0.25">
      <c r="AE93" s="84"/>
    </row>
    <row r="94" spans="31:31" x14ac:dyDescent="0.25">
      <c r="AE94" s="84"/>
    </row>
    <row r="95" spans="19:31" x14ac:dyDescent="0.25">
      <c r="S95" s="85"/>
      <c r="T95" s="67"/>
      <c r="AE95" s="84"/>
    </row>
    <row r="96" spans="11:24" x14ac:dyDescent="0.25">
      <c r="K96" s="45"/>
      <c r="S96" s="85"/>
      <c r="T96" s="67"/>
      <c r="U96" s="86" t="s">
        <v>182</v>
      </c>
      <c r="X96" s="78">
        <f>+N86+Q86+S86+X86</f>
        <v>6689999.261018002</v>
      </c>
    </row>
    <row r="97" spans="11:24" x14ac:dyDescent="0.25">
      <c r="K97" s="4"/>
      <c r="S97" s="85"/>
      <c r="T97" s="67"/>
      <c r="U97" s="86" t="s">
        <v>183</v>
      </c>
      <c r="X97" s="78">
        <f>+P86</f>
        <v>-4541702.046344073</v>
      </c>
    </row>
    <row r="98" ht="15" customHeight="1" spans="19:24" x14ac:dyDescent="0.25">
      <c r="S98" s="87"/>
      <c r="T98" s="88"/>
      <c r="U98" s="89" t="s">
        <v>184</v>
      </c>
      <c r="V98" s="89"/>
      <c r="W98" s="89"/>
      <c r="X98" s="90">
        <f>SUM(X96:X97)</f>
        <v>2148297.21467393</v>
      </c>
    </row>
    <row r="99" spans="19:20" x14ac:dyDescent="0.25">
      <c r="S99" s="85"/>
      <c r="T99" s="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1:BB108"/>
  <sheetFormatPr defaultRowHeight="15" outlineLevelRow="0" outlineLevelCol="0" x14ac:dyDescent="55"/>
  <cols>
    <col min="1" max="1" width="42" customWidth="1"/>
    <col min="2" max="40" width="14" customWidth="1"/>
  </cols>
  <sheetData>
    <row r="1" spans="1:20" x14ac:dyDescent="0.25">
      <c r="A1" t="s">
        <v>185</v>
      </c>
      <c r="M1" t="s">
        <v>186</v>
      </c>
      <c r="T1" t="s">
        <v>187</v>
      </c>
    </row>
    <row r="2" spans="13:24" x14ac:dyDescent="0.25">
      <c r="M2" t="s">
        <v>188</v>
      </c>
      <c r="P2" t="s">
        <v>189</v>
      </c>
      <c r="Q2" t="s">
        <v>190</v>
      </c>
      <c r="T2" t="s">
        <v>191</v>
      </c>
      <c r="W2" t="s">
        <v>192</v>
      </c>
      <c r="X2" t="s">
        <v>193</v>
      </c>
    </row>
    <row r="3" spans="1:46" x14ac:dyDescent="0.25">
      <c r="A3" t="s">
        <v>151</v>
      </c>
      <c r="M3">
        <v>-125602254.41</v>
      </c>
      <c r="P3">
        <v>-55914.34</v>
      </c>
      <c r="Q3">
        <v>-13952542.020000009</v>
      </c>
      <c r="T3">
        <v>-125602254.41</v>
      </c>
      <c r="W3">
        <v>-55914.34</v>
      </c>
      <c r="X3">
        <v>-13952542.020000009</v>
      </c>
      <c r="AT3">
        <v>-328344.71188172756</v>
      </c>
    </row>
    <row r="4" spans="1:46" x14ac:dyDescent="0.25">
      <c r="A4" t="s">
        <v>50</v>
      </c>
      <c r="M4">
        <v>-332165.64087117976</v>
      </c>
      <c r="P4">
        <v>-147.87013710249406</v>
      </c>
      <c r="Q4">
        <v>-36898.66144222948</v>
      </c>
      <c r="T4">
        <v>-320756.44722458854</v>
      </c>
      <c r="W4">
        <v>-142.79110778349045</v>
      </c>
      <c r="X4">
        <v>-35631.269749969346</v>
      </c>
      <c r="AT4">
        <v>-868.3349846001933</v>
      </c>
    </row>
    <row r="5" spans="1:46" x14ac:dyDescent="0.25">
      <c r="A5" t="s">
        <v>51</v>
      </c>
      <c r="M5">
        <v>-465031.8972196516</v>
      </c>
      <c r="P5">
        <v>-207.01819194349167</v>
      </c>
      <c r="Q5">
        <v>-51658.12601912127</v>
      </c>
      <c r="T5">
        <v>-449059.026114424</v>
      </c>
      <c r="W5">
        <v>-199.90755089688665</v>
      </c>
      <c r="X5">
        <v>-49883.77764995709</v>
      </c>
      <c r="AT5">
        <v>-1215.6689784402704</v>
      </c>
    </row>
    <row r="6" spans="1:46" x14ac:dyDescent="0.25">
      <c r="A6" t="s">
        <v>53</v>
      </c>
      <c r="M6">
        <v>-398598.7690454157</v>
      </c>
      <c r="P6">
        <v>-177.44416452299288</v>
      </c>
      <c r="Q6">
        <v>-44278.39373067537</v>
      </c>
      <c r="T6">
        <v>-384907.7366695063</v>
      </c>
      <c r="W6">
        <v>-171.34932934018855</v>
      </c>
      <c r="X6">
        <v>-42757.52369996322</v>
      </c>
      <c r="AT6">
        <v>-1042.0019815202318</v>
      </c>
    </row>
    <row r="7" spans="1:46" x14ac:dyDescent="0.25">
      <c r="A7" t="s">
        <v>54</v>
      </c>
      <c r="M7">
        <v>-498248.46130676963</v>
      </c>
      <c r="P7">
        <v>-221.8052056537411</v>
      </c>
      <c r="Q7">
        <v>-55347.99216334422</v>
      </c>
      <c r="T7">
        <v>-481134.67083688284</v>
      </c>
      <c r="W7">
        <v>-214.1866616752357</v>
      </c>
      <c r="X7">
        <v>-53446.904624954026</v>
      </c>
      <c r="AT7">
        <v>-1302.5024769002898</v>
      </c>
    </row>
    <row r="8" spans="1:46" x14ac:dyDescent="0.25">
      <c r="A8" t="s">
        <v>55</v>
      </c>
      <c r="M8">
        <v>-52017.35194643691</v>
      </c>
      <c r="P8">
        <v>-23.156558107138316</v>
      </c>
      <c r="Q8">
        <v>-5778.35399699646</v>
      </c>
      <c r="T8">
        <v>-50230.6649194968</v>
      </c>
      <c r="W8">
        <v>-22.36117886520359</v>
      </c>
      <c r="X8">
        <v>-5579.879646857841</v>
      </c>
      <c r="AT8">
        <v>-135.98181432278042</v>
      </c>
    </row>
    <row r="9" spans="1:46" x14ac:dyDescent="0.25">
      <c r="A9" t="s">
        <v>57</v>
      </c>
      <c r="M9">
        <v>-95795.21559143349</v>
      </c>
      <c r="P9">
        <v>-42.64514423019991</v>
      </c>
      <c r="Q9">
        <v>-10641.423413400298</v>
      </c>
      <c r="T9">
        <v>-92504.85069326666</v>
      </c>
      <c r="W9">
        <v>-41.18037289703889</v>
      </c>
      <c r="X9">
        <v>-10275.91282031058</v>
      </c>
      <c r="AT9">
        <v>-250.42426675195856</v>
      </c>
    </row>
    <row r="10" spans="1:46" x14ac:dyDescent="0.25">
      <c r="A10" t="s">
        <v>59</v>
      </c>
      <c r="M10">
        <v>-104034.697249561</v>
      </c>
      <c r="P10">
        <v>-46.31311325687389</v>
      </c>
      <c r="Q10">
        <v>-11556.70725601969</v>
      </c>
      <c r="T10">
        <v>-100461.32342386465</v>
      </c>
      <c r="W10">
        <v>-44.72235487458502</v>
      </c>
      <c r="X10">
        <v>-11159.758581090286</v>
      </c>
      <c r="AT10">
        <v>-271.9636112788611</v>
      </c>
    </row>
    <row r="11" spans="1:46" x14ac:dyDescent="0.25">
      <c r="A11" t="s">
        <v>61</v>
      </c>
      <c r="M11">
        <v>-347642.47373555205</v>
      </c>
      <c r="P11">
        <v>-154.75995686700927</v>
      </c>
      <c r="Q11">
        <v>-38617.907341843515</v>
      </c>
      <c r="T11">
        <v>-335701.6833147658</v>
      </c>
      <c r="W11">
        <v>-149.44427667804425</v>
      </c>
      <c r="X11">
        <v>-37291.46315594389</v>
      </c>
      <c r="AT11">
        <v>-908.7939417388588</v>
      </c>
    </row>
    <row r="12" spans="1:46" x14ac:dyDescent="0.25">
      <c r="A12" t="s">
        <v>62</v>
      </c>
      <c r="M12">
        <v>-664331.2817423595</v>
      </c>
      <c r="P12">
        <v>-295.7402742049881</v>
      </c>
      <c r="Q12">
        <v>-73797.32288445896</v>
      </c>
      <c r="T12">
        <v>-641512.8944491771</v>
      </c>
      <c r="W12">
        <v>-285.5822155669809</v>
      </c>
      <c r="X12">
        <v>-71262.53949993869</v>
      </c>
      <c r="AT12">
        <v>-1736.6699692003865</v>
      </c>
    </row>
    <row r="13" spans="1:46" x14ac:dyDescent="0.25">
      <c r="A13" t="s">
        <v>63</v>
      </c>
      <c r="M13">
        <v>-260086.74644555888</v>
      </c>
      <c r="P13">
        <v>-115.78278462088609</v>
      </c>
      <c r="Q13">
        <v>-28891.76850903584</v>
      </c>
      <c r="T13">
        <v>-251153.31176722609</v>
      </c>
      <c r="W13">
        <v>-111.80588861437363</v>
      </c>
      <c r="X13">
        <v>-27899.39680903841</v>
      </c>
      <c r="AT13">
        <v>-679.9090368805026</v>
      </c>
    </row>
    <row r="14" spans="1:46" x14ac:dyDescent="0.25">
      <c r="A14" t="s">
        <v>65</v>
      </c>
      <c r="M14">
        <v>-6643312.817423595</v>
      </c>
      <c r="P14">
        <v>-2957.4027420498815</v>
      </c>
      <c r="Q14">
        <v>-737973.2288445896</v>
      </c>
      <c r="T14">
        <v>-6415128.944491771</v>
      </c>
      <c r="W14">
        <v>-2855.8221556698095</v>
      </c>
      <c r="X14">
        <v>-712625.394999387</v>
      </c>
      <c r="AT14">
        <v>-17366.699692003865</v>
      </c>
    </row>
    <row r="15" spans="1:46" x14ac:dyDescent="0.25">
      <c r="A15" t="s">
        <v>68</v>
      </c>
      <c r="M15">
        <v>-607729.2201811108</v>
      </c>
      <c r="P15">
        <v>-270.54274148789534</v>
      </c>
      <c r="Q15">
        <v>-67509.67585087934</v>
      </c>
      <c r="T15">
        <v>-586854.9950819918</v>
      </c>
      <c r="W15">
        <v>-261.2501652924178</v>
      </c>
      <c r="X15">
        <v>-65190.85996498229</v>
      </c>
      <c r="AT15">
        <v>-1588.7029786193614</v>
      </c>
    </row>
    <row r="16" spans="1:46" x14ac:dyDescent="0.25">
      <c r="A16" t="s">
        <v>70</v>
      </c>
      <c r="M16">
        <v>-607729.2201811108</v>
      </c>
      <c r="P16">
        <v>-270.54274148789534</v>
      </c>
      <c r="Q16">
        <v>-67509.67585087934</v>
      </c>
      <c r="T16">
        <v>-586854.9950819918</v>
      </c>
      <c r="W16">
        <v>-261.2501652924178</v>
      </c>
      <c r="X16">
        <v>-65190.85996498229</v>
      </c>
      <c r="AT16">
        <v>-1588.7029786193614</v>
      </c>
    </row>
    <row r="17" spans="1:46" x14ac:dyDescent="0.25">
      <c r="A17" t="s">
        <v>72</v>
      </c>
      <c r="M17">
        <v>-52017.35194643691</v>
      </c>
      <c r="P17">
        <v>-23.156558107138316</v>
      </c>
      <c r="Q17">
        <v>-5778.35399699646</v>
      </c>
      <c r="T17">
        <v>-50230.6649194968</v>
      </c>
      <c r="W17">
        <v>-22.36117886520359</v>
      </c>
      <c r="X17">
        <v>-5579.879646857841</v>
      </c>
      <c r="AT17">
        <v>-135.98181432278042</v>
      </c>
    </row>
    <row r="18" spans="1:46" x14ac:dyDescent="0.25">
      <c r="A18" t="s">
        <v>74</v>
      </c>
      <c r="M18">
        <v>-156052.04919599788</v>
      </c>
      <c r="P18">
        <v>-69.4696713640122</v>
      </c>
      <c r="Q18">
        <v>-17335.06125301615</v>
      </c>
      <c r="T18">
        <v>-150691.98834336145</v>
      </c>
      <c r="W18">
        <v>-67.0835337397886</v>
      </c>
      <c r="X18">
        <v>-16739.638227948126</v>
      </c>
      <c r="AT18">
        <v>-407.9454256016415</v>
      </c>
    </row>
    <row r="19" spans="1:46" x14ac:dyDescent="0.25">
      <c r="A19" t="s">
        <v>76</v>
      </c>
      <c r="M19">
        <v>-332165.64087117976</v>
      </c>
      <c r="P19">
        <v>-147.87013710249406</v>
      </c>
      <c r="Q19">
        <v>-36898.66144222948</v>
      </c>
      <c r="T19">
        <v>-320756.44722458854</v>
      </c>
      <c r="W19">
        <v>-142.79110778349045</v>
      </c>
      <c r="X19">
        <v>-35631.269749969346</v>
      </c>
      <c r="AT19">
        <v>-868.3349846001933</v>
      </c>
    </row>
    <row r="20" spans="1:46" x14ac:dyDescent="0.25">
      <c r="A20" t="s">
        <v>77</v>
      </c>
      <c r="M20">
        <v>-130043.37322277944</v>
      </c>
      <c r="P20">
        <v>-57.891392310443045</v>
      </c>
      <c r="Q20">
        <v>-14445.88425451792</v>
      </c>
      <c r="T20">
        <v>-125576.65588361304</v>
      </c>
      <c r="W20">
        <v>-55.902944307186814</v>
      </c>
      <c r="X20">
        <v>-13949.698404519206</v>
      </c>
      <c r="AT20">
        <v>-339.9545184402513</v>
      </c>
    </row>
    <row r="21" spans="1:46" x14ac:dyDescent="0.25">
      <c r="A21" t="s">
        <v>78</v>
      </c>
      <c r="M21">
        <v>-332165.64087117976</v>
      </c>
      <c r="P21">
        <v>-147.87013710249406</v>
      </c>
      <c r="Q21">
        <v>-36898.66144222948</v>
      </c>
      <c r="T21">
        <v>-320756.44722458854</v>
      </c>
      <c r="W21">
        <v>-142.79110778349045</v>
      </c>
      <c r="X21">
        <v>-35631.269749969346</v>
      </c>
      <c r="AT21">
        <v>-868.3349846001933</v>
      </c>
    </row>
    <row r="22" spans="1:46" x14ac:dyDescent="0.25">
      <c r="A22" t="s">
        <v>80</v>
      </c>
      <c r="M22">
        <v>-33857076.04312928</v>
      </c>
      <c r="P22">
        <v>-15072.150338176285</v>
      </c>
      <c r="Q22">
        <v>-3761017.494352286</v>
      </c>
      <c r="T22">
        <v>-32694156.43509784</v>
      </c>
      <c r="W22">
        <v>-14554.453560665579</v>
      </c>
      <c r="X22">
        <v>-3631834.425360744</v>
      </c>
      <c r="AT22">
        <v>-88507.9008395087</v>
      </c>
    </row>
    <row r="23" spans="1:46" x14ac:dyDescent="0.25">
      <c r="A23" t="s">
        <v>82</v>
      </c>
      <c r="M23">
        <v>-4202674.870059795</v>
      </c>
      <c r="P23">
        <v>-1870.9042500694964</v>
      </c>
      <c r="Q23">
        <v>-466854.65954692906</v>
      </c>
      <c r="T23">
        <v>-4058321.7957911342</v>
      </c>
      <c r="W23">
        <v>-1806.6426099212563</v>
      </c>
      <c r="X23">
        <v>-450819.1803757107</v>
      </c>
      <c r="AT23">
        <v>-10986.475329000905</v>
      </c>
    </row>
    <row r="24" spans="1:46" x14ac:dyDescent="0.25">
      <c r="A24" t="s">
        <v>83</v>
      </c>
      <c r="M24">
        <v>-130043.37322277944</v>
      </c>
      <c r="P24">
        <v>-57.891392310443045</v>
      </c>
      <c r="Q24">
        <v>-14445.88425451792</v>
      </c>
      <c r="T24">
        <v>-125576.65588361304</v>
      </c>
      <c r="W24">
        <v>-55.902944307186814</v>
      </c>
      <c r="X24">
        <v>-13949.698404519206</v>
      </c>
      <c r="AT24">
        <v>-339.9545184402513</v>
      </c>
    </row>
    <row r="25" spans="1:46" x14ac:dyDescent="0.25">
      <c r="A25" t="s">
        <v>84</v>
      </c>
      <c r="M25">
        <v>-805495.9392903367</v>
      </c>
      <c r="P25">
        <v>-358.582527277579</v>
      </c>
      <c r="Q25">
        <v>-89478.61638853677</v>
      </c>
      <c r="T25">
        <v>-777828.8418482193</v>
      </c>
      <c r="W25">
        <v>-346.26596894462193</v>
      </c>
      <c r="X25">
        <v>-86405.2134353344</v>
      </c>
      <c r="AT25">
        <v>-2105.697332826935</v>
      </c>
    </row>
    <row r="26" spans="1:46" x14ac:dyDescent="0.25">
      <c r="A26" t="s">
        <v>85</v>
      </c>
      <c r="M26">
        <v>-130043.37322277944</v>
      </c>
      <c r="P26">
        <v>-57.891392310443045</v>
      </c>
      <c r="Q26">
        <v>-14445.88425451792</v>
      </c>
      <c r="T26">
        <v>-125576.65588361304</v>
      </c>
      <c r="W26">
        <v>-55.902944307186814</v>
      </c>
      <c r="X26">
        <v>-13949.698404519206</v>
      </c>
      <c r="AT26">
        <v>-339.9545184402513</v>
      </c>
    </row>
    <row r="27" spans="1:46" x14ac:dyDescent="0.25">
      <c r="A27" t="s">
        <v>86</v>
      </c>
      <c r="M27">
        <v>-332165.64087117976</v>
      </c>
      <c r="P27">
        <v>-147.87013710249406</v>
      </c>
      <c r="Q27">
        <v>-36898.66144222948</v>
      </c>
      <c r="T27">
        <v>-320756.44722458854</v>
      </c>
      <c r="W27">
        <v>-142.79110778349045</v>
      </c>
      <c r="X27">
        <v>-35631.269749969346</v>
      </c>
      <c r="AT27">
        <v>-868.3349846001933</v>
      </c>
    </row>
    <row r="28" spans="1:46" x14ac:dyDescent="0.25">
      <c r="A28" t="s">
        <v>87</v>
      </c>
      <c r="M28">
        <v>-110210.99181923253</v>
      </c>
      <c r="P28">
        <v>-49.06261354356041</v>
      </c>
      <c r="Q28">
        <v>-12242.801704849735</v>
      </c>
      <c r="T28">
        <v>-106425.4752186876</v>
      </c>
      <c r="W28">
        <v>-47.3774155885334</v>
      </c>
      <c r="X28">
        <v>-11822.287123446611</v>
      </c>
      <c r="AT28">
        <v>-288.1094493492168</v>
      </c>
    </row>
    <row r="29" spans="1:46" x14ac:dyDescent="0.25">
      <c r="A29" t="s">
        <v>88</v>
      </c>
      <c r="M29">
        <v>-3190487.1866225363</v>
      </c>
      <c r="P29">
        <v>-1420.3087847143997</v>
      </c>
      <c r="Q29">
        <v>-354415.6651067114</v>
      </c>
      <c r="T29">
        <v>-3080900.6380449203</v>
      </c>
      <c r="W29">
        <v>-1371.5241544911742</v>
      </c>
      <c r="X29">
        <v>-342242.2297568583</v>
      </c>
      <c r="AT29">
        <v>-8340.452175598177</v>
      </c>
    </row>
    <row r="30" spans="1:46" x14ac:dyDescent="0.25">
      <c r="A30" t="s">
        <v>89</v>
      </c>
      <c r="M30">
        <v>-245521.32959654738</v>
      </c>
      <c r="P30">
        <v>-109.29869981076094</v>
      </c>
      <c r="Q30">
        <v>-27273.76737060668</v>
      </c>
      <c r="T30">
        <v>-237088.1864623305</v>
      </c>
      <c r="W30">
        <v>-105.54451852882266</v>
      </c>
      <c r="X30">
        <v>-26336.970618880023</v>
      </c>
      <c r="AT30">
        <v>-641.8326693726821</v>
      </c>
    </row>
    <row r="31" spans="1:46" x14ac:dyDescent="0.25">
      <c r="A31" t="s">
        <v>90</v>
      </c>
      <c r="M31">
        <v>-104034.697249561</v>
      </c>
      <c r="P31">
        <v>-46.31311325687389</v>
      </c>
      <c r="Q31">
        <v>-11556.70725601969</v>
      </c>
      <c r="T31">
        <v>-100461.32342386465</v>
      </c>
      <c r="W31">
        <v>-44.72235487458502</v>
      </c>
      <c r="X31">
        <v>-11159.758581090286</v>
      </c>
      <c r="AT31">
        <v>-271.9636112788611</v>
      </c>
    </row>
    <row r="32" spans="1:46" x14ac:dyDescent="0.25">
      <c r="A32" t="s">
        <v>91</v>
      </c>
      <c r="M32">
        <v>-564681.5894810054</v>
      </c>
      <c r="P32">
        <v>-251.3792330742399</v>
      </c>
      <c r="Q32">
        <v>-62727.72445179011</v>
      </c>
      <c r="T32">
        <v>-545285.9602818006</v>
      </c>
      <c r="W32">
        <v>-242.7448832319338</v>
      </c>
      <c r="X32">
        <v>-60573.1585749479</v>
      </c>
      <c r="AT32">
        <v>-1476.1694738203284</v>
      </c>
    </row>
    <row r="33" spans="1:46" x14ac:dyDescent="0.25">
      <c r="A33" t="s">
        <v>92</v>
      </c>
      <c r="M33">
        <v>-996496.9226135393</v>
      </c>
      <c r="P33">
        <v>-443.6104113074822</v>
      </c>
      <c r="Q33">
        <v>-110695.98432668844</v>
      </c>
      <c r="T33">
        <v>-962269.3416737657</v>
      </c>
      <c r="W33">
        <v>-428.3733233504714</v>
      </c>
      <c r="X33">
        <v>-106893.80924990805</v>
      </c>
      <c r="AT33">
        <v>-2605.0049538005796</v>
      </c>
    </row>
    <row r="34" spans="1:46" x14ac:dyDescent="0.25">
      <c r="A34" t="s">
        <v>93</v>
      </c>
      <c r="M34">
        <v>-208069.394499122</v>
      </c>
      <c r="P34">
        <v>-92.62622651374778</v>
      </c>
      <c r="Q34">
        <v>-23113.41451203938</v>
      </c>
      <c r="T34">
        <v>-200922.6468477293</v>
      </c>
      <c r="W34">
        <v>-89.44470974917004</v>
      </c>
      <c r="X34">
        <v>-22319.51716218057</v>
      </c>
      <c r="AT34">
        <v>-543.9272225577222</v>
      </c>
    </row>
    <row r="35" spans="1:46" x14ac:dyDescent="0.25">
      <c r="A35" t="s">
        <v>94</v>
      </c>
      <c r="M35">
        <v>-156052.04919599788</v>
      </c>
      <c r="P35">
        <v>-69.4696713640122</v>
      </c>
      <c r="Q35">
        <v>-17335.06125301615</v>
      </c>
      <c r="T35">
        <v>-150691.98834336145</v>
      </c>
      <c r="W35">
        <v>-67.0835337397886</v>
      </c>
      <c r="X35">
        <v>-16739.638227948126</v>
      </c>
      <c r="AT35">
        <v>-407.9454256016415</v>
      </c>
    </row>
    <row r="36" spans="1:46" x14ac:dyDescent="0.25">
      <c r="A36" t="s">
        <v>95</v>
      </c>
      <c r="M36">
        <v>-664331.2817423595</v>
      </c>
      <c r="P36">
        <v>-295.7402742049881</v>
      </c>
      <c r="Q36">
        <v>-73797.32288445896</v>
      </c>
      <c r="T36">
        <v>-641512.8944491771</v>
      </c>
      <c r="W36">
        <v>-285.5822155669809</v>
      </c>
      <c r="X36">
        <v>-71262.53949993869</v>
      </c>
      <c r="AT36">
        <v>-1736.6699692003865</v>
      </c>
    </row>
    <row r="37" spans="1:46" x14ac:dyDescent="0.25">
      <c r="A37" t="s">
        <v>96</v>
      </c>
      <c r="M37">
        <v>-664331.2817423595</v>
      </c>
      <c r="P37">
        <v>-295.7402742049881</v>
      </c>
      <c r="Q37">
        <v>-73797.32288445896</v>
      </c>
      <c r="T37">
        <v>-641512.8944491771</v>
      </c>
      <c r="W37">
        <v>-285.5822155669809</v>
      </c>
      <c r="X37">
        <v>-71262.53949993869</v>
      </c>
      <c r="AT37">
        <v>-1736.6699692003865</v>
      </c>
    </row>
    <row r="38" spans="1:46" x14ac:dyDescent="0.25">
      <c r="A38" t="s">
        <v>97</v>
      </c>
      <c r="M38">
        <v>-104034.697249561</v>
      </c>
      <c r="P38">
        <v>-46.31311325687389</v>
      </c>
      <c r="Q38">
        <v>-11556.70725601969</v>
      </c>
      <c r="T38">
        <v>-100461.32342386465</v>
      </c>
      <c r="W38">
        <v>-44.72235487458502</v>
      </c>
      <c r="X38">
        <v>-11159.758581090286</v>
      </c>
      <c r="AT38">
        <v>-271.9636112788611</v>
      </c>
    </row>
    <row r="39" spans="1:46" x14ac:dyDescent="0.25">
      <c r="A39" t="s">
        <v>98</v>
      </c>
      <c r="M39">
        <v>-132866.2563484719</v>
      </c>
      <c r="P39">
        <v>-59.14805484099763</v>
      </c>
      <c r="Q39">
        <v>-14759.464576891793</v>
      </c>
      <c r="T39">
        <v>-128302.57888983544</v>
      </c>
      <c r="W39">
        <v>-57.116443113396194</v>
      </c>
      <c r="X39">
        <v>-14252.50789998774</v>
      </c>
      <c r="AT39">
        <v>-347.3339938400773</v>
      </c>
    </row>
    <row r="40" spans="1:46" x14ac:dyDescent="0.25">
      <c r="A40" t="s">
        <v>99</v>
      </c>
      <c r="M40">
        <v>-66433.12817423596</v>
      </c>
      <c r="P40">
        <v>-29.574027420498815</v>
      </c>
      <c r="Q40">
        <v>-7379.732288445896</v>
      </c>
      <c r="T40">
        <v>-64151.28944491772</v>
      </c>
      <c r="W40">
        <v>-28.558221556698097</v>
      </c>
      <c r="X40">
        <v>-7126.25394999387</v>
      </c>
      <c r="AT40">
        <v>-173.66699692003866</v>
      </c>
    </row>
    <row r="41" spans="1:46" x14ac:dyDescent="0.25">
      <c r="A41" t="s">
        <v>141</v>
      </c>
      <c r="Q41">
        <v>0</v>
      </c>
      <c r="AT41">
        <v>0</v>
      </c>
    </row>
    <row r="42" spans="1:46" x14ac:dyDescent="0.25">
      <c r="A42" t="s">
        <v>100</v>
      </c>
      <c r="M42">
        <v>-104034.697249561</v>
      </c>
      <c r="P42">
        <v>-46.31311325687389</v>
      </c>
      <c r="Q42">
        <v>-11556.70725601969</v>
      </c>
      <c r="T42">
        <v>-100461.32342386465</v>
      </c>
      <c r="W42">
        <v>-44.72235487458502</v>
      </c>
      <c r="X42">
        <v>-11159.758581090286</v>
      </c>
      <c r="AT42">
        <v>-271.9636112788611</v>
      </c>
    </row>
    <row r="43" spans="1:46" x14ac:dyDescent="0.25">
      <c r="A43" t="s">
        <v>101</v>
      </c>
      <c r="M43">
        <v>-104034.697249561</v>
      </c>
      <c r="P43">
        <v>-46.31311325687389</v>
      </c>
      <c r="Q43">
        <v>-11556.70725601969</v>
      </c>
      <c r="T43">
        <v>-100461.32342386465</v>
      </c>
      <c r="W43">
        <v>-44.72235487458502</v>
      </c>
      <c r="X43">
        <v>-11159.758581090286</v>
      </c>
      <c r="AT43">
        <v>-271.9636112788611</v>
      </c>
    </row>
    <row r="44" spans="1:46" x14ac:dyDescent="0.25">
      <c r="A44" t="s">
        <v>102</v>
      </c>
      <c r="M44">
        <v>-130043.37322277944</v>
      </c>
      <c r="P44">
        <v>-57.891392310443045</v>
      </c>
      <c r="Q44">
        <v>-14445.88425451792</v>
      </c>
      <c r="T44">
        <v>-125576.65588361304</v>
      </c>
      <c r="W44">
        <v>-55.902944307186814</v>
      </c>
      <c r="X44">
        <v>-13949.698404519206</v>
      </c>
      <c r="AT44">
        <v>-339.9545184402513</v>
      </c>
    </row>
    <row r="45" spans="1:46" x14ac:dyDescent="0.25">
      <c r="A45" t="s">
        <v>103</v>
      </c>
      <c r="M45">
        <v>-664331.2817423595</v>
      </c>
      <c r="P45">
        <v>-295.7402742049881</v>
      </c>
      <c r="Q45">
        <v>-73797.32288445896</v>
      </c>
      <c r="T45">
        <v>-641512.8944491771</v>
      </c>
      <c r="W45">
        <v>-285.5822155669809</v>
      </c>
      <c r="X45">
        <v>-71262.53949993869</v>
      </c>
      <c r="AT45">
        <v>-1736.6699692003865</v>
      </c>
    </row>
    <row r="46" spans="1:46" x14ac:dyDescent="0.25">
      <c r="A46" t="s">
        <v>104</v>
      </c>
      <c r="M46">
        <v>-332165.64087117976</v>
      </c>
      <c r="P46">
        <v>-147.87013710249406</v>
      </c>
      <c r="Q46">
        <v>-36898.66144222948</v>
      </c>
      <c r="T46">
        <v>-320756.44722458854</v>
      </c>
      <c r="W46">
        <v>-142.79110778349045</v>
      </c>
      <c r="X46">
        <v>-35631.269749969346</v>
      </c>
      <c r="AT46">
        <v>-868.3349846001933</v>
      </c>
    </row>
    <row r="47" spans="1:46" x14ac:dyDescent="0.25">
      <c r="A47" t="s">
        <v>105</v>
      </c>
      <c r="M47">
        <v>-996496.9226135393</v>
      </c>
      <c r="P47">
        <v>-443.6104113074822</v>
      </c>
      <c r="Q47">
        <v>-110695.98432668844</v>
      </c>
      <c r="T47">
        <v>-962269.3416737657</v>
      </c>
      <c r="W47">
        <v>-428.3733233504714</v>
      </c>
      <c r="X47">
        <v>-106893.80924990805</v>
      </c>
      <c r="AT47">
        <v>-2605.0049538005796</v>
      </c>
    </row>
    <row r="48" spans="1:46" x14ac:dyDescent="0.25">
      <c r="A48" t="s">
        <v>106</v>
      </c>
      <c r="M48">
        <v>-66433.12817423596</v>
      </c>
      <c r="P48">
        <v>-29.574027420498815</v>
      </c>
      <c r="Q48">
        <v>-7379.732288445896</v>
      </c>
      <c r="T48">
        <v>-64151.28944491772</v>
      </c>
      <c r="W48">
        <v>-28.558221556698097</v>
      </c>
      <c r="X48">
        <v>-7126.25394999387</v>
      </c>
      <c r="AT48">
        <v>-173.66699692003866</v>
      </c>
    </row>
    <row r="49" spans="1:46" x14ac:dyDescent="0.25">
      <c r="A49" t="s">
        <v>107</v>
      </c>
      <c r="M49">
        <v>-498248.46130676963</v>
      </c>
      <c r="P49">
        <v>-221.8052056537411</v>
      </c>
      <c r="Q49">
        <v>-55347.99216334422</v>
      </c>
      <c r="T49">
        <v>-481134.67083688284</v>
      </c>
      <c r="W49">
        <v>-214.1866616752357</v>
      </c>
      <c r="X49">
        <v>-53446.904624954026</v>
      </c>
      <c r="AT49">
        <v>-1302.5024769002898</v>
      </c>
    </row>
    <row r="50" spans="1:46" x14ac:dyDescent="0.25">
      <c r="A50" t="s">
        <v>108</v>
      </c>
      <c r="M50">
        <v>-156052.04919599788</v>
      </c>
      <c r="P50">
        <v>-69.4696713640122</v>
      </c>
      <c r="Q50">
        <v>-17335.06125301615</v>
      </c>
      <c r="T50">
        <v>-150691.98834336145</v>
      </c>
      <c r="W50">
        <v>-67.0835337397886</v>
      </c>
      <c r="X50">
        <v>-16739.638227948126</v>
      </c>
      <c r="AT50">
        <v>-407.9454256016415</v>
      </c>
    </row>
    <row r="51" spans="1:46" x14ac:dyDescent="0.25">
      <c r="A51" t="s">
        <v>109</v>
      </c>
      <c r="M51">
        <v>-664331.2817423595</v>
      </c>
      <c r="P51">
        <v>-295.7402742049881</v>
      </c>
      <c r="Q51">
        <v>-73797.32288445896</v>
      </c>
      <c r="T51">
        <v>-641512.8944491771</v>
      </c>
      <c r="W51">
        <v>-285.5822155669809</v>
      </c>
      <c r="X51">
        <v>-71262.53949993869</v>
      </c>
      <c r="AT51">
        <v>-1736.6699692003865</v>
      </c>
    </row>
    <row r="52" spans="1:46" x14ac:dyDescent="0.25">
      <c r="A52" t="s">
        <v>110</v>
      </c>
      <c r="M52">
        <v>-78026.02127634254</v>
      </c>
      <c r="P52">
        <v>-34.73483420330473</v>
      </c>
      <c r="Q52">
        <v>-8667.53025752146</v>
      </c>
      <c r="T52">
        <v>-75345.99096411624</v>
      </c>
      <c r="W52">
        <v>-33.54176544198323</v>
      </c>
      <c r="X52">
        <v>-8369.818757661365</v>
      </c>
      <c r="AT52">
        <v>-203.9727041174709</v>
      </c>
    </row>
    <row r="53" spans="1:46" x14ac:dyDescent="0.25">
      <c r="A53" t="s">
        <v>111</v>
      </c>
      <c r="M53">
        <v>-66433.12817423596</v>
      </c>
      <c r="P53">
        <v>-29.574027420498815</v>
      </c>
      <c r="Q53">
        <v>-7379.732288445896</v>
      </c>
      <c r="T53">
        <v>-64151.28944491772</v>
      </c>
      <c r="W53">
        <v>-28.558221556698097</v>
      </c>
      <c r="X53">
        <v>-7126.25394999387</v>
      </c>
      <c r="AT53">
        <v>-173.66699692003866</v>
      </c>
    </row>
    <row r="54" spans="1:46" x14ac:dyDescent="0.25">
      <c r="A54" t="s">
        <v>112</v>
      </c>
      <c r="M54">
        <v>-52017.35194643691</v>
      </c>
      <c r="P54">
        <v>-23.156558107138316</v>
      </c>
      <c r="Q54">
        <v>-5778.35399699646</v>
      </c>
      <c r="T54">
        <v>-50230.6649194968</v>
      </c>
      <c r="W54">
        <v>-22.36117886520359</v>
      </c>
      <c r="X54">
        <v>-5579.879646857841</v>
      </c>
      <c r="AT54">
        <v>-135.98181432278042</v>
      </c>
    </row>
    <row r="55" spans="1:46" x14ac:dyDescent="0.25">
      <c r="A55" t="s">
        <v>113</v>
      </c>
      <c r="M55">
        <v>-520173.49289111776</v>
      </c>
      <c r="P55">
        <v>-231.56556924177218</v>
      </c>
      <c r="Q55">
        <v>-57783.53701807168</v>
      </c>
      <c r="T55">
        <v>-502306.62353445217</v>
      </c>
      <c r="W55">
        <v>-223.61177722874726</v>
      </c>
      <c r="X55">
        <v>-55798.79361807682</v>
      </c>
      <c r="AT55">
        <v>-1359.8180737610053</v>
      </c>
    </row>
    <row r="56" spans="1:46" x14ac:dyDescent="0.25">
      <c r="A56" t="s">
        <v>114</v>
      </c>
      <c r="M56">
        <v>-260086.74644555888</v>
      </c>
      <c r="P56">
        <v>-115.78278462088609</v>
      </c>
      <c r="Q56">
        <v>-28891.76850903584</v>
      </c>
      <c r="T56">
        <v>-251153.31176722609</v>
      </c>
      <c r="W56">
        <v>-111.80588861437363</v>
      </c>
      <c r="X56">
        <v>-27899.39680903841</v>
      </c>
      <c r="AT56">
        <v>-679.9090368805026</v>
      </c>
    </row>
    <row r="57" spans="1:54" x14ac:dyDescent="0.25">
      <c r="A57" t="s">
        <v>115</v>
      </c>
      <c r="M57">
        <v>-467133.76167533064</v>
      </c>
      <c r="P57">
        <v>-207.95387868224336</v>
      </c>
      <c r="Q57">
        <v>-51891.61189304895</v>
      </c>
      <c r="T57">
        <v>-451088.69593091385</v>
      </c>
      <c r="W57">
        <v>-200.81109875707472</v>
      </c>
      <c r="X57">
        <v>-50109.24377343016</v>
      </c>
      <c r="AT57">
        <v>-1221.1635938224242</v>
      </c>
      <c r="BB57">
        <v>-9544.313058368076</v>
      </c>
    </row>
    <row r="58" spans="1:46" x14ac:dyDescent="0.25">
      <c r="A58" t="s">
        <v>116</v>
      </c>
      <c r="M58">
        <v>-52017.35194643691</v>
      </c>
      <c r="P58">
        <v>-23.156558107138316</v>
      </c>
      <c r="Q58">
        <v>-5778.35399699646</v>
      </c>
      <c r="T58">
        <v>-50230.6649194968</v>
      </c>
      <c r="W58">
        <v>-22.36117886520359</v>
      </c>
      <c r="X58">
        <v>-5579.879646857841</v>
      </c>
      <c r="AT58">
        <v>-135.98181432278042</v>
      </c>
    </row>
    <row r="59" spans="1:46" x14ac:dyDescent="0.25">
      <c r="A59" t="s">
        <v>117</v>
      </c>
      <c r="M59">
        <v>-218889.31822498288</v>
      </c>
      <c r="P59">
        <v>-97.44293061530797</v>
      </c>
      <c r="Q59">
        <v>-24315.34708201919</v>
      </c>
      <c r="T59">
        <v>-211370.92886884935</v>
      </c>
      <c r="W59">
        <v>-94.09597015917652</v>
      </c>
      <c r="X59">
        <v>-23480.165867263702</v>
      </c>
      <c r="AT59">
        <v>-572.2122621458908</v>
      </c>
    </row>
    <row r="60" spans="1:46" x14ac:dyDescent="0.25">
      <c r="A60" t="s">
        <v>118</v>
      </c>
      <c r="M60">
        <v>-583010.7619201028</v>
      </c>
      <c r="P60">
        <v>-259.53882849306797</v>
      </c>
      <c r="Q60">
        <v>-64763.82284707472</v>
      </c>
      <c r="T60">
        <v>-562985.56405994</v>
      </c>
      <c r="W60">
        <v>-250.6242136481352</v>
      </c>
      <c r="X60">
        <v>-62539.321257392396</v>
      </c>
      <c r="AT60">
        <v>-1524.0849103052544</v>
      </c>
    </row>
    <row r="61" spans="1:46" x14ac:dyDescent="0.25">
      <c r="A61" t="s">
        <v>119</v>
      </c>
      <c r="M61">
        <v>-26008.675973218455</v>
      </c>
      <c r="P61">
        <v>-11.578279053569158</v>
      </c>
      <c r="Q61">
        <v>-2889.17699849823</v>
      </c>
      <c r="T61">
        <v>-25115.3324597484</v>
      </c>
      <c r="W61">
        <v>-11.180589432601796</v>
      </c>
      <c r="X61">
        <v>-2789.9398234289206</v>
      </c>
      <c r="AT61">
        <v>-67.99090716139021</v>
      </c>
    </row>
    <row r="62" spans="1:46" x14ac:dyDescent="0.25">
      <c r="A62" t="s">
        <v>120</v>
      </c>
      <c r="M62">
        <v>-996496.9226135393</v>
      </c>
      <c r="P62">
        <v>-443.6104113074822</v>
      </c>
      <c r="Q62">
        <v>-110695.98432668844</v>
      </c>
      <c r="T62">
        <v>-962269.3416737657</v>
      </c>
      <c r="W62">
        <v>-428.3733233504714</v>
      </c>
      <c r="X62">
        <v>-106893.80924990805</v>
      </c>
      <c r="AT62">
        <v>-2605.0049538005796</v>
      </c>
    </row>
    <row r="63" spans="1:46" x14ac:dyDescent="0.25">
      <c r="A63" t="s">
        <v>121</v>
      </c>
      <c r="M63">
        <v>-664331.2817423595</v>
      </c>
      <c r="P63">
        <v>-295.7402742049881</v>
      </c>
      <c r="Q63">
        <v>-73797.32288445896</v>
      </c>
      <c r="T63">
        <v>-641512.8944491771</v>
      </c>
      <c r="W63">
        <v>-285.5822155669809</v>
      </c>
      <c r="X63">
        <v>-71262.53949993869</v>
      </c>
      <c r="AT63">
        <v>-1736.6699692003865</v>
      </c>
    </row>
    <row r="64" spans="1:46" x14ac:dyDescent="0.25">
      <c r="A64" t="s">
        <v>122</v>
      </c>
      <c r="M64">
        <v>-664331.2817423595</v>
      </c>
      <c r="P64">
        <v>-295.7402742049881</v>
      </c>
      <c r="Q64">
        <v>-73797.32288445896</v>
      </c>
      <c r="T64">
        <v>-641512.8944491771</v>
      </c>
      <c r="W64">
        <v>-285.5822155669809</v>
      </c>
      <c r="X64">
        <v>-71262.53949993869</v>
      </c>
      <c r="AT64">
        <v>-1736.6699692003865</v>
      </c>
    </row>
    <row r="65" spans="1:46" x14ac:dyDescent="0.25">
      <c r="A65" t="s">
        <v>123</v>
      </c>
      <c r="M65">
        <v>-1328662.563484719</v>
      </c>
      <c r="P65">
        <v>-591.4805484099762</v>
      </c>
      <c r="Q65">
        <v>-147594.64576891792</v>
      </c>
      <c r="T65">
        <v>-1283025.7888983542</v>
      </c>
      <c r="W65">
        <v>-571.1644311339618</v>
      </c>
      <c r="X65">
        <v>-142525.07899987738</v>
      </c>
      <c r="AT65">
        <v>-3473.339938400773</v>
      </c>
    </row>
    <row r="66" spans="1:46" x14ac:dyDescent="0.25">
      <c r="A66" t="s">
        <v>124</v>
      </c>
      <c r="M66">
        <v>-664331.2817423595</v>
      </c>
      <c r="P66">
        <v>-295.7402742049881</v>
      </c>
      <c r="Q66">
        <v>-73797.32288445896</v>
      </c>
      <c r="T66">
        <v>-641512.8944491771</v>
      </c>
      <c r="W66">
        <v>-285.5822155669809</v>
      </c>
      <c r="X66">
        <v>-71262.53949993869</v>
      </c>
      <c r="AT66">
        <v>-1736.6699692003865</v>
      </c>
    </row>
    <row r="67" spans="1:46" x14ac:dyDescent="0.25">
      <c r="A67" t="s">
        <v>125</v>
      </c>
      <c r="M67">
        <v>-347642.47373555205</v>
      </c>
      <c r="P67">
        <v>-154.75995686700927</v>
      </c>
      <c r="Q67">
        <v>-38617.907341843515</v>
      </c>
      <c r="T67">
        <v>-335701.6833147658</v>
      </c>
      <c r="W67">
        <v>-149.44427667804425</v>
      </c>
      <c r="X67">
        <v>-37291.46315594389</v>
      </c>
      <c r="AT67">
        <v>-908.7939417388588</v>
      </c>
    </row>
    <row r="68" spans="1:46" x14ac:dyDescent="0.25">
      <c r="A68" t="s">
        <v>126</v>
      </c>
      <c r="M68">
        <v>-104034.697249561</v>
      </c>
      <c r="P68">
        <v>-46.31311325687389</v>
      </c>
      <c r="Q68">
        <v>-11556.70725601969</v>
      </c>
      <c r="T68">
        <v>-100461.32342386465</v>
      </c>
      <c r="W68">
        <v>-44.72235487458502</v>
      </c>
      <c r="X68">
        <v>-11159.758581090286</v>
      </c>
      <c r="AT68">
        <v>-271.9636112788611</v>
      </c>
    </row>
    <row r="69" spans="1:46" x14ac:dyDescent="0.25">
      <c r="A69" t="s">
        <v>142</v>
      </c>
      <c r="M69">
        <v>0</v>
      </c>
      <c r="P69">
        <v>0</v>
      </c>
      <c r="Q69">
        <v>0</v>
      </c>
      <c r="T69">
        <v>0</v>
      </c>
      <c r="W69">
        <v>0</v>
      </c>
      <c r="X69">
        <v>0</v>
      </c>
      <c r="AT69">
        <v>0</v>
      </c>
    </row>
    <row r="70" spans="1:46" x14ac:dyDescent="0.25">
      <c r="A70" t="s">
        <v>127</v>
      </c>
      <c r="M70">
        <v>-664331.2817423595</v>
      </c>
      <c r="P70">
        <v>-295.7402742049881</v>
      </c>
      <c r="Q70">
        <v>-73797.32288445896</v>
      </c>
      <c r="T70">
        <v>-641512.8944491771</v>
      </c>
      <c r="W70">
        <v>-285.5822155669809</v>
      </c>
      <c r="X70">
        <v>-71262.53949993869</v>
      </c>
      <c r="AT70">
        <v>-1736.6699692003865</v>
      </c>
    </row>
    <row r="71" spans="1:46" x14ac:dyDescent="0.25">
      <c r="A71" t="s">
        <v>128</v>
      </c>
      <c r="M71">
        <v>-664331.2817423595</v>
      </c>
      <c r="P71">
        <v>-295.7402742049881</v>
      </c>
      <c r="Q71">
        <v>-73797.32288445896</v>
      </c>
      <c r="T71">
        <v>-641512.8944491771</v>
      </c>
      <c r="W71">
        <v>-285.5822155669809</v>
      </c>
      <c r="X71">
        <v>-71262.53949993869</v>
      </c>
      <c r="AT71">
        <v>-1736.6699692003865</v>
      </c>
    </row>
    <row r="72" spans="1:46" x14ac:dyDescent="0.25">
      <c r="A72" t="s">
        <v>129</v>
      </c>
      <c r="M72">
        <v>-398598.7690454157</v>
      </c>
      <c r="P72">
        <v>-177.44416452299288</v>
      </c>
      <c r="Q72">
        <v>-44278.39373067537</v>
      </c>
      <c r="T72">
        <v>-384907.7366695063</v>
      </c>
      <c r="W72">
        <v>-171.34932934018855</v>
      </c>
      <c r="X72">
        <v>-42757.52369996322</v>
      </c>
      <c r="AT72">
        <v>-1042.0019815202318</v>
      </c>
    </row>
    <row r="73" spans="1:46" x14ac:dyDescent="0.25">
      <c r="A73" t="s">
        <v>130</v>
      </c>
      <c r="M73">
        <v>-664331.2817423595</v>
      </c>
      <c r="P73">
        <v>-295.7402742049881</v>
      </c>
      <c r="Q73">
        <v>-73797.32288445896</v>
      </c>
      <c r="T73">
        <v>-641512.8944491771</v>
      </c>
      <c r="W73">
        <v>-285.5822155669809</v>
      </c>
      <c r="X73">
        <v>-71262.53949993869</v>
      </c>
      <c r="AT73">
        <v>-1736.6699692003865</v>
      </c>
    </row>
    <row r="74" spans="1:46" x14ac:dyDescent="0.25">
      <c r="A74" t="s">
        <v>131</v>
      </c>
      <c r="M74">
        <v>-13286625.63484719</v>
      </c>
      <c r="P74">
        <v>-5914.805484099763</v>
      </c>
      <c r="Q74">
        <v>-1475946.457689179</v>
      </c>
      <c r="T74">
        <v>-12830257.888983542</v>
      </c>
      <c r="W74">
        <v>-5711.644311339619</v>
      </c>
      <c r="X74">
        <v>-1425250.789998774</v>
      </c>
      <c r="AT74">
        <v>-34733.39938400773</v>
      </c>
    </row>
    <row r="75" spans="1:46" x14ac:dyDescent="0.25">
      <c r="A75" t="s">
        <v>132</v>
      </c>
      <c r="M75">
        <v>-166082.82043558988</v>
      </c>
      <c r="P75">
        <v>-73.93506855124703</v>
      </c>
      <c r="Q75">
        <v>-18449.33072111474</v>
      </c>
      <c r="T75">
        <v>-160378.22361229427</v>
      </c>
      <c r="W75">
        <v>-71.39555389174522</v>
      </c>
      <c r="X75">
        <v>-17815.634874984673</v>
      </c>
      <c r="AT75">
        <v>-434.1674923000966</v>
      </c>
    </row>
    <row r="76" spans="1:46" x14ac:dyDescent="0.25">
      <c r="A76" t="s">
        <v>133</v>
      </c>
      <c r="M76">
        <v>-208069.394499122</v>
      </c>
      <c r="P76">
        <v>-92.62622651374778</v>
      </c>
      <c r="Q76">
        <v>-23113.41451203938</v>
      </c>
      <c r="T76">
        <v>-200922.6468477293</v>
      </c>
      <c r="W76">
        <v>-89.44470974917004</v>
      </c>
      <c r="X76">
        <v>-22319.51716218057</v>
      </c>
      <c r="AT76">
        <v>-543.9272225577222</v>
      </c>
    </row>
    <row r="77" spans="1:46" x14ac:dyDescent="0.25">
      <c r="A77" t="s">
        <v>134</v>
      </c>
      <c r="M77">
        <v>-208069.394499122</v>
      </c>
      <c r="P77">
        <v>-92.62622651374778</v>
      </c>
      <c r="Q77">
        <v>-23113.41451203938</v>
      </c>
      <c r="T77">
        <v>-200922.6468477293</v>
      </c>
      <c r="W77">
        <v>-89.44470974917004</v>
      </c>
      <c r="X77">
        <v>-22319.51716218057</v>
      </c>
      <c r="AT77">
        <v>-543.9272225577222</v>
      </c>
    </row>
    <row r="78" spans="1:46" x14ac:dyDescent="0.25">
      <c r="A78" t="s">
        <v>135</v>
      </c>
      <c r="M78">
        <v>-3321656.4087117976</v>
      </c>
      <c r="P78">
        <v>-1478.7013710249407</v>
      </c>
      <c r="Q78">
        <v>-368986.6144222948</v>
      </c>
      <c r="T78">
        <v>-3207564.4722458855</v>
      </c>
      <c r="W78">
        <v>-1427.9110778349047</v>
      </c>
      <c r="X78">
        <v>-356312.6974996935</v>
      </c>
      <c r="AT78">
        <v>-8683.349846001933</v>
      </c>
    </row>
    <row r="79" spans="1:46" x14ac:dyDescent="0.25">
      <c r="A79" t="s">
        <v>136</v>
      </c>
      <c r="M79">
        <v>-4982484.613067696</v>
      </c>
      <c r="P79">
        <v>-2218.052056537411</v>
      </c>
      <c r="Q79">
        <v>-553479.9216334422</v>
      </c>
      <c r="T79">
        <v>-4811346.7083688285</v>
      </c>
      <c r="W79">
        <v>-2141.866616752357</v>
      </c>
      <c r="X79">
        <v>-534469.0462495402</v>
      </c>
      <c r="AT79">
        <v>-13025.024769002897</v>
      </c>
    </row>
    <row r="80" spans="1:46" x14ac:dyDescent="0.25">
      <c r="A80" t="s">
        <v>137</v>
      </c>
      <c r="M80">
        <v>-3321656.4087117976</v>
      </c>
      <c r="P80">
        <v>-1478.7013710249407</v>
      </c>
      <c r="Q80">
        <v>-368986.6144222948</v>
      </c>
      <c r="T80">
        <v>-3207564.4722458855</v>
      </c>
      <c r="W80">
        <v>-1427.9110778349047</v>
      </c>
      <c r="X80">
        <v>-356312.6974996935</v>
      </c>
      <c r="AT80">
        <v>-8683.349846001933</v>
      </c>
    </row>
    <row r="81" spans="1:46" x14ac:dyDescent="0.25">
      <c r="A81" t="s">
        <v>138</v>
      </c>
      <c r="M81">
        <v>-19929938.452270783</v>
      </c>
      <c r="P81">
        <v>-8872.208226149643</v>
      </c>
      <c r="Q81">
        <v>-2213919.6865337687</v>
      </c>
      <c r="T81">
        <v>-19245386.833475314</v>
      </c>
      <c r="W81">
        <v>-8567.466467009428</v>
      </c>
      <c r="X81">
        <v>-2137876.1849981607</v>
      </c>
      <c r="AT81">
        <v>-52100.09907601159</v>
      </c>
    </row>
    <row r="82" spans="1:53" x14ac:dyDescent="0.25">
      <c r="A82" t="s">
        <v>7</v>
      </c>
      <c r="H82">
        <v>0.052891668613988495</v>
      </c>
      <c r="I82">
        <v>0.08529516757183545</v>
      </c>
      <c r="M82">
        <v>-6643312.817423595</v>
      </c>
      <c r="N82">
        <v>-220516.3</v>
      </c>
      <c r="P82">
        <v>-2957.4027420498815</v>
      </c>
      <c r="Q82">
        <v>-737973.2288445896</v>
      </c>
      <c r="T82">
        <v>-10713265.337301258</v>
      </c>
      <c r="U82">
        <v>-147745.9239130435</v>
      </c>
      <c r="V82">
        <v>-220516.3</v>
      </c>
      <c r="W82">
        <v>-4769.2229999685815</v>
      </c>
      <c r="X82">
        <v>-1190084.4096489763</v>
      </c>
      <c r="AS82">
        <v>327055.9339548755</v>
      </c>
      <c r="AT82">
        <v>-17366.699692003865</v>
      </c>
      <c r="BA82">
        <v>9508.832340678975</v>
      </c>
    </row>
    <row r="83" spans="1:46" x14ac:dyDescent="0.25">
      <c r="A83" t="s">
        <v>139</v>
      </c>
      <c r="M83">
        <v>-260086.74644555888</v>
      </c>
      <c r="P83">
        <v>-115.78278462088609</v>
      </c>
      <c r="Q83">
        <v>-28891.76850903584</v>
      </c>
      <c r="T83">
        <v>-251153.31176722609</v>
      </c>
      <c r="W83">
        <v>-111.80588861437363</v>
      </c>
      <c r="X83">
        <v>-27899.39680903841</v>
      </c>
      <c r="AT83">
        <v>-679.9090368805026</v>
      </c>
    </row>
    <row r="84" spans="1:46" x14ac:dyDescent="0.25">
      <c r="A84" t="s">
        <v>140</v>
      </c>
      <c r="M84">
        <v>-1328662.563484719</v>
      </c>
      <c r="P84">
        <v>-591.4805484099762</v>
      </c>
      <c r="Q84">
        <v>-147594.64576891792</v>
      </c>
      <c r="T84">
        <v>-1283025.7888983542</v>
      </c>
      <c r="W84">
        <v>-571.1644311339618</v>
      </c>
      <c r="X84">
        <v>-142525.07899987738</v>
      </c>
      <c r="AT84">
        <v>-3473.339938400773</v>
      </c>
    </row>
    <row r="85" spans="1:53" x14ac:dyDescent="0.25">
      <c r="A85" t="s">
        <v>8</v>
      </c>
      <c r="I85">
        <v>0.0001276873766045441</v>
      </c>
      <c r="M85">
        <v>0</v>
      </c>
      <c r="P85">
        <v>0</v>
      </c>
      <c r="Q85">
        <v>0</v>
      </c>
      <c r="T85">
        <v>-16037.82236122943</v>
      </c>
      <c r="U85">
        <v>-551.2907608695652</v>
      </c>
      <c r="W85">
        <v>-7.139555389174524</v>
      </c>
      <c r="X85">
        <v>-1781.5634874984676</v>
      </c>
      <c r="AS85">
        <v>1288.7779268520665</v>
      </c>
      <c r="AT85">
        <v>0</v>
      </c>
      <c r="BA85">
        <v>35.48071768910066</v>
      </c>
    </row>
    <row r="86" spans="13:46" x14ac:dyDescent="0.25">
      <c r="M86">
        <v>-125602254.40999998</v>
      </c>
      <c r="N86">
        <v>-2653283.8859915757</v>
      </c>
      <c r="P86">
        <v>-55914.340000000026</v>
      </c>
      <c r="Q86">
        <v>-13952542.020000009</v>
      </c>
      <c r="R86">
        <v>-142263994.65599158</v>
      </c>
      <c r="T86">
        <v>-125602254.40999997</v>
      </c>
      <c r="U86">
        <v>-148297.21467391305</v>
      </c>
      <c r="W86">
        <v>-55914.34000000002</v>
      </c>
      <c r="X86">
        <v>-13952542.020000009</v>
      </c>
      <c r="AT86">
        <v>-328344.71188172756</v>
      </c>
    </row>
    <row r="87" spans="13:20" x14ac:dyDescent="0.25">
      <c r="M87">
        <v>0</v>
      </c>
      <c r="P87">
        <v>0</v>
      </c>
      <c r="T87">
        <v>0</v>
      </c>
    </row>
    <row r="89" spans="1:24" x14ac:dyDescent="0.25">
      <c r="A89" t="s">
        <v>194</v>
      </c>
      <c r="X89" t="s">
        <v>195</v>
      </c>
    </row>
    <row r="90" spans="1:1" x14ac:dyDescent="0.25">
      <c r="A90" t="s">
        <v>196</v>
      </c>
    </row>
    <row r="93" spans="24:24" x14ac:dyDescent="0.25">
      <c r="X93" t="s">
        <v>197</v>
      </c>
    </row>
    <row r="94" spans="24:24" x14ac:dyDescent="0.25">
      <c r="X94" t="s">
        <v>198</v>
      </c>
    </row>
    <row r="95" spans="24:24" x14ac:dyDescent="0.25">
      <c r="X95" t="s">
        <v>199</v>
      </c>
    </row>
    <row r="96" spans="24:24" x14ac:dyDescent="0.25">
      <c r="X96" t="s">
        <v>200</v>
      </c>
    </row>
    <row r="99" spans="17:17" x14ac:dyDescent="0.25">
      <c r="Q99">
        <v>-139610710.76999998</v>
      </c>
    </row>
    <row r="100" spans="17:17" x14ac:dyDescent="0.25">
      <c r="Q100">
        <v>139610710.44675547</v>
      </c>
    </row>
    <row r="101" spans="17:17" x14ac:dyDescent="0.25">
      <c r="Q101">
        <v>-0.32324451208114624</v>
      </c>
    </row>
    <row r="104" spans="17:17" x14ac:dyDescent="0.25">
      <c r="Q104">
        <v>-4523875.52093997</v>
      </c>
    </row>
    <row r="105" spans="17:17" x14ac:dyDescent="0.25">
      <c r="Q105">
        <v>-17826.525362842818</v>
      </c>
    </row>
    <row r="106" spans="17:17" x14ac:dyDescent="0.25">
      <c r="Q106">
        <v>-4541702.046302813</v>
      </c>
    </row>
    <row r="107" spans="17:17" x14ac:dyDescent="0.25">
      <c r="Q107">
        <v>4541702.035828556</v>
      </c>
    </row>
    <row r="108" spans="17:17" x14ac:dyDescent="0.25">
      <c r="Q108">
        <v>-0.010474257171154022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2:V84"/>
  <sheetFormatPr defaultRowHeight="15" outlineLevelRow="0" outlineLevelCol="0" x14ac:dyDescent="55"/>
  <cols>
    <col min="1" max="1" width="42" customWidth="1"/>
    <col min="2" max="22" width="14" customWidth="1"/>
  </cols>
  <sheetData>
    <row r="2" spans="19:19" x14ac:dyDescent="0.25">
      <c r="S2" t="s">
        <v>201</v>
      </c>
    </row>
    <row r="3" spans="1:22" x14ac:dyDescent="0.25">
      <c r="A3" t="s">
        <v>151</v>
      </c>
      <c r="S3" t="s">
        <v>191</v>
      </c>
      <c r="U3" t="s">
        <v>192</v>
      </c>
      <c r="V3" t="s">
        <v>193</v>
      </c>
    </row>
    <row r="5" spans="1:22" x14ac:dyDescent="0.25">
      <c r="A5" t="s">
        <v>50</v>
      </c>
      <c r="S5">
        <v>851.801104462822</v>
      </c>
      <c r="U5">
        <v>0.3791961919078233</v>
      </c>
      <c r="V5">
        <v>-1187.5717561388155</v>
      </c>
    </row>
    <row r="6" spans="1:22" x14ac:dyDescent="0.25">
      <c r="A6" t="s">
        <v>51</v>
      </c>
      <c r="S6">
        <v>1192.521546247881</v>
      </c>
      <c r="U6">
        <v>0.5308746686709185</v>
      </c>
      <c r="V6">
        <v>-1662.600458594352</v>
      </c>
    </row>
    <row r="7" spans="1:22" x14ac:dyDescent="0.25">
      <c r="A7" t="s">
        <v>53</v>
      </c>
      <c r="S7">
        <v>1022.1613253553514</v>
      </c>
      <c r="U7">
        <v>0.4550354302893709</v>
      </c>
      <c r="V7">
        <v>-1425.0861073665947</v>
      </c>
    </row>
    <row r="8" spans="1:22" x14ac:dyDescent="0.25">
      <c r="A8" t="s">
        <v>54</v>
      </c>
      <c r="S8">
        <v>1277.7016566941747</v>
      </c>
      <c r="U8">
        <v>0.5687942878617207</v>
      </c>
      <c r="V8">
        <v>-1781.3576342082379</v>
      </c>
    </row>
    <row r="9" spans="1:22" x14ac:dyDescent="0.25">
      <c r="A9" t="s">
        <v>55</v>
      </c>
      <c r="S9">
        <v>133.39259811158263</v>
      </c>
      <c r="U9">
        <v>0.059382366338326165</v>
      </c>
      <c r="V9">
        <v>-185.97449705726376</v>
      </c>
    </row>
    <row r="10" spans="1:22" x14ac:dyDescent="0.25">
      <c r="A10" t="s">
        <v>57</v>
      </c>
      <c r="S10">
        <v>245.65596317857853</v>
      </c>
      <c r="U10">
        <v>0.10935863462575668</v>
      </c>
      <c r="V10">
        <v>-342.4908491776696</v>
      </c>
    </row>
    <row r="11" spans="1:22" x14ac:dyDescent="0.25">
      <c r="A11" t="s">
        <v>59</v>
      </c>
      <c r="S11">
        <v>266.7851791871508</v>
      </c>
      <c r="U11">
        <v>0.11876472509273128</v>
      </c>
      <c r="V11">
        <v>-371.9489703630916</v>
      </c>
    </row>
    <row r="12" spans="1:22" x14ac:dyDescent="0.25">
      <c r="A12" t="s">
        <v>61</v>
      </c>
      <c r="S12">
        <v>891.4896866198396</v>
      </c>
      <c r="U12">
        <v>0.3968643530986071</v>
      </c>
      <c r="V12">
        <v>-1242.9051420242686</v>
      </c>
    </row>
    <row r="13" spans="1:22" x14ac:dyDescent="0.25">
      <c r="A13" t="s">
        <v>62</v>
      </c>
      <c r="S13">
        <v>1703.602208925644</v>
      </c>
      <c r="U13">
        <v>0.7583923838156466</v>
      </c>
      <c r="V13">
        <v>-2375.143512277631</v>
      </c>
    </row>
    <row r="14" spans="1:22" x14ac:dyDescent="0.25">
      <c r="A14" t="s">
        <v>63</v>
      </c>
      <c r="S14">
        <v>666.9629564858624</v>
      </c>
      <c r="U14">
        <v>0.2969118165237745</v>
      </c>
      <c r="V14">
        <v>-929.8724377834478</v>
      </c>
    </row>
    <row r="15" spans="1:22" x14ac:dyDescent="0.25">
      <c r="A15" t="s">
        <v>65</v>
      </c>
      <c r="S15">
        <v>17036.022089256905</v>
      </c>
      <c r="U15">
        <v>7.583923838156807</v>
      </c>
      <c r="V15">
        <v>-23751.435122776427</v>
      </c>
    </row>
    <row r="16" spans="1:22" x14ac:dyDescent="0.25">
      <c r="A16" t="s">
        <v>68</v>
      </c>
      <c r="S16">
        <v>1558.4526431055274</v>
      </c>
      <c r="U16">
        <v>0.6937761696223674</v>
      </c>
      <c r="V16">
        <v>-2172.77757980772</v>
      </c>
    </row>
    <row r="17" spans="1:22" x14ac:dyDescent="0.25">
      <c r="A17" t="s">
        <v>70</v>
      </c>
      <c r="S17">
        <v>1558.4526431055274</v>
      </c>
      <c r="U17">
        <v>0.6937761696223674</v>
      </c>
      <c r="V17">
        <v>-2172.77757980772</v>
      </c>
    </row>
    <row r="18" spans="1:22" x14ac:dyDescent="0.25">
      <c r="A18" t="s">
        <v>72</v>
      </c>
      <c r="S18">
        <v>133.39259811158263</v>
      </c>
      <c r="U18">
        <v>0.059382366338326165</v>
      </c>
      <c r="V18">
        <v>-185.97449705726376</v>
      </c>
    </row>
    <row r="19" spans="1:22" x14ac:dyDescent="0.25">
      <c r="A19" t="s">
        <v>74</v>
      </c>
      <c r="S19">
        <v>400.17777729869704</v>
      </c>
      <c r="U19">
        <v>0.17814709143105745</v>
      </c>
      <c r="V19">
        <v>-557.9234674203581</v>
      </c>
    </row>
    <row r="20" spans="1:22" x14ac:dyDescent="0.25">
      <c r="A20" t="s">
        <v>76</v>
      </c>
      <c r="S20">
        <v>851.801104462822</v>
      </c>
      <c r="U20">
        <v>0.3791961919078233</v>
      </c>
      <c r="V20">
        <v>-1187.5717561388155</v>
      </c>
    </row>
    <row r="21" spans="1:22" x14ac:dyDescent="0.25">
      <c r="A21" t="s">
        <v>77</v>
      </c>
      <c r="S21">
        <v>333.4814782429312</v>
      </c>
      <c r="U21">
        <v>0.14845590826188726</v>
      </c>
      <c r="V21">
        <v>-464.9362188917239</v>
      </c>
    </row>
    <row r="22" spans="1:22" x14ac:dyDescent="0.25">
      <c r="A22" t="s">
        <v>78</v>
      </c>
      <c r="S22">
        <v>851.801104462822</v>
      </c>
      <c r="U22">
        <v>0.3791961919078233</v>
      </c>
      <c r="V22">
        <v>-1187.5717561388155</v>
      </c>
    </row>
    <row r="23" spans="1:22" x14ac:dyDescent="0.25">
      <c r="A23" t="s">
        <v>80</v>
      </c>
      <c r="S23">
        <v>86822.63069648296</v>
      </c>
      <c r="U23">
        <v>38.650819726617556</v>
      </c>
      <c r="V23">
        <v>-121047.15932933614</v>
      </c>
    </row>
    <row r="24" spans="1:22" x14ac:dyDescent="0.25">
      <c r="A24" t="s">
        <v>82</v>
      </c>
      <c r="S24">
        <v>10777.28294421453</v>
      </c>
      <c r="U24">
        <v>4.797721710089036</v>
      </c>
      <c r="V24">
        <v>-15025.56966105057</v>
      </c>
    </row>
    <row r="25" spans="1:22" x14ac:dyDescent="0.25">
      <c r="A25" t="s">
        <v>83</v>
      </c>
      <c r="S25">
        <v>333.4814782429312</v>
      </c>
      <c r="U25">
        <v>0.14845590826188726</v>
      </c>
      <c r="V25">
        <v>-464.9362188917239</v>
      </c>
    </row>
    <row r="26" spans="1:22" x14ac:dyDescent="0.25">
      <c r="A26" t="s">
        <v>84</v>
      </c>
      <c r="S26">
        <v>2065.6029591992265</v>
      </c>
      <c r="U26">
        <v>0.919544212866299</v>
      </c>
      <c r="V26">
        <v>-2879.8409873966884</v>
      </c>
    </row>
    <row r="27" spans="1:22" x14ac:dyDescent="0.25">
      <c r="A27" t="s">
        <v>85</v>
      </c>
      <c r="S27">
        <v>333.4814782429312</v>
      </c>
      <c r="U27">
        <v>0.14845590826188726</v>
      </c>
      <c r="V27">
        <v>-464.9362188917239</v>
      </c>
    </row>
    <row r="28" spans="1:22" x14ac:dyDescent="0.25">
      <c r="A28" t="s">
        <v>86</v>
      </c>
      <c r="S28">
        <v>851.801104462822</v>
      </c>
      <c r="U28">
        <v>0.3791961919078233</v>
      </c>
      <c r="V28">
        <v>-1187.5717561388155</v>
      </c>
    </row>
    <row r="29" spans="1:22" x14ac:dyDescent="0.25">
      <c r="A29" t="s">
        <v>87</v>
      </c>
      <c r="S29">
        <v>282.6235859595472</v>
      </c>
      <c r="U29">
        <v>0.12581550666899233</v>
      </c>
      <c r="V29">
        <v>-394.0307033481713</v>
      </c>
    </row>
    <row r="30" spans="1:22" x14ac:dyDescent="0.25">
      <c r="A30" t="s">
        <v>88</v>
      </c>
      <c r="S30">
        <v>8181.642454685643</v>
      </c>
      <c r="U30">
        <v>3.6422207556595367</v>
      </c>
      <c r="V30">
        <v>-11406.756163034763</v>
      </c>
    </row>
    <row r="31" spans="1:22" x14ac:dyDescent="0.25">
      <c r="A31" t="s">
        <v>89</v>
      </c>
      <c r="S31">
        <v>629.6115973073174</v>
      </c>
      <c r="U31">
        <v>0.28028411659609276</v>
      </c>
      <c r="V31">
        <v>-877.7975825368048</v>
      </c>
    </row>
    <row r="32" spans="1:22" x14ac:dyDescent="0.25">
      <c r="A32" t="s">
        <v>90</v>
      </c>
      <c r="S32">
        <v>266.7851791871508</v>
      </c>
      <c r="U32">
        <v>0.11876472509273128</v>
      </c>
      <c r="V32">
        <v>-371.9489703630916</v>
      </c>
    </row>
    <row r="33" spans="1:22" x14ac:dyDescent="0.25">
      <c r="A33" t="s">
        <v>91</v>
      </c>
      <c r="S33">
        <v>1448.061877586646</v>
      </c>
      <c r="U33">
        <v>0.6446335262432683</v>
      </c>
      <c r="V33">
        <v>-2018.8719854360024</v>
      </c>
    </row>
    <row r="34" spans="1:22" x14ac:dyDescent="0.25">
      <c r="A34" t="s">
        <v>92</v>
      </c>
      <c r="S34">
        <v>2555.4033133883495</v>
      </c>
      <c r="U34">
        <v>1.1375885757234414</v>
      </c>
      <c r="V34">
        <v>-3562.7152684164757</v>
      </c>
    </row>
    <row r="35" spans="1:22" x14ac:dyDescent="0.25">
      <c r="A35" t="s">
        <v>93</v>
      </c>
      <c r="S35">
        <v>533.5703583743016</v>
      </c>
      <c r="U35">
        <v>0.23752945018546257</v>
      </c>
      <c r="V35">
        <v>-743.8979407261832</v>
      </c>
    </row>
    <row r="36" spans="1:22" x14ac:dyDescent="0.25">
      <c r="A36" t="s">
        <v>94</v>
      </c>
      <c r="S36">
        <v>400.17777729869704</v>
      </c>
      <c r="U36">
        <v>0.17814709143105745</v>
      </c>
      <c r="V36">
        <v>-557.9234674203581</v>
      </c>
    </row>
    <row r="37" spans="1:22" x14ac:dyDescent="0.25">
      <c r="A37" t="s">
        <v>95</v>
      </c>
      <c r="S37">
        <v>1703.602208925644</v>
      </c>
      <c r="U37">
        <v>0.7583923838156466</v>
      </c>
      <c r="V37">
        <v>-2375.143512277631</v>
      </c>
    </row>
    <row r="38" spans="1:22" x14ac:dyDescent="0.25">
      <c r="A38" t="s">
        <v>96</v>
      </c>
      <c r="S38">
        <v>1703.602208925644</v>
      </c>
      <c r="U38">
        <v>0.7583923838156466</v>
      </c>
      <c r="V38">
        <v>-2375.143512277631</v>
      </c>
    </row>
    <row r="39" spans="1:22" x14ac:dyDescent="0.25">
      <c r="A39" t="s">
        <v>97</v>
      </c>
      <c r="S39">
        <v>266.7851791871508</v>
      </c>
      <c r="U39">
        <v>0.11876472509273128</v>
      </c>
      <c r="V39">
        <v>-371.9489703630916</v>
      </c>
    </row>
    <row r="40" spans="1:22" x14ac:dyDescent="0.25">
      <c r="A40" t="s">
        <v>98</v>
      </c>
      <c r="S40">
        <v>340.72044178514625</v>
      </c>
      <c r="U40">
        <v>0.15167847676313073</v>
      </c>
      <c r="V40">
        <v>-475.0287024555273</v>
      </c>
    </row>
    <row r="41" spans="1:22" x14ac:dyDescent="0.25">
      <c r="A41" t="s">
        <v>99</v>
      </c>
      <c r="S41">
        <v>170.36022089257312</v>
      </c>
      <c r="U41">
        <v>0.07583923838156537</v>
      </c>
      <c r="V41">
        <v>-237.51435122776365</v>
      </c>
    </row>
    <row r="42" spans="1:22" x14ac:dyDescent="0.25">
      <c r="A42" t="s">
        <v>141</v>
      </c>
      <c r="S42">
        <v>0</v>
      </c>
      <c r="U42">
        <v>0</v>
      </c>
      <c r="V42">
        <v>0</v>
      </c>
    </row>
    <row r="43" spans="1:22" x14ac:dyDescent="0.25">
      <c r="A43" t="s">
        <v>100</v>
      </c>
      <c r="S43">
        <v>266.7851791871508</v>
      </c>
      <c r="U43">
        <v>0.11876472509273128</v>
      </c>
      <c r="V43">
        <v>-371.9489703630916</v>
      </c>
    </row>
    <row r="44" spans="1:22" x14ac:dyDescent="0.25">
      <c r="A44" t="s">
        <v>101</v>
      </c>
      <c r="S44">
        <v>266.7851791871508</v>
      </c>
      <c r="U44">
        <v>0.11876472509273128</v>
      </c>
      <c r="V44">
        <v>-371.9489703630916</v>
      </c>
    </row>
    <row r="45" spans="1:22" x14ac:dyDescent="0.25">
      <c r="A45" t="s">
        <v>102</v>
      </c>
      <c r="S45">
        <v>333.4814782429312</v>
      </c>
      <c r="U45">
        <v>0.14845590826188726</v>
      </c>
      <c r="V45">
        <v>-464.9362188917239</v>
      </c>
    </row>
    <row r="46" spans="1:22" x14ac:dyDescent="0.25">
      <c r="A46" t="s">
        <v>103</v>
      </c>
      <c r="S46">
        <v>1703.602208925644</v>
      </c>
      <c r="U46">
        <v>0.7583923838156466</v>
      </c>
      <c r="V46">
        <v>-2375.143512277631</v>
      </c>
    </row>
    <row r="47" spans="1:22" x14ac:dyDescent="0.25">
      <c r="A47" t="s">
        <v>104</v>
      </c>
      <c r="S47">
        <v>851.801104462822</v>
      </c>
      <c r="U47">
        <v>0.3791961919078233</v>
      </c>
      <c r="V47">
        <v>-1187.5717561388155</v>
      </c>
    </row>
    <row r="48" spans="1:22" x14ac:dyDescent="0.25">
      <c r="A48" t="s">
        <v>105</v>
      </c>
      <c r="S48">
        <v>2555.4033133883495</v>
      </c>
      <c r="U48">
        <v>1.1375885757234414</v>
      </c>
      <c r="V48">
        <v>-3562.7152684164757</v>
      </c>
    </row>
    <row r="49" spans="1:22" x14ac:dyDescent="0.25">
      <c r="A49" t="s">
        <v>106</v>
      </c>
      <c r="S49">
        <v>170.36022089257312</v>
      </c>
      <c r="U49">
        <v>0.07583923838156537</v>
      </c>
      <c r="V49">
        <v>-237.51435122776365</v>
      </c>
    </row>
    <row r="50" spans="1:22" x14ac:dyDescent="0.25">
      <c r="A50" t="s">
        <v>107</v>
      </c>
      <c r="S50">
        <v>1277.7016566941747</v>
      </c>
      <c r="U50">
        <v>0.5687942878617207</v>
      </c>
      <c r="V50">
        <v>-1781.3576342082379</v>
      </c>
    </row>
    <row r="51" spans="1:22" x14ac:dyDescent="0.25">
      <c r="A51" t="s">
        <v>108</v>
      </c>
      <c r="S51">
        <v>400.17777729869704</v>
      </c>
      <c r="U51">
        <v>0.17814709143105745</v>
      </c>
      <c r="V51">
        <v>-557.9234674203581</v>
      </c>
    </row>
    <row r="52" spans="1:22" x14ac:dyDescent="0.25">
      <c r="A52" t="s">
        <v>109</v>
      </c>
      <c r="S52">
        <v>1703.602208925644</v>
      </c>
      <c r="U52">
        <v>0.7583923838156466</v>
      </c>
      <c r="V52">
        <v>-2375.143512277631</v>
      </c>
    </row>
    <row r="53" spans="1:22" x14ac:dyDescent="0.25">
      <c r="A53" t="s">
        <v>110</v>
      </c>
      <c r="S53">
        <v>200.08888013134128</v>
      </c>
      <c r="U53">
        <v>0.0890735419235611</v>
      </c>
      <c r="V53">
        <v>-278.96172183446106</v>
      </c>
    </row>
    <row r="54" spans="1:22" x14ac:dyDescent="0.25">
      <c r="A54" t="s">
        <v>111</v>
      </c>
      <c r="S54">
        <v>170.36022089257312</v>
      </c>
      <c r="U54">
        <v>0.07583923838156537</v>
      </c>
      <c r="V54">
        <v>-237.51435122776365</v>
      </c>
    </row>
    <row r="55" spans="1:22" x14ac:dyDescent="0.25">
      <c r="A55" t="s">
        <v>112</v>
      </c>
      <c r="S55">
        <v>133.39259811158263</v>
      </c>
      <c r="U55">
        <v>0.059382366338326165</v>
      </c>
      <c r="V55">
        <v>-185.97449705726376</v>
      </c>
    </row>
    <row r="56" spans="1:22" x14ac:dyDescent="0.25">
      <c r="A56" t="s">
        <v>113</v>
      </c>
      <c r="S56">
        <v>1333.9259129717248</v>
      </c>
      <c r="U56">
        <v>0.593823633047549</v>
      </c>
      <c r="V56">
        <v>-1859.7448755668956</v>
      </c>
    </row>
    <row r="57" spans="1:22" x14ac:dyDescent="0.25">
      <c r="A57" t="s">
        <v>114</v>
      </c>
      <c r="S57">
        <v>666.9629564858624</v>
      </c>
      <c r="U57">
        <v>0.2969118165237745</v>
      </c>
      <c r="V57">
        <v>-929.8724377834478</v>
      </c>
    </row>
    <row r="58" spans="1:22" x14ac:dyDescent="0.25">
      <c r="A58" t="s">
        <v>115</v>
      </c>
      <c r="S58">
        <v>-320894.8213179554</v>
      </c>
      <c r="U58">
        <v>-142.85270776145302</v>
      </c>
      <c r="V58">
        <v>-38696.33456881528</v>
      </c>
    </row>
    <row r="59" spans="1:22" x14ac:dyDescent="0.25">
      <c r="A59" t="s">
        <v>116</v>
      </c>
      <c r="S59">
        <v>133.39259811158263</v>
      </c>
      <c r="U59">
        <v>0.059382366338326165</v>
      </c>
      <c r="V59">
        <v>-185.97449705726376</v>
      </c>
    </row>
    <row r="60" spans="1:22" x14ac:dyDescent="0.25">
      <c r="A60" t="s">
        <v>117</v>
      </c>
      <c r="S60">
        <v>561.316825334914</v>
      </c>
      <c r="U60">
        <v>0.24988134143713125</v>
      </c>
      <c r="V60">
        <v>-782.5817606020391</v>
      </c>
    </row>
    <row r="61" spans="1:22" x14ac:dyDescent="0.25">
      <c r="A61" t="s">
        <v>118</v>
      </c>
      <c r="S61">
        <v>1495.0649610079126</v>
      </c>
      <c r="U61">
        <v>0.6655578830536797</v>
      </c>
      <c r="V61">
        <v>-2084.4031687485767</v>
      </c>
    </row>
    <row r="62" spans="1:22" x14ac:dyDescent="0.25">
      <c r="A62" t="s">
        <v>119</v>
      </c>
      <c r="S62">
        <v>66.69629905579131</v>
      </c>
      <c r="U62">
        <v>0.029691183169163082</v>
      </c>
      <c r="V62">
        <v>-92.98724852863188</v>
      </c>
    </row>
    <row r="63" spans="1:22" x14ac:dyDescent="0.25">
      <c r="A63" t="s">
        <v>120</v>
      </c>
      <c r="S63">
        <v>2555.4033133883495</v>
      </c>
      <c r="U63">
        <v>1.1375885757234414</v>
      </c>
      <c r="V63">
        <v>-3562.7152684164757</v>
      </c>
    </row>
    <row r="64" spans="1:22" x14ac:dyDescent="0.25">
      <c r="A64" t="s">
        <v>121</v>
      </c>
      <c r="S64">
        <v>1703.602208925644</v>
      </c>
      <c r="U64">
        <v>0.7583923838156466</v>
      </c>
      <c r="V64">
        <v>-2375.143512277631</v>
      </c>
    </row>
    <row r="65" spans="1:22" x14ac:dyDescent="0.25">
      <c r="A65" t="s">
        <v>122</v>
      </c>
      <c r="S65">
        <v>1703.602208925644</v>
      </c>
      <c r="U65">
        <v>0.7583923838156466</v>
      </c>
      <c r="V65">
        <v>-2375.143512277631</v>
      </c>
    </row>
    <row r="66" spans="1:22" x14ac:dyDescent="0.25">
      <c r="A66" t="s">
        <v>123</v>
      </c>
      <c r="S66">
        <v>3407.204417851288</v>
      </c>
      <c r="U66">
        <v>1.516784767631293</v>
      </c>
      <c r="V66">
        <v>-4750.287024555262</v>
      </c>
    </row>
    <row r="67" spans="1:22" x14ac:dyDescent="0.25">
      <c r="A67" t="s">
        <v>124</v>
      </c>
      <c r="S67">
        <v>1703.602208925644</v>
      </c>
      <c r="U67">
        <v>0.7583923838156466</v>
      </c>
      <c r="V67">
        <v>-2375.143512277631</v>
      </c>
    </row>
    <row r="68" spans="1:22" x14ac:dyDescent="0.25">
      <c r="A68" t="s">
        <v>125</v>
      </c>
      <c r="S68">
        <v>891.4896866198396</v>
      </c>
      <c r="U68">
        <v>0.3968643530986071</v>
      </c>
      <c r="V68">
        <v>-1242.9051420242686</v>
      </c>
    </row>
    <row r="69" spans="1:22" x14ac:dyDescent="0.25">
      <c r="A69" t="s">
        <v>126</v>
      </c>
      <c r="S69">
        <v>266.7851791871508</v>
      </c>
      <c r="U69">
        <v>0.11876472509273128</v>
      </c>
      <c r="V69">
        <v>-371.9489703630916</v>
      </c>
    </row>
    <row r="70" spans="1:22" x14ac:dyDescent="0.25">
      <c r="A70" t="s">
        <v>142</v>
      </c>
      <c r="S70">
        <v>3407.204417851288</v>
      </c>
      <c r="U70">
        <v>1.516784767631293</v>
      </c>
      <c r="V70">
        <v>-4750.287024555262</v>
      </c>
    </row>
    <row r="71" spans="1:22" x14ac:dyDescent="0.25">
      <c r="A71" t="s">
        <v>127</v>
      </c>
      <c r="S71">
        <v>1703.602208925644</v>
      </c>
      <c r="U71">
        <v>0.7583923838156466</v>
      </c>
      <c r="V71">
        <v>-2375.143512277631</v>
      </c>
    </row>
    <row r="72" spans="1:22" x14ac:dyDescent="0.25">
      <c r="A72" t="s">
        <v>128</v>
      </c>
      <c r="S72">
        <v>1703.602208925644</v>
      </c>
      <c r="U72">
        <v>0.7583923838156466</v>
      </c>
      <c r="V72">
        <v>-2375.143512277631</v>
      </c>
    </row>
    <row r="73" spans="1:22" x14ac:dyDescent="0.25">
      <c r="A73" t="s">
        <v>129</v>
      </c>
      <c r="S73">
        <v>1022.1613253553514</v>
      </c>
      <c r="U73">
        <v>0.4550354302893709</v>
      </c>
      <c r="V73">
        <v>-1425.0861073665947</v>
      </c>
    </row>
    <row r="74" spans="1:22" x14ac:dyDescent="0.25">
      <c r="A74" t="s">
        <v>130</v>
      </c>
      <c r="S74">
        <v>1703.602208925644</v>
      </c>
      <c r="U74">
        <v>0.7583923838156466</v>
      </c>
      <c r="V74">
        <v>-2375.143512277631</v>
      </c>
    </row>
    <row r="75" spans="1:22" x14ac:dyDescent="0.25">
      <c r="A75" t="s">
        <v>131</v>
      </c>
      <c r="S75">
        <v>34072.04417851381</v>
      </c>
      <c r="U75">
        <v>15.167847676313613</v>
      </c>
      <c r="V75">
        <v>-47502.870245552855</v>
      </c>
    </row>
    <row r="76" spans="1:22" x14ac:dyDescent="0.25">
      <c r="A76" t="s">
        <v>132</v>
      </c>
      <c r="S76">
        <v>425.900552231411</v>
      </c>
      <c r="U76">
        <v>0.18959809595391164</v>
      </c>
      <c r="V76">
        <v>-593.7858780694078</v>
      </c>
    </row>
    <row r="77" spans="1:22" x14ac:dyDescent="0.25">
      <c r="A77" t="s">
        <v>133</v>
      </c>
      <c r="S77">
        <v>533.5703583743016</v>
      </c>
      <c r="U77">
        <v>0.23752945018546257</v>
      </c>
      <c r="V77">
        <v>-743.8979407261832</v>
      </c>
    </row>
    <row r="78" spans="1:22" x14ac:dyDescent="0.25">
      <c r="A78" t="s">
        <v>134</v>
      </c>
      <c r="S78">
        <v>533.5703583743016</v>
      </c>
      <c r="U78">
        <v>0.23752945018546257</v>
      </c>
      <c r="V78">
        <v>-743.8979407261832</v>
      </c>
    </row>
    <row r="79" spans="1:22" x14ac:dyDescent="0.25">
      <c r="A79" t="s">
        <v>135</v>
      </c>
      <c r="S79">
        <v>8518.011044628453</v>
      </c>
      <c r="U79">
        <v>3.7919619190784033</v>
      </c>
      <c r="V79">
        <v>-11875.717561388214</v>
      </c>
    </row>
    <row r="80" spans="1:22" x14ac:dyDescent="0.25">
      <c r="A80" t="s">
        <v>136</v>
      </c>
      <c r="S80">
        <v>12777.016566942446</v>
      </c>
      <c r="U80">
        <v>5.687942878617378</v>
      </c>
      <c r="V80">
        <v>-17813.57634208235</v>
      </c>
    </row>
    <row r="81" spans="1:22" x14ac:dyDescent="0.25">
      <c r="A81" t="s">
        <v>137</v>
      </c>
      <c r="S81">
        <v>8518.011044628453</v>
      </c>
      <c r="U81">
        <v>3.7919619190784033</v>
      </c>
      <c r="V81">
        <v>-11875.717561388214</v>
      </c>
    </row>
    <row r="82" spans="1:22" x14ac:dyDescent="0.25">
      <c r="A82" t="s">
        <v>138</v>
      </c>
      <c r="S82">
        <v>51108.066267769784</v>
      </c>
      <c r="U82">
        <v>22.75177151446951</v>
      </c>
      <c r="V82">
        <v>-71254.3053683294</v>
      </c>
    </row>
    <row r="83" spans="1:22" x14ac:dyDescent="0.25">
      <c r="A83" t="s">
        <v>7</v>
      </c>
      <c r="S83">
        <v>17036.022089256905</v>
      </c>
      <c r="U83">
        <v>7.583923838156807</v>
      </c>
      <c r="V83">
        <v>-23751.435122776427</v>
      </c>
    </row>
    <row r="84" spans="1:22" x14ac:dyDescent="0.25">
      <c r="A84" t="s">
        <v>139</v>
      </c>
      <c r="S84">
        <v>666.9629564858624</v>
      </c>
      <c r="U84">
        <v>0.2969118165237745</v>
      </c>
      <c r="V84">
        <v>-929.8724377834478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1:O29"/>
  <sheetFormatPr defaultRowHeight="15" outlineLevelRow="0" outlineLevelCol="0" x14ac:dyDescent="55"/>
  <cols>
    <col min="1" max="1" width="42" customWidth="1"/>
    <col min="2" max="15" width="14" customWidth="1"/>
  </cols>
  <sheetData>
    <row r="1" spans="1:1" x14ac:dyDescent="0.25">
      <c r="A1" t="s">
        <v>202</v>
      </c>
    </row>
    <row r="18" spans="15:15" x14ac:dyDescent="0.25">
      <c r="O18">
        <v>4541702.035828556</v>
      </c>
    </row>
    <row r="25" spans="15:15" x14ac:dyDescent="0.25">
      <c r="O25">
        <v>327055.9339548755</v>
      </c>
    </row>
    <row r="26" spans="15:15" x14ac:dyDescent="0.25">
      <c r="O26">
        <v>1288.7779268520665</v>
      </c>
    </row>
    <row r="29" spans="15:15" x14ac:dyDescent="0.25">
      <c r="O29">
        <v>328344.71188172756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1:M34"/>
  <sheetFormatPr defaultRowHeight="15" outlineLevelRow="0" outlineLevelCol="0" x14ac:dyDescent="55"/>
  <cols>
    <col min="1" max="1" width="42" customWidth="1"/>
    <col min="2" max="13" width="14" customWidth="1"/>
  </cols>
  <sheetData>
    <row r="1" spans="1:1" x14ac:dyDescent="0.25">
      <c r="A1" t="s">
        <v>203</v>
      </c>
    </row>
    <row r="20" spans="13:13" x14ac:dyDescent="0.25">
      <c r="M20">
        <v>9508.832340678975</v>
      </c>
    </row>
    <row r="34" spans="13:13" x14ac:dyDescent="0.25">
      <c r="M34">
        <v>35.48071768910066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1:U82"/>
  <sheetFormatPr defaultRowHeight="15" outlineLevelRow="0" outlineLevelCol="0" x14ac:dyDescent="55"/>
  <cols>
    <col min="1" max="1" width="42" customWidth="1"/>
    <col min="2" max="21" width="14" customWidth="1"/>
  </cols>
  <sheetData>
    <row r="1" spans="1:1" x14ac:dyDescent="0.25">
      <c r="A1" t="s">
        <v>204</v>
      </c>
    </row>
    <row r="82" spans="21:21" x14ac:dyDescent="0.25">
      <c r="U82">
        <v>-147745.9239130435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EBF7"/>
  </sheetPr>
  <dimension ref="A1:AA83"/>
  <sheetFormatPr defaultRowHeight="15" outlineLevelRow="0" outlineLevelCol="0" x14ac:dyDescent="55"/>
  <cols>
    <col min="1" max="1" width="42" customWidth="1"/>
    <col min="25" max="25" width="18" customWidth="1"/>
    <col min="27" max="27" width="18" customWidth="1"/>
  </cols>
  <sheetData>
    <row r="1" spans="1:1" x14ac:dyDescent="0.25">
      <c r="A1" t="s">
        <v>205</v>
      </c>
    </row>
    <row r="3" spans="1:27" x14ac:dyDescent="0.25">
      <c r="A3" t="s">
        <v>151</v>
      </c>
      <c r="Y3" t="s">
        <v>206</v>
      </c>
      <c r="AA3" t="s">
        <v>207</v>
      </c>
    </row>
    <row r="4" spans="1:27" x14ac:dyDescent="0.25">
      <c r="A4" t="s">
        <v>50</v>
      </c>
      <c r="Y4">
        <v>5107.5</v>
      </c>
      <c r="AA4">
        <v>-8777.9</v>
      </c>
    </row>
    <row r="5" spans="1:27" x14ac:dyDescent="0.25">
      <c r="A5" t="s">
        <v>51</v>
      </c>
      <c r="Y5">
        <v>7150.49</v>
      </c>
      <c r="AA5">
        <v>-12289.05</v>
      </c>
    </row>
    <row r="6" spans="1:27" x14ac:dyDescent="0.25">
      <c r="A6" t="s">
        <v>53</v>
      </c>
      <c r="Y6">
        <v>6128.99</v>
      </c>
      <c r="AA6">
        <v>-10533.47</v>
      </c>
    </row>
    <row r="7" spans="1:27" x14ac:dyDescent="0.25">
      <c r="A7" t="s">
        <v>54</v>
      </c>
      <c r="Y7">
        <v>7661.24</v>
      </c>
      <c r="AA7">
        <v>-13166.84</v>
      </c>
    </row>
    <row r="8" spans="1:27" x14ac:dyDescent="0.25">
      <c r="A8" t="s">
        <v>55</v>
      </c>
      <c r="Y8">
        <v>799.84</v>
      </c>
      <c r="AA8">
        <v>-1374.62</v>
      </c>
    </row>
    <row r="9" spans="1:27" x14ac:dyDescent="0.25">
      <c r="A9" t="s">
        <v>57</v>
      </c>
      <c r="Y9">
        <v>1472.98</v>
      </c>
      <c r="AA9">
        <v>-2531.51</v>
      </c>
    </row>
    <row r="10" spans="1:27" x14ac:dyDescent="0.25">
      <c r="A10" t="s">
        <v>59</v>
      </c>
      <c r="Y10">
        <v>1599.67</v>
      </c>
      <c r="AA10">
        <v>-2749.25</v>
      </c>
    </row>
    <row r="11" spans="1:27" x14ac:dyDescent="0.25">
      <c r="A11" t="s">
        <v>61</v>
      </c>
      <c r="Y11">
        <v>5345.47</v>
      </c>
      <c r="AA11">
        <v>-9186.89</v>
      </c>
    </row>
    <row r="12" spans="1:27" x14ac:dyDescent="0.25">
      <c r="A12" t="s">
        <v>62</v>
      </c>
      <c r="Y12">
        <v>10214.99</v>
      </c>
      <c r="AA12">
        <v>-17555.79</v>
      </c>
    </row>
    <row r="13" spans="1:27" x14ac:dyDescent="0.25">
      <c r="A13" t="s">
        <v>63</v>
      </c>
      <c r="Y13">
        <v>3999.18</v>
      </c>
      <c r="AA13">
        <v>-6873.12</v>
      </c>
    </row>
    <row r="14" spans="1:27" x14ac:dyDescent="0.25">
      <c r="A14" t="s">
        <v>65</v>
      </c>
      <c r="Y14">
        <v>102149.9</v>
      </c>
      <c r="AA14">
        <v>-175557.91</v>
      </c>
    </row>
    <row r="15" spans="1:27" x14ac:dyDescent="0.25">
      <c r="A15" t="s">
        <v>68</v>
      </c>
      <c r="Y15">
        <v>9344.66</v>
      </c>
      <c r="AA15">
        <v>-16060.01</v>
      </c>
    </row>
    <row r="16" spans="1:27" x14ac:dyDescent="0.25">
      <c r="A16" t="s">
        <v>70</v>
      </c>
      <c r="Y16">
        <v>9344.66</v>
      </c>
      <c r="AA16">
        <v>-16060.01</v>
      </c>
    </row>
    <row r="17" spans="1:27" x14ac:dyDescent="0.25">
      <c r="A17" t="s">
        <v>72</v>
      </c>
      <c r="Y17">
        <v>799.84</v>
      </c>
      <c r="AA17">
        <v>-1374.62</v>
      </c>
    </row>
    <row r="18" spans="1:27" x14ac:dyDescent="0.25">
      <c r="A18" t="s">
        <v>74</v>
      </c>
      <c r="Y18">
        <v>2399.51</v>
      </c>
      <c r="AA18">
        <v>-4123.87</v>
      </c>
    </row>
    <row r="19" spans="1:27" x14ac:dyDescent="0.25">
      <c r="A19" t="s">
        <v>76</v>
      </c>
      <c r="Y19">
        <v>5107.5</v>
      </c>
      <c r="AA19">
        <v>-8777.9</v>
      </c>
    </row>
    <row r="20" spans="1:27" x14ac:dyDescent="0.25">
      <c r="A20" t="s">
        <v>77</v>
      </c>
      <c r="Y20">
        <v>1999.59</v>
      </c>
      <c r="AA20">
        <v>-3436.56</v>
      </c>
    </row>
    <row r="21" spans="1:27" x14ac:dyDescent="0.25">
      <c r="A21" t="s">
        <v>78</v>
      </c>
      <c r="Y21">
        <v>5107.5</v>
      </c>
      <c r="AA21">
        <v>-8777.9</v>
      </c>
    </row>
    <row r="22" spans="1:27" x14ac:dyDescent="0.25">
      <c r="A22" t="s">
        <v>80</v>
      </c>
      <c r="Y22">
        <v>520598.24</v>
      </c>
      <c r="AA22">
        <v>-894715.91</v>
      </c>
    </row>
    <row r="23" spans="1:27" x14ac:dyDescent="0.25">
      <c r="A23" t="s">
        <v>82</v>
      </c>
      <c r="Y23">
        <v>64621.8</v>
      </c>
      <c r="AA23">
        <v>-111060.98</v>
      </c>
    </row>
    <row r="24" spans="1:27" x14ac:dyDescent="0.25">
      <c r="A24" t="s">
        <v>83</v>
      </c>
      <c r="Y24">
        <v>1999.59</v>
      </c>
      <c r="AA24">
        <v>-3436.56</v>
      </c>
    </row>
    <row r="25" spans="1:27" x14ac:dyDescent="0.25">
      <c r="A25" t="s">
        <v>84</v>
      </c>
      <c r="Y25">
        <v>12385.59</v>
      </c>
      <c r="AA25">
        <v>-21286.25</v>
      </c>
    </row>
    <row r="26" spans="1:27" x14ac:dyDescent="0.25">
      <c r="A26" t="s">
        <v>85</v>
      </c>
      <c r="Y26">
        <v>1999.59</v>
      </c>
      <c r="AA26">
        <v>-3436.56</v>
      </c>
    </row>
    <row r="27" spans="1:27" x14ac:dyDescent="0.25">
      <c r="A27" t="s">
        <v>86</v>
      </c>
      <c r="Y27">
        <v>5107.5</v>
      </c>
      <c r="AA27">
        <v>-8777.9</v>
      </c>
    </row>
    <row r="28" spans="1:27" x14ac:dyDescent="0.25">
      <c r="A28" t="s">
        <v>87</v>
      </c>
      <c r="Y28">
        <v>1694.64</v>
      </c>
      <c r="AA28">
        <v>-2912.46</v>
      </c>
    </row>
    <row r="29" spans="1:27" x14ac:dyDescent="0.25">
      <c r="A29" t="s">
        <v>88</v>
      </c>
      <c r="Y29">
        <v>49058.05</v>
      </c>
      <c r="AA29">
        <v>-84312.65</v>
      </c>
    </row>
    <row r="30" spans="1:27" x14ac:dyDescent="0.25">
      <c r="A30" t="s">
        <v>89</v>
      </c>
      <c r="Y30">
        <v>3775.22</v>
      </c>
      <c r="AA30">
        <v>-6488.21</v>
      </c>
    </row>
    <row r="31" spans="1:27" x14ac:dyDescent="0.25">
      <c r="A31" t="s">
        <v>90</v>
      </c>
      <c r="Y31">
        <v>1599.67</v>
      </c>
      <c r="AA31">
        <v>-2749.25</v>
      </c>
    </row>
    <row r="32" spans="1:27" x14ac:dyDescent="0.25">
      <c r="A32" t="s">
        <v>91</v>
      </c>
      <c r="Y32">
        <v>8682.74</v>
      </c>
      <c r="AA32">
        <v>-14922.42</v>
      </c>
    </row>
    <row r="33" spans="1:27" x14ac:dyDescent="0.25">
      <c r="A33" t="s">
        <v>92</v>
      </c>
      <c r="Y33">
        <v>15322.49</v>
      </c>
      <c r="AA33">
        <v>-26333.69</v>
      </c>
    </row>
    <row r="34" spans="1:27" x14ac:dyDescent="0.25">
      <c r="A34" t="s">
        <v>93</v>
      </c>
      <c r="Y34">
        <v>3199.35</v>
      </c>
      <c r="AA34">
        <v>-5498.5</v>
      </c>
    </row>
    <row r="35" spans="1:27" x14ac:dyDescent="0.25">
      <c r="A35" t="s">
        <v>94</v>
      </c>
      <c r="Y35">
        <v>2399.51</v>
      </c>
      <c r="AA35">
        <v>-4123.87</v>
      </c>
    </row>
    <row r="36" spans="1:27" x14ac:dyDescent="0.25">
      <c r="A36" t="s">
        <v>95</v>
      </c>
      <c r="Y36">
        <v>10214.99</v>
      </c>
      <c r="AA36">
        <v>-17555.79</v>
      </c>
    </row>
    <row r="37" spans="1:27" x14ac:dyDescent="0.25">
      <c r="A37" t="s">
        <v>96</v>
      </c>
      <c r="Y37">
        <v>10214.99</v>
      </c>
      <c r="AA37">
        <v>-17555.79</v>
      </c>
    </row>
    <row r="38" spans="1:27" x14ac:dyDescent="0.25">
      <c r="A38" t="s">
        <v>97</v>
      </c>
      <c r="Y38">
        <v>1599.67</v>
      </c>
      <c r="AA38">
        <v>-2749.25</v>
      </c>
    </row>
    <row r="39" spans="1:27" x14ac:dyDescent="0.25">
      <c r="A39" t="s">
        <v>98</v>
      </c>
      <c r="Y39">
        <v>2043</v>
      </c>
      <c r="AA39">
        <v>-3511.16</v>
      </c>
    </row>
    <row r="40" spans="1:27" x14ac:dyDescent="0.25">
      <c r="A40" t="s">
        <v>99</v>
      </c>
      <c r="Y40">
        <v>1021.5</v>
      </c>
      <c r="AA40">
        <v>-1755.58</v>
      </c>
    </row>
    <row r="41" spans="1:27" x14ac:dyDescent="0.25">
      <c r="A41" t="s">
        <v>100</v>
      </c>
      <c r="Y41">
        <v>1599.67</v>
      </c>
      <c r="AA41">
        <v>-2749.25</v>
      </c>
    </row>
    <row r="42" spans="1:27" x14ac:dyDescent="0.25">
      <c r="A42" t="s">
        <v>101</v>
      </c>
      <c r="Y42">
        <v>1599.67</v>
      </c>
      <c r="AA42">
        <v>-2749.25</v>
      </c>
    </row>
    <row r="43" spans="1:27" x14ac:dyDescent="0.25">
      <c r="A43" t="s">
        <v>102</v>
      </c>
      <c r="Y43">
        <v>1999.59</v>
      </c>
      <c r="AA43">
        <v>-3436.56</v>
      </c>
    </row>
    <row r="44" spans="1:27" x14ac:dyDescent="0.25">
      <c r="A44" t="s">
        <v>103</v>
      </c>
      <c r="Y44">
        <v>10214.99</v>
      </c>
      <c r="AA44">
        <v>-17555.79</v>
      </c>
    </row>
    <row r="45" spans="1:27" x14ac:dyDescent="0.25">
      <c r="A45" t="s">
        <v>104</v>
      </c>
      <c r="Y45">
        <v>5107.5</v>
      </c>
      <c r="AA45">
        <v>-8777.9</v>
      </c>
    </row>
    <row r="46" spans="1:27" x14ac:dyDescent="0.25">
      <c r="A46" t="s">
        <v>105</v>
      </c>
      <c r="Y46">
        <v>15322.49</v>
      </c>
      <c r="AA46">
        <v>-26333.69</v>
      </c>
    </row>
    <row r="47" spans="1:27" x14ac:dyDescent="0.25">
      <c r="A47" t="s">
        <v>106</v>
      </c>
      <c r="Y47">
        <v>1021.5</v>
      </c>
      <c r="AA47">
        <v>-1755.58</v>
      </c>
    </row>
    <row r="48" spans="1:27" x14ac:dyDescent="0.25">
      <c r="A48" t="s">
        <v>107</v>
      </c>
      <c r="Y48">
        <v>7661.24</v>
      </c>
      <c r="AA48">
        <v>-13166.84</v>
      </c>
    </row>
    <row r="49" spans="1:27" x14ac:dyDescent="0.25">
      <c r="A49" t="s">
        <v>108</v>
      </c>
      <c r="Y49">
        <v>2399.51</v>
      </c>
      <c r="AA49">
        <v>-4123.87</v>
      </c>
    </row>
    <row r="50" spans="1:27" x14ac:dyDescent="0.25">
      <c r="A50" t="s">
        <v>109</v>
      </c>
      <c r="Y50">
        <v>10214.99</v>
      </c>
      <c r="AA50">
        <v>-17555.79</v>
      </c>
    </row>
    <row r="51" spans="1:27" x14ac:dyDescent="0.25">
      <c r="A51" t="s">
        <v>110</v>
      </c>
      <c r="Y51">
        <v>1199.76</v>
      </c>
      <c r="AA51">
        <v>-2061.94</v>
      </c>
    </row>
    <row r="52" spans="1:27" x14ac:dyDescent="0.25">
      <c r="A52" t="s">
        <v>111</v>
      </c>
      <c r="Y52">
        <v>1021.5</v>
      </c>
      <c r="AA52">
        <v>-1755.58</v>
      </c>
    </row>
    <row r="53" spans="1:27" x14ac:dyDescent="0.25">
      <c r="A53" t="s">
        <v>112</v>
      </c>
      <c r="Y53">
        <v>799.84</v>
      </c>
      <c r="AA53">
        <v>-1374.62</v>
      </c>
    </row>
    <row r="54" spans="1:27" x14ac:dyDescent="0.25">
      <c r="A54" t="s">
        <v>113</v>
      </c>
      <c r="Y54">
        <v>7998.37</v>
      </c>
      <c r="AA54">
        <v>-13746.24</v>
      </c>
    </row>
    <row r="55" spans="1:27" x14ac:dyDescent="0.25">
      <c r="A55" t="s">
        <v>114</v>
      </c>
      <c r="Y55">
        <v>3999.18</v>
      </c>
      <c r="AA55">
        <v>-6873.12</v>
      </c>
    </row>
    <row r="56" spans="1:27" x14ac:dyDescent="0.25">
      <c r="A56" t="s">
        <v>115</v>
      </c>
      <c r="Y56">
        <v>7182.81</v>
      </c>
      <c r="AA56">
        <v>-21416.88</v>
      </c>
    </row>
    <row r="57" spans="1:27" x14ac:dyDescent="0.25">
      <c r="A57" t="s">
        <v>116</v>
      </c>
      <c r="Y57">
        <v>799.84</v>
      </c>
      <c r="AA57">
        <v>-1374.62</v>
      </c>
    </row>
    <row r="58" spans="1:27" x14ac:dyDescent="0.25">
      <c r="A58" t="s">
        <v>117</v>
      </c>
      <c r="Y58">
        <v>3365.72</v>
      </c>
      <c r="AA58">
        <v>-5784.43</v>
      </c>
    </row>
    <row r="59" spans="1:27" x14ac:dyDescent="0.25">
      <c r="A59" t="s">
        <v>118</v>
      </c>
      <c r="Y59">
        <v>8964.58</v>
      </c>
      <c r="AA59">
        <v>-15406.79</v>
      </c>
    </row>
    <row r="60" spans="1:27" x14ac:dyDescent="0.25">
      <c r="A60" t="s">
        <v>119</v>
      </c>
      <c r="Y60">
        <v>399.92</v>
      </c>
      <c r="AA60">
        <v>-687.31</v>
      </c>
    </row>
    <row r="61" spans="1:27" x14ac:dyDescent="0.25">
      <c r="A61" t="s">
        <v>120</v>
      </c>
      <c r="Y61">
        <v>15322.49</v>
      </c>
      <c r="AA61">
        <v>-26333.69</v>
      </c>
    </row>
    <row r="62" spans="1:27" x14ac:dyDescent="0.25">
      <c r="A62" t="s">
        <v>121</v>
      </c>
      <c r="Y62">
        <v>10214.99</v>
      </c>
      <c r="AA62">
        <v>-17555.79</v>
      </c>
    </row>
    <row r="63" spans="1:27" x14ac:dyDescent="0.25">
      <c r="A63" t="s">
        <v>122</v>
      </c>
      <c r="Y63">
        <v>10214.99</v>
      </c>
      <c r="AA63">
        <v>-17555.79</v>
      </c>
    </row>
    <row r="64" spans="1:27" x14ac:dyDescent="0.25">
      <c r="A64" t="s">
        <v>123</v>
      </c>
      <c r="Y64">
        <v>20429.98</v>
      </c>
      <c r="AA64">
        <v>-35111.58</v>
      </c>
    </row>
    <row r="65" spans="1:27" x14ac:dyDescent="0.25">
      <c r="A65" t="s">
        <v>124</v>
      </c>
      <c r="Y65">
        <v>10214.99</v>
      </c>
      <c r="AA65">
        <v>-17555.79</v>
      </c>
    </row>
    <row r="66" spans="1:27" x14ac:dyDescent="0.25">
      <c r="A66" t="s">
        <v>125</v>
      </c>
      <c r="Y66">
        <v>5345.47</v>
      </c>
      <c r="AA66">
        <v>-9186.89</v>
      </c>
    </row>
    <row r="67" spans="1:27" x14ac:dyDescent="0.25">
      <c r="A67" t="s">
        <v>126</v>
      </c>
      <c r="Y67">
        <v>1599.67</v>
      </c>
      <c r="AA67">
        <v>-2749.25</v>
      </c>
    </row>
    <row r="68" spans="1:27" x14ac:dyDescent="0.25">
      <c r="A68" t="s">
        <v>127</v>
      </c>
      <c r="Y68">
        <v>10214.99</v>
      </c>
      <c r="AA68">
        <v>-17555.79</v>
      </c>
    </row>
    <row r="69" spans="1:27" x14ac:dyDescent="0.25">
      <c r="A69" t="s">
        <v>128</v>
      </c>
      <c r="Y69">
        <v>10214.99</v>
      </c>
      <c r="AA69">
        <v>-17555.79</v>
      </c>
    </row>
    <row r="70" spans="1:27" x14ac:dyDescent="0.25">
      <c r="A70" t="s">
        <v>129</v>
      </c>
      <c r="Y70">
        <v>6128.99</v>
      </c>
      <c r="AA70">
        <v>-10533.47</v>
      </c>
    </row>
    <row r="71" spans="1:27" x14ac:dyDescent="0.25">
      <c r="A71" t="s">
        <v>130</v>
      </c>
      <c r="Y71">
        <v>10214.99</v>
      </c>
      <c r="AA71">
        <v>-17555.79</v>
      </c>
    </row>
    <row r="72" spans="1:27" x14ac:dyDescent="0.25">
      <c r="A72" t="s">
        <v>131</v>
      </c>
      <c r="Y72">
        <v>204299.8</v>
      </c>
      <c r="AA72">
        <v>-351115.83</v>
      </c>
    </row>
    <row r="73" spans="1:27" x14ac:dyDescent="0.25">
      <c r="A73" t="s">
        <v>132</v>
      </c>
      <c r="Y73">
        <v>2553.75</v>
      </c>
      <c r="AA73">
        <v>-4388.95</v>
      </c>
    </row>
    <row r="74" spans="1:27" x14ac:dyDescent="0.25">
      <c r="A74" t="s">
        <v>133</v>
      </c>
      <c r="Y74">
        <v>3199.35</v>
      </c>
      <c r="AA74">
        <v>-5498.5</v>
      </c>
    </row>
    <row r="75" spans="1:27" x14ac:dyDescent="0.25">
      <c r="A75" t="s">
        <v>134</v>
      </c>
      <c r="Y75">
        <v>3199.35</v>
      </c>
      <c r="AA75">
        <v>-5498.5</v>
      </c>
    </row>
    <row r="76" spans="1:27" x14ac:dyDescent="0.25">
      <c r="A76" t="s">
        <v>135</v>
      </c>
      <c r="Y76">
        <v>51074.95</v>
      </c>
      <c r="AA76">
        <v>-87778.96</v>
      </c>
    </row>
    <row r="77" spans="1:27" x14ac:dyDescent="0.25">
      <c r="A77" t="s">
        <v>136</v>
      </c>
      <c r="Y77">
        <v>76612.43</v>
      </c>
      <c r="AA77">
        <v>-131668.44</v>
      </c>
    </row>
    <row r="78" spans="1:27" x14ac:dyDescent="0.25">
      <c r="A78" t="s">
        <v>137</v>
      </c>
      <c r="Y78">
        <v>51074.95</v>
      </c>
      <c r="AA78">
        <v>-87778.96</v>
      </c>
    </row>
    <row r="79" spans="1:27" x14ac:dyDescent="0.25">
      <c r="A79" t="s">
        <v>138</v>
      </c>
      <c r="Y79">
        <v>306449.7</v>
      </c>
      <c r="AA79">
        <v>-526673.74</v>
      </c>
    </row>
    <row r="80" spans="1:27" x14ac:dyDescent="0.25">
      <c r="A80" t="s">
        <v>139</v>
      </c>
      <c r="Y80">
        <v>3999.18</v>
      </c>
      <c r="AA80">
        <v>-6873.12</v>
      </c>
    </row>
    <row r="81" spans="1:27" x14ac:dyDescent="0.25">
      <c r="A81" t="s">
        <v>140</v>
      </c>
      <c r="Y81">
        <v>20429.98</v>
      </c>
      <c r="AA81">
        <v>-35111.58</v>
      </c>
    </row>
    <row r="82" spans="1:25" x14ac:dyDescent="0.25">
      <c r="A82" t="s">
        <v>7</v>
      </c>
      <c r="Y82">
        <v>170590.34</v>
      </c>
    </row>
    <row r="83" spans="1:25" x14ac:dyDescent="0.25">
      <c r="A83" t="s">
        <v>8</v>
      </c>
      <c r="Y83">
        <v>255.37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 Close Summary</vt:lpstr>
      <vt:lpstr>Sub Close Calcu</vt:lpstr>
      <vt:lpstr>Subsequent Close</vt:lpstr>
      <vt:lpstr>True-Up</vt:lpstr>
      <vt:lpstr>Closing Interest</vt:lpstr>
      <vt:lpstr>Management Fees - New Investor</vt:lpstr>
      <vt:lpstr>Subsequent Close - OLD B4 25k</vt:lpstr>
      <vt:lpstr>May 26 Distribution Checking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Yun</dc:creator>
  <cp:lastModifiedBy>Jimmy Yun</cp:lastModifiedBy>
  <dcterms:created xsi:type="dcterms:W3CDTF">2026-09-17T19:20:02Z</dcterms:created>
  <dcterms:modified xsi:type="dcterms:W3CDTF">2026-09-17T19:20:20Z</dcterms:modified>
</cp:coreProperties>
</file>