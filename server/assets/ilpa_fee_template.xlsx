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CRPTF-GCM" sheetId="1" state="visible" r:id="rId1"/>
    <sheet xmlns:r="http://schemas.openxmlformats.org/officeDocument/2006/relationships" name="GCM Grosvenor NJ RE" sheetId="2" state="visible" r:id="rId2"/>
    <sheet xmlns:r="http://schemas.openxmlformats.org/officeDocument/2006/relationships" name="Texas Emerging Managers" sheetId="3" state="visible" r:id="rId3"/>
    <sheet xmlns:r="http://schemas.openxmlformats.org/officeDocument/2006/relationships" name="NYSTRS" sheetId="4" state="visible" r:id="rId4"/>
  </sheets>
  <definedNames>
    <definedName name="CIQWBGuid" hidden="0" function="0" vbProcedure="0">"22171125-bb1e-4098-ac99-97931d2750a0"</definedName>
    <definedName name="CIQWBInfo" hidden="0" function="0" vbProcedure="0">"{ ""CIQVersion"":""9.45.614.5792"" }"</definedName>
    <definedName name="_xlnm.Print_Area" localSheetId="0">'CRPTF-GCM'!$A$1:$J$53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7">
    <numFmt numFmtId="164" formatCode="[$-409]#,##0_);\(#,##0\)"/>
    <numFmt numFmtId="165" formatCode="\$#,##0_);&quot;($&quot;#,##0\)"/>
    <numFmt numFmtId="166" formatCode="[$-409]m/d/yyyy"/>
    <numFmt numFmtId="167" formatCode="\([$-409]&quot;mmm-yy -&quot;"/>
    <numFmt numFmtId="168" formatCode="\ [$-409]&quot;mmm-yy)&quot;"/>
    <numFmt numFmtId="169" formatCode="\$#,##0.00"/>
    <numFmt numFmtId="170" formatCode="\$#,##0"/>
  </numFmts>
  <fonts count="20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Book Antiqua"/>
      <family val="1"/>
      <sz val="9"/>
    </font>
    <font>
      <name val="Book Antiqua"/>
      <family val="1"/>
      <i val="1"/>
      <sz val="9"/>
    </font>
    <font>
      <name val="Book Antiqua"/>
      <family val="1"/>
      <b val="1"/>
      <sz val="9"/>
    </font>
    <font>
      <name val="Book Antiqua"/>
      <family val="1"/>
      <b val="1"/>
      <sz val="10"/>
      <u val="single"/>
    </font>
    <font>
      <name val="Book Antiqua"/>
      <family val="1"/>
      <sz val="10"/>
    </font>
    <font>
      <name val="Book Antiqua"/>
      <family val="1"/>
      <b val="1"/>
      <i val="1"/>
      <color rgb="FFFF0000"/>
      <sz val="10"/>
    </font>
    <font>
      <name val="Book Antiqua"/>
      <family val="1"/>
      <sz val="9"/>
      <vertAlign val="superscript"/>
    </font>
    <font>
      <name val="Book Antiqua"/>
      <family val="1"/>
      <b val="1"/>
      <i val="1"/>
      <sz val="12"/>
    </font>
    <font>
      <name val="Book Antiqua"/>
      <family val="1"/>
      <b val="1"/>
      <sz val="9"/>
      <u val="single"/>
    </font>
    <font>
      <name val="Book Antiqua"/>
      <family val="1"/>
      <color rgb="FF000000"/>
      <sz val="9"/>
    </font>
    <font>
      <name val="Book Antiqua"/>
      <family val="1"/>
      <b val="1"/>
      <i val="1"/>
      <sz val="11"/>
    </font>
    <font>
      <name val="Book Antiqua"/>
      <family val="1"/>
      <b val="1"/>
      <i val="1"/>
      <sz val="10"/>
    </font>
    <font>
      <name val="Book Antiqua"/>
      <family val="1"/>
      <b val="1"/>
      <sz val="10"/>
    </font>
    <font>
      <name val="Book Antiqua"/>
      <family val="1"/>
      <color rgb="FF00CCFF"/>
      <sz val="9"/>
    </font>
    <font>
      <name val="Book Antiqua"/>
      <family val="1"/>
      <b val="1"/>
      <i val="1"/>
      <sz val="9"/>
      <u val="single"/>
    </font>
    <font>
      <name val="Book Antiqua"/>
      <family val="1"/>
      <i val="1"/>
      <sz val="9"/>
      <u val="single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CCFF"/>
        <bgColor rgb="FF33CCCC"/>
      </patternFill>
    </fill>
  </fills>
  <borders count="21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 style="medium"/>
      <top style="medium"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/>
      <top style="thin"/>
      <bottom style="medium"/>
      <diagonal/>
    </border>
    <border>
      <left style="thin"/>
      <right style="medium"/>
      <top style="thin"/>
      <bottom/>
      <diagonal/>
    </border>
    <border>
      <left style="thin"/>
      <right style="medium"/>
      <top/>
      <bottom/>
      <diagonal/>
    </border>
    <border>
      <left style="thin"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bottom"/>
    </xf>
    <xf numFmtId="0" fontId="6" fillId="2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center" vertical="center" wrapText="1"/>
    </xf>
    <xf numFmtId="165" fontId="7" fillId="2" borderId="0" applyAlignment="1" applyProtection="1" pivotButton="0" quotePrefix="0" xfId="0">
      <alignment horizontal="left" vertical="top"/>
      <protection locked="0" hidden="0"/>
    </xf>
    <xf numFmtId="165" fontId="8" fillId="2" borderId="0" applyAlignment="1" applyProtection="1" pivotButton="0" quotePrefix="0" xfId="0">
      <alignment horizontal="left" vertical="top" wrapText="1"/>
      <protection locked="0" hidden="0"/>
    </xf>
    <xf numFmtId="0" fontId="9" fillId="2" borderId="1" applyAlignment="1" pivotButton="0" quotePrefix="0" xfId="0">
      <alignment horizontal="right" vertical="bottom" wrapText="1"/>
    </xf>
    <xf numFmtId="0" fontId="4" fillId="2" borderId="2" applyAlignment="1" pivotButton="0" quotePrefix="0" xfId="0">
      <alignment horizontal="general" vertical="bottom"/>
    </xf>
    <xf numFmtId="164" fontId="6" fillId="3" borderId="3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left" vertical="center" wrapText="1"/>
    </xf>
    <xf numFmtId="0" fontId="12" fillId="2" borderId="2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 wrapText="1"/>
    </xf>
    <xf numFmtId="9" fontId="4" fillId="2" borderId="6" applyAlignment="1" pivotButton="0" quotePrefix="0" xfId="0">
      <alignment horizontal="general" vertical="bottom"/>
    </xf>
    <xf numFmtId="166" fontId="13" fillId="2" borderId="7" applyAlignment="1" pivotButton="0" quotePrefix="0" xfId="0">
      <alignment horizontal="general" vertical="bottom"/>
    </xf>
    <xf numFmtId="167" fontId="4" fillId="2" borderId="6" applyAlignment="1" pivotButton="0" quotePrefix="0" xfId="0">
      <alignment horizontal="center" vertical="center"/>
    </xf>
    <xf numFmtId="167" fontId="4" fillId="2" borderId="0" applyAlignment="1" pivotButton="0" quotePrefix="0" xfId="0">
      <alignment horizontal="center" vertical="center"/>
    </xf>
    <xf numFmtId="167" fontId="4" fillId="2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bottom"/>
    </xf>
    <xf numFmtId="168" fontId="4" fillId="2" borderId="8" applyAlignment="1" pivotButton="0" quotePrefix="0" xfId="0">
      <alignment horizontal="center" vertical="center" wrapText="1"/>
    </xf>
    <xf numFmtId="168" fontId="4" fillId="2" borderId="1" applyAlignment="1" pivotButton="0" quotePrefix="0" xfId="0">
      <alignment horizontal="center" vertical="center" wrapText="1"/>
    </xf>
    <xf numFmtId="168" fontId="4" fillId="2" borderId="9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general" vertical="bottom"/>
    </xf>
    <xf numFmtId="166" fontId="13" fillId="2" borderId="9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bottom"/>
    </xf>
    <xf numFmtId="0" fontId="11" fillId="2" borderId="5" applyAlignment="1" pivotButton="0" quotePrefix="0" xfId="0">
      <alignment horizontal="left" vertical="center" wrapText="1"/>
    </xf>
    <xf numFmtId="0" fontId="14" fillId="2" borderId="4" applyAlignment="1" pivotButton="0" quotePrefix="0" xfId="0">
      <alignment horizontal="left" vertical="bottom" wrapText="1"/>
    </xf>
    <xf numFmtId="169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15" fillId="2" borderId="4" applyAlignment="1" pivotButton="0" quotePrefix="0" xfId="0">
      <alignment horizontal="left" vertical="center" wrapText="1"/>
    </xf>
    <xf numFmtId="0" fontId="15" fillId="2" borderId="4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16" fillId="2" borderId="10" applyAlignment="1" pivotButton="0" quotePrefix="0" xfId="0">
      <alignment horizontal="left" vertical="bottom" wrapText="1"/>
    </xf>
    <xf numFmtId="169" fontId="5" fillId="2" borderId="0" applyAlignment="1" pivotButton="0" quotePrefix="0" xfId="0">
      <alignment horizontal="left" vertical="bottom"/>
    </xf>
    <xf numFmtId="165" fontId="4" fillId="2" borderId="0" applyAlignment="1" pivotButton="0" quotePrefix="0" xfId="0">
      <alignment horizontal="general" vertical="bottom"/>
    </xf>
    <xf numFmtId="0" fontId="4" fillId="2" borderId="11" applyAlignment="1" pivotButton="0" quotePrefix="0" xfId="0">
      <alignment horizontal="left" vertical="center" wrapText="1"/>
    </xf>
    <xf numFmtId="0" fontId="16" fillId="2" borderId="11" applyAlignment="1" pivotButton="0" quotePrefix="0" xfId="0">
      <alignment horizontal="left" vertical="center" wrapText="1"/>
    </xf>
    <xf numFmtId="164" fontId="6" fillId="2" borderId="0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left" vertical="center" wrapText="1"/>
    </xf>
    <xf numFmtId="164" fontId="4" fillId="2" borderId="11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left" vertical="center" wrapText="1" indent="3"/>
    </xf>
    <xf numFmtId="164" fontId="13" fillId="2" borderId="0" applyAlignment="1" pivotButton="0" quotePrefix="0" xfId="0">
      <alignment horizontal="center" vertical="center" wrapText="1"/>
    </xf>
    <xf numFmtId="164" fontId="13" fillId="2" borderId="7" applyAlignment="1" pivotButton="0" quotePrefix="0" xfId="0">
      <alignment horizontal="center" vertical="center" wrapText="1"/>
    </xf>
    <xf numFmtId="3" fontId="6" fillId="2" borderId="0" applyAlignment="1" pivotButton="0" quotePrefix="0" xfId="0">
      <alignment horizontal="center" vertical="center" wrapText="1"/>
    </xf>
    <xf numFmtId="3" fontId="6" fillId="2" borderId="7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left" vertical="center"/>
    </xf>
    <xf numFmtId="170" fontId="4" fillId="2" borderId="0" applyAlignment="1" pivotButton="0" quotePrefix="0" xfId="0">
      <alignment horizontal="general" vertical="bottom"/>
    </xf>
    <xf numFmtId="0" fontId="4" fillId="2" borderId="14" applyAlignment="1" pivotButton="0" quotePrefix="0" xfId="0">
      <alignment horizontal="left" vertical="center" indent="3"/>
    </xf>
    <xf numFmtId="0" fontId="4" fillId="2" borderId="14" applyAlignment="1" pivotButton="0" quotePrefix="0" xfId="0">
      <alignment horizontal="left" vertical="center"/>
    </xf>
    <xf numFmtId="164" fontId="4" fillId="2" borderId="0" applyAlignment="1" pivotButton="0" quotePrefix="0" xfId="0">
      <alignment horizontal="center" vertical="center" wrapText="1"/>
    </xf>
    <xf numFmtId="164" fontId="4" fillId="2" borderId="7" applyAlignment="1" pivotButton="0" quotePrefix="0" xfId="0">
      <alignment horizontal="center" vertical="center" wrapText="1"/>
    </xf>
    <xf numFmtId="0" fontId="4" fillId="2" borderId="15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center" vertical="center" wrapText="1"/>
    </xf>
    <xf numFmtId="165" fontId="4" fillId="2" borderId="9" applyAlignment="1" pivotButton="0" quotePrefix="0" xfId="0">
      <alignment horizontal="center" vertical="center" wrapText="1"/>
    </xf>
    <xf numFmtId="0" fontId="16" fillId="2" borderId="8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left" vertical="center" wrapText="1"/>
    </xf>
    <xf numFmtId="0" fontId="16" fillId="2" borderId="9" applyAlignment="1" pivotButton="0" quotePrefix="0" xfId="0">
      <alignment horizontal="left" vertical="center" wrapText="1"/>
    </xf>
    <xf numFmtId="165" fontId="6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bottom"/>
    </xf>
    <xf numFmtId="0" fontId="18" fillId="2" borderId="10" applyAlignment="1" pivotButton="0" quotePrefix="0" xfId="0">
      <alignment horizontal="left" vertical="bottom"/>
    </xf>
    <xf numFmtId="0" fontId="4" fillId="2" borderId="11" applyAlignment="1" pivotButton="0" quotePrefix="0" xfId="0">
      <alignment horizontal="left" vertical="bottom"/>
    </xf>
    <xf numFmtId="0" fontId="19" fillId="2" borderId="11" applyAlignment="1" pivotButton="0" quotePrefix="0" xfId="0">
      <alignment horizontal="center" vertical="bottom"/>
    </xf>
    <xf numFmtId="0" fontId="19" fillId="2" borderId="16" applyAlignment="1" pivotButton="0" quotePrefix="0" xfId="0">
      <alignment horizontal="center" vertical="bottom"/>
    </xf>
    <xf numFmtId="166" fontId="17" fillId="0" borderId="3" applyAlignment="1" pivotButton="0" quotePrefix="0" xfId="0">
      <alignment horizontal="general" vertical="bottom"/>
    </xf>
    <xf numFmtId="166" fontId="17" fillId="0" borderId="7" applyAlignment="1" pivotButton="0" quotePrefix="0" xfId="0">
      <alignment horizontal="general" vertical="bottom"/>
    </xf>
    <xf numFmtId="166" fontId="17" fillId="0" borderId="9" applyAlignment="1" pivotButton="0" quotePrefix="0" xfId="0">
      <alignment horizontal="general" vertical="bottom"/>
    </xf>
    <xf numFmtId="0" fontId="16" fillId="2" borderId="6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 wrapText="1"/>
    </xf>
    <xf numFmtId="0" fontId="16" fillId="2" borderId="7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bottom"/>
    </xf>
    <xf numFmtId="0" fontId="0" fillId="0" borderId="0" pivotButton="0" quotePrefix="0" xfId="0"/>
    <xf numFmtId="0" fontId="6" fillId="2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center" vertical="center" wrapText="1"/>
    </xf>
    <xf numFmtId="165" fontId="7" fillId="2" borderId="0" applyAlignment="1" applyProtection="1" pivotButton="0" quotePrefix="0" xfId="0">
      <alignment horizontal="left" vertical="top"/>
      <protection locked="0" hidden="0"/>
    </xf>
    <xf numFmtId="165" fontId="8" fillId="2" borderId="0" applyAlignment="1" applyProtection="1" pivotButton="0" quotePrefix="0" xfId="0">
      <alignment horizontal="lef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9" fillId="2" borderId="1" applyAlignment="1" pivotButton="0" quotePrefix="0" xfId="0">
      <alignment horizontal="right" vertical="bottom" wrapText="1"/>
    </xf>
    <xf numFmtId="0" fontId="0" fillId="0" borderId="1" pivotButton="0" quotePrefix="0" xfId="0"/>
    <xf numFmtId="0" fontId="4" fillId="2" borderId="2" applyAlignment="1" pivotButton="0" quotePrefix="0" xfId="0">
      <alignment horizontal="general" vertical="bottom"/>
    </xf>
    <xf numFmtId="166" fontId="17" fillId="0" borderId="3" applyAlignment="1" pivotButton="0" quotePrefix="0" xfId="0">
      <alignment horizontal="general" vertical="bottom"/>
    </xf>
    <xf numFmtId="0" fontId="11" fillId="2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3" pivotButton="0" quotePrefix="0" xfId="0"/>
    <xf numFmtId="0" fontId="12" fillId="2" borderId="2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 wrapText="1"/>
    </xf>
    <xf numFmtId="9" fontId="4" fillId="2" borderId="6" applyAlignment="1" pivotButton="0" quotePrefix="0" xfId="0">
      <alignment horizontal="general" vertical="bottom"/>
    </xf>
    <xf numFmtId="166" fontId="17" fillId="0" borderId="7" applyAlignment="1" pivotButton="0" quotePrefix="0" xfId="0">
      <alignment horizontal="general" vertical="bottom"/>
    </xf>
    <xf numFmtId="0" fontId="0" fillId="0" borderId="6" pivotButton="0" quotePrefix="0" xfId="0"/>
    <xf numFmtId="0" fontId="0" fillId="0" borderId="7" pivotButton="0" quotePrefix="0" xfId="0"/>
    <xf numFmtId="167" fontId="4" fillId="2" borderId="6" applyAlignment="1" pivotButton="0" quotePrefix="0" xfId="0">
      <alignment horizontal="center" vertical="center"/>
    </xf>
    <xf numFmtId="167" fontId="4" fillId="2" borderId="0" applyAlignment="1" pivotButton="0" quotePrefix="0" xfId="0">
      <alignment horizontal="center" vertical="center"/>
    </xf>
    <xf numFmtId="167" fontId="4" fillId="2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bottom"/>
    </xf>
    <xf numFmtId="0" fontId="0" fillId="0" borderId="8" pivotButton="0" quotePrefix="0" xfId="0"/>
    <xf numFmtId="0" fontId="0" fillId="0" borderId="9" pivotButton="0" quotePrefix="0" xfId="0"/>
    <xf numFmtId="168" fontId="4" fillId="2" borderId="8" applyAlignment="1" pivotButton="0" quotePrefix="0" xfId="0">
      <alignment horizontal="center" vertical="center" wrapText="1"/>
    </xf>
    <xf numFmtId="168" fontId="4" fillId="2" borderId="1" applyAlignment="1" pivotButton="0" quotePrefix="0" xfId="0">
      <alignment horizontal="center" vertical="center" wrapText="1"/>
    </xf>
    <xf numFmtId="168" fontId="4" fillId="2" borderId="9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general" vertical="bottom"/>
    </xf>
    <xf numFmtId="166" fontId="17" fillId="0" borderId="9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bottom"/>
    </xf>
    <xf numFmtId="0" fontId="11" fillId="2" borderId="5" applyAlignment="1" pivotButton="0" quotePrefix="0" xfId="0">
      <alignment horizontal="left" vertical="center" wrapText="1"/>
    </xf>
    <xf numFmtId="0" fontId="14" fillId="2" borderId="4" applyAlignment="1" pivotButton="0" quotePrefix="0" xfId="0">
      <alignment horizontal="left" vertical="bottom" wrapText="1"/>
    </xf>
    <xf numFmtId="0" fontId="0" fillId="0" borderId="17" pivotButton="0" quotePrefix="0" xfId="0"/>
    <xf numFmtId="0" fontId="0" fillId="0" borderId="18" pivotButton="0" quotePrefix="0" xfId="0"/>
    <xf numFmtId="169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15" fillId="2" borderId="4" applyAlignment="1" pivotButton="0" quotePrefix="0" xfId="0">
      <alignment horizontal="left" vertical="center" wrapText="1"/>
    </xf>
    <xf numFmtId="0" fontId="15" fillId="2" borderId="4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16" fillId="2" borderId="10" applyAlignment="1" pivotButton="0" quotePrefix="0" xfId="0">
      <alignment horizontal="left" vertical="bottom" wrapText="1"/>
    </xf>
    <xf numFmtId="169" fontId="5" fillId="2" borderId="0" applyAlignment="1" pivotButton="0" quotePrefix="0" xfId="0">
      <alignment horizontal="left" vertical="bottom"/>
    </xf>
    <xf numFmtId="165" fontId="4" fillId="2" borderId="0" applyAlignment="1" pivotButton="0" quotePrefix="0" xfId="0">
      <alignment horizontal="general" vertical="bottom"/>
    </xf>
    <xf numFmtId="0" fontId="4" fillId="2" borderId="11" applyAlignment="1" pivotButton="0" quotePrefix="0" xfId="0">
      <alignment horizontal="left" vertical="center" wrapText="1"/>
    </xf>
    <xf numFmtId="0" fontId="16" fillId="2" borderId="11" applyAlignment="1" pivotButton="0" quotePrefix="0" xfId="0">
      <alignment horizontal="left" vertical="center" wrapText="1"/>
    </xf>
    <xf numFmtId="164" fontId="6" fillId="2" borderId="0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left" vertical="center" wrapText="1"/>
    </xf>
    <xf numFmtId="164" fontId="4" fillId="2" borderId="11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left" vertical="center" wrapText="1" indent="3"/>
    </xf>
    <xf numFmtId="164" fontId="13" fillId="2" borderId="0" applyAlignment="1" pivotButton="0" quotePrefix="0" xfId="0">
      <alignment horizontal="center" vertical="center" wrapText="1"/>
    </xf>
    <xf numFmtId="164" fontId="13" fillId="2" borderId="7" applyAlignment="1" pivotButton="0" quotePrefix="0" xfId="0">
      <alignment horizontal="center" vertical="center" wrapText="1"/>
    </xf>
    <xf numFmtId="0" fontId="16" fillId="2" borderId="6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 wrapText="1"/>
    </xf>
    <xf numFmtId="0" fontId="16" fillId="2" borderId="7" applyAlignment="1" pivotButton="0" quotePrefix="0" xfId="0">
      <alignment horizontal="left" vertical="center" wrapText="1"/>
    </xf>
    <xf numFmtId="3" fontId="6" fillId="2" borderId="0" applyAlignment="1" pivotButton="0" quotePrefix="0" xfId="0">
      <alignment horizontal="center" vertical="center" wrapText="1"/>
    </xf>
    <xf numFmtId="3" fontId="6" fillId="2" borderId="7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left" vertical="center"/>
    </xf>
    <xf numFmtId="0" fontId="0" fillId="0" borderId="20" pivotButton="0" quotePrefix="0" xfId="0"/>
    <xf numFmtId="170" fontId="4" fillId="2" borderId="0" applyAlignment="1" pivotButton="0" quotePrefix="0" xfId="0">
      <alignment horizontal="general" vertical="bottom"/>
    </xf>
    <xf numFmtId="0" fontId="4" fillId="2" borderId="14" applyAlignment="1" pivotButton="0" quotePrefix="0" xfId="0">
      <alignment horizontal="left" vertical="center" indent="3"/>
    </xf>
    <xf numFmtId="0" fontId="4" fillId="2" borderId="14" applyAlignment="1" pivotButton="0" quotePrefix="0" xfId="0">
      <alignment horizontal="left" vertical="center"/>
    </xf>
    <xf numFmtId="164" fontId="4" fillId="2" borderId="0" applyAlignment="1" pivotButton="0" quotePrefix="0" xfId="0">
      <alignment horizontal="center" vertical="center" wrapText="1"/>
    </xf>
    <xf numFmtId="164" fontId="4" fillId="2" borderId="7" applyAlignment="1" pivotButton="0" quotePrefix="0" xfId="0">
      <alignment horizontal="center" vertical="center" wrapText="1"/>
    </xf>
    <xf numFmtId="0" fontId="4" fillId="2" borderId="15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center" vertical="center" wrapText="1"/>
    </xf>
    <xf numFmtId="165" fontId="4" fillId="2" borderId="9" applyAlignment="1" pivotButton="0" quotePrefix="0" xfId="0">
      <alignment horizontal="center" vertical="center" wrapText="1"/>
    </xf>
    <xf numFmtId="0" fontId="16" fillId="2" borderId="8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left" vertical="center" wrapText="1"/>
    </xf>
    <xf numFmtId="0" fontId="16" fillId="2" borderId="9" applyAlignment="1" pivotButton="0" quotePrefix="0" xfId="0">
      <alignment horizontal="left" vertical="center" wrapText="1"/>
    </xf>
    <xf numFmtId="165" fontId="6" fillId="2" borderId="0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left" vertical="bottom"/>
    </xf>
    <xf numFmtId="0" fontId="4" fillId="2" borderId="11" applyAlignment="1" pivotButton="0" quotePrefix="0" xfId="0">
      <alignment horizontal="left" vertical="bottom"/>
    </xf>
    <xf numFmtId="0" fontId="19" fillId="2" borderId="11" applyAlignment="1" pivotButton="0" quotePrefix="0" xfId="0">
      <alignment horizontal="center" vertical="bottom"/>
    </xf>
    <xf numFmtId="0" fontId="19" fillId="2" borderId="16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1:M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015625" defaultRowHeight="13.2" zeroHeight="0" outlineLevelRow="0"/>
  <cols>
    <col width="2.66" customWidth="1" style="72" min="1" max="1"/>
    <col width="28.33" customWidth="1" style="72" min="2" max="2"/>
    <col width="40.66" customWidth="1" style="72" min="3" max="3"/>
    <col width="16.88" customWidth="1" style="72" min="4" max="4"/>
    <col width="14.66" customWidth="1" style="72" min="5" max="7"/>
    <col width="18.66" customWidth="1" style="73" min="8" max="8"/>
    <col width="17.43" customWidth="1" style="72" min="9" max="9"/>
    <col width="10.55" customWidth="1" style="72" min="10" max="10"/>
    <col width="12.32" customWidth="1" style="72" min="11" max="13"/>
    <col width="9.1" customWidth="1" style="72" min="14" max="257"/>
  </cols>
  <sheetData>
    <row r="1" ht="13.8" customHeight="1" s="74">
      <c r="B1" s="75" t="inlineStr">
        <is>
          <t>Master Fund Name</t>
        </is>
      </c>
      <c r="C1" s="76" t="inlineStr">
        <is>
          <t>County Line Rail Fund I, LP</t>
        </is>
      </c>
      <c r="E1" s="77" t="inlineStr">
        <is>
          <t>Actions Required by the Manager:</t>
        </is>
      </c>
    </row>
    <row r="2" ht="14.25" customHeight="1" s="74">
      <c r="B2" s="75" t="inlineStr">
        <is>
          <t>Master Fund Currency</t>
        </is>
      </c>
      <c r="C2" s="76" t="inlineStr">
        <is>
          <t>US Dollar</t>
        </is>
      </c>
      <c r="E2" s="78" t="inlineStr">
        <is>
          <t>-Please populate all blue fields in this template in the fund's currency for each GCM Grosvenor-affiliated entity's proportionate share that is an investor in your fund.</t>
        </is>
      </c>
      <c r="F2" s="79" t="n"/>
      <c r="G2" s="79" t="n"/>
      <c r="H2" s="79" t="n"/>
      <c r="I2" s="79" t="n"/>
      <c r="J2" s="79" t="n"/>
    </row>
    <row r="3" ht="13.2" customHeight="1" s="74">
      <c r="B3" s="75" t="inlineStr">
        <is>
          <t>Master Fund Commitments</t>
        </is>
      </c>
      <c r="C3" s="76" t="n">
        <v>30000000</v>
      </c>
      <c r="E3" s="79" t="n"/>
      <c r="F3" s="79" t="n"/>
      <c r="G3" s="79" t="n"/>
      <c r="H3" s="79" t="n"/>
      <c r="I3" s="79" t="n"/>
      <c r="J3" s="79" t="n"/>
    </row>
    <row r="4" ht="13.2" customHeight="1" s="74">
      <c r="B4" s="75" t="inlineStr">
        <is>
          <t>Investor Remaining Commitment</t>
        </is>
      </c>
      <c r="C4" s="76" t="n"/>
    </row>
    <row r="5" ht="13.2" customHeight="1" s="74">
      <c r="B5" s="75" t="inlineStr">
        <is>
          <t>Fund Name</t>
        </is>
      </c>
      <c r="C5" s="76" t="inlineStr">
        <is>
          <t>County Line Rail Fund I, LP</t>
        </is>
      </c>
      <c r="E5" s="78" t="inlineStr">
        <is>
          <t>-If a GCM Grosvenor-affiliated entity acquired an interest on a secondary basis, please populate the template from the acquisition date forward instead of from the inception date of the fund.</t>
        </is>
      </c>
      <c r="F5" s="79" t="n"/>
      <c r="G5" s="79" t="n"/>
      <c r="H5" s="79" t="n"/>
      <c r="I5" s="79" t="n"/>
      <c r="J5" s="79" t="n"/>
    </row>
    <row r="6" ht="13.2" customHeight="1" s="74">
      <c r="B6" s="75" t="inlineStr">
        <is>
          <t>Fund Currency</t>
        </is>
      </c>
      <c r="C6" s="76" t="inlineStr">
        <is>
          <t>US Dollar</t>
        </is>
      </c>
      <c r="E6" s="79" t="n"/>
      <c r="F6" s="79" t="n"/>
      <c r="G6" s="79" t="n"/>
      <c r="H6" s="79" t="n"/>
      <c r="I6" s="79" t="n"/>
      <c r="J6" s="79" t="n"/>
    </row>
    <row r="7" ht="24" customHeight="1" s="74">
      <c r="B7" s="75" t="inlineStr">
        <is>
          <t>Investor Name</t>
        </is>
      </c>
      <c r="C7" s="76" t="inlineStr">
        <is>
          <t>CRPTF-GCM Middle-Market RE Partnership, L.P. (2025-01 Investment Series)</t>
        </is>
      </c>
    </row>
    <row r="8" ht="15" customHeight="1" s="74"/>
    <row r="9" ht="15" customHeight="1" s="74">
      <c r="B9" s="80" t="n"/>
      <c r="C9" s="81" t="n"/>
      <c r="D9" s="81" t="n"/>
      <c r="E9" s="81" t="n"/>
      <c r="F9" s="81" t="n"/>
      <c r="G9" s="81" t="n"/>
      <c r="I9" s="82" t="inlineStr">
        <is>
          <t>Inception Start(1):</t>
        </is>
      </c>
      <c r="J9" s="83" t="n">
        <v>45485</v>
      </c>
    </row>
    <row r="10" ht="14.1" customHeight="1" s="74">
      <c r="B10" s="84" t="n"/>
      <c r="C10" s="85" t="n"/>
      <c r="D10" s="86" t="n"/>
      <c r="E10" s="87" t="inlineStr">
        <is>
          <t>QTD</t>
        </is>
      </c>
      <c r="F10" s="88" t="inlineStr">
        <is>
          <t>YTD</t>
        </is>
      </c>
      <c r="G10" s="89" t="inlineStr">
        <is>
          <t>Since Inception</t>
        </is>
      </c>
      <c r="I10" s="90" t="inlineStr">
        <is>
          <t>Current Year Start:</t>
        </is>
      </c>
      <c r="J10" s="91" t="n">
        <v>46023</v>
      </c>
    </row>
    <row r="11" ht="14.1" customHeight="1" s="74">
      <c r="B11" s="92" t="n"/>
      <c r="D11" s="93" t="n"/>
      <c r="E11" s="94">
        <f>J11</f>
        <v/>
      </c>
      <c r="F11" s="95">
        <f>J10</f>
        <v/>
      </c>
      <c r="G11" s="96">
        <f>J9</f>
        <v/>
      </c>
      <c r="H11" s="73" t="inlineStr">
        <is>
          <t>Row Contains Formulas</t>
        </is>
      </c>
      <c r="I11" s="97" t="inlineStr">
        <is>
          <t>Current Period Start:</t>
        </is>
      </c>
      <c r="J11" s="91" t="n">
        <v>46113</v>
      </c>
    </row>
    <row r="12" ht="14.1" customHeight="1" s="74">
      <c r="B12" s="98" t="n"/>
      <c r="C12" s="81" t="n"/>
      <c r="D12" s="99" t="n"/>
      <c r="E12" s="100">
        <f>$J$12</f>
        <v/>
      </c>
      <c r="F12" s="101">
        <f>$J$12</f>
        <v/>
      </c>
      <c r="G12" s="102">
        <f>$J$12</f>
        <v/>
      </c>
      <c r="H12" s="73" t="inlineStr">
        <is>
          <t>Row Contains Formulas</t>
        </is>
      </c>
      <c r="I12" s="103" t="inlineStr">
        <is>
          <t>Period End:</t>
        </is>
      </c>
      <c r="J12" s="104" t="n">
        <v>46203</v>
      </c>
    </row>
    <row r="13" ht="13.5" customHeight="1" s="74">
      <c r="B13" s="105" t="n"/>
      <c r="C13" s="106" t="n"/>
      <c r="D13" s="106" t="n"/>
      <c r="E13" s="106" t="n"/>
      <c r="F13" s="106" t="n"/>
      <c r="G13" s="106" t="n"/>
    </row>
    <row r="14" ht="15" customHeight="1" s="74">
      <c r="B14" s="107" t="inlineStr">
        <is>
          <t>A. Capital Account Statement for LP</t>
        </is>
      </c>
      <c r="C14" s="108" t="n"/>
      <c r="D14" s="108" t="n"/>
      <c r="E14" s="108" t="n"/>
      <c r="F14" s="108" t="n"/>
      <c r="G14" s="109" t="n"/>
      <c r="J14" s="110" t="n"/>
    </row>
    <row r="15" ht="15.9" customFormat="1" customHeight="1" s="111">
      <c r="B15" s="112" t="inlineStr">
        <is>
          <t>A.1 NAV Reconciliation and Summary of Fees, Expenses &amp; Incentive Allocation</t>
        </is>
      </c>
      <c r="C15" s="108" t="n"/>
      <c r="D15" s="109" t="n"/>
      <c r="E15" s="113" t="inlineStr">
        <is>
          <t>GCM Program  Allocation of Total Fund</t>
        </is>
      </c>
      <c r="F15" s="108" t="n"/>
      <c r="G15" s="109" t="n"/>
      <c r="H15" s="114" t="n"/>
    </row>
    <row r="16" ht="14.1" customHeight="1" s="74">
      <c r="B16" s="115" t="inlineStr">
        <is>
          <t>Beginning NAV - Net of Incentive Allocation</t>
        </is>
      </c>
      <c r="C16" s="85" t="n"/>
      <c r="D16" s="86" t="n"/>
      <c r="E16" s="76" t="n"/>
      <c r="F16" s="76" t="n"/>
      <c r="G16" s="76" t="n">
        <v>0</v>
      </c>
      <c r="H16" s="116" t="n"/>
      <c r="K16" s="110" t="n"/>
      <c r="L16" s="110" t="n"/>
      <c r="M16" s="117" t="n"/>
    </row>
    <row r="17" ht="14.1" customHeight="1" s="74">
      <c r="B17" s="118" t="inlineStr">
        <is>
          <t>Contributions - Cash &amp; Non-Cash</t>
        </is>
      </c>
      <c r="D17" s="93" t="n"/>
      <c r="E17" s="76" t="n"/>
      <c r="F17" s="76" t="n"/>
      <c r="G17" s="76">
        <f>+F17</f>
        <v/>
      </c>
      <c r="J17" s="72" t="n">
        <v>22920336</v>
      </c>
      <c r="K17" s="110" t="n"/>
      <c r="L17" s="110" t="n"/>
      <c r="M17" s="117" t="n"/>
    </row>
    <row r="18" ht="14.1" customHeight="1" s="74">
      <c r="B18" s="118" t="inlineStr">
        <is>
          <t>Distributions - Cash &amp; Non-Cash (input positive values)</t>
        </is>
      </c>
      <c r="D18" s="93" t="n"/>
      <c r="E18" s="76" t="n"/>
      <c r="F18" s="76" t="n"/>
      <c r="G18" s="76">
        <f>+F18</f>
        <v/>
      </c>
      <c r="J18" s="72" t="n">
        <v>-781023</v>
      </c>
      <c r="K18" s="110" t="n"/>
      <c r="L18" s="110" t="n"/>
      <c r="M18" s="117" t="n"/>
    </row>
    <row r="19" ht="14.1" customHeight="1" s="74">
      <c r="B19" s="119" t="inlineStr">
        <is>
          <t>Total Cash / Non-Cash Flows (contributions, less distributions)</t>
        </is>
      </c>
      <c r="D19" s="93" t="n"/>
      <c r="E19" s="120">
        <f>E17-E18</f>
        <v/>
      </c>
      <c r="F19" s="120">
        <f>F17-F18</f>
        <v/>
      </c>
      <c r="G19" s="121">
        <f>G17-G18</f>
        <v/>
      </c>
      <c r="H19" s="73" t="inlineStr">
        <is>
          <t>Row Contains Formulas</t>
        </is>
      </c>
      <c r="K19" s="110" t="n"/>
      <c r="L19" s="110" t="n"/>
      <c r="M19" s="117" t="n"/>
    </row>
    <row r="20" ht="14.1" customHeight="1" s="74">
      <c r="B20" s="122" t="inlineStr">
        <is>
          <t>Net Operating Income (Expense):</t>
        </is>
      </c>
      <c r="D20" s="93" t="n"/>
      <c r="E20" s="123" t="n"/>
      <c r="G20" s="93" t="n"/>
      <c r="K20" s="110" t="n"/>
      <c r="L20" s="110" t="n"/>
      <c r="M20" s="117" t="n"/>
    </row>
    <row r="21" ht="14.1" customHeight="1" s="74">
      <c r="B21" s="124" t="inlineStr">
        <is>
          <t>(Management Fees – Gross of Offsets, Waivers &amp; Rebates):</t>
        </is>
      </c>
      <c r="D21" s="93" t="n"/>
      <c r="E21" s="76" t="n"/>
      <c r="F21" s="76" t="n"/>
      <c r="G21" s="76">
        <f>+F21</f>
        <v/>
      </c>
      <c r="K21" s="110" t="n"/>
      <c r="L21" s="110" t="n"/>
      <c r="M21" s="117" t="n"/>
    </row>
    <row r="22" ht="13.2" customHeight="1" s="74">
      <c r="B22" s="124" t="inlineStr">
        <is>
          <t>Management Fee Rebate</t>
        </is>
      </c>
      <c r="D22" s="93" t="n"/>
      <c r="E22" s="76" t="n"/>
      <c r="F22" s="76" t="n"/>
      <c r="G22" s="76" t="n"/>
      <c r="K22" s="110" t="n"/>
      <c r="L22" s="110" t="n"/>
      <c r="M22" s="117" t="n"/>
    </row>
    <row r="23" ht="14.1" customHeight="1" s="74">
      <c r="B23" s="124" t="inlineStr">
        <is>
          <t>(Partnership Expenses - Total):</t>
        </is>
      </c>
      <c r="D23" s="93" t="n"/>
      <c r="E23" s="76" t="n"/>
      <c r="F23" s="76" t="n"/>
      <c r="G23" s="76">
        <f>+F23</f>
        <v/>
      </c>
      <c r="K23" s="110" t="n"/>
      <c r="L23" s="110" t="n"/>
      <c r="M23" s="117" t="n"/>
    </row>
    <row r="24" ht="14.1" customHeight="1" s="74">
      <c r="B24" s="124" t="inlineStr">
        <is>
          <t>Total Offsets to Fees &amp; Expenses (applied during period):</t>
        </is>
      </c>
      <c r="D24" s="93" t="n"/>
      <c r="E24" s="76" t="n"/>
      <c r="F24" s="76" t="n"/>
      <c r="G24" s="76" t="n"/>
      <c r="K24" s="110" t="n"/>
      <c r="L24" s="110" t="n"/>
      <c r="M24" s="117" t="n"/>
    </row>
    <row r="25" ht="14.1" customHeight="1" s="74">
      <c r="B25" s="124" t="inlineStr">
        <is>
          <t>(Total Management Fees &amp; Partnership Expenses, Net of Offsets &amp; Rebates, Gross of Fee Waiver)</t>
        </is>
      </c>
      <c r="D25" s="93" t="n"/>
      <c r="E25" s="125">
        <f>E21+E22+E23+E24</f>
        <v/>
      </c>
      <c r="F25" s="125">
        <f>F21+F22+F23+F24</f>
        <v/>
      </c>
      <c r="G25" s="126">
        <f>G21+G22+G23+G24</f>
        <v/>
      </c>
      <c r="H25" s="73" t="inlineStr">
        <is>
          <t>Row Contains Formulas</t>
        </is>
      </c>
      <c r="K25" s="110" t="n"/>
      <c r="L25" s="110" t="n"/>
      <c r="M25" s="117" t="n"/>
    </row>
    <row r="26" ht="14.1" customHeight="1" s="74">
      <c r="B26" s="124" t="inlineStr">
        <is>
          <t>Fee Waiver</t>
        </is>
      </c>
      <c r="D26" s="93" t="n"/>
      <c r="E26" s="76" t="n"/>
      <c r="F26" s="76" t="n"/>
      <c r="G26" s="76" t="n"/>
      <c r="K26" s="110" t="n"/>
      <c r="L26" s="110" t="n"/>
      <c r="M26" s="117" t="n"/>
    </row>
    <row r="27" ht="14.1" customHeight="1" s="74">
      <c r="B27" s="124" t="inlineStr">
        <is>
          <t>Interest Income</t>
        </is>
      </c>
      <c r="D27" s="93" t="n"/>
      <c r="E27" s="76" t="n"/>
      <c r="F27" s="76" t="n"/>
      <c r="G27" s="76">
        <f>+F27</f>
        <v/>
      </c>
      <c r="K27" s="110" t="n"/>
      <c r="L27" s="110" t="n"/>
      <c r="M27" s="117" t="n"/>
    </row>
    <row r="28" ht="14.1" customHeight="1" s="74">
      <c r="B28" s="124" t="inlineStr">
        <is>
          <t>Dividend Income</t>
        </is>
      </c>
      <c r="D28" s="93" t="n"/>
      <c r="E28" s="76" t="n"/>
      <c r="F28" s="76" t="n"/>
      <c r="G28" s="76" t="n"/>
      <c r="K28" s="110" t="n"/>
      <c r="L28" s="110" t="n"/>
      <c r="M28" s="117" t="n"/>
    </row>
    <row r="29" ht="14.1" customHeight="1" s="74">
      <c r="B29" s="124" t="inlineStr">
        <is>
          <t>(Interest Expense)</t>
        </is>
      </c>
      <c r="D29" s="93" t="n"/>
      <c r="E29" s="76" t="n"/>
      <c r="F29" s="76" t="n"/>
      <c r="G29" s="76" t="n"/>
      <c r="K29" s="110" t="n"/>
      <c r="L29" s="110" t="n"/>
      <c r="M29" s="117" t="n"/>
    </row>
    <row r="30" ht="14.1" customHeight="1" s="74">
      <c r="B30" s="124" t="inlineStr">
        <is>
          <t>Other Income/(Expense)(2)</t>
        </is>
      </c>
      <c r="D30" s="93" t="n"/>
      <c r="E30" s="76" t="n"/>
      <c r="F30" s="76" t="n"/>
      <c r="G30" s="76" t="n"/>
      <c r="K30" s="110" t="n"/>
      <c r="L30" s="110" t="n"/>
      <c r="M30" s="117" t="n"/>
    </row>
    <row r="31" ht="14.1" customHeight="1" s="74">
      <c r="B31" s="119" t="inlineStr">
        <is>
          <t>Total Net Operating Income / (Expense)</t>
        </is>
      </c>
      <c r="D31" s="93" t="n"/>
      <c r="E31" s="120">
        <f>SUM(E25:E30)</f>
        <v/>
      </c>
      <c r="F31" s="120">
        <f>SUM(F25:F30)</f>
        <v/>
      </c>
      <c r="G31" s="121">
        <f>SUM(G25:G30)</f>
        <v/>
      </c>
      <c r="H31" s="73" t="inlineStr">
        <is>
          <t>Row Contains Formulas</t>
        </is>
      </c>
      <c r="K31" s="110" t="n"/>
      <c r="L31" s="110" t="n"/>
      <c r="M31" s="117" t="n"/>
    </row>
    <row r="32" ht="14.1" customHeight="1" s="74">
      <c r="B32" s="119" t="inlineStr">
        <is>
          <t>(Placement Fees)</t>
        </is>
      </c>
      <c r="D32" s="93" t="n"/>
      <c r="E32" s="76" t="n"/>
      <c r="F32" s="76" t="n"/>
      <c r="G32" s="76">
        <f>+F32</f>
        <v/>
      </c>
      <c r="K32" s="110" t="n"/>
      <c r="L32" s="110" t="n"/>
      <c r="M32" s="117" t="n"/>
    </row>
    <row r="33" ht="14.1" customHeight="1" s="74">
      <c r="B33" s="119" t="inlineStr">
        <is>
          <t>Realized Gain / (Loss)</t>
        </is>
      </c>
      <c r="D33" s="93" t="n"/>
      <c r="E33" s="76" t="n"/>
      <c r="F33" s="76" t="n"/>
      <c r="G33" s="76" t="n"/>
      <c r="K33" s="110" t="n"/>
      <c r="L33" s="110" t="n"/>
      <c r="M33" s="117" t="n"/>
    </row>
    <row r="34" ht="14.1" customHeight="1" s="74">
      <c r="B34" s="127" t="inlineStr">
        <is>
          <t>Incentive fee allocation</t>
        </is>
      </c>
      <c r="C34" s="128" t="n"/>
      <c r="D34" s="129" t="n"/>
      <c r="E34" s="76" t="n"/>
      <c r="F34" s="76" t="n"/>
      <c r="G34" s="76" t="n"/>
      <c r="K34" s="110" t="n"/>
      <c r="L34" s="110" t="n"/>
      <c r="M34" s="117" t="n"/>
    </row>
    <row r="35" ht="14.1" customHeight="1" s="74">
      <c r="B35" s="119" t="inlineStr">
        <is>
          <t>Change in Unrealized Gain / (Loss)</t>
        </is>
      </c>
      <c r="D35" s="93" t="n"/>
      <c r="E35" s="76" t="n"/>
      <c r="F35" s="76" t="n"/>
      <c r="G35" s="76" t="n"/>
      <c r="K35" s="110" t="n"/>
      <c r="L35" s="110" t="n"/>
      <c r="M35" s="117" t="n"/>
    </row>
    <row r="36" ht="14.1" customHeight="1" s="74">
      <c r="B36" s="119" t="inlineStr">
        <is>
          <t>Ending NAV - Net of Incentive Allocation</t>
        </is>
      </c>
      <c r="D36" s="93" t="n"/>
      <c r="E36" s="130">
        <f>E16+E19+E31+E32+E33+E35+E34</f>
        <v/>
      </c>
      <c r="F36" s="130">
        <f>F16+F19+F31+F32+F33+F35+F34</f>
        <v/>
      </c>
      <c r="G36" s="131">
        <f>G16+G19+G31+G32+G33+G35+G34</f>
        <v/>
      </c>
      <c r="H36" s="73" t="inlineStr">
        <is>
          <t>Row Contains Formulas</t>
        </is>
      </c>
      <c r="K36" s="110" t="n"/>
      <c r="L36" s="110" t="n"/>
      <c r="M36" s="117" t="n"/>
    </row>
    <row r="37" ht="14.1" customHeight="1" s="74">
      <c r="B37" s="132" t="inlineStr">
        <is>
          <t>Reconciliation for Accrued Incentive Allocation</t>
        </is>
      </c>
      <c r="C37" s="133" t="inlineStr">
        <is>
          <t>Accrued Incentive Allocation - Starting Period Balance</t>
        </is>
      </c>
      <c r="D37" s="134" t="n"/>
      <c r="E37" s="76" t="n"/>
      <c r="F37" s="76" t="n"/>
      <c r="G37" s="76" t="n"/>
      <c r="K37" s="135" t="n"/>
      <c r="L37" s="135" t="n"/>
      <c r="M37" s="135" t="n"/>
    </row>
    <row r="38" ht="14.1" customHeight="1" s="74">
      <c r="B38" s="92" t="n"/>
      <c r="C38" s="136" t="inlineStr">
        <is>
          <t>Incentive Allocation - Paid During the Period</t>
        </is>
      </c>
      <c r="D38" s="93" t="n"/>
      <c r="E38" s="76" t="n"/>
      <c r="F38" s="76" t="n"/>
      <c r="G38" s="76" t="n"/>
      <c r="K38" s="135" t="n"/>
      <c r="L38" s="135" t="n"/>
      <c r="M38" s="135" t="n"/>
    </row>
    <row r="39" ht="14.1" customHeight="1" s="74">
      <c r="B39" s="92" t="n"/>
      <c r="C39" s="136" t="inlineStr">
        <is>
          <t>Accrued Incentive Allocation - Periodic Change</t>
        </is>
      </c>
      <c r="D39" s="93" t="n"/>
      <c r="E39" s="76" t="n"/>
      <c r="F39" s="76" t="n"/>
      <c r="G39" s="76" t="n"/>
      <c r="K39" s="135" t="n"/>
      <c r="L39" s="135" t="n"/>
      <c r="M39" s="135" t="n"/>
    </row>
    <row r="40" ht="14.1" customHeight="1" s="74">
      <c r="B40" s="92" t="n"/>
      <c r="C40" s="137" t="inlineStr">
        <is>
          <t>Accrued Incentive Allocation - Ending Period Balance</t>
        </is>
      </c>
      <c r="D40" s="93" t="n"/>
      <c r="E40" s="138">
        <f>SUM(E37:E39)</f>
        <v/>
      </c>
      <c r="F40" s="138">
        <f>SUM(F37:F39)</f>
        <v/>
      </c>
      <c r="G40" s="139">
        <f>SUM(G37:G39)</f>
        <v/>
      </c>
      <c r="H40" s="73" t="inlineStr">
        <is>
          <t>Row Contains Formulas</t>
        </is>
      </c>
      <c r="K40" s="135" t="n"/>
      <c r="L40" s="135" t="n"/>
      <c r="M40" s="135" t="n"/>
    </row>
    <row r="41" ht="14.1" customHeight="1" s="74">
      <c r="B41" s="98" t="n"/>
      <c r="C41" s="140" t="inlineStr">
        <is>
          <t>Ending NAV - Gross of Accrued Incentive Allocation</t>
        </is>
      </c>
      <c r="D41" s="99" t="n"/>
      <c r="E41" s="141">
        <f>E36-E40</f>
        <v/>
      </c>
      <c r="F41" s="141">
        <f>F36-F40</f>
        <v/>
      </c>
      <c r="G41" s="142">
        <f>G36-G40</f>
        <v/>
      </c>
      <c r="H41" s="73" t="inlineStr">
        <is>
          <t>Row Contains Formulas</t>
        </is>
      </c>
      <c r="K41" s="135" t="n"/>
      <c r="L41" s="135" t="n"/>
      <c r="M41" s="135" t="n"/>
    </row>
    <row r="42" ht="14.1" customHeight="1" s="74">
      <c r="B42" s="143" t="n"/>
      <c r="C42" s="144" t="n"/>
      <c r="D42" s="145" t="n"/>
      <c r="E42" s="146" t="n"/>
      <c r="F42" s="146" t="n"/>
      <c r="G42" s="146" t="n"/>
      <c r="K42" s="135" t="n"/>
      <c r="L42" s="135" t="n"/>
      <c r="M42" s="135" t="n"/>
    </row>
    <row r="43" ht="14.1" customHeight="1" s="74">
      <c r="B43" s="105" t="n"/>
    </row>
    <row r="44" ht="15" customHeight="1" s="74">
      <c r="B44" s="105" t="inlineStr">
        <is>
          <t>(1) If the Investor acquired the interest in the Fund on a secondary basis, please indicate the acquisition date and populate the template from this date forward.</t>
        </is>
      </c>
    </row>
    <row r="45" ht="14.1" customHeight="1" s="74">
      <c r="B45" s="105" t="inlineStr">
        <is>
          <t>(2) A description should be provided in the footnote section for any amount(s) listed in this row for the year-to-date period</t>
        </is>
      </c>
    </row>
    <row r="46" ht="14.1" customHeight="1" s="74">
      <c r="B46" s="105" t="n"/>
    </row>
    <row r="47" ht="15.75" customHeight="1" s="74">
      <c r="B47" s="147" t="inlineStr">
        <is>
          <t>Footnotes for any YTD (Total Fund) expenses, fees &amp; offsets (including any "other" balances)</t>
        </is>
      </c>
      <c r="C47" s="85" t="n"/>
      <c r="D47" s="85" t="n"/>
      <c r="E47" s="85" t="n"/>
      <c r="F47" s="85" t="n"/>
      <c r="G47" s="86" t="n"/>
    </row>
    <row r="48" ht="13.2" customHeight="1" s="74">
      <c r="B48" s="148" t="n"/>
      <c r="G48" s="93" t="n"/>
    </row>
    <row r="49" ht="13.2" customHeight="1" s="74">
      <c r="B49" s="149" t="n"/>
      <c r="G49" s="93" t="n"/>
    </row>
    <row r="50" ht="13.2" customHeight="1" s="74">
      <c r="B50" s="149" t="n"/>
      <c r="G50" s="93" t="n"/>
    </row>
    <row r="51" ht="13.2" customHeight="1" s="74">
      <c r="B51" s="149" t="n"/>
      <c r="G51" s="93" t="n"/>
    </row>
    <row r="52" ht="15.75" customHeight="1" s="74">
      <c r="B52" s="150" t="n"/>
      <c r="C52" s="81" t="n"/>
      <c r="D52" s="81" t="n"/>
      <c r="E52" s="81" t="n"/>
      <c r="F52" s="81" t="n"/>
      <c r="G52" s="99" t="n"/>
    </row>
  </sheetData>
  <mergeCells count="44">
    <mergeCell ref="B14:G14"/>
    <mergeCell ref="B23:D23"/>
    <mergeCell ref="B17:D17"/>
    <mergeCell ref="B10:D12"/>
    <mergeCell ref="B37:B41"/>
    <mergeCell ref="B29:D29"/>
    <mergeCell ref="B44:G44"/>
    <mergeCell ref="E15:G15"/>
    <mergeCell ref="B28:D28"/>
    <mergeCell ref="B19:D19"/>
    <mergeCell ref="C41:D41"/>
    <mergeCell ref="B9:G9"/>
    <mergeCell ref="E5:J6"/>
    <mergeCell ref="B49:G49"/>
    <mergeCell ref="B30:D30"/>
    <mergeCell ref="C40:D40"/>
    <mergeCell ref="B15:D15"/>
    <mergeCell ref="B24:D24"/>
    <mergeCell ref="B20:D20"/>
    <mergeCell ref="B33:D33"/>
    <mergeCell ref="B51:G51"/>
    <mergeCell ref="B36:D36"/>
    <mergeCell ref="B45:G45"/>
    <mergeCell ref="B32:D32"/>
    <mergeCell ref="B35:D35"/>
    <mergeCell ref="B26:D26"/>
    <mergeCell ref="B50:G50"/>
    <mergeCell ref="B25:D25"/>
    <mergeCell ref="C39:D39"/>
    <mergeCell ref="B16:D16"/>
    <mergeCell ref="B47:G47"/>
    <mergeCell ref="C38:D38"/>
    <mergeCell ref="B46:G46"/>
    <mergeCell ref="B31:D31"/>
    <mergeCell ref="E2:J3"/>
    <mergeCell ref="B22:D22"/>
    <mergeCell ref="C37:D37"/>
    <mergeCell ref="B18:D18"/>
    <mergeCell ref="B27:D27"/>
    <mergeCell ref="B43:G43"/>
    <mergeCell ref="B21:D21"/>
    <mergeCell ref="B52:G52"/>
    <mergeCell ref="B48:G48"/>
    <mergeCell ref="E20:G2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B1:M52"/>
  <sheetViews>
    <sheetView showGridLines="1" workbookViewId="0">
      <selection activeCell="A1" sqref="A1"/>
    </sheetView>
  </sheetViews>
  <sheetFormatPr baseColWidth="8" defaultColWidth="9.1015625" defaultRowHeight="13.2" zeroHeight="0" outlineLevelRow="0"/>
  <cols>
    <col width="2.66" customWidth="1" style="72" min="1" max="1"/>
    <col width="28.33" customWidth="1" style="72" min="2" max="2"/>
    <col width="40.66" customWidth="1" style="72" min="3" max="3"/>
    <col width="16.88" customWidth="1" style="72" min="4" max="4"/>
    <col width="14.66" customWidth="1" style="72" min="5" max="7"/>
    <col width="18.66" customWidth="1" style="73" min="8" max="8"/>
    <col width="17.43" customWidth="1" style="72" min="9" max="9"/>
    <col width="10.55" customWidth="1" style="72" min="10" max="10"/>
    <col width="12.32" customWidth="1" style="72" min="11" max="13"/>
    <col width="9.1" customWidth="1" style="72" min="14" max="257"/>
  </cols>
  <sheetData>
    <row r="1" ht="13.8" customHeight="1" s="74">
      <c r="B1" s="75" t="inlineStr">
        <is>
          <t>Master Fund Name</t>
        </is>
      </c>
      <c r="C1" s="76" t="inlineStr">
        <is>
          <t>County Line Rail Fund I, LP</t>
        </is>
      </c>
      <c r="E1" s="77" t="inlineStr">
        <is>
          <t>Actions Required by the Manager:</t>
        </is>
      </c>
    </row>
    <row r="2" ht="14.25" customHeight="1" s="74">
      <c r="B2" s="75" t="inlineStr">
        <is>
          <t>Master Fund Currency</t>
        </is>
      </c>
      <c r="C2" s="76" t="inlineStr">
        <is>
          <t>US Dollar</t>
        </is>
      </c>
      <c r="E2" s="78" t="inlineStr">
        <is>
          <t>-Please populate all blue fields in this template in the fund's currency for each GCM Grosvenor-affiliated entity's proportionate share that is an investor in your fund.</t>
        </is>
      </c>
      <c r="F2" s="79" t="n"/>
      <c r="G2" s="79" t="n"/>
      <c r="H2" s="79" t="n"/>
      <c r="I2" s="79" t="n"/>
      <c r="J2" s="79" t="n"/>
    </row>
    <row r="3" ht="13.2" customHeight="1" s="74">
      <c r="B3" s="75" t="inlineStr">
        <is>
          <t>Master Fund Commitments</t>
        </is>
      </c>
      <c r="C3" s="76" t="n">
        <v>7500000</v>
      </c>
      <c r="E3" s="79" t="n"/>
      <c r="F3" s="79" t="n"/>
      <c r="G3" s="79" t="n"/>
      <c r="H3" s="79" t="n"/>
      <c r="I3" s="79" t="n"/>
      <c r="J3" s="79" t="n"/>
    </row>
    <row r="4" ht="13.2" customHeight="1" s="74">
      <c r="B4" s="75" t="inlineStr">
        <is>
          <t>Investor Remaining Commitment</t>
        </is>
      </c>
      <c r="C4" s="76" t="n"/>
    </row>
    <row r="5" ht="13.2" customHeight="1" s="74">
      <c r="B5" s="75" t="inlineStr">
        <is>
          <t>Fund Name</t>
        </is>
      </c>
      <c r="C5" s="76" t="inlineStr">
        <is>
          <t>County Line Rail Fund I, LP</t>
        </is>
      </c>
      <c r="E5" s="78" t="inlineStr">
        <is>
          <t>-If a GCM Grosvenor-affiliated entity acquired an interest on a secondary basis, please populate the template from the acquisition date forward instead of from the inception date of the fund.</t>
        </is>
      </c>
      <c r="F5" s="79" t="n"/>
      <c r="G5" s="79" t="n"/>
      <c r="H5" s="79" t="n"/>
      <c r="I5" s="79" t="n"/>
      <c r="J5" s="79" t="n"/>
    </row>
    <row r="6" ht="13.2" customHeight="1" s="74">
      <c r="B6" s="75" t="inlineStr">
        <is>
          <t>Fund Currency</t>
        </is>
      </c>
      <c r="C6" s="76" t="inlineStr">
        <is>
          <t>US Dollar</t>
        </is>
      </c>
      <c r="E6" s="79" t="n"/>
      <c r="F6" s="79" t="n"/>
      <c r="G6" s="79" t="n"/>
      <c r="H6" s="79" t="n"/>
      <c r="I6" s="79" t="n"/>
      <c r="J6" s="79" t="n"/>
    </row>
    <row r="7" ht="24" customHeight="1" s="74">
      <c r="B7" s="75" t="inlineStr">
        <is>
          <t>Investor Name</t>
        </is>
      </c>
      <c r="C7" s="76" t="inlineStr">
        <is>
          <t>GCM Grosvenor NJ RE Emerging Managers Program, LP (2023-1 Investment Series)</t>
        </is>
      </c>
    </row>
    <row r="8" ht="15" customHeight="1" s="74"/>
    <row r="9" ht="15" customHeight="1" s="74">
      <c r="B9" s="80" t="n"/>
      <c r="C9" s="81" t="n"/>
      <c r="D9" s="81" t="n"/>
      <c r="E9" s="81" t="n"/>
      <c r="F9" s="81" t="n"/>
      <c r="G9" s="81" t="n"/>
      <c r="I9" s="82" t="inlineStr">
        <is>
          <t>Inception Start(1):</t>
        </is>
      </c>
      <c r="J9" s="83" t="n">
        <v>45485</v>
      </c>
    </row>
    <row r="10" ht="14.1" customHeight="1" s="74">
      <c r="B10" s="84" t="n"/>
      <c r="C10" s="85" t="n"/>
      <c r="D10" s="86" t="n"/>
      <c r="E10" s="87" t="inlineStr">
        <is>
          <t>QTD</t>
        </is>
      </c>
      <c r="F10" s="88" t="inlineStr">
        <is>
          <t>YTD</t>
        </is>
      </c>
      <c r="G10" s="89" t="inlineStr">
        <is>
          <t>Since Inception</t>
        </is>
      </c>
      <c r="I10" s="90" t="inlineStr">
        <is>
          <t>Current Year Start:</t>
        </is>
      </c>
      <c r="J10" s="91" t="n">
        <v>46023</v>
      </c>
    </row>
    <row r="11" ht="14.1" customHeight="1" s="74">
      <c r="B11" s="92" t="n"/>
      <c r="D11" s="93" t="n"/>
      <c r="E11" s="94">
        <f>J11</f>
        <v/>
      </c>
      <c r="F11" s="95">
        <f>J10</f>
        <v/>
      </c>
      <c r="G11" s="96">
        <f>J9</f>
        <v/>
      </c>
      <c r="H11" s="73" t="inlineStr">
        <is>
          <t>Row Contains Formulas</t>
        </is>
      </c>
      <c r="I11" s="97" t="inlineStr">
        <is>
          <t>Current Period Start:</t>
        </is>
      </c>
      <c r="J11" s="91" t="n">
        <v>46113</v>
      </c>
    </row>
    <row r="12" ht="14.1" customHeight="1" s="74">
      <c r="B12" s="98" t="n"/>
      <c r="C12" s="81" t="n"/>
      <c r="D12" s="99" t="n"/>
      <c r="E12" s="100">
        <f>$J$12</f>
        <v/>
      </c>
      <c r="F12" s="101">
        <f>$J$12</f>
        <v/>
      </c>
      <c r="G12" s="102">
        <f>$J$12</f>
        <v/>
      </c>
      <c r="H12" s="73" t="inlineStr">
        <is>
          <t>Row Contains Formulas</t>
        </is>
      </c>
      <c r="I12" s="103" t="inlineStr">
        <is>
          <t>Period End:</t>
        </is>
      </c>
      <c r="J12" s="104" t="n">
        <v>46203</v>
      </c>
    </row>
    <row r="13" ht="13.5" customHeight="1" s="74">
      <c r="B13" s="105" t="n"/>
      <c r="C13" s="106" t="n"/>
      <c r="D13" s="106" t="n"/>
      <c r="E13" s="106" t="n"/>
      <c r="F13" s="106" t="n"/>
      <c r="G13" s="106" t="n"/>
    </row>
    <row r="14" ht="15" customHeight="1" s="74">
      <c r="B14" s="107" t="inlineStr">
        <is>
          <t>A. Capital Account Statement for LP</t>
        </is>
      </c>
      <c r="C14" s="108" t="n"/>
      <c r="D14" s="108" t="n"/>
      <c r="E14" s="108" t="n"/>
      <c r="F14" s="108" t="n"/>
      <c r="G14" s="109" t="n"/>
      <c r="J14" s="110" t="n"/>
    </row>
    <row r="15" ht="15.9" customFormat="1" customHeight="1" s="111">
      <c r="B15" s="112" t="inlineStr">
        <is>
          <t>A.1 NAV Reconciliation and Summary of Fees, Expenses &amp; Incentive Allocation</t>
        </is>
      </c>
      <c r="C15" s="108" t="n"/>
      <c r="D15" s="109" t="n"/>
      <c r="E15" s="113" t="inlineStr">
        <is>
          <t>GCM Program  Allocation of Total Fund</t>
        </is>
      </c>
      <c r="F15" s="108" t="n"/>
      <c r="G15" s="109" t="n"/>
      <c r="H15" s="114" t="n"/>
    </row>
    <row r="16" ht="14.1" customHeight="1" s="74">
      <c r="B16" s="115" t="inlineStr">
        <is>
          <t>Beginning NAV - Net of Incentive Allocation</t>
        </is>
      </c>
      <c r="C16" s="85" t="n"/>
      <c r="D16" s="86" t="n"/>
      <c r="E16" s="76" t="n"/>
      <c r="F16" s="76" t="n"/>
      <c r="G16" s="76" t="n">
        <v>0</v>
      </c>
      <c r="H16" s="116" t="n"/>
      <c r="K16" s="110" t="n"/>
      <c r="L16" s="110" t="n"/>
      <c r="M16" s="117" t="n"/>
    </row>
    <row r="17" ht="14.1" customHeight="1" s="74">
      <c r="B17" s="118" t="inlineStr">
        <is>
          <t>Contributions - Cash &amp; Non-Cash</t>
        </is>
      </c>
      <c r="D17" s="93" t="n"/>
      <c r="E17" s="76" t="n"/>
      <c r="F17" s="76" t="n"/>
      <c r="G17" s="76">
        <f>+F17</f>
        <v/>
      </c>
      <c r="J17" s="72" t="n">
        <v>22920336</v>
      </c>
      <c r="K17" s="110" t="n"/>
      <c r="L17" s="110" t="n"/>
      <c r="M17" s="117" t="n"/>
    </row>
    <row r="18" ht="14.1" customHeight="1" s="74">
      <c r="B18" s="118" t="inlineStr">
        <is>
          <t>Distributions - Cash &amp; Non-Cash (input positive values)</t>
        </is>
      </c>
      <c r="D18" s="93" t="n"/>
      <c r="E18" s="76" t="n"/>
      <c r="F18" s="76" t="n"/>
      <c r="G18" s="76">
        <f>+F18</f>
        <v/>
      </c>
      <c r="J18" s="72" t="n">
        <v>-781023</v>
      </c>
      <c r="K18" s="110" t="n"/>
      <c r="L18" s="110" t="n"/>
      <c r="M18" s="117" t="n"/>
    </row>
    <row r="19" ht="14.1" customHeight="1" s="74">
      <c r="B19" s="119" t="inlineStr">
        <is>
          <t>Total Cash / Non-Cash Flows (contributions, less distributions)</t>
        </is>
      </c>
      <c r="D19" s="93" t="n"/>
      <c r="E19" s="120">
        <f>E17-E18</f>
        <v/>
      </c>
      <c r="F19" s="120">
        <f>F17-F18</f>
        <v/>
      </c>
      <c r="G19" s="121">
        <f>G17-G18</f>
        <v/>
      </c>
      <c r="H19" s="73" t="inlineStr">
        <is>
          <t>Row Contains Formulas</t>
        </is>
      </c>
      <c r="K19" s="110" t="n"/>
      <c r="L19" s="110" t="n"/>
      <c r="M19" s="117" t="n"/>
    </row>
    <row r="20" ht="14.1" customHeight="1" s="74">
      <c r="B20" s="122" t="inlineStr">
        <is>
          <t>Net Operating Income (Expense):</t>
        </is>
      </c>
      <c r="D20" s="93" t="n"/>
      <c r="E20" s="123" t="n"/>
      <c r="G20" s="93" t="n"/>
      <c r="K20" s="110" t="n"/>
      <c r="L20" s="110" t="n"/>
      <c r="M20" s="117" t="n"/>
    </row>
    <row r="21" ht="14.1" customHeight="1" s="74">
      <c r="B21" s="124" t="inlineStr">
        <is>
          <t>(Management Fees – Gross of Offsets, Waivers &amp; Rebates):</t>
        </is>
      </c>
      <c r="D21" s="93" t="n"/>
      <c r="E21" s="76" t="n"/>
      <c r="F21" s="76" t="n"/>
      <c r="G21" s="76">
        <f>+F21</f>
        <v/>
      </c>
      <c r="K21" s="110" t="n"/>
      <c r="L21" s="110" t="n"/>
      <c r="M21" s="117" t="n"/>
    </row>
    <row r="22" ht="13.2" customHeight="1" s="74">
      <c r="B22" s="124" t="inlineStr">
        <is>
          <t>Management Fee Rebate</t>
        </is>
      </c>
      <c r="D22" s="93" t="n"/>
      <c r="E22" s="76" t="n"/>
      <c r="F22" s="76" t="n"/>
      <c r="G22" s="76" t="n"/>
      <c r="K22" s="110" t="n"/>
      <c r="L22" s="110" t="n"/>
      <c r="M22" s="117" t="n"/>
    </row>
    <row r="23" ht="14.1" customHeight="1" s="74">
      <c r="B23" s="124" t="inlineStr">
        <is>
          <t>(Partnership Expenses - Total):</t>
        </is>
      </c>
      <c r="D23" s="93" t="n"/>
      <c r="E23" s="76" t="n"/>
      <c r="F23" s="76" t="n"/>
      <c r="G23" s="76">
        <f>+F23</f>
        <v/>
      </c>
      <c r="K23" s="110" t="n"/>
      <c r="L23" s="110" t="n"/>
      <c r="M23" s="117" t="n"/>
    </row>
    <row r="24" ht="14.1" customHeight="1" s="74">
      <c r="B24" s="124" t="inlineStr">
        <is>
          <t>Total Offsets to Fees &amp; Expenses (applied during period):</t>
        </is>
      </c>
      <c r="D24" s="93" t="n"/>
      <c r="E24" s="76" t="n"/>
      <c r="F24" s="76" t="n"/>
      <c r="G24" s="76" t="n"/>
      <c r="K24" s="110" t="n"/>
      <c r="L24" s="110" t="n"/>
      <c r="M24" s="117" t="n"/>
    </row>
    <row r="25" ht="14.1" customHeight="1" s="74">
      <c r="B25" s="124" t="inlineStr">
        <is>
          <t>(Total Management Fees &amp; Partnership Expenses, Net of Offsets &amp; Rebates, Gross of Fee Waiver)</t>
        </is>
      </c>
      <c r="D25" s="93" t="n"/>
      <c r="E25" s="125">
        <f>E21+E22+E23+E24</f>
        <v/>
      </c>
      <c r="F25" s="125">
        <f>F21+F22+F23+F24</f>
        <v/>
      </c>
      <c r="G25" s="126">
        <f>G21+G22+G23+G24</f>
        <v/>
      </c>
      <c r="H25" s="73" t="inlineStr">
        <is>
          <t>Row Contains Formulas</t>
        </is>
      </c>
      <c r="K25" s="110" t="n"/>
      <c r="L25" s="110" t="n"/>
      <c r="M25" s="117" t="n"/>
    </row>
    <row r="26" ht="14.1" customHeight="1" s="74">
      <c r="B26" s="124" t="inlineStr">
        <is>
          <t>Fee Waiver</t>
        </is>
      </c>
      <c r="D26" s="93" t="n"/>
      <c r="E26" s="76" t="n"/>
      <c r="F26" s="76" t="n"/>
      <c r="G26" s="76" t="n"/>
      <c r="K26" s="110" t="n"/>
      <c r="L26" s="110" t="n"/>
      <c r="M26" s="117" t="n"/>
    </row>
    <row r="27" ht="14.1" customHeight="1" s="74">
      <c r="B27" s="124" t="inlineStr">
        <is>
          <t>Interest Income</t>
        </is>
      </c>
      <c r="D27" s="93" t="n"/>
      <c r="E27" s="76" t="n"/>
      <c r="F27" s="76" t="n"/>
      <c r="G27" s="76">
        <f>+F27</f>
        <v/>
      </c>
      <c r="K27" s="110" t="n"/>
      <c r="L27" s="110" t="n"/>
      <c r="M27" s="117" t="n"/>
    </row>
    <row r="28" ht="14.1" customHeight="1" s="74">
      <c r="B28" s="124" t="inlineStr">
        <is>
          <t>Dividend Income</t>
        </is>
      </c>
      <c r="D28" s="93" t="n"/>
      <c r="E28" s="76" t="n"/>
      <c r="F28" s="76" t="n"/>
      <c r="G28" s="76" t="n"/>
      <c r="K28" s="110" t="n"/>
      <c r="L28" s="110" t="n"/>
      <c r="M28" s="117" t="n"/>
    </row>
    <row r="29" ht="14.1" customHeight="1" s="74">
      <c r="B29" s="124" t="inlineStr">
        <is>
          <t>(Interest Expense)</t>
        </is>
      </c>
      <c r="D29" s="93" t="n"/>
      <c r="E29" s="76" t="n"/>
      <c r="F29" s="76" t="n"/>
      <c r="G29" s="76" t="n"/>
      <c r="K29" s="110" t="n"/>
      <c r="L29" s="110" t="n"/>
      <c r="M29" s="117" t="n"/>
    </row>
    <row r="30" ht="14.1" customHeight="1" s="74">
      <c r="B30" s="124" t="inlineStr">
        <is>
          <t>Other Income/(Expense)(2)</t>
        </is>
      </c>
      <c r="D30" s="93" t="n"/>
      <c r="E30" s="76" t="n"/>
      <c r="F30" s="76" t="n"/>
      <c r="G30" s="76" t="n"/>
      <c r="K30" s="110" t="n"/>
      <c r="L30" s="110" t="n"/>
      <c r="M30" s="117" t="n"/>
    </row>
    <row r="31" ht="14.1" customHeight="1" s="74">
      <c r="B31" s="119" t="inlineStr">
        <is>
          <t>Total Net Operating Income / (Expense)</t>
        </is>
      </c>
      <c r="D31" s="93" t="n"/>
      <c r="E31" s="120">
        <f>SUM(E25:E30)</f>
        <v/>
      </c>
      <c r="F31" s="120">
        <f>SUM(F25:F30)</f>
        <v/>
      </c>
      <c r="G31" s="121">
        <f>SUM(G25:G30)</f>
        <v/>
      </c>
      <c r="H31" s="73" t="inlineStr">
        <is>
          <t>Row Contains Formulas</t>
        </is>
      </c>
      <c r="K31" s="110" t="n"/>
      <c r="L31" s="110" t="n"/>
      <c r="M31" s="117" t="n"/>
    </row>
    <row r="32" ht="14.1" customHeight="1" s="74">
      <c r="B32" s="119" t="inlineStr">
        <is>
          <t>(Placement Fees)</t>
        </is>
      </c>
      <c r="D32" s="93" t="n"/>
      <c r="E32" s="76" t="n"/>
      <c r="F32" s="76" t="n"/>
      <c r="G32" s="76">
        <f>+F32</f>
        <v/>
      </c>
      <c r="K32" s="110" t="n"/>
      <c r="L32" s="110" t="n"/>
      <c r="M32" s="117" t="n"/>
    </row>
    <row r="33" ht="14.1" customHeight="1" s="74">
      <c r="B33" s="119" t="inlineStr">
        <is>
          <t>Realized Gain / (Loss)</t>
        </is>
      </c>
      <c r="D33" s="93" t="n"/>
      <c r="E33" s="76" t="n"/>
      <c r="F33" s="76" t="n"/>
      <c r="G33" s="76" t="n"/>
      <c r="K33" s="110" t="n"/>
      <c r="L33" s="110" t="n"/>
      <c r="M33" s="117" t="n"/>
    </row>
    <row r="34" ht="14.1" customHeight="1" s="74">
      <c r="B34" s="127" t="inlineStr">
        <is>
          <t>Incentive fee allocation</t>
        </is>
      </c>
      <c r="C34" s="128" t="n"/>
      <c r="D34" s="129" t="n"/>
      <c r="E34" s="76" t="n"/>
      <c r="F34" s="76" t="n"/>
      <c r="G34" s="76" t="n"/>
      <c r="K34" s="110" t="n"/>
      <c r="L34" s="110" t="n"/>
      <c r="M34" s="117" t="n"/>
    </row>
    <row r="35" ht="14.1" customHeight="1" s="74">
      <c r="B35" s="119" t="inlineStr">
        <is>
          <t>Change in Unrealized Gain / (Loss)</t>
        </is>
      </c>
      <c r="D35" s="93" t="n"/>
      <c r="E35" s="76" t="n"/>
      <c r="F35" s="76" t="n"/>
      <c r="G35" s="76" t="n"/>
      <c r="K35" s="110" t="n"/>
      <c r="L35" s="110" t="n"/>
      <c r="M35" s="117" t="n"/>
    </row>
    <row r="36" ht="14.1" customHeight="1" s="74">
      <c r="B36" s="119" t="inlineStr">
        <is>
          <t>Ending NAV - Net of Incentive Allocation</t>
        </is>
      </c>
      <c r="D36" s="93" t="n"/>
      <c r="E36" s="130">
        <f>E16+E19+E31+E32+E33+E35+E34</f>
        <v/>
      </c>
      <c r="F36" s="130">
        <f>F16+F19+F31+F32+F33+F35+F34</f>
        <v/>
      </c>
      <c r="G36" s="131">
        <f>G16+G19+G31+G32+G33+G35+G34</f>
        <v/>
      </c>
      <c r="H36" s="73" t="inlineStr">
        <is>
          <t>Row Contains Formulas</t>
        </is>
      </c>
      <c r="K36" s="110" t="n"/>
      <c r="L36" s="110" t="n"/>
      <c r="M36" s="117" t="n"/>
    </row>
    <row r="37" ht="14.1" customHeight="1" s="74">
      <c r="B37" s="132" t="inlineStr">
        <is>
          <t>Reconciliation for Accrued Incentive Allocation</t>
        </is>
      </c>
      <c r="C37" s="133" t="inlineStr">
        <is>
          <t>Accrued Incentive Allocation - Starting Period Balance</t>
        </is>
      </c>
      <c r="D37" s="134" t="n"/>
      <c r="E37" s="76" t="n"/>
      <c r="F37" s="76" t="n"/>
      <c r="G37" s="76" t="n"/>
      <c r="K37" s="135" t="n"/>
      <c r="L37" s="135" t="n"/>
      <c r="M37" s="135" t="n"/>
    </row>
    <row r="38" ht="14.1" customHeight="1" s="74">
      <c r="B38" s="92" t="n"/>
      <c r="C38" s="136" t="inlineStr">
        <is>
          <t>Incentive Allocation - Paid During the Period</t>
        </is>
      </c>
      <c r="D38" s="93" t="n"/>
      <c r="E38" s="76" t="n"/>
      <c r="F38" s="76" t="n"/>
      <c r="G38" s="76" t="n"/>
      <c r="K38" s="135" t="n"/>
      <c r="L38" s="135" t="n"/>
      <c r="M38" s="135" t="n"/>
    </row>
    <row r="39" ht="14.1" customHeight="1" s="74">
      <c r="B39" s="92" t="n"/>
      <c r="C39" s="136" t="inlineStr">
        <is>
          <t>Accrued Incentive Allocation - Periodic Change</t>
        </is>
      </c>
      <c r="D39" s="93" t="n"/>
      <c r="E39" s="76" t="n"/>
      <c r="F39" s="76" t="n"/>
      <c r="G39" s="76" t="n"/>
      <c r="K39" s="135" t="n"/>
      <c r="L39" s="135" t="n"/>
      <c r="M39" s="135" t="n"/>
    </row>
    <row r="40" ht="14.1" customHeight="1" s="74">
      <c r="B40" s="92" t="n"/>
      <c r="C40" s="137" t="inlineStr">
        <is>
          <t>Accrued Incentive Allocation - Ending Period Balance</t>
        </is>
      </c>
      <c r="D40" s="93" t="n"/>
      <c r="E40" s="138">
        <f>SUM(E37:E39)</f>
        <v/>
      </c>
      <c r="F40" s="138">
        <f>SUM(F37:F39)</f>
        <v/>
      </c>
      <c r="G40" s="139">
        <f>SUM(G37:G39)</f>
        <v/>
      </c>
      <c r="H40" s="73" t="inlineStr">
        <is>
          <t>Row Contains Formulas</t>
        </is>
      </c>
      <c r="K40" s="135" t="n"/>
      <c r="L40" s="135" t="n"/>
      <c r="M40" s="135" t="n"/>
    </row>
    <row r="41" ht="14.1" customHeight="1" s="74">
      <c r="B41" s="98" t="n"/>
      <c r="C41" s="140" t="inlineStr">
        <is>
          <t>Ending NAV - Gross of Accrued Incentive Allocation</t>
        </is>
      </c>
      <c r="D41" s="99" t="n"/>
      <c r="E41" s="141">
        <f>E36-E40</f>
        <v/>
      </c>
      <c r="F41" s="141">
        <f>F36-F40</f>
        <v/>
      </c>
      <c r="G41" s="142">
        <f>G36-G40</f>
        <v/>
      </c>
      <c r="H41" s="73" t="inlineStr">
        <is>
          <t>Row Contains Formulas</t>
        </is>
      </c>
      <c r="K41" s="135" t="n"/>
      <c r="L41" s="135" t="n"/>
      <c r="M41" s="135" t="n"/>
    </row>
    <row r="42" ht="14.1" customHeight="1" s="74">
      <c r="B42" s="143" t="n"/>
      <c r="C42" s="144" t="n"/>
      <c r="D42" s="145" t="n"/>
      <c r="E42" s="146" t="n"/>
      <c r="F42" s="146" t="n"/>
      <c r="G42" s="146" t="n"/>
      <c r="K42" s="135" t="n"/>
      <c r="L42" s="135" t="n"/>
      <c r="M42" s="135" t="n"/>
    </row>
    <row r="43" ht="14.1" customHeight="1" s="74">
      <c r="B43" s="105" t="n"/>
    </row>
    <row r="44" ht="15" customHeight="1" s="74">
      <c r="B44" s="105" t="inlineStr">
        <is>
          <t>(1) If the Investor acquired the interest in the Fund on a secondary basis, please indicate the acquisition date and populate the template from this date forward.</t>
        </is>
      </c>
    </row>
    <row r="45" ht="14.1" customHeight="1" s="74">
      <c r="B45" s="105" t="inlineStr">
        <is>
          <t>(2) A description should be provided in the footnote section for any amount(s) listed in this row for the year-to-date period</t>
        </is>
      </c>
    </row>
    <row r="46" ht="14.1" customHeight="1" s="74">
      <c r="B46" s="105" t="n"/>
    </row>
    <row r="47" ht="15.75" customHeight="1" s="74">
      <c r="B47" s="147" t="inlineStr">
        <is>
          <t>Footnotes for any YTD (Total Fund) expenses, fees &amp; offsets (including any "other" balances)</t>
        </is>
      </c>
      <c r="C47" s="85" t="n"/>
      <c r="D47" s="85" t="n"/>
      <c r="E47" s="85" t="n"/>
      <c r="F47" s="85" t="n"/>
      <c r="G47" s="86" t="n"/>
    </row>
    <row r="48" ht="13.2" customHeight="1" s="74">
      <c r="B48" s="148" t="n"/>
      <c r="G48" s="93" t="n"/>
    </row>
    <row r="49" ht="13.2" customHeight="1" s="74">
      <c r="B49" s="149" t="n"/>
      <c r="G49" s="93" t="n"/>
    </row>
    <row r="50" ht="13.2" customHeight="1" s="74">
      <c r="B50" s="149" t="n"/>
      <c r="G50" s="93" t="n"/>
    </row>
    <row r="51" ht="13.2" customHeight="1" s="74">
      <c r="B51" s="149" t="n"/>
      <c r="G51" s="93" t="n"/>
    </row>
    <row r="52" ht="15.75" customHeight="1" s="74">
      <c r="B52" s="150" t="n"/>
      <c r="C52" s="81" t="n"/>
      <c r="D52" s="81" t="n"/>
      <c r="E52" s="81" t="n"/>
      <c r="F52" s="81" t="n"/>
      <c r="G52" s="99" t="n"/>
    </row>
  </sheetData>
  <mergeCells count="44">
    <mergeCell ref="B14:G14"/>
    <mergeCell ref="B23:D23"/>
    <mergeCell ref="B17:D17"/>
    <mergeCell ref="B10:D12"/>
    <mergeCell ref="B37:B41"/>
    <mergeCell ref="B29:D29"/>
    <mergeCell ref="B44:G44"/>
    <mergeCell ref="E15:G15"/>
    <mergeCell ref="B28:D28"/>
    <mergeCell ref="B19:D19"/>
    <mergeCell ref="C41:D41"/>
    <mergeCell ref="B9:G9"/>
    <mergeCell ref="E5:J6"/>
    <mergeCell ref="B49:G49"/>
    <mergeCell ref="B30:D30"/>
    <mergeCell ref="C40:D40"/>
    <mergeCell ref="B15:D15"/>
    <mergeCell ref="B24:D24"/>
    <mergeCell ref="B20:D20"/>
    <mergeCell ref="B33:D33"/>
    <mergeCell ref="B51:G51"/>
    <mergeCell ref="B36:D36"/>
    <mergeCell ref="B45:G45"/>
    <mergeCell ref="B32:D32"/>
    <mergeCell ref="B35:D35"/>
    <mergeCell ref="B26:D26"/>
    <mergeCell ref="B50:G50"/>
    <mergeCell ref="B25:D25"/>
    <mergeCell ref="C39:D39"/>
    <mergeCell ref="B16:D16"/>
    <mergeCell ref="B47:G47"/>
    <mergeCell ref="C38:D38"/>
    <mergeCell ref="B46:G46"/>
    <mergeCell ref="B31:D31"/>
    <mergeCell ref="E2:J3"/>
    <mergeCell ref="B22:D22"/>
    <mergeCell ref="C37:D37"/>
    <mergeCell ref="B18:D18"/>
    <mergeCell ref="B27:D27"/>
    <mergeCell ref="B43:G43"/>
    <mergeCell ref="B21:D21"/>
    <mergeCell ref="B52:G52"/>
    <mergeCell ref="B48:G48"/>
    <mergeCell ref="E20:G2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B1:M52"/>
  <sheetViews>
    <sheetView showGridLines="1" workbookViewId="0">
      <selection activeCell="A1" sqref="A1"/>
    </sheetView>
  </sheetViews>
  <sheetFormatPr baseColWidth="8" defaultColWidth="9.1015625" defaultRowHeight="13.2" zeroHeight="0" outlineLevelRow="0"/>
  <cols>
    <col width="2.66" customWidth="1" style="72" min="1" max="1"/>
    <col width="28.33" customWidth="1" style="72" min="2" max="2"/>
    <col width="40.66" customWidth="1" style="72" min="3" max="3"/>
    <col width="16.88" customWidth="1" style="72" min="4" max="4"/>
    <col width="14.66" customWidth="1" style="72" min="5" max="7"/>
    <col width="18.66" customWidth="1" style="73" min="8" max="8"/>
    <col width="17.43" customWidth="1" style="72" min="9" max="9"/>
    <col width="10.55" customWidth="1" style="72" min="10" max="10"/>
    <col width="12.32" customWidth="1" style="72" min="11" max="13"/>
    <col width="9.1" customWidth="1" style="72" min="14" max="257"/>
  </cols>
  <sheetData>
    <row r="1" ht="13.8" customHeight="1" s="74">
      <c r="B1" s="75" t="inlineStr">
        <is>
          <t>Master Fund Name</t>
        </is>
      </c>
      <c r="C1" s="76" t="inlineStr">
        <is>
          <t>County Line Rail Fund I, LP</t>
        </is>
      </c>
      <c r="E1" s="77" t="inlineStr">
        <is>
          <t>Actions Required by the Manager:</t>
        </is>
      </c>
    </row>
    <row r="2" ht="14.25" customHeight="1" s="74">
      <c r="B2" s="75" t="inlineStr">
        <is>
          <t>Master Fund Currency</t>
        </is>
      </c>
      <c r="C2" s="76" t="inlineStr">
        <is>
          <t>US Dollar</t>
        </is>
      </c>
      <c r="E2" s="78" t="inlineStr">
        <is>
          <t>-Please populate all blue fields in this template in the fund's currency for each GCM Grosvenor-affiliated entity's proportionate share that is an investor in your fund.</t>
        </is>
      </c>
      <c r="F2" s="79" t="n"/>
      <c r="G2" s="79" t="n"/>
      <c r="H2" s="79" t="n"/>
      <c r="I2" s="79" t="n"/>
      <c r="J2" s="79" t="n"/>
    </row>
    <row r="3" ht="13.2" customHeight="1" s="74">
      <c r="B3" s="75" t="inlineStr">
        <is>
          <t>Master Fund Commitments</t>
        </is>
      </c>
      <c r="C3" s="76" t="n">
        <v>5000000</v>
      </c>
      <c r="E3" s="79" t="n"/>
      <c r="F3" s="79" t="n"/>
      <c r="G3" s="79" t="n"/>
      <c r="H3" s="79" t="n"/>
      <c r="I3" s="79" t="n"/>
      <c r="J3" s="79" t="n"/>
    </row>
    <row r="4" ht="13.2" customHeight="1" s="74">
      <c r="B4" s="75" t="inlineStr">
        <is>
          <t>Investor Remaining Commitment</t>
        </is>
      </c>
      <c r="C4" s="76" t="n"/>
    </row>
    <row r="5" ht="13.2" customHeight="1" s="74">
      <c r="B5" s="75" t="inlineStr">
        <is>
          <t>Fund Name</t>
        </is>
      </c>
      <c r="C5" s="76" t="inlineStr">
        <is>
          <t>County Line Rail Fund I, LP</t>
        </is>
      </c>
      <c r="E5" s="78" t="inlineStr">
        <is>
          <t>-If a GCM Grosvenor-affiliated entity acquired an interest on a secondary basis, please populate the template from the acquisition date forward instead of from the inception date of the fund.</t>
        </is>
      </c>
      <c r="F5" s="79" t="n"/>
      <c r="G5" s="79" t="n"/>
      <c r="H5" s="79" t="n"/>
      <c r="I5" s="79" t="n"/>
      <c r="J5" s="79" t="n"/>
    </row>
    <row r="6" ht="13.2" customHeight="1" s="74">
      <c r="B6" s="75" t="inlineStr">
        <is>
          <t>Fund Currency</t>
        </is>
      </c>
      <c r="C6" s="76" t="inlineStr">
        <is>
          <t>US Dollar</t>
        </is>
      </c>
      <c r="E6" s="79" t="n"/>
      <c r="F6" s="79" t="n"/>
      <c r="G6" s="79" t="n"/>
      <c r="H6" s="79" t="n"/>
      <c r="I6" s="79" t="n"/>
      <c r="J6" s="79" t="n"/>
    </row>
    <row r="7" ht="24" customHeight="1" s="74">
      <c r="B7" s="75" t="inlineStr">
        <is>
          <t>Investor Name</t>
        </is>
      </c>
      <c r="C7" s="76" t="inlineStr">
        <is>
          <t>Texas Emerging Managers Private Markets Program, L.P. (2025-1 RE Investment Series)</t>
        </is>
      </c>
    </row>
    <row r="8" ht="15" customHeight="1" s="74"/>
    <row r="9" ht="15" customHeight="1" s="74">
      <c r="B9" s="80" t="n"/>
      <c r="C9" s="81" t="n"/>
      <c r="D9" s="81" t="n"/>
      <c r="E9" s="81" t="n"/>
      <c r="F9" s="81" t="n"/>
      <c r="G9" s="81" t="n"/>
      <c r="I9" s="82" t="inlineStr">
        <is>
          <t>Inception Start(1):</t>
        </is>
      </c>
      <c r="J9" s="83" t="n">
        <v>45485</v>
      </c>
    </row>
    <row r="10" ht="14.1" customHeight="1" s="74">
      <c r="B10" s="84" t="n"/>
      <c r="C10" s="85" t="n"/>
      <c r="D10" s="86" t="n"/>
      <c r="E10" s="87" t="inlineStr">
        <is>
          <t>QTD</t>
        </is>
      </c>
      <c r="F10" s="88" t="inlineStr">
        <is>
          <t>YTD</t>
        </is>
      </c>
      <c r="G10" s="89" t="inlineStr">
        <is>
          <t>Since Inception</t>
        </is>
      </c>
      <c r="I10" s="90" t="inlineStr">
        <is>
          <t>Current Year Start:</t>
        </is>
      </c>
      <c r="J10" s="91" t="n">
        <v>46023</v>
      </c>
    </row>
    <row r="11" ht="14.1" customHeight="1" s="74">
      <c r="B11" s="92" t="n"/>
      <c r="D11" s="93" t="n"/>
      <c r="E11" s="94">
        <f>J11</f>
        <v/>
      </c>
      <c r="F11" s="95">
        <f>J10</f>
        <v/>
      </c>
      <c r="G11" s="96">
        <f>J9</f>
        <v/>
      </c>
      <c r="H11" s="73" t="inlineStr">
        <is>
          <t>Row Contains Formulas</t>
        </is>
      </c>
      <c r="I11" s="97" t="inlineStr">
        <is>
          <t>Current Period Start:</t>
        </is>
      </c>
      <c r="J11" s="91" t="n">
        <v>46113</v>
      </c>
    </row>
    <row r="12" ht="14.1" customHeight="1" s="74">
      <c r="B12" s="98" t="n"/>
      <c r="C12" s="81" t="n"/>
      <c r="D12" s="99" t="n"/>
      <c r="E12" s="100">
        <f>$J$12</f>
        <v/>
      </c>
      <c r="F12" s="101">
        <f>$J$12</f>
        <v/>
      </c>
      <c r="G12" s="102">
        <f>$J$12</f>
        <v/>
      </c>
      <c r="H12" s="73" t="inlineStr">
        <is>
          <t>Row Contains Formulas</t>
        </is>
      </c>
      <c r="I12" s="103" t="inlineStr">
        <is>
          <t>Period End:</t>
        </is>
      </c>
      <c r="J12" s="104" t="n">
        <v>46203</v>
      </c>
    </row>
    <row r="13" ht="13.5" customHeight="1" s="74">
      <c r="B13" s="105" t="n"/>
      <c r="C13" s="106" t="n"/>
      <c r="D13" s="106" t="n"/>
      <c r="E13" s="106" t="n"/>
      <c r="F13" s="106" t="n"/>
      <c r="G13" s="106" t="n"/>
    </row>
    <row r="14" ht="15" customHeight="1" s="74">
      <c r="B14" s="107" t="inlineStr">
        <is>
          <t>A. Capital Account Statement for LP</t>
        </is>
      </c>
      <c r="C14" s="108" t="n"/>
      <c r="D14" s="108" t="n"/>
      <c r="E14" s="108" t="n"/>
      <c r="F14" s="108" t="n"/>
      <c r="G14" s="109" t="n"/>
      <c r="J14" s="110" t="n"/>
    </row>
    <row r="15" ht="15.9" customFormat="1" customHeight="1" s="111">
      <c r="B15" s="112" t="inlineStr">
        <is>
          <t>A.1 NAV Reconciliation and Summary of Fees, Expenses &amp; Incentive Allocation</t>
        </is>
      </c>
      <c r="C15" s="108" t="n"/>
      <c r="D15" s="109" t="n"/>
      <c r="E15" s="113" t="inlineStr">
        <is>
          <t>GCM Program  Allocation of Total Fund</t>
        </is>
      </c>
      <c r="F15" s="108" t="n"/>
      <c r="G15" s="109" t="n"/>
      <c r="H15" s="114" t="n"/>
    </row>
    <row r="16" ht="14.1" customHeight="1" s="74">
      <c r="B16" s="115" t="inlineStr">
        <is>
          <t>Beginning NAV - Net of Incentive Allocation</t>
        </is>
      </c>
      <c r="C16" s="85" t="n"/>
      <c r="D16" s="86" t="n"/>
      <c r="E16" s="76" t="n"/>
      <c r="F16" s="76" t="n"/>
      <c r="G16" s="76" t="n">
        <v>0</v>
      </c>
      <c r="H16" s="116" t="n"/>
      <c r="K16" s="110" t="n"/>
      <c r="L16" s="110" t="n"/>
      <c r="M16" s="117" t="n"/>
    </row>
    <row r="17" ht="14.1" customHeight="1" s="74">
      <c r="B17" s="118" t="inlineStr">
        <is>
          <t>Contributions - Cash &amp; Non-Cash</t>
        </is>
      </c>
      <c r="D17" s="93" t="n"/>
      <c r="E17" s="76" t="n"/>
      <c r="F17" s="76" t="n"/>
      <c r="G17" s="76">
        <f>+F17</f>
        <v/>
      </c>
      <c r="J17" s="72" t="n">
        <v>22920336</v>
      </c>
      <c r="K17" s="110" t="n"/>
      <c r="L17" s="110" t="n"/>
      <c r="M17" s="117" t="n"/>
    </row>
    <row r="18" ht="14.1" customHeight="1" s="74">
      <c r="B18" s="118" t="inlineStr">
        <is>
          <t>Distributions - Cash &amp; Non-Cash (input positive values)</t>
        </is>
      </c>
      <c r="D18" s="93" t="n"/>
      <c r="E18" s="76" t="n"/>
      <c r="F18" s="76" t="n"/>
      <c r="G18" s="76">
        <f>+F18</f>
        <v/>
      </c>
      <c r="J18" s="72" t="n">
        <v>-781023</v>
      </c>
      <c r="K18" s="110" t="n"/>
      <c r="L18" s="110" t="n"/>
      <c r="M18" s="117" t="n"/>
    </row>
    <row r="19" ht="14.1" customHeight="1" s="74">
      <c r="B19" s="119" t="inlineStr">
        <is>
          <t>Total Cash / Non-Cash Flows (contributions, less distributions)</t>
        </is>
      </c>
      <c r="D19" s="93" t="n"/>
      <c r="E19" s="120">
        <f>E17-E18</f>
        <v/>
      </c>
      <c r="F19" s="120">
        <f>F17-F18</f>
        <v/>
      </c>
      <c r="G19" s="121">
        <f>G17-G18</f>
        <v/>
      </c>
      <c r="H19" s="73" t="inlineStr">
        <is>
          <t>Row Contains Formulas</t>
        </is>
      </c>
      <c r="K19" s="110" t="n"/>
      <c r="L19" s="110" t="n"/>
      <c r="M19" s="117" t="n"/>
    </row>
    <row r="20" ht="14.1" customHeight="1" s="74">
      <c r="B20" s="122" t="inlineStr">
        <is>
          <t>Net Operating Income (Expense):</t>
        </is>
      </c>
      <c r="D20" s="93" t="n"/>
      <c r="E20" s="123" t="n"/>
      <c r="G20" s="93" t="n"/>
      <c r="K20" s="110" t="n"/>
      <c r="L20" s="110" t="n"/>
      <c r="M20" s="117" t="n"/>
    </row>
    <row r="21" ht="14.1" customHeight="1" s="74">
      <c r="B21" s="124" t="inlineStr">
        <is>
          <t>(Management Fees – Gross of Offsets, Waivers &amp; Rebates):</t>
        </is>
      </c>
      <c r="D21" s="93" t="n"/>
      <c r="E21" s="76" t="n"/>
      <c r="F21" s="76" t="n"/>
      <c r="G21" s="76">
        <f>+F21</f>
        <v/>
      </c>
      <c r="K21" s="110" t="n"/>
      <c r="L21" s="110" t="n"/>
      <c r="M21" s="117" t="n"/>
    </row>
    <row r="22" ht="13.2" customHeight="1" s="74">
      <c r="B22" s="124" t="inlineStr">
        <is>
          <t>Management Fee Rebate</t>
        </is>
      </c>
      <c r="D22" s="93" t="n"/>
      <c r="E22" s="76" t="n"/>
      <c r="F22" s="76" t="n"/>
      <c r="G22" s="76" t="n"/>
      <c r="K22" s="110" t="n"/>
      <c r="L22" s="110" t="n"/>
      <c r="M22" s="117" t="n"/>
    </row>
    <row r="23" ht="14.1" customHeight="1" s="74">
      <c r="B23" s="124" t="inlineStr">
        <is>
          <t>(Partnership Expenses - Total):</t>
        </is>
      </c>
      <c r="D23" s="93" t="n"/>
      <c r="E23" s="76" t="n"/>
      <c r="F23" s="76" t="n"/>
      <c r="G23" s="76">
        <f>+F23</f>
        <v/>
      </c>
      <c r="K23" s="110" t="n"/>
      <c r="L23" s="110" t="n"/>
      <c r="M23" s="117" t="n"/>
    </row>
    <row r="24" ht="14.1" customHeight="1" s="74">
      <c r="B24" s="124" t="inlineStr">
        <is>
          <t>Total Offsets to Fees &amp; Expenses (applied during period):</t>
        </is>
      </c>
      <c r="D24" s="93" t="n"/>
      <c r="E24" s="76" t="n"/>
      <c r="F24" s="76" t="n"/>
      <c r="G24" s="76" t="n"/>
      <c r="K24" s="110" t="n"/>
      <c r="L24" s="110" t="n"/>
      <c r="M24" s="117" t="n"/>
    </row>
    <row r="25" ht="14.1" customHeight="1" s="74">
      <c r="B25" s="124" t="inlineStr">
        <is>
          <t>(Total Management Fees &amp; Partnership Expenses, Net of Offsets &amp; Rebates, Gross of Fee Waiver)</t>
        </is>
      </c>
      <c r="D25" s="93" t="n"/>
      <c r="E25" s="125">
        <f>E21+E22+E23+E24</f>
        <v/>
      </c>
      <c r="F25" s="125">
        <f>F21+F22+F23+F24</f>
        <v/>
      </c>
      <c r="G25" s="126">
        <f>G21+G22+G23+G24</f>
        <v/>
      </c>
      <c r="H25" s="73" t="inlineStr">
        <is>
          <t>Row Contains Formulas</t>
        </is>
      </c>
      <c r="K25" s="110" t="n"/>
      <c r="L25" s="110" t="n"/>
      <c r="M25" s="117" t="n"/>
    </row>
    <row r="26" ht="14.1" customHeight="1" s="74">
      <c r="B26" s="124" t="inlineStr">
        <is>
          <t>Fee Waiver</t>
        </is>
      </c>
      <c r="D26" s="93" t="n"/>
      <c r="E26" s="76" t="n"/>
      <c r="F26" s="76" t="n"/>
      <c r="G26" s="76" t="n"/>
      <c r="K26" s="110" t="n"/>
      <c r="L26" s="110" t="n"/>
      <c r="M26" s="117" t="n"/>
    </row>
    <row r="27" ht="14.1" customHeight="1" s="74">
      <c r="B27" s="124" t="inlineStr">
        <is>
          <t>Interest Income</t>
        </is>
      </c>
      <c r="D27" s="93" t="n"/>
      <c r="E27" s="76" t="n"/>
      <c r="F27" s="76" t="n"/>
      <c r="G27" s="76">
        <f>+F27</f>
        <v/>
      </c>
      <c r="K27" s="110" t="n"/>
      <c r="L27" s="110" t="n"/>
      <c r="M27" s="117" t="n"/>
    </row>
    <row r="28" ht="14.1" customHeight="1" s="74">
      <c r="B28" s="124" t="inlineStr">
        <is>
          <t>Dividend Income</t>
        </is>
      </c>
      <c r="D28" s="93" t="n"/>
      <c r="E28" s="76" t="n"/>
      <c r="F28" s="76" t="n"/>
      <c r="G28" s="76" t="n"/>
      <c r="K28" s="110" t="n"/>
      <c r="L28" s="110" t="n"/>
      <c r="M28" s="117" t="n"/>
    </row>
    <row r="29" ht="14.1" customHeight="1" s="74">
      <c r="B29" s="124" t="inlineStr">
        <is>
          <t>(Interest Expense)</t>
        </is>
      </c>
      <c r="D29" s="93" t="n"/>
      <c r="E29" s="76" t="n"/>
      <c r="F29" s="76" t="n"/>
      <c r="G29" s="76" t="n"/>
      <c r="K29" s="110" t="n"/>
      <c r="L29" s="110" t="n"/>
      <c r="M29" s="117" t="n"/>
    </row>
    <row r="30" ht="14.1" customHeight="1" s="74">
      <c r="B30" s="124" t="inlineStr">
        <is>
          <t>Other Income/(Expense)(2)</t>
        </is>
      </c>
      <c r="D30" s="93" t="n"/>
      <c r="E30" s="76" t="n"/>
      <c r="F30" s="76" t="n"/>
      <c r="G30" s="76" t="n"/>
      <c r="K30" s="110" t="n"/>
      <c r="L30" s="110" t="n"/>
      <c r="M30" s="117" t="n"/>
    </row>
    <row r="31" ht="14.1" customHeight="1" s="74">
      <c r="B31" s="119" t="inlineStr">
        <is>
          <t>Total Net Operating Income / (Expense)</t>
        </is>
      </c>
      <c r="D31" s="93" t="n"/>
      <c r="E31" s="120">
        <f>SUM(E25:E30)</f>
        <v/>
      </c>
      <c r="F31" s="120">
        <f>SUM(F25:F30)</f>
        <v/>
      </c>
      <c r="G31" s="121">
        <f>SUM(G25:G30)</f>
        <v/>
      </c>
      <c r="H31" s="73" t="inlineStr">
        <is>
          <t>Row Contains Formulas</t>
        </is>
      </c>
      <c r="K31" s="110" t="n"/>
      <c r="L31" s="110" t="n"/>
      <c r="M31" s="117" t="n"/>
    </row>
    <row r="32" ht="14.1" customHeight="1" s="74">
      <c r="B32" s="119" t="inlineStr">
        <is>
          <t>(Placement Fees)</t>
        </is>
      </c>
      <c r="D32" s="93" t="n"/>
      <c r="E32" s="76" t="n"/>
      <c r="F32" s="76" t="n"/>
      <c r="G32" s="76">
        <f>+F32</f>
        <v/>
      </c>
      <c r="K32" s="110" t="n"/>
      <c r="L32" s="110" t="n"/>
      <c r="M32" s="117" t="n"/>
    </row>
    <row r="33" ht="14.1" customHeight="1" s="74">
      <c r="B33" s="119" t="inlineStr">
        <is>
          <t>Realized Gain / (Loss)</t>
        </is>
      </c>
      <c r="D33" s="93" t="n"/>
      <c r="E33" s="76" t="n"/>
      <c r="F33" s="76" t="n"/>
      <c r="G33" s="76" t="n"/>
      <c r="K33" s="110" t="n"/>
      <c r="L33" s="110" t="n"/>
      <c r="M33" s="117" t="n"/>
    </row>
    <row r="34" ht="14.1" customHeight="1" s="74">
      <c r="B34" s="127" t="inlineStr">
        <is>
          <t>Incentive fee allocation</t>
        </is>
      </c>
      <c r="C34" s="128" t="n"/>
      <c r="D34" s="129" t="n"/>
      <c r="E34" s="76" t="n"/>
      <c r="F34" s="76" t="n"/>
      <c r="G34" s="76" t="n"/>
      <c r="K34" s="110" t="n"/>
      <c r="L34" s="110" t="n"/>
      <c r="M34" s="117" t="n"/>
    </row>
    <row r="35" ht="14.1" customHeight="1" s="74">
      <c r="B35" s="119" t="inlineStr">
        <is>
          <t>Change in Unrealized Gain / (Loss)</t>
        </is>
      </c>
      <c r="D35" s="93" t="n"/>
      <c r="E35" s="76" t="n"/>
      <c r="F35" s="76" t="n"/>
      <c r="G35" s="76" t="n"/>
      <c r="K35" s="110" t="n"/>
      <c r="L35" s="110" t="n"/>
      <c r="M35" s="117" t="n"/>
    </row>
    <row r="36" ht="14.1" customHeight="1" s="74">
      <c r="B36" s="119" t="inlineStr">
        <is>
          <t>Ending NAV - Net of Incentive Allocation</t>
        </is>
      </c>
      <c r="D36" s="93" t="n"/>
      <c r="E36" s="130">
        <f>E16+E19+E31+E32+E33+E35+E34</f>
        <v/>
      </c>
      <c r="F36" s="130">
        <f>F16+F19+F31+F32+F33+F35+F34</f>
        <v/>
      </c>
      <c r="G36" s="131">
        <f>G16+G19+G31+G32+G33+G35+G34</f>
        <v/>
      </c>
      <c r="H36" s="73" t="inlineStr">
        <is>
          <t>Row Contains Formulas</t>
        </is>
      </c>
      <c r="K36" s="110" t="n"/>
      <c r="L36" s="110" t="n"/>
      <c r="M36" s="117" t="n"/>
    </row>
    <row r="37" ht="14.1" customHeight="1" s="74">
      <c r="B37" s="132" t="inlineStr">
        <is>
          <t>Reconciliation for Accrued Incentive Allocation</t>
        </is>
      </c>
      <c r="C37" s="133" t="inlineStr">
        <is>
          <t>Accrued Incentive Allocation - Starting Period Balance</t>
        </is>
      </c>
      <c r="D37" s="134" t="n"/>
      <c r="E37" s="76" t="n"/>
      <c r="F37" s="76" t="n"/>
      <c r="G37" s="76" t="n"/>
      <c r="K37" s="135" t="n"/>
      <c r="L37" s="135" t="n"/>
      <c r="M37" s="135" t="n"/>
    </row>
    <row r="38" ht="14.1" customHeight="1" s="74">
      <c r="B38" s="92" t="n"/>
      <c r="C38" s="136" t="inlineStr">
        <is>
          <t>Incentive Allocation - Paid During the Period</t>
        </is>
      </c>
      <c r="D38" s="93" t="n"/>
      <c r="E38" s="76" t="n"/>
      <c r="F38" s="76" t="n"/>
      <c r="G38" s="76" t="n"/>
      <c r="K38" s="135" t="n"/>
      <c r="L38" s="135" t="n"/>
      <c r="M38" s="135" t="n"/>
    </row>
    <row r="39" ht="14.1" customHeight="1" s="74">
      <c r="B39" s="92" t="n"/>
      <c r="C39" s="136" t="inlineStr">
        <is>
          <t>Accrued Incentive Allocation - Periodic Change</t>
        </is>
      </c>
      <c r="D39" s="93" t="n"/>
      <c r="E39" s="76" t="n"/>
      <c r="F39" s="76" t="n"/>
      <c r="G39" s="76" t="n"/>
      <c r="K39" s="135" t="n"/>
      <c r="L39" s="135" t="n"/>
      <c r="M39" s="135" t="n"/>
    </row>
    <row r="40" ht="14.1" customHeight="1" s="74">
      <c r="B40" s="92" t="n"/>
      <c r="C40" s="137" t="inlineStr">
        <is>
          <t>Accrued Incentive Allocation - Ending Period Balance</t>
        </is>
      </c>
      <c r="D40" s="93" t="n"/>
      <c r="E40" s="138">
        <f>SUM(E37:E39)</f>
        <v/>
      </c>
      <c r="F40" s="138">
        <f>SUM(F37:F39)</f>
        <v/>
      </c>
      <c r="G40" s="139">
        <f>SUM(G37:G39)</f>
        <v/>
      </c>
      <c r="H40" s="73" t="inlineStr">
        <is>
          <t>Row Contains Formulas</t>
        </is>
      </c>
      <c r="K40" s="135" t="n"/>
      <c r="L40" s="135" t="n"/>
      <c r="M40" s="135" t="n"/>
    </row>
    <row r="41" ht="14.1" customHeight="1" s="74">
      <c r="B41" s="98" t="n"/>
      <c r="C41" s="140" t="inlineStr">
        <is>
          <t>Ending NAV - Gross of Accrued Incentive Allocation</t>
        </is>
      </c>
      <c r="D41" s="99" t="n"/>
      <c r="E41" s="141">
        <f>E36-E40</f>
        <v/>
      </c>
      <c r="F41" s="141">
        <f>F36-F40</f>
        <v/>
      </c>
      <c r="G41" s="142">
        <f>G36-G40</f>
        <v/>
      </c>
      <c r="H41" s="73" t="inlineStr">
        <is>
          <t>Row Contains Formulas</t>
        </is>
      </c>
      <c r="K41" s="135" t="n"/>
      <c r="L41" s="135" t="n"/>
      <c r="M41" s="135" t="n"/>
    </row>
    <row r="42" ht="14.1" customHeight="1" s="74">
      <c r="B42" s="143" t="n"/>
      <c r="C42" s="144" t="n"/>
      <c r="D42" s="145" t="n"/>
      <c r="E42" s="146" t="n"/>
      <c r="F42" s="146" t="n"/>
      <c r="G42" s="146" t="n"/>
      <c r="K42" s="135" t="n"/>
      <c r="L42" s="135" t="n"/>
      <c r="M42" s="135" t="n"/>
    </row>
    <row r="43" ht="14.1" customHeight="1" s="74">
      <c r="B43" s="105" t="n"/>
    </row>
    <row r="44" ht="15" customHeight="1" s="74">
      <c r="B44" s="105" t="inlineStr">
        <is>
          <t>(1) If the Investor acquired the interest in the Fund on a secondary basis, please indicate the acquisition date and populate the template from this date forward.</t>
        </is>
      </c>
    </row>
    <row r="45" ht="14.1" customHeight="1" s="74">
      <c r="B45" s="105" t="inlineStr">
        <is>
          <t>(2) A description should be provided in the footnote section for any amount(s) listed in this row for the year-to-date period</t>
        </is>
      </c>
    </row>
    <row r="46" ht="14.1" customHeight="1" s="74">
      <c r="B46" s="105" t="n"/>
    </row>
    <row r="47" ht="15.75" customHeight="1" s="74">
      <c r="B47" s="147" t="inlineStr">
        <is>
          <t>Footnotes for any YTD (Total Fund) expenses, fees &amp; offsets (including any "other" balances)</t>
        </is>
      </c>
      <c r="C47" s="85" t="n"/>
      <c r="D47" s="85" t="n"/>
      <c r="E47" s="85" t="n"/>
      <c r="F47" s="85" t="n"/>
      <c r="G47" s="86" t="n"/>
    </row>
    <row r="48" ht="13.2" customHeight="1" s="74">
      <c r="B48" s="148" t="n"/>
      <c r="G48" s="93" t="n"/>
    </row>
    <row r="49" ht="13.2" customHeight="1" s="74">
      <c r="B49" s="149" t="n"/>
      <c r="G49" s="93" t="n"/>
    </row>
    <row r="50" ht="13.2" customHeight="1" s="74">
      <c r="B50" s="149" t="n"/>
      <c r="G50" s="93" t="n"/>
    </row>
    <row r="51" ht="13.2" customHeight="1" s="74">
      <c r="B51" s="149" t="n"/>
      <c r="G51" s="93" t="n"/>
    </row>
    <row r="52" ht="15.75" customHeight="1" s="74">
      <c r="B52" s="150" t="n"/>
      <c r="C52" s="81" t="n"/>
      <c r="D52" s="81" t="n"/>
      <c r="E52" s="81" t="n"/>
      <c r="F52" s="81" t="n"/>
      <c r="G52" s="99" t="n"/>
    </row>
  </sheetData>
  <mergeCells count="44">
    <mergeCell ref="B14:G14"/>
    <mergeCell ref="B23:D23"/>
    <mergeCell ref="B17:D17"/>
    <mergeCell ref="B10:D12"/>
    <mergeCell ref="B37:B41"/>
    <mergeCell ref="B29:D29"/>
    <mergeCell ref="B44:G44"/>
    <mergeCell ref="E15:G15"/>
    <mergeCell ref="B28:D28"/>
    <mergeCell ref="B19:D19"/>
    <mergeCell ref="C41:D41"/>
    <mergeCell ref="B9:G9"/>
    <mergeCell ref="E5:J6"/>
    <mergeCell ref="B49:G49"/>
    <mergeCell ref="B30:D30"/>
    <mergeCell ref="C40:D40"/>
    <mergeCell ref="B15:D15"/>
    <mergeCell ref="B24:D24"/>
    <mergeCell ref="B20:D20"/>
    <mergeCell ref="B33:D33"/>
    <mergeCell ref="B51:G51"/>
    <mergeCell ref="B36:D36"/>
    <mergeCell ref="B45:G45"/>
    <mergeCell ref="B32:D32"/>
    <mergeCell ref="B35:D35"/>
    <mergeCell ref="B26:D26"/>
    <mergeCell ref="B50:G50"/>
    <mergeCell ref="B25:D25"/>
    <mergeCell ref="C39:D39"/>
    <mergeCell ref="B16:D16"/>
    <mergeCell ref="B47:G47"/>
    <mergeCell ref="C38:D38"/>
    <mergeCell ref="B46:G46"/>
    <mergeCell ref="B31:D31"/>
    <mergeCell ref="E2:J3"/>
    <mergeCell ref="B22:D22"/>
    <mergeCell ref="C37:D37"/>
    <mergeCell ref="B18:D18"/>
    <mergeCell ref="B27:D27"/>
    <mergeCell ref="B43:G43"/>
    <mergeCell ref="B21:D21"/>
    <mergeCell ref="B52:G52"/>
    <mergeCell ref="B48:G48"/>
    <mergeCell ref="E20:G2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B1:M52"/>
  <sheetViews>
    <sheetView showGridLines="1" workbookViewId="0">
      <selection activeCell="A1" sqref="A1"/>
    </sheetView>
  </sheetViews>
  <sheetFormatPr baseColWidth="8" defaultColWidth="9.1015625" defaultRowHeight="13.2" zeroHeight="0" outlineLevelRow="0"/>
  <cols>
    <col width="2.66" customWidth="1" style="72" min="1" max="1"/>
    <col width="28.33" customWidth="1" style="72" min="2" max="2"/>
    <col width="40.66" customWidth="1" style="72" min="3" max="3"/>
    <col width="16.88" customWidth="1" style="72" min="4" max="4"/>
    <col width="14.66" customWidth="1" style="72" min="5" max="7"/>
    <col width="18.66" customWidth="1" style="73" min="8" max="8"/>
    <col width="17.43" customWidth="1" style="72" min="9" max="9"/>
    <col width="10.55" customWidth="1" style="72" min="10" max="10"/>
    <col width="12.32" customWidth="1" style="72" min="11" max="13"/>
    <col width="9.1" customWidth="1" style="72" min="14" max="257"/>
  </cols>
  <sheetData>
    <row r="1" ht="13.8" customHeight="1" s="74">
      <c r="B1" s="75" t="inlineStr">
        <is>
          <t>Master Fund Name</t>
        </is>
      </c>
      <c r="C1" s="76" t="inlineStr">
        <is>
          <t>County Line Rail Fund I, LP</t>
        </is>
      </c>
      <c r="E1" s="77" t="inlineStr">
        <is>
          <t>Actions Required by the Manager:</t>
        </is>
      </c>
    </row>
    <row r="2" ht="14.25" customHeight="1" s="74">
      <c r="B2" s="75" t="inlineStr">
        <is>
          <t>Master Fund Currency</t>
        </is>
      </c>
      <c r="C2" s="76" t="inlineStr">
        <is>
          <t>US Dollar</t>
        </is>
      </c>
      <c r="E2" s="78" t="inlineStr">
        <is>
          <t>-Please populate all blue fields in this template in the fund's currency for each GCM Grosvenor-affiliated entity's proportionate share that is an investor in your fund.</t>
        </is>
      </c>
      <c r="F2" s="79" t="n"/>
      <c r="G2" s="79" t="n"/>
      <c r="H2" s="79" t="n"/>
      <c r="I2" s="79" t="n"/>
      <c r="J2" s="79" t="n"/>
    </row>
    <row r="3" ht="13.2" customHeight="1" s="74">
      <c r="B3" s="75" t="inlineStr">
        <is>
          <t>Master Fund Commitments</t>
        </is>
      </c>
      <c r="C3" s="76" t="n">
        <v>5000000</v>
      </c>
      <c r="E3" s="79" t="n"/>
      <c r="F3" s="79" t="n"/>
      <c r="G3" s="79" t="n"/>
      <c r="H3" s="79" t="n"/>
      <c r="I3" s="79" t="n"/>
      <c r="J3" s="79" t="n"/>
    </row>
    <row r="4" ht="13.2" customHeight="1" s="74">
      <c r="B4" s="75" t="inlineStr">
        <is>
          <t>Investor Remaining Commitment</t>
        </is>
      </c>
      <c r="C4" s="76" t="n"/>
    </row>
    <row r="5" ht="13.2" customHeight="1" s="74">
      <c r="B5" s="75" t="inlineStr">
        <is>
          <t>Fund Name</t>
        </is>
      </c>
      <c r="C5" s="76" t="inlineStr">
        <is>
          <t>County Line Rail Fund I, LP</t>
        </is>
      </c>
      <c r="E5" s="78" t="inlineStr">
        <is>
          <t>-If a GCM Grosvenor-affiliated entity acquired an interest on a secondary basis, please populate the template from the acquisition date forward instead of from the inception date of the fund.</t>
        </is>
      </c>
      <c r="F5" s="79" t="n"/>
      <c r="G5" s="79" t="n"/>
      <c r="H5" s="79" t="n"/>
      <c r="I5" s="79" t="n"/>
      <c r="J5" s="79" t="n"/>
    </row>
    <row r="6" ht="13.2" customHeight="1" s="74">
      <c r="B6" s="75" t="inlineStr">
        <is>
          <t>Fund Currency</t>
        </is>
      </c>
      <c r="C6" s="76" t="inlineStr">
        <is>
          <t>US Dollar</t>
        </is>
      </c>
      <c r="E6" s="79" t="n"/>
      <c r="F6" s="79" t="n"/>
      <c r="G6" s="79" t="n"/>
      <c r="H6" s="79" t="n"/>
      <c r="I6" s="79" t="n"/>
      <c r="J6" s="79" t="n"/>
    </row>
    <row r="7" ht="24" customHeight="1" s="74">
      <c r="B7" s="75" t="inlineStr">
        <is>
          <t>Investor Name</t>
        </is>
      </c>
      <c r="C7" s="76" t="inlineStr">
        <is>
          <t>GCM Grosvenor - NYSTRS Real Estate Investment Partners, L.P. (2024-1 Series)</t>
        </is>
      </c>
    </row>
    <row r="8" ht="15" customHeight="1" s="74"/>
    <row r="9" ht="15" customHeight="1" s="74">
      <c r="B9" s="80" t="n"/>
      <c r="C9" s="81" t="n"/>
      <c r="D9" s="81" t="n"/>
      <c r="E9" s="81" t="n"/>
      <c r="F9" s="81" t="n"/>
      <c r="G9" s="81" t="n"/>
      <c r="I9" s="82" t="inlineStr">
        <is>
          <t>Inception Start(1):</t>
        </is>
      </c>
      <c r="J9" s="83" t="n">
        <v>45485</v>
      </c>
    </row>
    <row r="10" ht="14.1" customHeight="1" s="74">
      <c r="B10" s="84" t="n"/>
      <c r="C10" s="85" t="n"/>
      <c r="D10" s="86" t="n"/>
      <c r="E10" s="87" t="inlineStr">
        <is>
          <t>QTD</t>
        </is>
      </c>
      <c r="F10" s="88" t="inlineStr">
        <is>
          <t>YTD</t>
        </is>
      </c>
      <c r="G10" s="89" t="inlineStr">
        <is>
          <t>Since Inception</t>
        </is>
      </c>
      <c r="I10" s="90" t="inlineStr">
        <is>
          <t>Current Year Start:</t>
        </is>
      </c>
      <c r="J10" s="91" t="n">
        <v>46023</v>
      </c>
    </row>
    <row r="11" ht="14.1" customHeight="1" s="74">
      <c r="B11" s="92" t="n"/>
      <c r="D11" s="93" t="n"/>
      <c r="E11" s="94">
        <f>J11</f>
        <v/>
      </c>
      <c r="F11" s="95">
        <f>J10</f>
        <v/>
      </c>
      <c r="G11" s="96">
        <f>J9</f>
        <v/>
      </c>
      <c r="H11" s="73" t="inlineStr">
        <is>
          <t>Row Contains Formulas</t>
        </is>
      </c>
      <c r="I11" s="97" t="inlineStr">
        <is>
          <t>Current Period Start:</t>
        </is>
      </c>
      <c r="J11" s="91" t="n">
        <v>46113</v>
      </c>
    </row>
    <row r="12" ht="14.1" customHeight="1" s="74">
      <c r="B12" s="98" t="n"/>
      <c r="C12" s="81" t="n"/>
      <c r="D12" s="99" t="n"/>
      <c r="E12" s="100">
        <f>$J$12</f>
        <v/>
      </c>
      <c r="F12" s="101">
        <f>$J$12</f>
        <v/>
      </c>
      <c r="G12" s="102">
        <f>$J$12</f>
        <v/>
      </c>
      <c r="H12" s="73" t="inlineStr">
        <is>
          <t>Row Contains Formulas</t>
        </is>
      </c>
      <c r="I12" s="103" t="inlineStr">
        <is>
          <t>Period End:</t>
        </is>
      </c>
      <c r="J12" s="104" t="n">
        <v>46203</v>
      </c>
    </row>
    <row r="13" ht="13.5" customHeight="1" s="74">
      <c r="B13" s="105" t="n"/>
      <c r="C13" s="106" t="n"/>
      <c r="D13" s="106" t="n"/>
      <c r="E13" s="106" t="n"/>
      <c r="F13" s="106" t="n"/>
      <c r="G13" s="106" t="n"/>
    </row>
    <row r="14" ht="15" customHeight="1" s="74">
      <c r="B14" s="107" t="inlineStr">
        <is>
          <t>A. Capital Account Statement for LP</t>
        </is>
      </c>
      <c r="C14" s="108" t="n"/>
      <c r="D14" s="108" t="n"/>
      <c r="E14" s="108" t="n"/>
      <c r="F14" s="108" t="n"/>
      <c r="G14" s="109" t="n"/>
      <c r="J14" s="110" t="n"/>
    </row>
    <row r="15" ht="15.9" customFormat="1" customHeight="1" s="111">
      <c r="B15" s="112" t="inlineStr">
        <is>
          <t>A.1 NAV Reconciliation and Summary of Fees, Expenses &amp; Incentive Allocation</t>
        </is>
      </c>
      <c r="C15" s="108" t="n"/>
      <c r="D15" s="109" t="n"/>
      <c r="E15" s="113" t="inlineStr">
        <is>
          <t>GCM Program  Allocation of Total Fund</t>
        </is>
      </c>
      <c r="F15" s="108" t="n"/>
      <c r="G15" s="109" t="n"/>
      <c r="H15" s="114" t="n"/>
    </row>
    <row r="16" ht="14.1" customHeight="1" s="74">
      <c r="B16" s="115" t="inlineStr">
        <is>
          <t>Beginning NAV - Net of Incentive Allocation</t>
        </is>
      </c>
      <c r="C16" s="85" t="n"/>
      <c r="D16" s="86" t="n"/>
      <c r="E16" s="76" t="n"/>
      <c r="F16" s="76" t="n"/>
      <c r="G16" s="76" t="n">
        <v>0</v>
      </c>
      <c r="H16" s="116" t="n"/>
      <c r="K16" s="110" t="n"/>
      <c r="L16" s="110" t="n"/>
      <c r="M16" s="117" t="n"/>
    </row>
    <row r="17" ht="14.1" customHeight="1" s="74">
      <c r="B17" s="118" t="inlineStr">
        <is>
          <t>Contributions - Cash &amp; Non-Cash</t>
        </is>
      </c>
      <c r="D17" s="93" t="n"/>
      <c r="E17" s="76" t="n"/>
      <c r="F17" s="76" t="n"/>
      <c r="G17" s="76">
        <f>+F17</f>
        <v/>
      </c>
      <c r="J17" s="72" t="n">
        <v>22920336</v>
      </c>
      <c r="K17" s="110" t="n"/>
      <c r="L17" s="110" t="n"/>
      <c r="M17" s="117" t="n"/>
    </row>
    <row r="18" ht="14.1" customHeight="1" s="74">
      <c r="B18" s="118" t="inlineStr">
        <is>
          <t>Distributions - Cash &amp; Non-Cash (input positive values)</t>
        </is>
      </c>
      <c r="D18" s="93" t="n"/>
      <c r="E18" s="76" t="n"/>
      <c r="F18" s="76" t="n"/>
      <c r="G18" s="76">
        <f>+F18</f>
        <v/>
      </c>
      <c r="J18" s="72" t="n">
        <v>-781023</v>
      </c>
      <c r="K18" s="110" t="n"/>
      <c r="L18" s="110" t="n"/>
      <c r="M18" s="117" t="n"/>
    </row>
    <row r="19" ht="14.1" customHeight="1" s="74">
      <c r="B19" s="119" t="inlineStr">
        <is>
          <t>Total Cash / Non-Cash Flows (contributions, less distributions)</t>
        </is>
      </c>
      <c r="D19" s="93" t="n"/>
      <c r="E19" s="120">
        <f>E17-E18</f>
        <v/>
      </c>
      <c r="F19" s="120">
        <f>F17-F18</f>
        <v/>
      </c>
      <c r="G19" s="121">
        <f>G17-G18</f>
        <v/>
      </c>
      <c r="H19" s="73" t="inlineStr">
        <is>
          <t>Row Contains Formulas</t>
        </is>
      </c>
      <c r="K19" s="110" t="n"/>
      <c r="L19" s="110" t="n"/>
      <c r="M19" s="117" t="n"/>
    </row>
    <row r="20" ht="14.1" customHeight="1" s="74">
      <c r="B20" s="122" t="inlineStr">
        <is>
          <t>Net Operating Income (Expense):</t>
        </is>
      </c>
      <c r="D20" s="93" t="n"/>
      <c r="E20" s="123" t="n"/>
      <c r="G20" s="93" t="n"/>
      <c r="K20" s="110" t="n"/>
      <c r="L20" s="110" t="n"/>
      <c r="M20" s="117" t="n"/>
    </row>
    <row r="21" ht="14.1" customHeight="1" s="74">
      <c r="B21" s="124" t="inlineStr">
        <is>
          <t>(Management Fees – Gross of Offsets, Waivers &amp; Rebates):</t>
        </is>
      </c>
      <c r="D21" s="93" t="n"/>
      <c r="E21" s="76" t="n"/>
      <c r="F21" s="76" t="n"/>
      <c r="G21" s="76">
        <f>+F21</f>
        <v/>
      </c>
      <c r="K21" s="110" t="n"/>
      <c r="L21" s="110" t="n"/>
      <c r="M21" s="117" t="n"/>
    </row>
    <row r="22" ht="13.2" customHeight="1" s="74">
      <c r="B22" s="124" t="inlineStr">
        <is>
          <t>Management Fee Rebate</t>
        </is>
      </c>
      <c r="D22" s="93" t="n"/>
      <c r="E22" s="76" t="n"/>
      <c r="F22" s="76" t="n"/>
      <c r="G22" s="76" t="n"/>
      <c r="K22" s="110" t="n"/>
      <c r="L22" s="110" t="n"/>
      <c r="M22" s="117" t="n"/>
    </row>
    <row r="23" ht="14.1" customHeight="1" s="74">
      <c r="B23" s="124" t="inlineStr">
        <is>
          <t>(Partnership Expenses - Total):</t>
        </is>
      </c>
      <c r="D23" s="93" t="n"/>
      <c r="E23" s="76" t="n"/>
      <c r="F23" s="76" t="n"/>
      <c r="G23" s="76">
        <f>+F23</f>
        <v/>
      </c>
      <c r="K23" s="110" t="n"/>
      <c r="L23" s="110" t="n"/>
      <c r="M23" s="117" t="n"/>
    </row>
    <row r="24" ht="14.1" customHeight="1" s="74">
      <c r="B24" s="124" t="inlineStr">
        <is>
          <t>Total Offsets to Fees &amp; Expenses (applied during period):</t>
        </is>
      </c>
      <c r="D24" s="93" t="n"/>
      <c r="E24" s="76" t="n"/>
      <c r="F24" s="76" t="n"/>
      <c r="G24" s="76" t="n"/>
      <c r="K24" s="110" t="n"/>
      <c r="L24" s="110" t="n"/>
      <c r="M24" s="117" t="n"/>
    </row>
    <row r="25" ht="14.1" customHeight="1" s="74">
      <c r="B25" s="124" t="inlineStr">
        <is>
          <t>(Total Management Fees &amp; Partnership Expenses, Net of Offsets &amp; Rebates, Gross of Fee Waiver)</t>
        </is>
      </c>
      <c r="D25" s="93" t="n"/>
      <c r="E25" s="125">
        <f>E21+E22+E23+E24</f>
        <v/>
      </c>
      <c r="F25" s="125">
        <f>F21+F22+F23+F24</f>
        <v/>
      </c>
      <c r="G25" s="126">
        <f>G21+G22+G23+G24</f>
        <v/>
      </c>
      <c r="H25" s="73" t="inlineStr">
        <is>
          <t>Row Contains Formulas</t>
        </is>
      </c>
      <c r="K25" s="110" t="n"/>
      <c r="L25" s="110" t="n"/>
      <c r="M25" s="117" t="n"/>
    </row>
    <row r="26" ht="14.1" customHeight="1" s="74">
      <c r="B26" s="124" t="inlineStr">
        <is>
          <t>Fee Waiver</t>
        </is>
      </c>
      <c r="D26" s="93" t="n"/>
      <c r="E26" s="76" t="n"/>
      <c r="F26" s="76" t="n"/>
      <c r="G26" s="76" t="n"/>
      <c r="K26" s="110" t="n"/>
      <c r="L26" s="110" t="n"/>
      <c r="M26" s="117" t="n"/>
    </row>
    <row r="27" ht="14.1" customHeight="1" s="74">
      <c r="B27" s="124" t="inlineStr">
        <is>
          <t>Interest Income</t>
        </is>
      </c>
      <c r="D27" s="93" t="n"/>
      <c r="E27" s="76" t="n"/>
      <c r="F27" s="76" t="n"/>
      <c r="G27" s="76">
        <f>+F27</f>
        <v/>
      </c>
      <c r="K27" s="110" t="n"/>
      <c r="L27" s="110" t="n"/>
      <c r="M27" s="117" t="n"/>
    </row>
    <row r="28" ht="14.1" customHeight="1" s="74">
      <c r="B28" s="124" t="inlineStr">
        <is>
          <t>Dividend Income</t>
        </is>
      </c>
      <c r="D28" s="93" t="n"/>
      <c r="E28" s="76" t="n"/>
      <c r="F28" s="76" t="n"/>
      <c r="G28" s="76" t="n"/>
      <c r="K28" s="110" t="n"/>
      <c r="L28" s="110" t="n"/>
      <c r="M28" s="117" t="n"/>
    </row>
    <row r="29" ht="14.1" customHeight="1" s="74">
      <c r="B29" s="124" t="inlineStr">
        <is>
          <t>(Interest Expense)</t>
        </is>
      </c>
      <c r="D29" s="93" t="n"/>
      <c r="E29" s="76" t="n"/>
      <c r="F29" s="76" t="n"/>
      <c r="G29" s="76" t="n"/>
      <c r="K29" s="110" t="n"/>
      <c r="L29" s="110" t="n"/>
      <c r="M29" s="117" t="n"/>
    </row>
    <row r="30" ht="14.1" customHeight="1" s="74">
      <c r="B30" s="124" t="inlineStr">
        <is>
          <t>Other Income/(Expense)(2)</t>
        </is>
      </c>
      <c r="D30" s="93" t="n"/>
      <c r="E30" s="76" t="n"/>
      <c r="F30" s="76" t="n"/>
      <c r="G30" s="76" t="n"/>
      <c r="K30" s="110" t="n"/>
      <c r="L30" s="110" t="n"/>
      <c r="M30" s="117" t="n"/>
    </row>
    <row r="31" ht="14.1" customHeight="1" s="74">
      <c r="B31" s="119" t="inlineStr">
        <is>
          <t>Total Net Operating Income / (Expense)</t>
        </is>
      </c>
      <c r="D31" s="93" t="n"/>
      <c r="E31" s="120">
        <f>SUM(E25:E30)</f>
        <v/>
      </c>
      <c r="F31" s="120">
        <f>SUM(F25:F30)</f>
        <v/>
      </c>
      <c r="G31" s="121">
        <f>SUM(G25:G30)</f>
        <v/>
      </c>
      <c r="H31" s="73" t="inlineStr">
        <is>
          <t>Row Contains Formulas</t>
        </is>
      </c>
      <c r="K31" s="110" t="n"/>
      <c r="L31" s="110" t="n"/>
      <c r="M31" s="117" t="n"/>
    </row>
    <row r="32" ht="14.1" customHeight="1" s="74">
      <c r="B32" s="119" t="inlineStr">
        <is>
          <t>(Placement Fees)</t>
        </is>
      </c>
      <c r="D32" s="93" t="n"/>
      <c r="E32" s="76" t="n"/>
      <c r="F32" s="76" t="n"/>
      <c r="G32" s="76">
        <f>+F32</f>
        <v/>
      </c>
      <c r="K32" s="110" t="n"/>
      <c r="L32" s="110" t="n"/>
      <c r="M32" s="117" t="n"/>
    </row>
    <row r="33" ht="14.1" customHeight="1" s="74">
      <c r="B33" s="119" t="inlineStr">
        <is>
          <t>Realized Gain / (Loss)</t>
        </is>
      </c>
      <c r="D33" s="93" t="n"/>
      <c r="E33" s="76" t="n"/>
      <c r="F33" s="76" t="n"/>
      <c r="G33" s="76" t="n"/>
      <c r="K33" s="110" t="n"/>
      <c r="L33" s="110" t="n"/>
      <c r="M33" s="117" t="n"/>
    </row>
    <row r="34" ht="14.1" customHeight="1" s="74">
      <c r="B34" s="127" t="inlineStr">
        <is>
          <t>Incentive fee allocation</t>
        </is>
      </c>
      <c r="C34" s="128" t="n"/>
      <c r="D34" s="129" t="n"/>
      <c r="E34" s="76" t="n"/>
      <c r="F34" s="76" t="n"/>
      <c r="G34" s="76" t="n"/>
      <c r="K34" s="110" t="n"/>
      <c r="L34" s="110" t="n"/>
      <c r="M34" s="117" t="n"/>
    </row>
    <row r="35" ht="14.1" customHeight="1" s="74">
      <c r="B35" s="119" t="inlineStr">
        <is>
          <t>Change in Unrealized Gain / (Loss)</t>
        </is>
      </c>
      <c r="D35" s="93" t="n"/>
      <c r="E35" s="76" t="n"/>
      <c r="F35" s="76" t="n"/>
      <c r="G35" s="76" t="n"/>
      <c r="K35" s="110" t="n"/>
      <c r="L35" s="110" t="n"/>
      <c r="M35" s="117" t="n"/>
    </row>
    <row r="36" ht="14.1" customHeight="1" s="74">
      <c r="B36" s="119" t="inlineStr">
        <is>
          <t>Ending NAV - Net of Incentive Allocation</t>
        </is>
      </c>
      <c r="D36" s="93" t="n"/>
      <c r="E36" s="130">
        <f>E16+E19+E31+E32+E33+E35+E34</f>
        <v/>
      </c>
      <c r="F36" s="130">
        <f>F16+F19+F31+F32+F33+F35+F34</f>
        <v/>
      </c>
      <c r="G36" s="131">
        <f>G16+G19+G31+G32+G33+G35+G34</f>
        <v/>
      </c>
      <c r="H36" s="73" t="inlineStr">
        <is>
          <t>Row Contains Formulas</t>
        </is>
      </c>
      <c r="K36" s="110" t="n"/>
      <c r="L36" s="110" t="n"/>
      <c r="M36" s="117" t="n"/>
    </row>
    <row r="37" ht="14.1" customHeight="1" s="74">
      <c r="B37" s="132" t="inlineStr">
        <is>
          <t>Reconciliation for Accrued Incentive Allocation</t>
        </is>
      </c>
      <c r="C37" s="133" t="inlineStr">
        <is>
          <t>Accrued Incentive Allocation - Starting Period Balance</t>
        </is>
      </c>
      <c r="D37" s="134" t="n"/>
      <c r="E37" s="76" t="n"/>
      <c r="F37" s="76" t="n"/>
      <c r="G37" s="76" t="n"/>
      <c r="K37" s="135" t="n"/>
      <c r="L37" s="135" t="n"/>
      <c r="M37" s="135" t="n"/>
    </row>
    <row r="38" ht="14.1" customHeight="1" s="74">
      <c r="B38" s="92" t="n"/>
      <c r="C38" s="136" t="inlineStr">
        <is>
          <t>Incentive Allocation - Paid During the Period</t>
        </is>
      </c>
      <c r="D38" s="93" t="n"/>
      <c r="E38" s="76" t="n"/>
      <c r="F38" s="76" t="n"/>
      <c r="G38" s="76" t="n"/>
      <c r="K38" s="135" t="n"/>
      <c r="L38" s="135" t="n"/>
      <c r="M38" s="135" t="n"/>
    </row>
    <row r="39" ht="14.1" customHeight="1" s="74">
      <c r="B39" s="92" t="n"/>
      <c r="C39" s="136" t="inlineStr">
        <is>
          <t>Accrued Incentive Allocation - Periodic Change</t>
        </is>
      </c>
      <c r="D39" s="93" t="n"/>
      <c r="E39" s="76" t="n"/>
      <c r="F39" s="76" t="n"/>
      <c r="G39" s="76" t="n"/>
      <c r="K39" s="135" t="n"/>
      <c r="L39" s="135" t="n"/>
      <c r="M39" s="135" t="n"/>
    </row>
    <row r="40" ht="14.1" customHeight="1" s="74">
      <c r="B40" s="92" t="n"/>
      <c r="C40" s="137" t="inlineStr">
        <is>
          <t>Accrued Incentive Allocation - Ending Period Balance</t>
        </is>
      </c>
      <c r="D40" s="93" t="n"/>
      <c r="E40" s="138">
        <f>SUM(E37:E39)</f>
        <v/>
      </c>
      <c r="F40" s="138">
        <f>SUM(F37:F39)</f>
        <v/>
      </c>
      <c r="G40" s="139">
        <f>SUM(G37:G39)</f>
        <v/>
      </c>
      <c r="H40" s="73" t="inlineStr">
        <is>
          <t>Row Contains Formulas</t>
        </is>
      </c>
      <c r="K40" s="135" t="n"/>
      <c r="L40" s="135" t="n"/>
      <c r="M40" s="135" t="n"/>
    </row>
    <row r="41" ht="14.1" customHeight="1" s="74">
      <c r="B41" s="98" t="n"/>
      <c r="C41" s="140" t="inlineStr">
        <is>
          <t>Ending NAV - Gross of Accrued Incentive Allocation</t>
        </is>
      </c>
      <c r="D41" s="99" t="n"/>
      <c r="E41" s="141">
        <f>E36-E40</f>
        <v/>
      </c>
      <c r="F41" s="141">
        <f>F36-F40</f>
        <v/>
      </c>
      <c r="G41" s="142">
        <f>G36-G40</f>
        <v/>
      </c>
      <c r="H41" s="73" t="inlineStr">
        <is>
          <t>Row Contains Formulas</t>
        </is>
      </c>
      <c r="K41" s="135" t="n"/>
      <c r="L41" s="135" t="n"/>
      <c r="M41" s="135" t="n"/>
    </row>
    <row r="42" ht="14.1" customHeight="1" s="74">
      <c r="B42" s="143" t="n"/>
      <c r="C42" s="144" t="n"/>
      <c r="D42" s="145" t="n"/>
      <c r="E42" s="146" t="n"/>
      <c r="F42" s="146" t="n"/>
      <c r="G42" s="146" t="n"/>
      <c r="K42" s="135" t="n"/>
      <c r="L42" s="135" t="n"/>
      <c r="M42" s="135" t="n"/>
    </row>
    <row r="43" ht="14.1" customHeight="1" s="74">
      <c r="B43" s="105" t="n"/>
    </row>
    <row r="44" ht="15" customHeight="1" s="74">
      <c r="B44" s="105" t="inlineStr">
        <is>
          <t>(1) If the Investor acquired the interest in the Fund on a secondary basis, please indicate the acquisition date and populate the template from this date forward.</t>
        </is>
      </c>
    </row>
    <row r="45" ht="14.1" customHeight="1" s="74">
      <c r="B45" s="105" t="inlineStr">
        <is>
          <t>(2) A description should be provided in the footnote section for any amount(s) listed in this row for the year-to-date period</t>
        </is>
      </c>
    </row>
    <row r="46" ht="14.1" customHeight="1" s="74">
      <c r="B46" s="105" t="n"/>
    </row>
    <row r="47" ht="15.75" customHeight="1" s="74">
      <c r="B47" s="147" t="inlineStr">
        <is>
          <t>Footnotes for any YTD (Total Fund) expenses, fees &amp; offsets (including any "other" balances)</t>
        </is>
      </c>
      <c r="C47" s="85" t="n"/>
      <c r="D47" s="85" t="n"/>
      <c r="E47" s="85" t="n"/>
      <c r="F47" s="85" t="n"/>
      <c r="G47" s="86" t="n"/>
    </row>
    <row r="48" ht="13.2" customHeight="1" s="74">
      <c r="B48" s="148" t="n"/>
      <c r="G48" s="93" t="n"/>
    </row>
    <row r="49" ht="13.2" customHeight="1" s="74">
      <c r="B49" s="149" t="n"/>
      <c r="G49" s="93" t="n"/>
    </row>
    <row r="50" ht="13.2" customHeight="1" s="74">
      <c r="B50" s="149" t="n"/>
      <c r="G50" s="93" t="n"/>
    </row>
    <row r="51" ht="13.2" customHeight="1" s="74">
      <c r="B51" s="149" t="n"/>
      <c r="G51" s="93" t="n"/>
    </row>
    <row r="52" ht="15.75" customHeight="1" s="74">
      <c r="B52" s="150" t="n"/>
      <c r="C52" s="81" t="n"/>
      <c r="D52" s="81" t="n"/>
      <c r="E52" s="81" t="n"/>
      <c r="F52" s="81" t="n"/>
      <c r="G52" s="99" t="n"/>
    </row>
  </sheetData>
  <mergeCells count="44">
    <mergeCell ref="B14:G14"/>
    <mergeCell ref="B23:D23"/>
    <mergeCell ref="B17:D17"/>
    <mergeCell ref="B10:D12"/>
    <mergeCell ref="B37:B41"/>
    <mergeCell ref="B29:D29"/>
    <mergeCell ref="B44:G44"/>
    <mergeCell ref="E15:G15"/>
    <mergeCell ref="B28:D28"/>
    <mergeCell ref="B19:D19"/>
    <mergeCell ref="C41:D41"/>
    <mergeCell ref="B9:G9"/>
    <mergeCell ref="E5:J6"/>
    <mergeCell ref="B49:G49"/>
    <mergeCell ref="B30:D30"/>
    <mergeCell ref="C40:D40"/>
    <mergeCell ref="B15:D15"/>
    <mergeCell ref="B24:D24"/>
    <mergeCell ref="B20:D20"/>
    <mergeCell ref="B33:D33"/>
    <mergeCell ref="B51:G51"/>
    <mergeCell ref="B36:D36"/>
    <mergeCell ref="B45:G45"/>
    <mergeCell ref="B32:D32"/>
    <mergeCell ref="B35:D35"/>
    <mergeCell ref="B26:D26"/>
    <mergeCell ref="B50:G50"/>
    <mergeCell ref="B25:D25"/>
    <mergeCell ref="C39:D39"/>
    <mergeCell ref="B16:D16"/>
    <mergeCell ref="B47:G47"/>
    <mergeCell ref="C38:D38"/>
    <mergeCell ref="B46:G46"/>
    <mergeCell ref="B31:D31"/>
    <mergeCell ref="E2:J3"/>
    <mergeCell ref="B22:D22"/>
    <mergeCell ref="C37:D37"/>
    <mergeCell ref="B18:D18"/>
    <mergeCell ref="B27:D27"/>
    <mergeCell ref="B43:G43"/>
    <mergeCell ref="B21:D21"/>
    <mergeCell ref="B52:G52"/>
    <mergeCell ref="B48:G48"/>
    <mergeCell ref="E20:G2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 B. Chapman</dc:creator>
  <dc:language xmlns:dc="http://purl.org/dc/elements/1.1/">en-US</dc:language>
  <dcterms:created xmlns:dcterms="http://purl.org/dc/terms/" xmlns:xsi="http://www.w3.org/2001/XMLSchema-instance" xsi:type="dcterms:W3CDTF">2017-07-11T17:37:13Z</dcterms:created>
  <dcterms:modified xmlns:dcterms="http://purl.org/dc/terms/" xmlns:xsi="http://www.w3.org/2001/XMLSchema-instance" xsi:type="dcterms:W3CDTF">2026-09-16T23:34:19Z</dcterms:modified>
  <cp:lastModifiedBy>Sally Chan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0x010100FC28C10C27D52149BB87BD4D20BFA969</vt:lpwstr>
  </property>
  <property name="MediaServiceImageTags" fmtid="{D5CDD505-2E9C-101B-9397-08002B2CF9AE}" pid="3">
    <vt:lpwstr xmlns:vt="http://schemas.openxmlformats.org/officeDocument/2006/docPropsVTypes"/>
  </property>
  <property name="Order" fmtid="{D5CDD505-2E9C-101B-9397-08002B2CF9AE}" pid="4">
    <vt:r8 xmlns:vt="http://schemas.openxmlformats.org/officeDocument/2006/docPropsVTypes">81000</vt:r8>
  </property>
  <property name="TaxCatchAll" fmtid="{D5CDD505-2E9C-101B-9397-08002B2CF9AE}" pid="5">
    <vt:lpwstr xmlns:vt="http://schemas.openxmlformats.org/officeDocument/2006/docPropsVTypes"/>
  </property>
  <property name="lcf76f155ced4ddcb4097134ff3c332f" fmtid="{D5CDD505-2E9C-101B-9397-08002B2CF9AE}" pid="6">
    <vt:lpwstr xmlns:vt="http://schemas.openxmlformats.org/officeDocument/2006/docPropsVTypes"/>
  </property>
</Properties>
</file>