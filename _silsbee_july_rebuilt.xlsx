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26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xl/comments2.xml" ContentType="application/vnd.openxmlformats-officedocument.spreadsheetml.comments+xml"/>
  <Override PartName="/xl/comments1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 firstSheet="2" activeTab="7"/>
  </bookViews>
  <sheets>
    <sheet sheetId="33" name="Dev Phase -&gt;" state="hidden" r:id="rId4"/>
    <sheet sheetId="1" name="Board Report (Dev) " state="hidden" r:id="rId5"/>
    <sheet sheetId="2" name="Budget to Actual P1" state="visible" r:id="rId6"/>
    <sheet sheetId="25" name="Soft Cost Contingency P1" state="visible" r:id="rId7"/>
    <sheet sheetId="11" name="Soft cost contingency-PSTR" state="hidden" r:id="rId8"/>
    <sheet sheetId="13" name="Hard cost contingency" state="hidden" r:id="rId9"/>
    <sheet sheetId="26" name="Hard Cost Contigency P1" state="visible" r:id="rId10"/>
    <sheet sheetId="4" name="Current Invoice Log P1" state="visible" r:id="rId11"/>
    <sheet sheetId="21" name="Prior Invoice Log P1" state="visible" r:id="rId12"/>
    <sheet sheetId="23" name="Dev Fee P1" state="visible" r:id="rId13"/>
    <sheet sheetId="22" name="Project Costs (Dev)" state="hidden" r:id="rId14"/>
    <sheet sheetId="27" name="OP-&gt;" state="hidden" r:id="rId15"/>
    <sheet sheetId="28" name="Budget to Actual (OP)" state="hidden" r:id="rId16"/>
    <sheet sheetId="29" name="Current Revenue Log (OP)" state="hidden" r:id="rId17"/>
    <sheet sheetId="30" name="Prior Revenue Log (OP)" state="hidden" r:id="rId18"/>
    <sheet sheetId="31" name="Current Invoice Log (OP)" state="hidden" r:id="rId19"/>
    <sheet sheetId="32" name="Prior Invoice Log (OP)" state="hidden" r:id="rId20"/>
    <sheet sheetId="18" name="Bridge Approvd Budget to Actual" state="hidden" r:id="rId21"/>
    <sheet sheetId="9" name="Budget to Actual (2)" state="hidden" r:id="rId22"/>
  </sheets>
  <definedNames>
    <definedName name="_xlnm.Print_Area" localSheetId="1">'Board Report (Dev) '!$ANaN:$GNaN</definedName>
    <definedName name="_xlnm.Print_Area" localSheetId="2">'Budget to Actual P1'!$A2:$L140</definedName>
    <definedName name="_xlnm.Print_Titles" localSheetId="2">'Budget to Actual P1'!$7:$9</definedName>
    <definedName name="_xlnm.Print_Area" localSheetId="3">'Soft Cost Contingency P1'!$A1:$J36</definedName>
    <definedName name="_xlnm.Print_Area" localSheetId="4">'Soft cost contingency-PSTR'!$A1:$H29</definedName>
    <definedName name="_xlnm.Print_Area" localSheetId="6">'Hard Cost Contigency P1'!$A1:$J39</definedName>
    <definedName name="_xlnm.Print_Area" localSheetId="7">'Current Invoice Log P1'!$A4:$H97</definedName>
    <definedName name="_xlnm.Print_Titles" localSheetId="7">'Current Invoice Log P1'!$1:$5</definedName>
    <definedName name="_xlnm.Print_Area" localSheetId="8">'Prior Invoice Log P1'!$A4:$H234</definedName>
    <definedName name="_xlnm.Print_Titles" localSheetId="8">'Prior Invoice Log P1'!$1:$5</definedName>
    <definedName name="_xlnm.Print_Area" localSheetId="17">'Bridge Approvd Budget to Actual'!$B1:$L253</definedName>
    <definedName name="_xlnm.Print_Titles" localSheetId="17">'Bridge Approvd Budget to Actual'!$6:$8</definedName>
    <definedName name="_xlnm.Print_Area" localSheetId="18">'Budget to Actual (2)'!$A1:$K251</definedName>
    <definedName name="_xlnm.Print_Titles" localSheetId="18">'Budget to Actual (2)'!$6:$8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87" authorId="0">
      <text/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78" authorId="0">
      <text/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C78" authorId="0">
      <text/>
    </comment>
  </commentList>
</comments>
</file>

<file path=xl/sharedStrings.xml><?xml version="1.0" encoding="utf-8"?>
<sst xmlns="http://schemas.openxmlformats.org/spreadsheetml/2006/main" count="4054" uniqueCount="994">
  <si>
    <t>PROJECT Budget</t>
  </si>
  <si>
    <t>CLR Silsbee PO LLC</t>
  </si>
  <si>
    <t>Application Period: 12.2024</t>
  </si>
  <si>
    <t xml:space="preserve">Requisition: </t>
  </si>
  <si>
    <t>Requisition Total</t>
  </si>
  <si>
    <t>Approved Budget</t>
  </si>
  <si>
    <t>$/RSF</t>
  </si>
  <si>
    <t>Payment To Date</t>
  </si>
  <si>
    <t>Balance To Pay</t>
  </si>
  <si>
    <t>% Paid</t>
  </si>
  <si>
    <t>Project NRSF</t>
  </si>
  <si>
    <t>LAND</t>
  </si>
  <si>
    <t>SITEWORK</t>
  </si>
  <si>
    <t>CONSTRUCTION - BASE</t>
  </si>
  <si>
    <t>PERMITS AND FEES</t>
  </si>
  <si>
    <t>DESIGN AND ENGINEERING CONSULTANTS</t>
  </si>
  <si>
    <t xml:space="preserve">FINANCING  </t>
  </si>
  <si>
    <t>OTHER DEVELOPMENT COSTS</t>
  </si>
  <si>
    <t xml:space="preserve">LEASING AND MARKETING </t>
  </si>
  <si>
    <t>TOTAL PROJECT COSTS</t>
  </si>
  <si>
    <t>change date in line #9</t>
  </si>
  <si>
    <t>2026-07-31</t>
  </si>
  <si>
    <t>County Line Rail Silsbee LLC</t>
  </si>
  <si>
    <t>Budget to Actual</t>
  </si>
  <si>
    <t xml:space="preserve"> </t>
  </si>
  <si>
    <t>Silsbee PO</t>
  </si>
  <si>
    <t>Previous Contingency</t>
  </si>
  <si>
    <t>Current Contingency</t>
  </si>
  <si>
    <t>Previous Application</t>
  </si>
  <si>
    <t>Payment this period</t>
  </si>
  <si>
    <t>Total Complete &amp; Draw To Date</t>
  </si>
  <si>
    <t>Balance remaining</t>
  </si>
  <si>
    <t>GL Coding</t>
  </si>
  <si>
    <t>Account Name</t>
  </si>
  <si>
    <t>Funding &amp; Reallocation</t>
  </si>
  <si>
    <t>Current Approved Budget</t>
  </si>
  <si>
    <t>Inception to 06/30/2026</t>
  </si>
  <si>
    <t>7/31/2026</t>
  </si>
  <si>
    <t>Incurred to 7/31/2026</t>
  </si>
  <si>
    <t>Percent Drawn</t>
  </si>
  <si>
    <t>As of 7/31/2026</t>
  </si>
  <si>
    <t>Land Purchase</t>
  </si>
  <si>
    <t>Acquisitions Costs (Land Purchase)</t>
  </si>
  <si>
    <t>Other Land Costs</t>
  </si>
  <si>
    <t>Total Land Cost</t>
  </si>
  <si>
    <t>Demolition</t>
  </si>
  <si>
    <t>Offsite Utilities</t>
  </si>
  <si>
    <t>Site Work</t>
  </si>
  <si>
    <t>Utilities Relocation</t>
  </si>
  <si>
    <t>Total Site Work</t>
  </si>
  <si>
    <t>11230-1</t>
  </si>
  <si>
    <t>Yard Stabilization</t>
  </si>
  <si>
    <t>11230-2</t>
  </si>
  <si>
    <t>Warehouse Improvements</t>
  </si>
  <si>
    <t>11230-3</t>
  </si>
  <si>
    <t>Sprinkler Improvements</t>
  </si>
  <si>
    <t>11230-4</t>
  </si>
  <si>
    <t>Roof Improvements</t>
  </si>
  <si>
    <t>11230-5</t>
  </si>
  <si>
    <t>Electrical Improvements</t>
  </si>
  <si>
    <t>11230-6</t>
  </si>
  <si>
    <t>Fencing</t>
  </si>
  <si>
    <t>11230-7</t>
  </si>
  <si>
    <t>Other Hard Costs</t>
  </si>
  <si>
    <t>Hard Cost Contingency</t>
  </si>
  <si>
    <t>Soft Cost Contingency</t>
  </si>
  <si>
    <t>Construction Costs</t>
  </si>
  <si>
    <t>Sanitary Charges</t>
  </si>
  <si>
    <t>Water Charges</t>
  </si>
  <si>
    <t>Building Permits</t>
  </si>
  <si>
    <t>CO Fees</t>
  </si>
  <si>
    <t>A&amp;E Permit Fees</t>
  </si>
  <si>
    <t>File &amp; Review Fees</t>
  </si>
  <si>
    <t>Tax Abatement</t>
  </si>
  <si>
    <t>Zoning Variances Fees</t>
  </si>
  <si>
    <t>Impact Fees - General</t>
  </si>
  <si>
    <t>Impact Fees - Water</t>
  </si>
  <si>
    <t>Impact Fees - Sewer</t>
  </si>
  <si>
    <t>Impact Fees - Park</t>
  </si>
  <si>
    <t>Impact Fees - Road</t>
  </si>
  <si>
    <t>Impact Fees - School</t>
  </si>
  <si>
    <t>Impact Fees - Other</t>
  </si>
  <si>
    <t>Permits and Fees</t>
  </si>
  <si>
    <t>Construction Management Fees</t>
  </si>
  <si>
    <t>A&amp;E</t>
  </si>
  <si>
    <t>Environmental (incl. Enviro Insurance)</t>
  </si>
  <si>
    <t>Other Due Diligence</t>
  </si>
  <si>
    <t>Civil Engineering Plans</t>
  </si>
  <si>
    <t>General Consultant</t>
  </si>
  <si>
    <t>Accessibility Consultant</t>
  </si>
  <si>
    <t>Pool Consultant</t>
  </si>
  <si>
    <t>Moisture Consultant</t>
  </si>
  <si>
    <t>Renderings &amp; Models</t>
  </si>
  <si>
    <t>Reproduction/Printing</t>
  </si>
  <si>
    <t>Reimbursable</t>
  </si>
  <si>
    <t>Revisions/Change Orders</t>
  </si>
  <si>
    <t>Bidding, Negotiation &amp; Admin Phase</t>
  </si>
  <si>
    <t>Travel - Architectural and Design</t>
  </si>
  <si>
    <t>Permits/Approval</t>
  </si>
  <si>
    <t>Postage &amp; Delivery</t>
  </si>
  <si>
    <t>Architectural % of Construction Costs</t>
  </si>
  <si>
    <t>Corp Setup accounting</t>
  </si>
  <si>
    <t>Tax Preparation accounting</t>
  </si>
  <si>
    <t>Professional Services - Accounting</t>
  </si>
  <si>
    <t>Other Accounting</t>
  </si>
  <si>
    <t>Total Design and Engineering Consultants</t>
  </si>
  <si>
    <t xml:space="preserve">Legal </t>
  </si>
  <si>
    <t>Loan Fees</t>
  </si>
  <si>
    <t>Capitalized Interest, Insurance, and Taxes</t>
  </si>
  <si>
    <t>Interest Rate Cap</t>
  </si>
  <si>
    <t>Appraisal</t>
  </si>
  <si>
    <t>Market/Feasibility Study</t>
  </si>
  <si>
    <t>Predevelopment Interest</t>
  </si>
  <si>
    <t>Investor Interest</t>
  </si>
  <si>
    <t>Points on Equity (LP Fee)</t>
  </si>
  <si>
    <t>Debt Placement Fee</t>
  </si>
  <si>
    <t>Development Oversight Fee (LP FEE)</t>
  </si>
  <si>
    <t>Closing Fees</t>
  </si>
  <si>
    <t>Bank Charges</t>
  </si>
  <si>
    <t>Inspections/Feasibility</t>
  </si>
  <si>
    <t>Architectural Inspections</t>
  </si>
  <si>
    <t>Title Updates</t>
  </si>
  <si>
    <t>Letter of Credit</t>
  </si>
  <si>
    <t>Applications Costs</t>
  </si>
  <si>
    <t>Other Finance Costs (Loan Cap)</t>
  </si>
  <si>
    <t>Property Tax</t>
  </si>
  <si>
    <t>Property Insurance</t>
  </si>
  <si>
    <t>Guarantee Fee</t>
  </si>
  <si>
    <t>LeaseUp Operating Deficits</t>
  </si>
  <si>
    <t>Construction Period Interest</t>
  </si>
  <si>
    <t>Total Financing &amp; Other Costs</t>
  </si>
  <si>
    <t>GL Construction Insurance</t>
  </si>
  <si>
    <t>Development Management Fee</t>
  </si>
  <si>
    <t>Copies &amp; Reproduction</t>
  </si>
  <si>
    <t>Travel - Other Development Costs</t>
  </si>
  <si>
    <t>Acquisition Fees</t>
  </si>
  <si>
    <t>Signage</t>
  </si>
  <si>
    <t>Miscellaneous</t>
  </si>
  <si>
    <t>Builder's Risk Insurance</t>
  </si>
  <si>
    <t xml:space="preserve">OCIP </t>
  </si>
  <si>
    <t>Telecommunications</t>
  </si>
  <si>
    <t>Electricity</t>
  </si>
  <si>
    <t>Gas</t>
  </si>
  <si>
    <t>Water/Sewer</t>
  </si>
  <si>
    <t>Warranty</t>
  </si>
  <si>
    <t>Reserves</t>
  </si>
  <si>
    <t>Other Warranty and Reserves</t>
  </si>
  <si>
    <t>Developer Fee</t>
  </si>
  <si>
    <t>Development Fee - BROZ 5321 Fund LLC</t>
  </si>
  <si>
    <t>Total Other Development Costs</t>
  </si>
  <si>
    <t>Closing Cost/Other</t>
  </si>
  <si>
    <t>Broker Commissions</t>
  </si>
  <si>
    <t>Closing Costs</t>
  </si>
  <si>
    <t>Other Marketing</t>
  </si>
  <si>
    <t>Advertising</t>
  </si>
  <si>
    <t>Marketing Material</t>
  </si>
  <si>
    <t>Commercial Commissions</t>
  </si>
  <si>
    <t>Other Commercial Marketing</t>
  </si>
  <si>
    <t>Total Leasing and Marketing</t>
  </si>
  <si>
    <t>Zone Project Costs - All</t>
  </si>
  <si>
    <t>Total Project Costs incurred per GL</t>
  </si>
  <si>
    <t>Total Project Costs incurred per Master Report</t>
  </si>
  <si>
    <t>Discrepancy (Scrap cost recovered)</t>
  </si>
  <si>
    <t>Proceeds from Proler</t>
  </si>
  <si>
    <t>Gain/(Loss) on Scrap Sales</t>
  </si>
  <si>
    <t>Project Costs recorded in Master Report but not in the GL</t>
  </si>
  <si>
    <t>Cross Check</t>
  </si>
  <si>
    <t>Total Project Costs per Budget to Actual</t>
  </si>
  <si>
    <t>Zone Project Cost - All = Board Report</t>
  </si>
  <si>
    <t>PC Total should be zero</t>
  </si>
  <si>
    <t>CC total should be zero</t>
  </si>
  <si>
    <t>BTA = Prior Inv Log</t>
  </si>
  <si>
    <t>BTA = Current Inv Log</t>
  </si>
  <si>
    <t>Total Project Costs per Exp Analysis</t>
  </si>
  <si>
    <t>BTA = Dev Fee</t>
  </si>
  <si>
    <t>Soft Cost Contingency Table</t>
  </si>
  <si>
    <t>Cost Category</t>
  </si>
  <si>
    <t>Contingency</t>
  </si>
  <si>
    <t>Req #</t>
  </si>
  <si>
    <t>Notes</t>
  </si>
  <si>
    <t>Previously</t>
  </si>
  <si>
    <t>Requested</t>
  </si>
  <si>
    <t>Total</t>
  </si>
  <si>
    <t>COA#</t>
  </si>
  <si>
    <t>Herein</t>
  </si>
  <si>
    <t>Budget adjustment</t>
  </si>
  <si>
    <t>Budget overrun on accounting</t>
  </si>
  <si>
    <t>Budget overrun on A&amp;E</t>
  </si>
  <si>
    <t>Legal</t>
  </si>
  <si>
    <t>Budget overrun on Legal</t>
  </si>
  <si>
    <t>Contingency Allocations</t>
  </si>
  <si>
    <t>Original Contingency Budget</t>
  </si>
  <si>
    <t>Contingency Previously Requested</t>
  </si>
  <si>
    <t>Contingency Requested Herein</t>
  </si>
  <si>
    <t>Total Contingency Requested</t>
  </si>
  <si>
    <t>Remaining Contingency</t>
  </si>
  <si>
    <t>Budget to Actual = Soft Cost Contingency Table</t>
  </si>
  <si>
    <t>Req</t>
  </si>
  <si>
    <t>Land</t>
  </si>
  <si>
    <t>Due Diligence</t>
  </si>
  <si>
    <t>Reference Hidden Tab "Bridge Approvd Budget to Actual"</t>
  </si>
  <si>
    <t>Added 489,803.90 to Orginal Budget (1,914,611.10)</t>
  </si>
  <si>
    <t>Hard Cost Contingency Table</t>
  </si>
  <si>
    <t>Budget Reallocation</t>
  </si>
  <si>
    <t>Budget to Actual = Hard Cost Contingency Table</t>
  </si>
  <si>
    <t>Current Invoice Log</t>
  </si>
  <si>
    <t>Bank Cost Category</t>
  </si>
  <si>
    <t>Cost Code #</t>
  </si>
  <si>
    <t>Cost Code Name</t>
  </si>
  <si>
    <t>Vendor</t>
  </si>
  <si>
    <t>Bill number</t>
  </si>
  <si>
    <t>Amount</t>
  </si>
  <si>
    <t>Requisition Month</t>
  </si>
  <si>
    <t>Invoice (Y/N)</t>
  </si>
  <si>
    <t>CliftonLarsonAllen LLP</t>
  </si>
  <si>
    <t>L261457720</t>
  </si>
  <si>
    <t>Req#11</t>
  </si>
  <si>
    <t>2026-07-27</t>
  </si>
  <si>
    <t>Professional Services - Accounting Total</t>
  </si>
  <si>
    <t>BoTX</t>
  </si>
  <si>
    <t>Jul_26 Interest</t>
  </si>
  <si>
    <t>2026-07-13</t>
  </si>
  <si>
    <t>Construction Period Interest Total</t>
  </si>
  <si>
    <t>Soft Costs</t>
  </si>
  <si>
    <t>Development Fee</t>
  </si>
  <si>
    <t>County Line Rail Interest</t>
  </si>
  <si>
    <t>July_26 Dev Fee</t>
  </si>
  <si>
    <t>Development Fee Total</t>
  </si>
  <si>
    <t>DFW Lee &amp; Associates, LLC - Houston Office, RS</t>
  </si>
  <si>
    <t>20256631-1</t>
  </si>
  <si>
    <t>2026-07-01</t>
  </si>
  <si>
    <t>Broker Commissions Total</t>
  </si>
  <si>
    <t>Grand Total</t>
  </si>
  <si>
    <t>Prior Invoice Log</t>
  </si>
  <si>
    <t>Amount Paid</t>
  </si>
  <si>
    <t>Invoice</t>
  </si>
  <si>
    <t>Land Cost</t>
  </si>
  <si>
    <t>Acquisitions Costs (Land Purchase) Total</t>
  </si>
  <si>
    <t>Expansion Costs (Base Construction Costs)</t>
  </si>
  <si>
    <t>Expansion Costs (Base Construction Costs) Total</t>
  </si>
  <si>
    <t>Construction Cost</t>
  </si>
  <si>
    <t>Other Structures (BNSF 418 Road Crossing Install)</t>
  </si>
  <si>
    <t>Other Structures (BNSF 418 Road Crossing Install) Total</t>
  </si>
  <si>
    <t>Track Clearing Repair</t>
  </si>
  <si>
    <t>Track Clearing Repair Total</t>
  </si>
  <si>
    <t>Building Repair (waterproofing)</t>
  </si>
  <si>
    <t>Building Repair</t>
  </si>
  <si>
    <t>Building Repair (waterproofing) Total</t>
  </si>
  <si>
    <t>Deferred Maintenance</t>
  </si>
  <si>
    <t>Base Construction Costs Total</t>
  </si>
  <si>
    <t>Working Capital</t>
  </si>
  <si>
    <t>Working Capital Total</t>
  </si>
  <si>
    <t>Design and Engineering Consultants</t>
  </si>
  <si>
    <t>TRC</t>
  </si>
  <si>
    <t>50631</t>
  </si>
  <si>
    <t>Colliers International</t>
  </si>
  <si>
    <t>A&amp;E Total</t>
  </si>
  <si>
    <t>Environmental</t>
  </si>
  <si>
    <t>Environmental Total</t>
  </si>
  <si>
    <t>Other Construction Costs</t>
  </si>
  <si>
    <t>Agri-Serv Industrial Maintenance</t>
  </si>
  <si>
    <t>Pay App#1</t>
  </si>
  <si>
    <t>Rec #1</t>
  </si>
  <si>
    <t>Stewart Development &amp; Construction, LLC</t>
  </si>
  <si>
    <t>Water Asset Holdings</t>
  </si>
  <si>
    <t>CLR2509</t>
  </si>
  <si>
    <t>Double S Industrial Contractors, Inc.</t>
  </si>
  <si>
    <t>125-2901-A</t>
  </si>
  <si>
    <t>Ram Industrial Construction</t>
  </si>
  <si>
    <t>17431</t>
  </si>
  <si>
    <t>In January GL, Not on Req Report</t>
  </si>
  <si>
    <t>Switch Yard Mowing</t>
  </si>
  <si>
    <t>10001</t>
  </si>
  <si>
    <t>Summit Fire &amp; Security, LLC</t>
  </si>
  <si>
    <t>Pay App #1</t>
  </si>
  <si>
    <t>Rec #2</t>
  </si>
  <si>
    <t>Pay App #2</t>
  </si>
  <si>
    <t>Strategic Roofing Solutions</t>
  </si>
  <si>
    <t>Pay App #1 - Roofing</t>
  </si>
  <si>
    <t>Biskamp Electric</t>
  </si>
  <si>
    <t>Pay App #3</t>
  </si>
  <si>
    <t>Rec #3</t>
  </si>
  <si>
    <t>Pay App #3R</t>
  </si>
  <si>
    <t>Bartlett &amp; West</t>
  </si>
  <si>
    <t>730105520</t>
  </si>
  <si>
    <t>Rec #4</t>
  </si>
  <si>
    <t>730106293</t>
  </si>
  <si>
    <t>730106835</t>
  </si>
  <si>
    <t>788993</t>
  </si>
  <si>
    <t>730107424</t>
  </si>
  <si>
    <t>Curtis Oilfield Services</t>
  </si>
  <si>
    <t>60176</t>
  </si>
  <si>
    <t>Summit Fire &amp; Security</t>
  </si>
  <si>
    <t>789010</t>
  </si>
  <si>
    <t>789013</t>
  </si>
  <si>
    <t>Tony's Concrete</t>
  </si>
  <si>
    <t>122225</t>
  </si>
  <si>
    <t>Pay App #4</t>
  </si>
  <si>
    <t>Rec #5</t>
  </si>
  <si>
    <t>Pay App #4R</t>
  </si>
  <si>
    <t>789022</t>
  </si>
  <si>
    <t>730107842</t>
  </si>
  <si>
    <t>Pay App #5</t>
  </si>
  <si>
    <t>Rec #6</t>
  </si>
  <si>
    <t>XC Container LLC</t>
  </si>
  <si>
    <t>SO09612</t>
  </si>
  <si>
    <t>Pay App#6R</t>
  </si>
  <si>
    <t>Rec #7</t>
  </si>
  <si>
    <t>Pay App#1b</t>
  </si>
  <si>
    <t>789096</t>
  </si>
  <si>
    <t>Pay App#6</t>
  </si>
  <si>
    <t>789081</t>
  </si>
  <si>
    <t>Pay App#4</t>
  </si>
  <si>
    <t>Pay App#5R</t>
  </si>
  <si>
    <t>Choctaw Construction Services</t>
  </si>
  <si>
    <t>26-2754-1</t>
  </si>
  <si>
    <t>Rec #8</t>
  </si>
  <si>
    <t>26-2759-1</t>
  </si>
  <si>
    <t>Pay App#1b (revised)</t>
  </si>
  <si>
    <t>Other Due Diligence Total</t>
  </si>
  <si>
    <t>Financing &amp; Other Costs</t>
  </si>
  <si>
    <t>Other Legal - Legal</t>
  </si>
  <si>
    <t>Mira Blanton PLLC</t>
  </si>
  <si>
    <t>20250109</t>
  </si>
  <si>
    <t>Jack Holmes</t>
  </si>
  <si>
    <t>303</t>
  </si>
  <si>
    <t>In April GL, Not on Req Report</t>
  </si>
  <si>
    <t>304</t>
  </si>
  <si>
    <t>In May GL, Not on Req Report</t>
  </si>
  <si>
    <t>308</t>
  </si>
  <si>
    <t>In August GL, Not on Req Report</t>
  </si>
  <si>
    <t>Patrick M Knapp</t>
  </si>
  <si>
    <t>022</t>
  </si>
  <si>
    <t>Troutman Pepper Locke</t>
  </si>
  <si>
    <t>132053245</t>
  </si>
  <si>
    <t>309</t>
  </si>
  <si>
    <t>3509</t>
  </si>
  <si>
    <t>3510</t>
  </si>
  <si>
    <t>3511</t>
  </si>
  <si>
    <t>3249</t>
  </si>
  <si>
    <t>CLRFI</t>
  </si>
  <si>
    <t>ADJ JE CLR Fund Loan Closing</t>
  </si>
  <si>
    <t>BoTX Loan Closing ADJ JE</t>
  </si>
  <si>
    <t>L.E. Peabody</t>
  </si>
  <si>
    <t>Feb_2026</t>
  </si>
  <si>
    <t>Other Legal - Legal Total</t>
  </si>
  <si>
    <t>Civil Engineering  Plans</t>
  </si>
  <si>
    <t>Civil Engineering Plans Total</t>
  </si>
  <si>
    <t>48204</t>
  </si>
  <si>
    <t>536237</t>
  </si>
  <si>
    <t>536249 (Silsbee Portion)</t>
  </si>
  <si>
    <t>48561</t>
  </si>
  <si>
    <t>CLR2510</t>
  </si>
  <si>
    <t>CLR251003</t>
  </si>
  <si>
    <t>CLR2511</t>
  </si>
  <si>
    <t>49013</t>
  </si>
  <si>
    <t>CLR2512</t>
  </si>
  <si>
    <t>49136</t>
  </si>
  <si>
    <t>CLR2601</t>
  </si>
  <si>
    <t>49488</t>
  </si>
  <si>
    <t>Access Surveyors</t>
  </si>
  <si>
    <t>20251052-1</t>
  </si>
  <si>
    <t>Southeast Texas Groundwater Cons.</t>
  </si>
  <si>
    <t>01.28.25WellPermits</t>
  </si>
  <si>
    <t>CLR2602</t>
  </si>
  <si>
    <t>2026056-1</t>
  </si>
  <si>
    <t>2026088-1</t>
  </si>
  <si>
    <t>49841</t>
  </si>
  <si>
    <t>CLR2603</t>
  </si>
  <si>
    <t>CLR2604</t>
  </si>
  <si>
    <t>CLR260415</t>
  </si>
  <si>
    <t>Rec #9</t>
  </si>
  <si>
    <t>Professional Services accounting</t>
  </si>
  <si>
    <t>L251572229</t>
  </si>
  <si>
    <t>L251635995</t>
  </si>
  <si>
    <t>L251712193</t>
  </si>
  <si>
    <t>L261008873</t>
  </si>
  <si>
    <t xml:space="preserve">- Accrual for December portion of CLA inv </t>
  </si>
  <si>
    <t>L261093961</t>
  </si>
  <si>
    <t>L261125750</t>
  </si>
  <si>
    <t>Reclassed fees from Dec_25</t>
  </si>
  <si>
    <t>L261196046</t>
  </si>
  <si>
    <t>L261295566</t>
  </si>
  <si>
    <t>L261385889</t>
  </si>
  <si>
    <t>Rec #10</t>
  </si>
  <si>
    <t>Sunflower Bank</t>
  </si>
  <si>
    <t>CLR Fund Loan Closing</t>
  </si>
  <si>
    <t>Oct_25 Capitalized Interest (CLRFI)</t>
  </si>
  <si>
    <t>Jan_26 Interest Accrual 1-14</t>
  </si>
  <si>
    <t>Feb_26 Interest 2-15</t>
  </si>
  <si>
    <t>Mar_26 Interest 3/15</t>
  </si>
  <si>
    <t>Apr_26 Interest 4/15</t>
  </si>
  <si>
    <t>May_26 Interest Accrual 16-31</t>
  </si>
  <si>
    <t>Jun_26 Interest Accrual 16-31</t>
  </si>
  <si>
    <t>Loan Fees Total</t>
  </si>
  <si>
    <t>Appraisal Total</t>
  </si>
  <si>
    <t>Other Development Costs</t>
  </si>
  <si>
    <t>Acquisition Fees Total</t>
  </si>
  <si>
    <t>Other Finance Costs (Loan Cap) Total</t>
  </si>
  <si>
    <t>Capitalized Property Tax</t>
  </si>
  <si>
    <t>Capitalized Property Tax Total</t>
  </si>
  <si>
    <t>Property Insurance Total</t>
  </si>
  <si>
    <t>M&amp;W Real Estate</t>
  </si>
  <si>
    <t>18</t>
  </si>
  <si>
    <t>DFW Lee &amp; Associates</t>
  </si>
  <si>
    <t>09042025</t>
  </si>
  <si>
    <t>Travel - Other Development Costs Total</t>
  </si>
  <si>
    <t>Banyan Residential</t>
  </si>
  <si>
    <t>Sep_25 Dev Fee</t>
  </si>
  <si>
    <t>Oct_25 Dev Fee</t>
  </si>
  <si>
    <t>Nov_25 Dev Fee</t>
  </si>
  <si>
    <t>Dec_25 Dev Fee</t>
  </si>
  <si>
    <t>Jan_25 Dev Fee</t>
  </si>
  <si>
    <t>Feb_25 Dev Fee</t>
  </si>
  <si>
    <t>Mar_25 Dev Fee</t>
  </si>
  <si>
    <t>Apr_25 Dev Fee</t>
  </si>
  <si>
    <t>May_25 Dev Fee</t>
  </si>
  <si>
    <t>Jun_26 Dev Fee</t>
  </si>
  <si>
    <t>Developer Fee Total</t>
  </si>
  <si>
    <t>Office Buildout</t>
  </si>
  <si>
    <t>Office Buildout Total</t>
  </si>
  <si>
    <t>Grant Total</t>
  </si>
  <si>
    <t>County Line Rail Silsbee</t>
  </si>
  <si>
    <t>Development Fee Calculation</t>
  </si>
  <si>
    <t>Project costs</t>
  </si>
  <si>
    <t>Incurred to date</t>
  </si>
  <si>
    <t>Incurred - Month of</t>
  </si>
  <si>
    <t>Incurred</t>
  </si>
  <si>
    <t>Hard Costs</t>
  </si>
  <si>
    <t xml:space="preserve">Total </t>
  </si>
  <si>
    <t>Total per GL</t>
  </si>
  <si>
    <t>Discrepancy</t>
  </si>
  <si>
    <t>Development fees:</t>
  </si>
  <si>
    <t>Dev fees incurred to date</t>
  </si>
  <si>
    <t>Current Month Dev Fee</t>
  </si>
  <si>
    <t>Prior Month Balance</t>
  </si>
  <si>
    <t>Due to CLR Silsbee Property Owner</t>
  </si>
  <si>
    <t>Total:</t>
  </si>
  <si>
    <t>PROJECT FUNDING REQUISITION</t>
  </si>
  <si>
    <t>Application Period: 12/31/2025</t>
  </si>
  <si>
    <t>Requisition Report #17</t>
  </si>
  <si>
    <t>Operations</t>
  </si>
  <si>
    <t>Inception to 11/30/2025</t>
  </si>
  <si>
    <t>Incurred to 12/31/2025</t>
  </si>
  <si>
    <t>As of 12/31/2025</t>
  </si>
  <si>
    <t>In &amp; Out Fees</t>
  </si>
  <si>
    <t>Storage Fees</t>
  </si>
  <si>
    <t>Transloading Fees</t>
  </si>
  <si>
    <t>Intra Plant Switch Fees</t>
  </si>
  <si>
    <t>Concessions</t>
  </si>
  <si>
    <t>Bad Debt</t>
  </si>
  <si>
    <t>Total Rail Income</t>
  </si>
  <si>
    <t>Short Term Land Leases</t>
  </si>
  <si>
    <t>Intra-Plant Switch Fees</t>
  </si>
  <si>
    <t>Warehouse Lease Income</t>
  </si>
  <si>
    <t>Late Fees</t>
  </si>
  <si>
    <t>Total Other Income</t>
  </si>
  <si>
    <t>Total Income</t>
  </si>
  <si>
    <t>Switchmen Salaries - Reimbursable</t>
  </si>
  <si>
    <t>Switchmen Healthcare – Reimbursable</t>
  </si>
  <si>
    <t>Mowing Assistance - Reimbursable</t>
  </si>
  <si>
    <t>Onsite Manager</t>
  </si>
  <si>
    <t>Overtime</t>
  </si>
  <si>
    <t>Security</t>
  </si>
  <si>
    <t>Asset Manager - (County Line)</t>
  </si>
  <si>
    <t>Accounting (County Line)</t>
  </si>
  <si>
    <t>Business Development (County Line)</t>
  </si>
  <si>
    <t>Offsite Manager</t>
  </si>
  <si>
    <t>Offsite Staff</t>
  </si>
  <si>
    <t>&lt;-- Non-Budgeted Item</t>
  </si>
  <si>
    <t>Total Payroll</t>
  </si>
  <si>
    <t>Professional Fees</t>
  </si>
  <si>
    <t>Legal Fees</t>
  </si>
  <si>
    <t>Consulting Fees</t>
  </si>
  <si>
    <t>Dues &amp; Subscriptions</t>
  </si>
  <si>
    <t>Office Expense</t>
  </si>
  <si>
    <t>Postage and Delivery</t>
  </si>
  <si>
    <t>Telephone &amp; Internet</t>
  </si>
  <si>
    <t>Advertising &amp; Marketing</t>
  </si>
  <si>
    <t>Bank Fees</t>
  </si>
  <si>
    <t>Inventory Management</t>
  </si>
  <si>
    <t>Accounting Fees</t>
  </si>
  <si>
    <t>Travel</t>
  </si>
  <si>
    <t>Meals</t>
  </si>
  <si>
    <t>Total Admin</t>
  </si>
  <si>
    <t>Track Repairs</t>
  </si>
  <si>
    <t>Switch Repairs</t>
  </si>
  <si>
    <t>Crossing Repairs</t>
  </si>
  <si>
    <t>Locomotive Repair</t>
  </si>
  <si>
    <t>Landscape Maintenance</t>
  </si>
  <si>
    <t>Site/Yard Maintenace</t>
  </si>
  <si>
    <t>Road Repairs</t>
  </si>
  <si>
    <t>Vehicle Repairs</t>
  </si>
  <si>
    <t>Other Repairs</t>
  </si>
  <si>
    <t>Total Maintenance</t>
  </si>
  <si>
    <t>Fuel</t>
  </si>
  <si>
    <t>Locomotive Lease</t>
  </si>
  <si>
    <t>Demurrage Charges</t>
  </si>
  <si>
    <t>(Other)</t>
  </si>
  <si>
    <t>Total Service/Operating Expenses</t>
  </si>
  <si>
    <t>Management Fees - Hall Logistics</t>
  </si>
  <si>
    <t>Management Fees - County Line</t>
  </si>
  <si>
    <t>AM Fees - Banyan</t>
  </si>
  <si>
    <t>Total AM/Mgmt. Fees</t>
  </si>
  <si>
    <t>Total Variable Expenses</t>
  </si>
  <si>
    <t>State and Local Taxes</t>
  </si>
  <si>
    <t>Insurance - Liability</t>
  </si>
  <si>
    <t>Utilities</t>
  </si>
  <si>
    <t>Total Fixed Expenses</t>
  </si>
  <si>
    <t>Total Expenses</t>
  </si>
  <si>
    <t>Net Operating Income</t>
  </si>
  <si>
    <t>Projected Debt Service</t>
  </si>
  <si>
    <t>Cash Flow After Debt Service</t>
  </si>
  <si>
    <t>Interest Expense</t>
  </si>
  <si>
    <t>Legal Expenditures</t>
  </si>
  <si>
    <t>Consultant Expenditures</t>
  </si>
  <si>
    <t>Unused Fee Expense</t>
  </si>
  <si>
    <t>Loan Fee Expense</t>
  </si>
  <si>
    <t>Grant Expenditures</t>
  </si>
  <si>
    <t>Car Reader</t>
  </si>
  <si>
    <t>Tenant Improvements</t>
  </si>
  <si>
    <t>Total Capital Expenditures</t>
  </si>
  <si>
    <t>Lender portion (75%)</t>
  </si>
  <si>
    <t>Draw Request Total</t>
  </si>
  <si>
    <r>
      <t>(</t>
    </r>
    <r>
      <rPr>
        <b/>
        <i/>
        <family val="2"/>
        <scheme val="minor"/>
        <sz val="10"/>
        <rFont val="Calibri"/>
      </rPr>
      <t>Rounded to the nearest 10,000</t>
    </r>
    <r>
      <rPr>
        <b/>
        <family val="2"/>
        <scheme val="minor"/>
        <sz val="10"/>
        <rFont val="Calibri"/>
      </rPr>
      <t>)</t>
    </r>
  </si>
  <si>
    <t>Rev:</t>
  </si>
  <si>
    <t>Expense:</t>
  </si>
  <si>
    <t>Customer</t>
  </si>
  <si>
    <t>Invoice #</t>
  </si>
  <si>
    <t>Invoice Date</t>
  </si>
  <si>
    <t>CURRENT REQ REPORT</t>
  </si>
  <si>
    <t>DUPLICATE(S)</t>
  </si>
  <si>
    <t>Land Leases</t>
  </si>
  <si>
    <t>Utility Lines Construction Services</t>
  </si>
  <si>
    <t>Land Leases Total</t>
  </si>
  <si>
    <t>In &amp; Out Fees Total</t>
  </si>
  <si>
    <t>Storage Fees Total</t>
  </si>
  <si>
    <t>Trasnloading Fees</t>
  </si>
  <si>
    <t>Transloading</t>
  </si>
  <si>
    <t>Trecora Resources</t>
  </si>
  <si>
    <t>Transloading Total</t>
  </si>
  <si>
    <t>Warehouse Lease</t>
  </si>
  <si>
    <t>Louisiana-Pacific Corporation</t>
  </si>
  <si>
    <t>Warehouse Lease Total</t>
  </si>
  <si>
    <t>Silsbee Ford</t>
  </si>
  <si>
    <t>GL</t>
  </si>
  <si>
    <t>GL Term</t>
  </si>
  <si>
    <t>Invoice Term</t>
  </si>
  <si>
    <t>Rent - Short Term</t>
  </si>
  <si>
    <t>Inbound/Outbound Fees</t>
  </si>
  <si>
    <t>Warehouse Storage, Base Spots, Overages</t>
  </si>
  <si>
    <t>Rent - Long term - Louisiana-Pacific</t>
  </si>
  <si>
    <t>1510</t>
  </si>
  <si>
    <t>1412</t>
  </si>
  <si>
    <t>1511</t>
  </si>
  <si>
    <t>1413</t>
  </si>
  <si>
    <t>1512</t>
  </si>
  <si>
    <t>Trecora Recources</t>
  </si>
  <si>
    <t>Valero</t>
  </si>
  <si>
    <t>4</t>
  </si>
  <si>
    <t>5</t>
  </si>
  <si>
    <t>8013</t>
  </si>
  <si>
    <t>6</t>
  </si>
  <si>
    <t>9</t>
  </si>
  <si>
    <t>8016</t>
  </si>
  <si>
    <t>USGAI Cement</t>
  </si>
  <si>
    <t>8014</t>
  </si>
  <si>
    <t>7</t>
  </si>
  <si>
    <t>10/31/205</t>
  </si>
  <si>
    <t>1408</t>
  </si>
  <si>
    <t>Bill Number</t>
  </si>
  <si>
    <t xml:space="preserve">Travel </t>
  </si>
  <si>
    <t>Dec_25 UBS CC Reimb.</t>
  </si>
  <si>
    <t>Travel Total</t>
  </si>
  <si>
    <t>Meals Total</t>
  </si>
  <si>
    <t>788995</t>
  </si>
  <si>
    <t>Site/Yard Maintenace Total</t>
  </si>
  <si>
    <t>Mcallen Signal and Boring</t>
  </si>
  <si>
    <t>Track Repairs Total</t>
  </si>
  <si>
    <t>12325CLR</t>
  </si>
  <si>
    <t>Crossing Repairs Total</t>
  </si>
  <si>
    <t>Landscape Maintenance Total</t>
  </si>
  <si>
    <t>Utilities Total</t>
  </si>
  <si>
    <t>Great Lakes Petroleum</t>
  </si>
  <si>
    <t>2698593-IN</t>
  </si>
  <si>
    <t>2716338-IN</t>
  </si>
  <si>
    <t>Fuel Total</t>
  </si>
  <si>
    <t>Accounting</t>
  </si>
  <si>
    <t>Accounting Fees Total</t>
  </si>
  <si>
    <t>Professional Fees Total</t>
  </si>
  <si>
    <t>Hall Rail Logistics</t>
  </si>
  <si>
    <t>Management Fees - Hall Logistics Total</t>
  </si>
  <si>
    <t>Management Fees - Banyan Residential</t>
  </si>
  <si>
    <t>Banyan Residential LLC</t>
  </si>
  <si>
    <t>Dec_25 Management Fee</t>
  </si>
  <si>
    <t>Management Fees - Banyan Residential Total</t>
  </si>
  <si>
    <t>AM Staff Services - Asset Manager</t>
  </si>
  <si>
    <t>County Line Rail Operations</t>
  </si>
  <si>
    <t>Aug_25 Asset Manager Fees</t>
  </si>
  <si>
    <t>AM Staff Services - Asset Manager Total</t>
  </si>
  <si>
    <t>Switchmen Healthcare - Reimbursable Total</t>
  </si>
  <si>
    <t>Mowing Assistance</t>
  </si>
  <si>
    <t>Mowing Assistance Total</t>
  </si>
  <si>
    <t>Switchmen Salaries - Reimbursable Total</t>
  </si>
  <si>
    <t>Management Fees</t>
  </si>
  <si>
    <t>AM Staff Services - Accounting - Reimbursable Total</t>
  </si>
  <si>
    <t>Management Fees Totals</t>
  </si>
  <si>
    <t>Legal Fees - General</t>
  </si>
  <si>
    <t>Patrick M Knapp, PC</t>
  </si>
  <si>
    <t>026</t>
  </si>
  <si>
    <t>Legal Fees - General Total</t>
  </si>
  <si>
    <t>Broker Commission Fee</t>
  </si>
  <si>
    <t>Consulting Fee Total</t>
  </si>
  <si>
    <t>Security Expense</t>
  </si>
  <si>
    <t>Tower Security Company</t>
  </si>
  <si>
    <t>Security Expense Totals</t>
  </si>
  <si>
    <t>Dues &amp; Subscriptions Total</t>
  </si>
  <si>
    <t>Office Expense Total</t>
  </si>
  <si>
    <t>DMA, Inc.</t>
  </si>
  <si>
    <t>Dec_25 Property Tax Accrual</t>
  </si>
  <si>
    <t>Property Tax Total</t>
  </si>
  <si>
    <t>Pre-paid property insurance</t>
  </si>
  <si>
    <t>Dec_25 Insurance Accrual</t>
  </si>
  <si>
    <t>Veritex Community Bank</t>
  </si>
  <si>
    <t>Dec_25 Bank Statement</t>
  </si>
  <si>
    <t>Bank Fees Total</t>
  </si>
  <si>
    <t>Interest Expense Total</t>
  </si>
  <si>
    <t>Unused Fee Expense Total</t>
  </si>
  <si>
    <t>Loan Fee Expense Total</t>
  </si>
  <si>
    <t>Condemnation Expense</t>
  </si>
  <si>
    <t>Cherry Peterson Albert LLC</t>
  </si>
  <si>
    <t>134912</t>
  </si>
  <si>
    <t>Condemnation Expense Total</t>
  </si>
  <si>
    <t>Jan_25 UBS CC Trx</t>
  </si>
  <si>
    <t>Dillon Schroeder Mileage (February)</t>
  </si>
  <si>
    <t>Feb_25 CC Exp</t>
  </si>
  <si>
    <t>Mar_25 CC Reimbursement</t>
  </si>
  <si>
    <t>Dillon Schroeder</t>
  </si>
  <si>
    <t>Mar_25 Mileage Reimb.</t>
  </si>
  <si>
    <t>Jay Kennedy Mileage (Feb)</t>
  </si>
  <si>
    <t>Jay Kennedy Mileage (Mar)</t>
  </si>
  <si>
    <t>Apr_25 UBS CC Reimbursement</t>
  </si>
  <si>
    <t>Dillon Schroeder Mileage (May)</t>
  </si>
  <si>
    <t>Dillon Schroeder Mileage (June)</t>
  </si>
  <si>
    <t>Jay Kennedy Mileage (Juen)</t>
  </si>
  <si>
    <t>June 2025 UBS Credit Card Reimb</t>
  </si>
  <si>
    <t>Jul_25 UBS CC Reimb.</t>
  </si>
  <si>
    <t>Jay Kennedy Mileage (July'25)</t>
  </si>
  <si>
    <t>Jay Kennedy Mileage (Aug'25)</t>
  </si>
  <si>
    <t>Aug_25 UBS CC (Travel)</t>
  </si>
  <si>
    <t>Sep_25 UBS CC</t>
  </si>
  <si>
    <t>Oct_25 UBS CC</t>
  </si>
  <si>
    <t>Jay Kennedy Mileage (Sep_25)</t>
  </si>
  <si>
    <t>Jay Kennedy Mileage (Oct_25)</t>
  </si>
  <si>
    <t>Dillon Schroeder Mileage (Nov_25)</t>
  </si>
  <si>
    <t>Nov_25 UBS CC Reimb.</t>
  </si>
  <si>
    <t>Biskamp Electric, Inc</t>
  </si>
  <si>
    <t>550086-1</t>
  </si>
  <si>
    <t>Kauffman Co.</t>
  </si>
  <si>
    <t>I2510-34</t>
  </si>
  <si>
    <t>Site/Yard Maintenance Total</t>
  </si>
  <si>
    <t>1525CLR</t>
  </si>
  <si>
    <t>12925CLR</t>
  </si>
  <si>
    <t>22825CLR</t>
  </si>
  <si>
    <t>33125CLR</t>
  </si>
  <si>
    <t>42625CLR</t>
  </si>
  <si>
    <t>52225CLR</t>
  </si>
  <si>
    <t>61925CLR</t>
  </si>
  <si>
    <t>71725CLR</t>
  </si>
  <si>
    <t>81425CLR</t>
  </si>
  <si>
    <t>91125CLR</t>
  </si>
  <si>
    <t>101425CLR</t>
  </si>
  <si>
    <t>11425CLR</t>
  </si>
  <si>
    <t>8005</t>
  </si>
  <si>
    <t>8009</t>
  </si>
  <si>
    <t>Entergy Services</t>
  </si>
  <si>
    <t>Live Oak Environmental</t>
  </si>
  <si>
    <t>Entergy Services, LLC</t>
  </si>
  <si>
    <t>Apr_2025 Bill Pay</t>
  </si>
  <si>
    <t>May_25 UBS CC Reimbursement</t>
  </si>
  <si>
    <t>June_25 UBS CC Reimbursement</t>
  </si>
  <si>
    <t>June 2025 Bill Pay</t>
  </si>
  <si>
    <t>July Bill Pay</t>
  </si>
  <si>
    <t>Aug_25 UBS CC 2</t>
  </si>
  <si>
    <t>CITY OF SILSBEE WATER SERVICE</t>
  </si>
  <si>
    <t>040875000Sep25</t>
  </si>
  <si>
    <t>040875000Oct25</t>
  </si>
  <si>
    <t>Entergy</t>
  </si>
  <si>
    <t>Entergy Bill Pay</t>
  </si>
  <si>
    <t>Nov_25 Entergy Bill Pay</t>
  </si>
  <si>
    <t>2460529-IN</t>
  </si>
  <si>
    <t>09102025</t>
  </si>
  <si>
    <t>L251010001</t>
  </si>
  <si>
    <t>L251077411</t>
  </si>
  <si>
    <t>L251127676</t>
  </si>
  <si>
    <t>Forvis Mazars</t>
  </si>
  <si>
    <t>L251199460</t>
  </si>
  <si>
    <t>L251128058</t>
  </si>
  <si>
    <t>L251307424</t>
  </si>
  <si>
    <t>L251307617</t>
  </si>
  <si>
    <t>L251430364</t>
  </si>
  <si>
    <t>L251526216</t>
  </si>
  <si>
    <t>Aug_25 UBS CC 3</t>
  </si>
  <si>
    <t>CSRS</t>
  </si>
  <si>
    <t>55515CLRF (Paid by County Line Rail Fund)</t>
  </si>
  <si>
    <t>Hardin County</t>
  </si>
  <si>
    <t>Jan25 Fees</t>
  </si>
  <si>
    <t>Feb_25 Management Fees</t>
  </si>
  <si>
    <t>Mar_25 Management Fees</t>
  </si>
  <si>
    <t>Apr_25 Management Fee</t>
  </si>
  <si>
    <t>May_25 Management Fee</t>
  </si>
  <si>
    <t>Juney_25 Management Fee</t>
  </si>
  <si>
    <t>July_25 Management Fee</t>
  </si>
  <si>
    <t>Aug_25 Management Fee</t>
  </si>
  <si>
    <t>Oct_25 Management Fee</t>
  </si>
  <si>
    <t>Nov_25 Management Fee</t>
  </si>
  <si>
    <t>Feb_25 Asset Manager Fees</t>
  </si>
  <si>
    <t>Mar_25 Asset Manager Fees</t>
  </si>
  <si>
    <t>Apr_25 Asset Manager Fees</t>
  </si>
  <si>
    <t>May_25 Asset Manager Fees</t>
  </si>
  <si>
    <t>June_25 Asset Manager Fees</t>
  </si>
  <si>
    <t>July_25 Asset Manager Fees</t>
  </si>
  <si>
    <t>Southern Lawn &amp; Landscapes</t>
  </si>
  <si>
    <t>10</t>
  </si>
  <si>
    <t>AM Staff Services - Accounting - Reimbursable</t>
  </si>
  <si>
    <t>Feb_25 Staff Accounting Fees</t>
  </si>
  <si>
    <t>Mar_25 Accounting</t>
  </si>
  <si>
    <t>Apr_25 Staff Accounting Fee</t>
  </si>
  <si>
    <t>May_25 Staff Accounting Fee</t>
  </si>
  <si>
    <t>June_25 Staff Accounting Fee</t>
  </si>
  <si>
    <t>July_25 Staff Accounting Fee</t>
  </si>
  <si>
    <t>AM Staff Services - Bus Dev - Reimbursable</t>
  </si>
  <si>
    <t>Feb_25 Bus Dev Fee</t>
  </si>
  <si>
    <t>Mar_25 Business Dev Fee</t>
  </si>
  <si>
    <t>Apr_25 Business Dev Fee</t>
  </si>
  <si>
    <t>May_25 Business Dev Fee</t>
  </si>
  <si>
    <t>June_25 Business Dev Fee</t>
  </si>
  <si>
    <t>July_25 Business Dev Fee</t>
  </si>
  <si>
    <t>AM Staff Services - Bus Dev - Reimbursable Total</t>
  </si>
  <si>
    <t>14</t>
  </si>
  <si>
    <t>22</t>
  </si>
  <si>
    <t>- Reimbursement from December Insurance Allocation</t>
  </si>
  <si>
    <t>Offsite Staff Total</t>
  </si>
  <si>
    <t>MeHaffy Weber</t>
  </si>
  <si>
    <t>CT Corporation</t>
  </si>
  <si>
    <t>26454021-RI</t>
  </si>
  <si>
    <t>012</t>
  </si>
  <si>
    <t>013</t>
  </si>
  <si>
    <t>017</t>
  </si>
  <si>
    <t>Akerman LLP</t>
  </si>
  <si>
    <t>018</t>
  </si>
  <si>
    <t>Novos Law (Paid by CLRF)</t>
  </si>
  <si>
    <t>17986CLRF</t>
  </si>
  <si>
    <t>16946CLRF</t>
  </si>
  <si>
    <t>- Recorded on the April 2025 FS</t>
  </si>
  <si>
    <t>17261CLRF</t>
  </si>
  <si>
    <t>17389CLRF</t>
  </si>
  <si>
    <t>17855CLRF</t>
  </si>
  <si>
    <t>15958CLRF</t>
  </si>
  <si>
    <t>16802CLRF</t>
  </si>
  <si>
    <t>17084CLRF</t>
  </si>
  <si>
    <t>17493CLRF</t>
  </si>
  <si>
    <t>17699CLRF</t>
  </si>
  <si>
    <t>019</t>
  </si>
  <si>
    <t>021</t>
  </si>
  <si>
    <t>34966772-RI</t>
  </si>
  <si>
    <t>5009049986-01</t>
  </si>
  <si>
    <t>509050026-01</t>
  </si>
  <si>
    <t>023</t>
  </si>
  <si>
    <t>Novos Law</t>
  </si>
  <si>
    <t>18109CLRF (Paid by Couny Line Rail Fund)</t>
  </si>
  <si>
    <t>18292CLRF (Paid by Couny Line Rail Fund)</t>
  </si>
  <si>
    <t>Consulting Fee</t>
  </si>
  <si>
    <t>Access Surveyors LLC</t>
  </si>
  <si>
    <t>2024941-1</t>
  </si>
  <si>
    <t>ESE Patners LLC</t>
  </si>
  <si>
    <t>22-2000-21</t>
  </si>
  <si>
    <t>Broker Commission Fee Total</t>
  </si>
  <si>
    <t>2870</t>
  </si>
  <si>
    <t>2882</t>
  </si>
  <si>
    <t>2894</t>
  </si>
  <si>
    <t>2908</t>
  </si>
  <si>
    <t>2920</t>
  </si>
  <si>
    <t>2932</t>
  </si>
  <si>
    <t>2945</t>
  </si>
  <si>
    <t>2957</t>
  </si>
  <si>
    <t>2969</t>
  </si>
  <si>
    <t>Google</t>
  </si>
  <si>
    <t>Jan_25 Accrual</t>
  </si>
  <si>
    <t>Feb_25 Property Tax Accrual</t>
  </si>
  <si>
    <t>Mar_25 Property Tax Accrual</t>
  </si>
  <si>
    <t>Apr_25 Property Tax Accrual</t>
  </si>
  <si>
    <t>May_25 Property Tax Accrual</t>
  </si>
  <si>
    <t>June_25 Property Tax Accrual</t>
  </si>
  <si>
    <t>July_25 Property Tax Accrual</t>
  </si>
  <si>
    <t>Aug_25 Property Tax Accrual</t>
  </si>
  <si>
    <t>Sep_25 Property Tax Accrual</t>
  </si>
  <si>
    <t>Oct_25 Property Tax Accrual</t>
  </si>
  <si>
    <t>Nov_25 Property Tax Accrual</t>
  </si>
  <si>
    <t>Feb_25 Accrual</t>
  </si>
  <si>
    <t>Mar_25 Pre-paid Insurance</t>
  </si>
  <si>
    <t>Apr_25 Pre-paid Insurance</t>
  </si>
  <si>
    <t>May_25 Pre-paid Insurance</t>
  </si>
  <si>
    <t>June_25 Pre-paid Insurance</t>
  </si>
  <si>
    <t>July_25 Pre-paid Insurance</t>
  </si>
  <si>
    <t>Aug_25 Pre-paid Insurance</t>
  </si>
  <si>
    <t>509037 (Reallocated from CLIP)</t>
  </si>
  <si>
    <t>520084 (Reallocated from CLIP)</t>
  </si>
  <si>
    <t>523498 (Reallocated from CLIP)</t>
  </si>
  <si>
    <t>Sep_25 Insurance Accrual</t>
  </si>
  <si>
    <t>Sep_25 Insurance Accrual (CLIP Reallocation)</t>
  </si>
  <si>
    <t>Oct_25 Insurance Accrual</t>
  </si>
  <si>
    <t>Oct_25 Insurance Accrual (CLIP Reallocation)</t>
  </si>
  <si>
    <t>Nov_25 Insurance Accrual</t>
  </si>
  <si>
    <t>Mar_25 Bank Fee</t>
  </si>
  <si>
    <t>Apr_25 Bank Fee</t>
  </si>
  <si>
    <t>May_25 Bank Fee</t>
  </si>
  <si>
    <t>June_25 Bank Fee</t>
  </si>
  <si>
    <t>July_25 Bank Fee</t>
  </si>
  <si>
    <t>Aug_25 Account Analysis Charge</t>
  </si>
  <si>
    <t>Sep_25 Bank Statement</t>
  </si>
  <si>
    <t>Oct_25 Bank Statement</t>
  </si>
  <si>
    <t>Nov_25 Bank Statement</t>
  </si>
  <si>
    <t>Jan25 Interest</t>
  </si>
  <si>
    <t>Feb_25 Accrued Interest</t>
  </si>
  <si>
    <t xml:space="preserve">Mar_25 Interest </t>
  </si>
  <si>
    <t xml:space="preserve">Apr_25 Interest </t>
  </si>
  <si>
    <t xml:space="preserve">May_25 Interest </t>
  </si>
  <si>
    <t xml:space="preserve">June_25 Interest </t>
  </si>
  <si>
    <t xml:space="preserve">July_25 Interest </t>
  </si>
  <si>
    <t>Bishop Arts JV, LLC</t>
  </si>
  <si>
    <t>Application Period: 12/31/21</t>
  </si>
  <si>
    <t>Requisition: #14</t>
  </si>
  <si>
    <t>Bishop Arts</t>
  </si>
  <si>
    <t>Yardi Code</t>
  </si>
  <si>
    <t>Approved JV Budget</t>
  </si>
  <si>
    <t>Inception to 11/30/21</t>
  </si>
  <si>
    <t>12/31/21</t>
  </si>
  <si>
    <t>Incurred to 12/31/21</t>
  </si>
  <si>
    <t>As of 12/31/21</t>
  </si>
  <si>
    <t>1470005</t>
  </si>
  <si>
    <t>Garage Construction Costs</t>
  </si>
  <si>
    <t xml:space="preserve">Base Construction Costs </t>
  </si>
  <si>
    <t>Retail Construction Costs/White Box</t>
  </si>
  <si>
    <t>Inflation</t>
  </si>
  <si>
    <t>Upgrades</t>
  </si>
  <si>
    <t>Landlord Tenant Improvements</t>
  </si>
  <si>
    <t>Commercial Tenant Improvements</t>
  </si>
  <si>
    <t xml:space="preserve">GMAX Contract Contingency </t>
  </si>
  <si>
    <t>Options and Selections</t>
  </si>
  <si>
    <t>Clubhouse</t>
  </si>
  <si>
    <t xml:space="preserve">Office </t>
  </si>
  <si>
    <t>Other Structures</t>
  </si>
  <si>
    <t>Other Amenities (Owner Wish List)</t>
  </si>
  <si>
    <t>Amenities</t>
  </si>
  <si>
    <t>Model Furnishings</t>
  </si>
  <si>
    <t>Common Area Furnishings</t>
  </si>
  <si>
    <t>Audio, Visual, and Security Equipment</t>
  </si>
  <si>
    <t>Televisions and Appliances</t>
  </si>
  <si>
    <t>Fitness and Bicycle Equipment</t>
  </si>
  <si>
    <t>Outdoor Furniture and Equipment</t>
  </si>
  <si>
    <t>Office Furniture and Equipment</t>
  </si>
  <si>
    <t>Maintenance Equipment</t>
  </si>
  <si>
    <t xml:space="preserve">Security Equipment </t>
  </si>
  <si>
    <t>Other FF&amp;E</t>
  </si>
  <si>
    <t>Hard Cost Contingency (Excludes Land)</t>
  </si>
  <si>
    <t>Owner's Representative</t>
  </si>
  <si>
    <t>Construction Coordinator</t>
  </si>
  <si>
    <t>Construction Trailer</t>
  </si>
  <si>
    <t>Construction Manager</t>
  </si>
  <si>
    <t>Other Salaries</t>
  </si>
  <si>
    <t>Estimating Expenses</t>
  </si>
  <si>
    <t>Office Expenses</t>
  </si>
  <si>
    <t>Precon Fee</t>
  </si>
  <si>
    <t>Construction Management</t>
  </si>
  <si>
    <t>Survey</t>
  </si>
  <si>
    <t>Title</t>
  </si>
  <si>
    <t>Geo-technical</t>
  </si>
  <si>
    <t xml:space="preserve">Environmental </t>
  </si>
  <si>
    <t>Market Study</t>
  </si>
  <si>
    <t>Traffic Study</t>
  </si>
  <si>
    <t xml:space="preserve">1273508         </t>
  </si>
  <si>
    <t>Inspections</t>
  </si>
  <si>
    <t>Meals &amp; Entertainment</t>
  </si>
  <si>
    <t>Easement</t>
  </si>
  <si>
    <t>Purchase Agreement</t>
  </si>
  <si>
    <t>Zoning &amp; Appro.</t>
  </si>
  <si>
    <t>Applications &amp; Permits</t>
  </si>
  <si>
    <t>Corporate Set Up</t>
  </si>
  <si>
    <t>Litigation</t>
  </si>
  <si>
    <t>Professional Services</t>
  </si>
  <si>
    <t>HPR Documents</t>
  </si>
  <si>
    <t>Tenant Leasing</t>
  </si>
  <si>
    <t>Public Financing</t>
  </si>
  <si>
    <t>TIF Financing-City</t>
  </si>
  <si>
    <t>TIF Financing-Owner</t>
  </si>
  <si>
    <t>Debt Financing</t>
  </si>
  <si>
    <t>Investor Financing</t>
  </si>
  <si>
    <t>Private Placement Documents</t>
  </si>
  <si>
    <t>Closing</t>
  </si>
  <si>
    <t>Acquisitions &amp; Dispositions</t>
  </si>
  <si>
    <t>Sales &amp; Marketing</t>
  </si>
  <si>
    <t>Other Legal</t>
  </si>
  <si>
    <t>Construction Coordination</t>
  </si>
  <si>
    <t>Platting</t>
  </si>
  <si>
    <t>Conceptual Planning</t>
  </si>
  <si>
    <t>1272200</t>
  </si>
  <si>
    <t>Condominium Docs</t>
  </si>
  <si>
    <t>Feasibility/Testing</t>
  </si>
  <si>
    <t>Landscape Plan</t>
  </si>
  <si>
    <t>Reimbursables</t>
  </si>
  <si>
    <t>As-Built Survey</t>
  </si>
  <si>
    <t>Tree Survey</t>
  </si>
  <si>
    <t>Quality/Materials Testing/ADA</t>
  </si>
  <si>
    <t>Condo Document Survey</t>
  </si>
  <si>
    <t>Engineering % of Construction Costs</t>
  </si>
  <si>
    <t>Schematic Development</t>
  </si>
  <si>
    <t>Design Development Refinement Phase</t>
  </si>
  <si>
    <t>Construction Documents Phase</t>
  </si>
  <si>
    <t>Interior Design</t>
  </si>
  <si>
    <t>Landscape Architect</t>
  </si>
  <si>
    <t>Structural Consultant</t>
  </si>
  <si>
    <t>Code Consultant</t>
  </si>
  <si>
    <t>HVAC Consultant</t>
  </si>
  <si>
    <t>Electrical Consultant</t>
  </si>
  <si>
    <t>Plumbing Consultant</t>
  </si>
  <si>
    <t>LEED Consultant</t>
  </si>
  <si>
    <t>LEED Commissioning</t>
  </si>
  <si>
    <t>1273100</t>
  </si>
  <si>
    <t>1277530</t>
  </si>
  <si>
    <t>1277525</t>
  </si>
  <si>
    <t>1273155</t>
  </si>
  <si>
    <t>Points</t>
  </si>
  <si>
    <t xml:space="preserve">1286002         </t>
  </si>
  <si>
    <t xml:space="preserve">1281125         </t>
  </si>
  <si>
    <t>Other Finance Costs</t>
  </si>
  <si>
    <t>1282100</t>
  </si>
  <si>
    <t>1277531</t>
  </si>
  <si>
    <t>Janitorial</t>
  </si>
  <si>
    <t>1277900</t>
  </si>
  <si>
    <t>Maintenance</t>
  </si>
  <si>
    <t>Association Fees</t>
  </si>
  <si>
    <t>1275001</t>
  </si>
  <si>
    <t>1278200</t>
  </si>
  <si>
    <t>Marketing Firm</t>
  </si>
  <si>
    <t>Digital and Web</t>
  </si>
  <si>
    <t>Renderings</t>
  </si>
  <si>
    <t>Virtual Tours</t>
  </si>
  <si>
    <t>Brochures</t>
  </si>
  <si>
    <t>Floor plans</t>
  </si>
  <si>
    <t>Flyers</t>
  </si>
  <si>
    <t>Outreach Gifts</t>
  </si>
  <si>
    <t>Move-in Gifts</t>
  </si>
  <si>
    <t>Letterhead</t>
  </si>
  <si>
    <t>Note Cards</t>
  </si>
  <si>
    <t>Envelopes</t>
  </si>
  <si>
    <t>Business Cards</t>
  </si>
  <si>
    <t>Outreach Cards</t>
  </si>
  <si>
    <t>Signage-Temporary</t>
  </si>
  <si>
    <t>Monument</t>
  </si>
  <si>
    <t>Internal Displays</t>
  </si>
  <si>
    <t>Call Outs</t>
  </si>
  <si>
    <t>Offsite</t>
  </si>
  <si>
    <t>Press Releases</t>
  </si>
  <si>
    <t>Photography</t>
  </si>
  <si>
    <t>Direct Mailers</t>
  </si>
  <si>
    <t>Placements</t>
  </si>
  <si>
    <t>Sponsorships</t>
  </si>
  <si>
    <t>Equipment</t>
  </si>
  <si>
    <t>Furniture Rental</t>
  </si>
  <si>
    <t>Restroom Maintenance</t>
  </si>
  <si>
    <t>Telephone/Internet</t>
  </si>
  <si>
    <t>Sales Displays</t>
  </si>
  <si>
    <t>Office Supplies</t>
  </si>
  <si>
    <t>Memberships/Subscriptions</t>
  </si>
  <si>
    <t>Education/Training</t>
  </si>
  <si>
    <t>Food &amp; Beverage</t>
  </si>
  <si>
    <t>Events</t>
  </si>
  <si>
    <t>Bonuses</t>
  </si>
  <si>
    <t>Internal Commissions</t>
  </si>
  <si>
    <t>Total project costs incurred per GL</t>
  </si>
  <si>
    <t>Total project costs incurred per Master report</t>
  </si>
  <si>
    <t>Project costs recorded in GL but not in Master report</t>
  </si>
  <si>
    <t xml:space="preserve">    Development fee</t>
  </si>
  <si>
    <t>Sources</t>
  </si>
  <si>
    <t>JPM Bank Loan</t>
  </si>
  <si>
    <t>Bridge Equity</t>
  </si>
  <si>
    <t>BROZ Dallas Fund Equity</t>
  </si>
  <si>
    <t>Total Sources</t>
  </si>
  <si>
    <t>Approved JVA Budget</t>
  </si>
  <si>
    <t>Inception to 6/30/2022</t>
  </si>
  <si>
    <t>7/31/2022</t>
  </si>
  <si>
    <t>Incurred to 7/31/2022</t>
  </si>
  <si>
    <t>As of 7/31/2022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</si>
</sst>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_);_(* (#,##0);_(* &quot;-&quot;??_);_(@_)"/>
    <numFmt numFmtId="165" formatCode="#,##0.00;(#,##0.00)"/>
    <numFmt numFmtId="166" formatCode="_(* #,##0.00_);_(* (#,##0.00);_(* &quot;-&quot;??_);_(@_)"/>
    <numFmt numFmtId="167" formatCode="&quot;$&quot;#,##0.00_);[Red](&quot;$&quot;#,##0.00)"/>
    <numFmt numFmtId="168" formatCode="_(* #,##0.0000_);_(* (#,##0.0000);_(* &quot;-&quot;??_);_(@_)"/>
    <numFmt numFmtId="169" formatCode="_(&quot;$&quot;* #,##0.00_);_(&quot;$&quot;* (#,##0.00);_(&quot;$&quot;* &quot;-&quot;??_);_(@_)"/>
    <numFmt numFmtId="170" formatCode="&quot;$&quot;#,##0.00"/>
    <numFmt numFmtId="171" formatCode="_(* #,##0.0_);_(* (#,##0.0);_(* &quot;-&quot;??_);_(@_)"/>
    <numFmt numFmtId="172" formatCode="[$-409]mmm-yy;@"/>
    <numFmt numFmtId="173" formatCode="_(* #,##0.00000000_);_(* (#,##0.00000000);_(* &quot;-&quot;??_);_(@_)"/>
    <numFmt numFmtId="174" formatCode="#,##0.0000000000"/>
    <numFmt numFmtId="175" formatCode="#,##0.000000000000_);(#,##0.000000000000)"/>
  </numFmts>
  <fonts count="3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family val="2"/>
      <scheme val="minor"/>
      <sz val="10"/>
      <name val="Calibri"/>
    </font>
    <font>
      <color theme="0"/>
      <family val="2"/>
      <scheme val="minor"/>
      <sz val="11"/>
      <name val="Calibri"/>
    </font>
    <font>
      <family val="2"/>
      <scheme val="minor"/>
      <sz val="14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sz val="12"/>
      <name val="Helvetica"/>
    </font>
    <font>
      <b/>
      <family val="2"/>
      <scheme val="minor"/>
      <sz val="11"/>
      <name val="Calibri"/>
    </font>
    <font>
      <b/>
      <family val="2"/>
      <scheme val="minor"/>
      <sz val="12"/>
      <name val="Calibri"/>
    </font>
    <font>
      <b/>
      <color rgb="FF7030A0"/>
      <family val="4"/>
      <sz val="10"/>
      <name val="Cavolini"/>
    </font>
    <font>
      <color theme="1"/>
      <family val="2"/>
      <scheme val="minor"/>
      <sz val="10"/>
      <name val="Calibri"/>
    </font>
    <font>
      <family val="2"/>
      <scheme val="minor"/>
      <sz val="12"/>
      <name val="Calibri"/>
    </font>
    <font>
      <b/>
      <i/>
      <color rgb="FFFF0000"/>
      <family val="2"/>
      <scheme val="minor"/>
      <sz val="11"/>
      <name val="Calibri"/>
    </font>
    <font>
      <family val="2"/>
      <sz val="10"/>
      <name val="MS Sans Serif"/>
    </font>
    <font>
      <b/>
      <sz val="10"/>
      <name val="Helvetica"/>
    </font>
    <font>
      <u/>
      <family val="2"/>
      <sz val="10"/>
      <name val="MS Sans Serif"/>
    </font>
    <font>
      <b/>
      <i/>
      <color rgb="FFFF0000"/>
      <family val="2"/>
      <scheme val="minor"/>
      <sz val="10"/>
      <name val="Calibri"/>
    </font>
    <font>
      <b/>
      <sz val="10"/>
      <name val="MS Sans Serif"/>
    </font>
    <font>
      <b/>
      <family val="2"/>
      <sz val="11"/>
      <name val="MS Sans Serif"/>
    </font>
    <font>
      <b/>
      <family val="2"/>
      <sz val="10"/>
      <name val="Microsoft Sans Serif"/>
    </font>
    <font>
      <b/>
      <family val="2"/>
      <sz val="10"/>
      <name val="MS Sans Serif"/>
    </font>
    <font>
      <family val="2"/>
      <sz val="10"/>
      <name val="Microsoft Sans Serif"/>
    </font>
    <font>
      <b/>
      <family val="1"/>
      <sz val="10"/>
      <name val="Times New Roman"/>
    </font>
    <font>
      <b/>
      <color rgb="FFFF0000"/>
      <family val="2"/>
      <sz val="10"/>
      <name val="MS Sans Serif"/>
    </font>
    <font>
      <i/>
      <color rgb="FFFF0000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color rgb="FF000000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1"/>
      <name val="Calibri"/>
    </font>
    <font>
      <b/>
      <color rgb="FF000000"/>
      <family val="2"/>
      <scheme val="minor"/>
      <sz val="10"/>
      <name val="Calibri"/>
    </font>
    <font>
      <b/>
      <family val="2"/>
      <scheme val="minor"/>
      <sz val="14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/>
      <right style="hair"/>
      <top style="thin">
        <color indexed="64"/>
      </top>
      <bottom/>
      <diagonal/>
    </border>
    <border>
      <left style="hair"/>
      <right style="thin"/>
      <top style="thin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/>
      <right style="hair"/>
      <top/>
      <bottom style="thin">
        <color indexed="64"/>
      </bottom>
      <diagonal/>
    </border>
    <border>
      <left style="hair"/>
      <right/>
      <top/>
      <bottom style="thin">
        <color indexed="64"/>
      </bottom>
      <diagonal/>
    </border>
    <border>
      <left style="hair"/>
      <right style="thin"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/>
      <right/>
      <top style="thin">
        <color indexed="64"/>
      </top>
      <bottom/>
      <diagonal/>
    </border>
    <border>
      <left style="hair"/>
      <right style="hair"/>
      <top/>
      <bottom/>
      <diagonal/>
    </border>
    <border>
      <left style="hair"/>
      <right/>
      <top/>
      <bottom/>
      <diagonal/>
    </border>
    <border>
      <left style="hair"/>
      <right style="thin"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/>
      <right style="hair"/>
      <top style="thin">
        <color indexed="64"/>
      </top>
      <bottom style="thin">
        <color indexed="64"/>
      </bottom>
      <diagonal/>
    </border>
    <border>
      <left style="hair"/>
      <right style="thin"/>
      <top style="thin">
        <color indexed="64"/>
      </top>
      <bottom style="thin">
        <color indexed="64"/>
      </bottom>
      <diagonal/>
    </border>
    <border>
      <left style="thin"/>
      <right style="hair"/>
      <top style="thin">
        <color indexed="64"/>
      </top>
      <bottom style="double"/>
      <diagonal/>
    </border>
    <border>
      <left/>
      <right style="hair"/>
      <top style="thin">
        <color indexed="64"/>
      </top>
      <bottom style="double">
        <color indexed="64"/>
      </bottom>
      <diagonal/>
    </border>
    <border>
      <left style="hair"/>
      <right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/>
      <top style="thin"/>
      <bottom style="double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/>
      <top style="thin">
        <color indexed="64"/>
      </top>
      <bottom style="thin">
        <color indexed="64"/>
      </bottom>
      <diagonal/>
    </border>
    <border>
      <left/>
      <right style="hair"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/>
      <right/>
      <top style="thin">
        <color indexed="64"/>
      </top>
      <bottom style="thin">
        <color indexed="64"/>
      </bottom>
      <diagonal/>
    </border>
    <border>
      <left/>
      <right/>
      <top/>
      <bottom style="double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" fontId="4" fillId="0" borderId="4" xfId="0" applyNumberFormat="1" applyFont="1" applyBorder="1"/>
    <xf numFmtId="38" fontId="4" fillId="0" borderId="5" xfId="0" applyNumberFormat="1" applyFont="1" applyBorder="1"/>
    <xf numFmtId="40" fontId="4" fillId="0" borderId="5" xfId="0" applyNumberFormat="1" applyFont="1" applyBorder="1"/>
    <xf numFmtId="9" fontId="4" fillId="0" borderId="6" xfId="0" applyNumberFormat="1" applyFont="1" applyBorder="1"/>
    <xf numFmtId="0" fontId="5" fillId="0" borderId="0" xfId="0" applyFont="1"/>
    <xf numFmtId="0" fontId="4" fillId="0" borderId="4" xfId="0" applyFont="1" applyBorder="1"/>
    <xf numFmtId="38" fontId="4" fillId="0" borderId="7" xfId="0" applyNumberFormat="1" applyFont="1" applyBorder="1"/>
    <xf numFmtId="0" fontId="2" fillId="0" borderId="8" xfId="0" applyFont="1" applyBorder="1" applyAlignment="1">
      <alignment horizontal="left"/>
    </xf>
    <xf numFmtId="38" fontId="2" fillId="0" borderId="9" xfId="0" applyNumberFormat="1" applyFont="1" applyBorder="1"/>
    <xf numFmtId="40" fontId="2" fillId="0" borderId="9" xfId="0" applyNumberFormat="1" applyFont="1" applyBorder="1"/>
    <xf numFmtId="9" fontId="2" fillId="0" borderId="10" xfId="0" applyNumberFormat="1" applyFont="1" applyBorder="1"/>
    <xf numFmtId="164" fontId="0" fillId="0" borderId="0" xfId="0" applyNumberFormat="1"/>
    <xf numFmtId="0" fontId="6" fillId="2" borderId="0" xfId="0" applyFont="1" applyFill="1"/>
    <xf numFmtId="0" fontId="7" fillId="2" borderId="0" xfId="0" applyFont="1" applyFill="1"/>
    <xf numFmtId="0" fontId="7" fillId="3" borderId="0" xfId="0" applyFont="1" applyFill="1"/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left"/>
    </xf>
    <xf numFmtId="0" fontId="6" fillId="5" borderId="1" xfId="0" applyFont="1" applyFill="1" applyBorder="1"/>
    <xf numFmtId="0" fontId="4" fillId="5" borderId="2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center"/>
    </xf>
    <xf numFmtId="0" fontId="7" fillId="5" borderId="2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49" fontId="2" fillId="5" borderId="16" xfId="0" applyNumberFormat="1" applyFont="1" applyFill="1" applyBorder="1" applyAlignment="1">
      <alignment horizontal="center"/>
    </xf>
    <xf numFmtId="14" fontId="2" fillId="5" borderId="17" xfId="0" applyNumberFormat="1" applyFont="1" applyFill="1" applyBorder="1" applyAlignment="1">
      <alignment horizontal="center"/>
    </xf>
    <xf numFmtId="0" fontId="6" fillId="2" borderId="18" xfId="0" applyFont="1" applyFill="1" applyBorder="1"/>
    <xf numFmtId="0" fontId="4" fillId="2" borderId="2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4" fillId="2" borderId="20" xfId="0" applyNumberFormat="1" applyFont="1" applyFill="1" applyBorder="1" applyAlignment="1">
      <alignment horizontal="right"/>
    </xf>
    <xf numFmtId="165" fontId="4" fillId="2" borderId="20" xfId="0" applyNumberFormat="1" applyFont="1" applyFill="1" applyBorder="1" applyAlignment="1" applyProtection="1">
      <alignment horizontal="right"/>
      <protection hidden="1"/>
    </xf>
    <xf numFmtId="165" fontId="4" fillId="0" borderId="21" xfId="0" applyNumberFormat="1" applyFont="1" applyBorder="1" applyAlignment="1" applyProtection="1">
      <alignment horizontal="right"/>
      <protection hidden="1"/>
    </xf>
    <xf numFmtId="165" fontId="4" fillId="0" borderId="20" xfId="0" applyNumberFormat="1" applyFont="1" applyBorder="1" applyAlignment="1" applyProtection="1">
      <alignment horizontal="right"/>
      <protection hidden="1"/>
    </xf>
    <xf numFmtId="10" fontId="4" fillId="0" borderId="21" xfId="0" applyNumberFormat="1" applyFont="1" applyBorder="1" applyAlignment="1" applyProtection="1">
      <alignment horizontal="right"/>
      <protection hidden="1"/>
    </xf>
    <xf numFmtId="165" fontId="4" fillId="0" borderId="22" xfId="0" applyNumberFormat="1" applyFont="1" applyBorder="1" applyAlignment="1" applyProtection="1">
      <alignment horizontal="right"/>
      <protection hidden="1"/>
    </xf>
    <xf numFmtId="1" fontId="12" fillId="0" borderId="0" xfId="0" applyNumberFormat="1" applyFont="1" applyAlignment="1">
      <alignment horizontal="left"/>
    </xf>
    <xf numFmtId="0" fontId="7" fillId="2" borderId="18" xfId="0" applyFont="1" applyFill="1" applyBorder="1"/>
    <xf numFmtId="165" fontId="2" fillId="6" borderId="23" xfId="0" applyNumberFormat="1" applyFont="1" applyFill="1" applyBorder="1" applyAlignment="1">
      <alignment horizontal="left"/>
    </xf>
    <xf numFmtId="165" fontId="2" fillId="6" borderId="24" xfId="0" applyNumberFormat="1" applyFont="1" applyFill="1" applyBorder="1" applyAlignment="1">
      <alignment horizontal="left"/>
    </xf>
    <xf numFmtId="165" fontId="4" fillId="6" borderId="25" xfId="0" applyNumberFormat="1" applyFont="1" applyFill="1" applyBorder="1" applyAlignment="1">
      <alignment horizontal="right"/>
    </xf>
    <xf numFmtId="10" fontId="4" fillId="6" borderId="25" xfId="0" applyNumberFormat="1" applyFont="1" applyFill="1" applyBorder="1" applyAlignment="1">
      <alignment horizontal="right"/>
    </xf>
    <xf numFmtId="165" fontId="4" fillId="6" borderId="26" xfId="0" applyNumberFormat="1" applyFont="1" applyFill="1" applyBorder="1" applyAlignment="1">
      <alignment horizontal="right"/>
    </xf>
    <xf numFmtId="0" fontId="4" fillId="2" borderId="18" xfId="0" applyFont="1" applyFill="1" applyBorder="1" applyAlignment="1">
      <alignment horizontal="left"/>
    </xf>
    <xf numFmtId="166" fontId="4" fillId="6" borderId="25" xfId="0" applyNumberFormat="1" applyFont="1" applyFill="1" applyBorder="1" applyAlignment="1">
      <alignment horizontal="right"/>
    </xf>
    <xf numFmtId="166" fontId="4" fillId="6" borderId="26" xfId="0" applyNumberFormat="1" applyFont="1" applyFill="1" applyBorder="1" applyAlignment="1">
      <alignment horizontal="right"/>
    </xf>
    <xf numFmtId="0" fontId="7" fillId="2" borderId="18" xfId="0" applyFont="1" applyFill="1" applyBorder="1" applyAlignment="1">
      <alignment horizontal="right"/>
    </xf>
    <xf numFmtId="0" fontId="4" fillId="0" borderId="0" xfId="0" applyFont="1" applyAlignment="1">
      <alignment horizontal="left"/>
    </xf>
    <xf numFmtId="166" fontId="4" fillId="0" borderId="20" xfId="0" applyNumberFormat="1" applyFont="1" applyBorder="1" applyAlignment="1">
      <alignment horizontal="right"/>
    </xf>
    <xf numFmtId="166" fontId="4" fillId="2" borderId="20" xfId="0" applyNumberFormat="1" applyFont="1" applyFill="1" applyBorder="1" applyAlignment="1">
      <alignment horizontal="right"/>
    </xf>
    <xf numFmtId="166" fontId="4" fillId="2" borderId="20" xfId="0" applyNumberFormat="1" applyFont="1" applyFill="1" applyBorder="1" applyAlignment="1" applyProtection="1">
      <alignment horizontal="right"/>
      <protection hidden="1"/>
    </xf>
    <xf numFmtId="166" fontId="4" fillId="0" borderId="21" xfId="0" applyNumberFormat="1" applyFont="1" applyBorder="1" applyAlignment="1" applyProtection="1">
      <alignment horizontal="right"/>
      <protection hidden="1"/>
    </xf>
    <xf numFmtId="166" fontId="4" fillId="0" borderId="20" xfId="0" applyNumberFormat="1" applyFont="1" applyBorder="1" applyAlignment="1" applyProtection="1">
      <alignment horizontal="right"/>
      <protection hidden="1"/>
    </xf>
    <xf numFmtId="166" fontId="4" fillId="0" borderId="22" xfId="0" applyNumberFormat="1" applyFont="1" applyBorder="1" applyAlignment="1" applyProtection="1">
      <alignment horizontal="right"/>
      <protection hidden="1"/>
    </xf>
    <xf numFmtId="0" fontId="2" fillId="6" borderId="23" xfId="0" applyFont="1" applyFill="1" applyBorder="1" applyAlignment="1">
      <alignment horizontal="left"/>
    </xf>
    <xf numFmtId="0" fontId="2" fillId="6" borderId="24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4" fillId="0" borderId="18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166" fontId="4" fillId="6" borderId="19" xfId="0" applyNumberFormat="1" applyFont="1" applyFill="1" applyBorder="1" applyAlignment="1">
      <alignment horizontal="right"/>
    </xf>
    <xf numFmtId="166" fontId="4" fillId="6" borderId="1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6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0" fontId="2" fillId="7" borderId="27" xfId="0" applyFont="1" applyFill="1" applyBorder="1" applyAlignment="1">
      <alignment horizontal="left"/>
    </xf>
    <xf numFmtId="0" fontId="2" fillId="7" borderId="28" xfId="0" applyFont="1" applyFill="1" applyBorder="1" applyAlignment="1">
      <alignment horizontal="left"/>
    </xf>
    <xf numFmtId="166" fontId="4" fillId="7" borderId="29" xfId="0" applyNumberFormat="1" applyFont="1" applyFill="1" applyBorder="1" applyAlignment="1" applyProtection="1">
      <alignment horizontal="right"/>
      <protection hidden="1"/>
    </xf>
    <xf numFmtId="10" fontId="4" fillId="7" borderId="29" xfId="0" applyNumberFormat="1" applyFont="1" applyFill="1" applyBorder="1" applyAlignment="1" applyProtection="1">
      <alignment horizontal="right"/>
      <protection hidden="1"/>
    </xf>
    <xf numFmtId="166" fontId="4" fillId="7" borderId="30" xfId="0" applyNumberFormat="1" applyFont="1" applyFill="1" applyBorder="1" applyAlignment="1" applyProtection="1">
      <alignment horizontal="right"/>
      <protection hidden="1"/>
    </xf>
    <xf numFmtId="0" fontId="14" fillId="0" borderId="0" xfId="0" applyFont="1" applyAlignment="1">
      <alignment horizontal="left"/>
    </xf>
    <xf numFmtId="166" fontId="7" fillId="0" borderId="0" xfId="0" applyNumberFormat="1" applyFont="1"/>
    <xf numFmtId="166" fontId="6" fillId="0" borderId="0" xfId="0" applyNumberFormat="1" applyFont="1"/>
    <xf numFmtId="0" fontId="6" fillId="0" borderId="0" xfId="0" applyFont="1" applyAlignment="1">
      <alignment horizontal="left"/>
    </xf>
    <xf numFmtId="166" fontId="0" fillId="0" borderId="0" xfId="0" applyNumberFormat="1"/>
    <xf numFmtId="167" fontId="7" fillId="0" borderId="0" xfId="0" applyNumberFormat="1" applyFont="1"/>
    <xf numFmtId="165" fontId="7" fillId="0" borderId="0" xfId="0" applyNumberFormat="1" applyFont="1"/>
    <xf numFmtId="166" fontId="7" fillId="0" borderId="14" xfId="0" applyNumberFormat="1" applyFont="1" applyBorder="1"/>
    <xf numFmtId="4" fontId="7" fillId="0" borderId="0" xfId="0" applyNumberFormat="1" applyFont="1"/>
    <xf numFmtId="0" fontId="0" fillId="0" borderId="0" xfId="0" applyAlignment="1">
      <alignment horizontal="left" indent="1"/>
    </xf>
    <xf numFmtId="166" fontId="10" fillId="0" borderId="24" xfId="0" applyNumberFormat="1" applyFont="1" applyBorder="1"/>
    <xf numFmtId="166" fontId="7" fillId="0" borderId="24" xfId="0" applyNumberFormat="1" applyFont="1" applyBorder="1"/>
    <xf numFmtId="166" fontId="6" fillId="2" borderId="0" xfId="0" applyNumberFormat="1" applyFont="1" applyFill="1"/>
    <xf numFmtId="166" fontId="7" fillId="0" borderId="31" xfId="0" applyNumberFormat="1" applyFont="1" applyBorder="1"/>
    <xf numFmtId="0" fontId="10" fillId="4" borderId="0" xfId="0" applyFont="1" applyFill="1" applyAlignment="1">
      <alignment horizontal="left"/>
    </xf>
    <xf numFmtId="0" fontId="15" fillId="4" borderId="0" xfId="0" applyFont="1" applyFill="1"/>
    <xf numFmtId="166" fontId="15" fillId="4" borderId="0" xfId="0" applyNumberFormat="1" applyFont="1" applyFill="1"/>
    <xf numFmtId="0" fontId="1" fillId="4" borderId="0" xfId="0" applyFont="1" applyFill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5" fillId="0" borderId="0" xfId="0" applyFont="1"/>
    <xf numFmtId="168" fontId="7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0" fontId="2" fillId="7" borderId="32" xfId="0" applyFont="1" applyFill="1" applyBorder="1"/>
    <xf numFmtId="0" fontId="2" fillId="7" borderId="3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40" fontId="2" fillId="7" borderId="1" xfId="0" applyNumberFormat="1" applyFont="1" applyFill="1" applyBorder="1" applyAlignment="1">
      <alignment horizontal="center" vertical="center"/>
    </xf>
    <xf numFmtId="40" fontId="2" fillId="7" borderId="3" xfId="0" applyNumberFormat="1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40" fontId="2" fillId="7" borderId="18" xfId="0" applyNumberFormat="1" applyFont="1" applyFill="1" applyBorder="1" applyAlignment="1">
      <alignment horizontal="center" vertical="center"/>
    </xf>
    <xf numFmtId="40" fontId="2" fillId="7" borderId="34" xfId="0" applyNumberFormat="1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40" fontId="2" fillId="7" borderId="13" xfId="0" applyNumberFormat="1" applyFont="1" applyFill="1" applyBorder="1" applyAlignment="1">
      <alignment horizontal="center" vertical="center"/>
    </xf>
    <xf numFmtId="40" fontId="2" fillId="7" borderId="36" xfId="0" applyNumberFormat="1" applyFont="1" applyFill="1" applyBorder="1" applyAlignment="1">
      <alignment horizontal="center" vertical="center"/>
    </xf>
    <xf numFmtId="0" fontId="16" fillId="0" borderId="18" xfId="0" applyFont="1" applyBorder="1"/>
    <xf numFmtId="0" fontId="4" fillId="0" borderId="37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/>
    </xf>
    <xf numFmtId="166" fontId="4" fillId="0" borderId="37" xfId="0" applyNumberFormat="1" applyFont="1" applyBorder="1" applyAlignment="1">
      <alignment horizontal="right" vertical="center"/>
    </xf>
    <xf numFmtId="40" fontId="4" fillId="0" borderId="38" xfId="0" applyNumberFormat="1" applyFont="1" applyBorder="1" applyAlignment="1">
      <alignment horizontal="left" vertical="center" indent="1"/>
    </xf>
    <xf numFmtId="40" fontId="4" fillId="0" borderId="39" xfId="0" applyNumberFormat="1" applyFont="1" applyBorder="1" applyAlignment="1">
      <alignment horizontal="left" vertical="center" indent="1"/>
    </xf>
    <xf numFmtId="40" fontId="4" fillId="0" borderId="4" xfId="0" applyNumberFormat="1" applyFont="1" applyBorder="1" applyAlignment="1">
      <alignment horizontal="left" vertical="center" indent="1"/>
    </xf>
    <xf numFmtId="40" fontId="4" fillId="0" borderId="6" xfId="0" applyNumberFormat="1" applyFont="1" applyBorder="1" applyAlignment="1">
      <alignment horizontal="left" vertical="center" indent="1"/>
    </xf>
    <xf numFmtId="0" fontId="10" fillId="8" borderId="40" xfId="0" applyFont="1" applyFill="1" applyBorder="1" applyAlignment="1">
      <alignment horizontal="center"/>
    </xf>
    <xf numFmtId="0" fontId="10" fillId="8" borderId="40" xfId="0" applyFont="1" applyFill="1" applyBorder="1" applyAlignment="1">
      <alignment horizontal="left"/>
    </xf>
    <xf numFmtId="166" fontId="2" fillId="8" borderId="40" xfId="0" applyNumberFormat="1" applyFont="1" applyFill="1" applyBorder="1" applyAlignment="1">
      <alignment horizontal="right"/>
    </xf>
    <xf numFmtId="166" fontId="2" fillId="8" borderId="40" xfId="0" applyNumberFormat="1" applyFont="1" applyFill="1" applyBorder="1" applyAlignment="1">
      <alignment horizontal="right" vertical="center"/>
    </xf>
    <xf numFmtId="0" fontId="4" fillId="8" borderId="40" xfId="0" applyFont="1" applyFill="1" applyBorder="1" applyAlignment="1">
      <alignment horizontal="center" vertical="center"/>
    </xf>
    <xf numFmtId="40" fontId="4" fillId="8" borderId="41" xfId="0" applyNumberFormat="1" applyFont="1" applyFill="1" applyBorder="1" applyAlignment="1">
      <alignment horizontal="center" vertical="center"/>
    </xf>
    <xf numFmtId="40" fontId="4" fillId="8" borderId="42" xfId="0" applyNumberFormat="1" applyFont="1" applyFill="1" applyBorder="1" applyAlignment="1">
      <alignment horizontal="center" vertical="center"/>
    </xf>
    <xf numFmtId="169" fontId="16" fillId="0" borderId="0" xfId="0" applyNumberFormat="1" applyFont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right"/>
    </xf>
    <xf numFmtId="166" fontId="4" fillId="0" borderId="43" xfId="0" applyNumberFormat="1" applyFont="1" applyBorder="1" applyAlignment="1">
      <alignment horizontal="center"/>
    </xf>
    <xf numFmtId="40" fontId="4" fillId="0" borderId="44" xfId="0" applyNumberFormat="1" applyFont="1" applyBorder="1" applyAlignment="1">
      <alignment horizontal="center" vertical="center"/>
    </xf>
    <xf numFmtId="40" fontId="4" fillId="0" borderId="45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/>
    </xf>
    <xf numFmtId="0" fontId="4" fillId="0" borderId="46" xfId="0" applyFont="1" applyBorder="1" applyAlignment="1">
      <alignment horizontal="left"/>
    </xf>
    <xf numFmtId="166" fontId="4" fillId="0" borderId="43" xfId="0" applyNumberFormat="1" applyFont="1" applyBorder="1" applyAlignment="1">
      <alignment horizontal="right"/>
    </xf>
    <xf numFmtId="0" fontId="4" fillId="0" borderId="43" xfId="0" applyFont="1" applyBorder="1" applyAlignment="1">
      <alignment horizontal="center"/>
    </xf>
    <xf numFmtId="39" fontId="4" fillId="0" borderId="47" xfId="0" applyNumberFormat="1" applyFont="1" applyBorder="1" applyAlignment="1">
      <alignment horizontal="center"/>
    </xf>
    <xf numFmtId="39" fontId="4" fillId="0" borderId="48" xfId="0" applyNumberFormat="1" applyFont="1" applyBorder="1" applyAlignment="1">
      <alignment horizontal="center"/>
    </xf>
    <xf numFmtId="0" fontId="2" fillId="0" borderId="49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166" fontId="2" fillId="0" borderId="50" xfId="0" applyNumberFormat="1" applyFont="1" applyBorder="1" applyAlignment="1">
      <alignment horizontal="right"/>
    </xf>
    <xf numFmtId="39" fontId="4" fillId="0" borderId="50" xfId="0" applyNumberFormat="1" applyFont="1" applyBorder="1" applyAlignment="1">
      <alignment horizontal="center"/>
    </xf>
    <xf numFmtId="39" fontId="4" fillId="0" borderId="51" xfId="0" applyNumberFormat="1" applyFont="1" applyBorder="1" applyAlignment="1">
      <alignment horizontal="center"/>
    </xf>
    <xf numFmtId="39" fontId="4" fillId="0" borderId="52" xfId="0" applyNumberFormat="1" applyFont="1" applyBorder="1" applyAlignment="1">
      <alignment horizontal="center"/>
    </xf>
    <xf numFmtId="0" fontId="2" fillId="0" borderId="53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66" fontId="2" fillId="0" borderId="35" xfId="0" applyNumberFormat="1" applyFont="1" applyBorder="1" applyAlignment="1">
      <alignment horizontal="right"/>
    </xf>
    <xf numFmtId="39" fontId="4" fillId="0" borderId="35" xfId="0" applyNumberFormat="1" applyFont="1" applyBorder="1" applyAlignment="1">
      <alignment horizontal="center"/>
    </xf>
    <xf numFmtId="39" fontId="4" fillId="0" borderId="23" xfId="0" applyNumberFormat="1" applyFont="1" applyBorder="1" applyAlignment="1">
      <alignment horizontal="center"/>
    </xf>
    <xf numFmtId="39" fontId="4" fillId="0" borderId="54" xfId="0" applyNumberFormat="1" applyFont="1" applyBorder="1" applyAlignment="1">
      <alignment horizontal="center"/>
    </xf>
    <xf numFmtId="0" fontId="2" fillId="9" borderId="55" xfId="0" applyFont="1" applyFill="1" applyBorder="1"/>
    <xf numFmtId="0" fontId="2" fillId="9" borderId="56" xfId="0" applyFont="1" applyFill="1" applyBorder="1" applyAlignment="1">
      <alignment horizontal="left"/>
    </xf>
    <xf numFmtId="166" fontId="2" fillId="9" borderId="57" xfId="0" applyNumberFormat="1" applyFont="1" applyFill="1" applyBorder="1" applyAlignment="1">
      <alignment horizontal="right"/>
    </xf>
    <xf numFmtId="166" fontId="4" fillId="0" borderId="58" xfId="0" applyNumberFormat="1" applyFont="1" applyBorder="1" applyAlignment="1">
      <alignment horizontal="right"/>
    </xf>
    <xf numFmtId="39" fontId="4" fillId="0" borderId="58" xfId="0" applyNumberFormat="1" applyFont="1" applyBorder="1" applyAlignment="1">
      <alignment horizontal="center"/>
    </xf>
    <xf numFmtId="0" fontId="0" fillId="0" borderId="59" xfId="0" applyBorder="1"/>
    <xf numFmtId="0" fontId="2" fillId="0" borderId="0" xfId="0" applyFont="1" applyAlignment="1">
      <alignment horizontal="left"/>
    </xf>
    <xf numFmtId="166" fontId="4" fillId="0" borderId="60" xfId="0" applyNumberFormat="1" applyFont="1" applyBorder="1" applyAlignment="1">
      <alignment horizontal="right"/>
    </xf>
    <xf numFmtId="170" fontId="16" fillId="0" borderId="0" xfId="0" applyNumberFormat="1" applyFont="1"/>
    <xf numFmtId="166" fontId="4" fillId="0" borderId="61" xfId="0" applyNumberFormat="1" applyFont="1" applyBorder="1" applyAlignment="1">
      <alignment horizontal="right"/>
    </xf>
    <xf numFmtId="0" fontId="2" fillId="9" borderId="56" xfId="0" applyFont="1" applyFill="1" applyBorder="1"/>
    <xf numFmtId="0" fontId="0" fillId="0" borderId="62" xfId="0" applyBorder="1"/>
    <xf numFmtId="0" fontId="0" fillId="0" borderId="63" xfId="0" applyBorder="1"/>
    <xf numFmtId="166" fontId="0" fillId="0" borderId="64" xfId="0" applyNumberFormat="1" applyBorder="1"/>
    <xf numFmtId="166" fontId="4" fillId="0" borderId="40" xfId="0" applyNumberFormat="1" applyFont="1" applyBorder="1" applyAlignment="1">
      <alignment horizontal="left"/>
    </xf>
    <xf numFmtId="166" fontId="2" fillId="0" borderId="40" xfId="0" applyNumberFormat="1" applyFont="1" applyBorder="1" applyAlignment="1">
      <alignment horizontal="left"/>
    </xf>
    <xf numFmtId="167" fontId="2" fillId="0" borderId="40" xfId="0" applyNumberFormat="1" applyFont="1" applyBorder="1" applyAlignment="1">
      <alignment horizontal="center"/>
    </xf>
    <xf numFmtId="167" fontId="2" fillId="0" borderId="41" xfId="0" applyNumberFormat="1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40" fontId="18" fillId="0" borderId="0" xfId="0" applyNumberFormat="1" applyFont="1"/>
    <xf numFmtId="171" fontId="19" fillId="4" borderId="0" xfId="0" applyNumberFormat="1" applyFont="1" applyFill="1"/>
    <xf numFmtId="0" fontId="4" fillId="4" borderId="0" xfId="0" applyFont="1" applyFill="1" applyAlignment="1">
      <alignment horizontal="left"/>
    </xf>
    <xf numFmtId="166" fontId="16" fillId="0" borderId="0" xfId="0" applyNumberFormat="1" applyFont="1"/>
    <xf numFmtId="0" fontId="20" fillId="0" borderId="32" xfId="0" applyFont="1" applyBorder="1"/>
    <xf numFmtId="0" fontId="20" fillId="0" borderId="32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40" fontId="20" fillId="0" borderId="1" xfId="0" applyNumberFormat="1" applyFont="1" applyBorder="1" applyAlignment="1">
      <alignment horizontal="center" vertical="center"/>
    </xf>
    <xf numFmtId="40" fontId="20" fillId="0" borderId="3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40" fontId="20" fillId="0" borderId="18" xfId="0" applyNumberFormat="1" applyFont="1" applyBorder="1" applyAlignment="1">
      <alignment horizontal="center" vertical="center"/>
    </xf>
    <xf numFmtId="40" fontId="20" fillId="0" borderId="34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40" fontId="20" fillId="0" borderId="13" xfId="0" applyNumberFormat="1" applyFont="1" applyBorder="1" applyAlignment="1">
      <alignment horizontal="center" vertical="center"/>
    </xf>
    <xf numFmtId="40" fontId="20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166" fontId="16" fillId="0" borderId="37" xfId="0" applyNumberFormat="1" applyFont="1" applyBorder="1" applyAlignment="1">
      <alignment horizontal="right" vertical="center"/>
    </xf>
    <xf numFmtId="166" fontId="16" fillId="0" borderId="37" xfId="0" applyNumberFormat="1" applyFont="1" applyBorder="1" applyAlignment="1">
      <alignment horizontal="right"/>
    </xf>
    <xf numFmtId="40" fontId="16" fillId="0" borderId="65" xfId="0" applyNumberFormat="1" applyFont="1" applyBorder="1" applyAlignment="1">
      <alignment horizontal="left" vertical="center"/>
    </xf>
    <xf numFmtId="40" fontId="16" fillId="0" borderId="66" xfId="0" applyNumberFormat="1" applyFont="1" applyBorder="1" applyAlignment="1">
      <alignment horizontal="left" vertical="center"/>
    </xf>
    <xf numFmtId="0" fontId="21" fillId="8" borderId="40" xfId="0" applyFont="1" applyFill="1" applyBorder="1" applyAlignment="1">
      <alignment horizontal="center"/>
    </xf>
    <xf numFmtId="0" fontId="21" fillId="8" borderId="40" xfId="0" applyFont="1" applyFill="1" applyBorder="1" applyAlignment="1">
      <alignment horizontal="left"/>
    </xf>
    <xf numFmtId="166" fontId="20" fillId="8" borderId="40" xfId="0" applyNumberFormat="1" applyFont="1" applyFill="1" applyBorder="1" applyAlignment="1">
      <alignment horizontal="right"/>
    </xf>
    <xf numFmtId="166" fontId="20" fillId="8" borderId="40" xfId="0" applyNumberFormat="1" applyFont="1" applyFill="1" applyBorder="1" applyAlignment="1">
      <alignment horizontal="right" vertical="center"/>
    </xf>
    <xf numFmtId="0" fontId="16" fillId="8" borderId="40" xfId="0" applyFont="1" applyFill="1" applyBorder="1" applyAlignment="1">
      <alignment horizontal="center" vertical="center"/>
    </xf>
    <xf numFmtId="40" fontId="16" fillId="8" borderId="41" xfId="0" applyNumberFormat="1" applyFont="1" applyFill="1" applyBorder="1" applyAlignment="1">
      <alignment horizontal="left" vertical="center"/>
    </xf>
    <xf numFmtId="40" fontId="16" fillId="8" borderId="42" xfId="0" applyNumberFormat="1" applyFont="1" applyFill="1" applyBorder="1" applyAlignment="1">
      <alignment horizontal="left" vertical="center"/>
    </xf>
    <xf numFmtId="0" fontId="16" fillId="0" borderId="33" xfId="0" applyFont="1" applyBorder="1" applyAlignment="1">
      <alignment horizontal="center"/>
    </xf>
    <xf numFmtId="0" fontId="16" fillId="0" borderId="33" xfId="0" applyFont="1" applyBorder="1" applyAlignment="1">
      <alignment horizontal="center" vertical="center"/>
    </xf>
    <xf numFmtId="166" fontId="16" fillId="0" borderId="33" xfId="0" applyNumberFormat="1" applyFont="1" applyBorder="1" applyAlignment="1">
      <alignment horizontal="right"/>
    </xf>
    <xf numFmtId="166" fontId="16" fillId="0" borderId="34" xfId="0" applyNumberFormat="1" applyFont="1" applyBorder="1" applyAlignment="1">
      <alignment horizontal="right" vertical="center"/>
    </xf>
    <xf numFmtId="40" fontId="16" fillId="0" borderId="18" xfId="0" applyNumberFormat="1" applyFont="1" applyBorder="1" applyAlignment="1">
      <alignment horizontal="left" vertical="center"/>
    </xf>
    <xf numFmtId="40" fontId="16" fillId="0" borderId="34" xfId="0" applyNumberFormat="1" applyFont="1" applyBorder="1" applyAlignment="1">
      <alignment horizontal="left" vertical="center"/>
    </xf>
    <xf numFmtId="0" fontId="16" fillId="0" borderId="46" xfId="0" applyFont="1" applyBorder="1" applyAlignment="1">
      <alignment horizontal="center"/>
    </xf>
    <xf numFmtId="0" fontId="16" fillId="0" borderId="46" xfId="0" applyFont="1" applyBorder="1" applyAlignment="1">
      <alignment horizontal="left"/>
    </xf>
    <xf numFmtId="166" fontId="16" fillId="0" borderId="43" xfId="0" applyNumberFormat="1" applyFont="1" applyBorder="1" applyAlignment="1">
      <alignment horizontal="right"/>
    </xf>
    <xf numFmtId="0" fontId="16" fillId="0" borderId="43" xfId="0" applyFont="1" applyBorder="1" applyAlignment="1">
      <alignment horizontal="center"/>
    </xf>
    <xf numFmtId="39" fontId="16" fillId="0" borderId="47" xfId="0" applyNumberFormat="1" applyFont="1" applyBorder="1" applyAlignment="1">
      <alignment horizontal="center"/>
    </xf>
    <xf numFmtId="39" fontId="16" fillId="0" borderId="48" xfId="0" applyNumberFormat="1" applyFont="1" applyBorder="1" applyAlignment="1">
      <alignment horizontal="center"/>
    </xf>
    <xf numFmtId="0" fontId="22" fillId="0" borderId="50" xfId="0" applyFont="1" applyBorder="1" applyAlignment="1">
      <alignment horizontal="left"/>
    </xf>
    <xf numFmtId="166" fontId="22" fillId="0" borderId="50" xfId="0" applyNumberFormat="1" applyFont="1" applyBorder="1" applyAlignment="1">
      <alignment horizontal="right"/>
    </xf>
    <xf numFmtId="39" fontId="16" fillId="0" borderId="50" xfId="0" applyNumberFormat="1" applyFont="1" applyBorder="1" applyAlignment="1">
      <alignment horizontal="right"/>
    </xf>
    <xf numFmtId="39" fontId="16" fillId="0" borderId="67" xfId="0" applyNumberFormat="1" applyFont="1" applyBorder="1" applyAlignment="1">
      <alignment horizontal="center"/>
    </xf>
    <xf numFmtId="39" fontId="16" fillId="0" borderId="52" xfId="0" applyNumberFormat="1" applyFont="1" applyBorder="1" applyAlignment="1">
      <alignment horizontal="center"/>
    </xf>
    <xf numFmtId="0" fontId="22" fillId="0" borderId="53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166" fontId="22" fillId="0" borderId="35" xfId="0" applyNumberFormat="1" applyFont="1" applyBorder="1" applyAlignment="1">
      <alignment horizontal="right"/>
    </xf>
    <xf numFmtId="39" fontId="16" fillId="0" borderId="35" xfId="0" applyNumberFormat="1" applyFont="1" applyBorder="1" applyAlignment="1">
      <alignment horizontal="right"/>
    </xf>
    <xf numFmtId="39" fontId="16" fillId="0" borderId="14" xfId="0" applyNumberFormat="1" applyFont="1" applyBorder="1" applyAlignment="1">
      <alignment horizontal="center"/>
    </xf>
    <xf numFmtId="39" fontId="16" fillId="0" borderId="36" xfId="0" applyNumberFormat="1" applyFont="1" applyBorder="1" applyAlignment="1">
      <alignment horizontal="center"/>
    </xf>
    <xf numFmtId="0" fontId="23" fillId="9" borderId="55" xfId="0" applyFont="1" applyFill="1" applyBorder="1"/>
    <xf numFmtId="0" fontId="22" fillId="9" borderId="56" xfId="0" applyFont="1" applyFill="1" applyBorder="1" applyAlignment="1">
      <alignment horizontal="left"/>
    </xf>
    <xf numFmtId="166" fontId="23" fillId="9" borderId="57" xfId="0" applyNumberFormat="1" applyFont="1" applyFill="1" applyBorder="1" applyAlignment="1">
      <alignment horizontal="right"/>
    </xf>
    <xf numFmtId="166" fontId="24" fillId="0" borderId="58" xfId="0" applyNumberFormat="1" applyFont="1" applyBorder="1" applyAlignment="1">
      <alignment horizontal="right"/>
    </xf>
    <xf numFmtId="39" fontId="16" fillId="0" borderId="58" xfId="0" applyNumberFormat="1" applyFont="1" applyBorder="1" applyAlignment="1">
      <alignment horizontal="right"/>
    </xf>
    <xf numFmtId="39" fontId="16" fillId="0" borderId="24" xfId="0" applyNumberFormat="1" applyFont="1" applyBorder="1" applyAlignment="1">
      <alignment horizontal="center"/>
    </xf>
    <xf numFmtId="39" fontId="16" fillId="0" borderId="54" xfId="0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166" fontId="16" fillId="0" borderId="60" xfId="0" applyNumberFormat="1" applyFont="1" applyBorder="1" applyAlignment="1">
      <alignment horizontal="right"/>
    </xf>
    <xf numFmtId="39" fontId="16" fillId="0" borderId="24" xfId="0" applyNumberFormat="1" applyFont="1" applyBorder="1" applyAlignment="1">
      <alignment horizontal="left"/>
    </xf>
    <xf numFmtId="166" fontId="16" fillId="0" borderId="61" xfId="0" applyNumberFormat="1" applyFont="1" applyBorder="1" applyAlignment="1">
      <alignment horizontal="right"/>
    </xf>
    <xf numFmtId="0" fontId="23" fillId="9" borderId="56" xfId="0" applyFont="1" applyFill="1" applyBorder="1"/>
    <xf numFmtId="0" fontId="0" fillId="0" borderId="64" xfId="0" applyBorder="1"/>
    <xf numFmtId="0" fontId="24" fillId="0" borderId="40" xfId="0" applyFont="1" applyBorder="1" applyAlignment="1">
      <alignment horizontal="left"/>
    </xf>
    <xf numFmtId="167" fontId="22" fillId="0" borderId="40" xfId="0" applyNumberFormat="1" applyFont="1" applyBorder="1" applyAlignment="1">
      <alignment horizontal="left"/>
    </xf>
    <xf numFmtId="167" fontId="25" fillId="0" borderId="40" xfId="0" applyNumberFormat="1" applyFont="1" applyBorder="1" applyAlignment="1">
      <alignment horizontal="right"/>
    </xf>
    <xf numFmtId="167" fontId="25" fillId="0" borderId="68" xfId="0" applyNumberFormat="1" applyFont="1" applyBorder="1" applyAlignment="1">
      <alignment horizontal="right"/>
    </xf>
    <xf numFmtId="40" fontId="25" fillId="0" borderId="42" xfId="0" applyNumberFormat="1" applyFont="1" applyBorder="1" applyAlignment="1">
      <alignment horizontal="right"/>
    </xf>
    <xf numFmtId="40" fontId="26" fillId="0" borderId="0" xfId="0" applyNumberFormat="1" applyFont="1"/>
    <xf numFmtId="0" fontId="16" fillId="0" borderId="32" xfId="0" applyFont="1" applyBorder="1"/>
    <xf numFmtId="0" fontId="16" fillId="0" borderId="32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0" fontId="16" fillId="0" borderId="1" xfId="0" applyNumberFormat="1" applyFont="1" applyBorder="1" applyAlignment="1">
      <alignment horizontal="center" vertical="center"/>
    </xf>
    <xf numFmtId="40" fontId="16" fillId="0" borderId="3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40" fontId="16" fillId="0" borderId="18" xfId="0" applyNumberFormat="1" applyFont="1" applyBorder="1" applyAlignment="1">
      <alignment horizontal="center" vertical="center"/>
    </xf>
    <xf numFmtId="40" fontId="16" fillId="0" borderId="3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40" fontId="16" fillId="0" borderId="13" xfId="0" applyNumberFormat="1" applyFont="1" applyBorder="1" applyAlignment="1">
      <alignment horizontal="center" vertical="center"/>
    </xf>
    <xf numFmtId="40" fontId="16" fillId="0" borderId="36" xfId="0" applyNumberFormat="1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" fontId="9" fillId="0" borderId="0" xfId="0" applyNumberFormat="1" applyFont="1" applyAlignment="1">
      <alignment horizontal="left"/>
    </xf>
    <xf numFmtId="172" fontId="4" fillId="0" borderId="37" xfId="0" applyNumberFormat="1" applyFont="1" applyBorder="1" applyAlignment="1">
      <alignment horizontal="center" vertical="center"/>
    </xf>
    <xf numFmtId="40" fontId="4" fillId="0" borderId="38" xfId="0" applyNumberFormat="1" applyFont="1" applyBorder="1" applyAlignment="1">
      <alignment horizontal="center" vertical="center"/>
    </xf>
    <xf numFmtId="40" fontId="4" fillId="0" borderId="39" xfId="0" applyNumberFormat="1" applyFont="1" applyBorder="1" applyAlignment="1">
      <alignment horizontal="center" vertical="center"/>
    </xf>
    <xf numFmtId="40" fontId="4" fillId="0" borderId="4" xfId="0" applyNumberFormat="1" applyFont="1" applyBorder="1" applyAlignment="1">
      <alignment horizontal="center" vertical="center"/>
    </xf>
    <xf numFmtId="40" fontId="4" fillId="0" borderId="6" xfId="0" applyNumberFormat="1" applyFont="1" applyBorder="1" applyAlignment="1">
      <alignment horizontal="center" vertical="center"/>
    </xf>
    <xf numFmtId="17" fontId="4" fillId="0" borderId="37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right" vertical="center"/>
    </xf>
    <xf numFmtId="39" fontId="4" fillId="0" borderId="50" xfId="0" applyNumberFormat="1" applyFont="1" applyBorder="1" applyAlignment="1">
      <alignment horizontal="right"/>
    </xf>
    <xf numFmtId="39" fontId="4" fillId="0" borderId="35" xfId="0" applyNumberFormat="1" applyFont="1" applyBorder="1" applyAlignment="1">
      <alignment horizontal="right"/>
    </xf>
    <xf numFmtId="39" fontId="4" fillId="0" borderId="58" xfId="0" applyNumberFormat="1" applyFont="1" applyBorder="1" applyAlignment="1">
      <alignment horizontal="right"/>
    </xf>
    <xf numFmtId="167" fontId="2" fillId="0" borderId="40" xfId="0" applyNumberFormat="1" applyFont="1" applyBorder="1" applyAlignment="1">
      <alignment horizontal="right"/>
    </xf>
    <xf numFmtId="0" fontId="27" fillId="4" borderId="0" xfId="0" applyFont="1" applyFill="1"/>
    <xf numFmtId="0" fontId="4" fillId="4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166" fontId="13" fillId="0" borderId="0" xfId="0" applyNumberFormat="1" applyFont="1"/>
    <xf numFmtId="49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28" fillId="0" borderId="0" xfId="0" applyFont="1"/>
    <xf numFmtId="0" fontId="13" fillId="10" borderId="0" xfId="0" applyFont="1" applyFill="1" applyAlignment="1">
      <alignment horizontal="left"/>
    </xf>
    <xf numFmtId="0" fontId="13" fillId="10" borderId="0" xfId="0" applyFont="1" applyFill="1" applyAlignment="1">
      <alignment horizontal="center"/>
    </xf>
    <xf numFmtId="4" fontId="13" fillId="10" borderId="0" xfId="0" applyNumberFormat="1" applyFont="1" applyFill="1" applyAlignment="1">
      <alignment horizontal="center"/>
    </xf>
    <xf numFmtId="0" fontId="13" fillId="0" borderId="0" xfId="0" applyFont="1" applyAlignment="1">
      <alignment horizontal="right"/>
    </xf>
    <xf numFmtId="49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4" fillId="0" borderId="0" xfId="0" applyFont="1"/>
    <xf numFmtId="17" fontId="13" fillId="0" borderId="0" xfId="0" applyNumberFormat="1" applyFont="1" applyAlignment="1">
      <alignment horizontal="left"/>
    </xf>
    <xf numFmtId="166" fontId="13" fillId="0" borderId="70" xfId="0" applyNumberFormat="1" applyFont="1" applyBorder="1" applyAlignment="1">
      <alignment horizontal="right" vertical="center"/>
    </xf>
    <xf numFmtId="166" fontId="29" fillId="0" borderId="0" xfId="0" applyNumberFormat="1" applyFont="1" applyAlignment="1">
      <alignment horizontal="right" vertical="center"/>
    </xf>
    <xf numFmtId="166" fontId="13" fillId="0" borderId="31" xfId="0" applyNumberFormat="1" applyFont="1" applyBorder="1" applyAlignment="1">
      <alignment horizontal="right" vertical="center"/>
    </xf>
    <xf numFmtId="166" fontId="13" fillId="0" borderId="0" xfId="0" applyNumberFormat="1" applyFont="1" applyAlignment="1">
      <alignment wrapText="1"/>
    </xf>
    <xf numFmtId="0" fontId="4" fillId="0" borderId="0" xfId="0" applyFont="1" applyAlignment="1">
      <alignment horizontal="left" vertical="top"/>
    </xf>
    <xf numFmtId="49" fontId="29" fillId="0" borderId="0" xfId="0" applyNumberFormat="1" applyFont="1" applyAlignment="1">
      <alignment horizontal="left" vertical="top"/>
    </xf>
    <xf numFmtId="166" fontId="29" fillId="0" borderId="0" xfId="0" applyNumberFormat="1" applyFont="1" applyAlignment="1">
      <alignment horizontal="right" vertical="top" indent="1"/>
    </xf>
    <xf numFmtId="49" fontId="13" fillId="0" borderId="0" xfId="0" applyNumberFormat="1" applyFont="1" applyAlignment="1">
      <alignment horizontal="left" wrapText="1"/>
    </xf>
    <xf numFmtId="4" fontId="13" fillId="0" borderId="0" xfId="0" applyNumberFormat="1" applyFont="1"/>
    <xf numFmtId="0" fontId="29" fillId="0" borderId="0" xfId="0" applyFont="1" applyAlignment="1">
      <alignment horizontal="center"/>
    </xf>
    <xf numFmtId="0" fontId="29" fillId="0" borderId="0" xfId="0" applyFont="1"/>
    <xf numFmtId="14" fontId="13" fillId="11" borderId="0" xfId="0" applyNumberFormat="1" applyFont="1" applyFill="1"/>
    <xf numFmtId="49" fontId="29" fillId="0" borderId="0" xfId="0" applyNumberFormat="1" applyFont="1" applyAlignment="1">
      <alignment horizontal="left"/>
    </xf>
    <xf numFmtId="14" fontId="13" fillId="0" borderId="0" xfId="0" applyNumberFormat="1" applyFont="1"/>
    <xf numFmtId="0" fontId="29" fillId="0" borderId="0" xfId="0" applyFont="1" applyAlignment="1">
      <alignment horizontal="left"/>
    </xf>
    <xf numFmtId="166" fontId="29" fillId="0" borderId="0" xfId="0" applyNumberFormat="1" applyFont="1"/>
    <xf numFmtId="0" fontId="30" fillId="0" borderId="0" xfId="0" applyFont="1"/>
    <xf numFmtId="0" fontId="13" fillId="0" borderId="0" xfId="0" applyFont="1" applyAlignment="1">
      <alignment horizontal="center" wrapText="1"/>
    </xf>
    <xf numFmtId="173" fontId="13" fillId="0" borderId="0" xfId="0" applyNumberFormat="1" applyFont="1"/>
    <xf numFmtId="166" fontId="13" fillId="0" borderId="0" xfId="0" applyNumberFormat="1" applyFont="1" applyAlignment="1">
      <alignment horizontal="center"/>
    </xf>
    <xf numFmtId="17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4" fontId="13" fillId="0" borderId="0" xfId="0" applyNumberFormat="1" applyFont="1" applyAlignment="1">
      <alignment wrapText="1"/>
    </xf>
    <xf numFmtId="0" fontId="29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left"/>
    </xf>
    <xf numFmtId="0" fontId="13" fillId="3" borderId="0" xfId="0" applyFont="1" applyFill="1"/>
    <xf numFmtId="17" fontId="13" fillId="0" borderId="0" xfId="0" applyNumberFormat="1" applyFont="1"/>
    <xf numFmtId="17" fontId="13" fillId="0" borderId="0" xfId="0" applyNumberFormat="1" applyFont="1" applyAlignment="1">
      <alignment horizontal="right"/>
    </xf>
    <xf numFmtId="166" fontId="29" fillId="0" borderId="70" xfId="0" applyNumberFormat="1" applyFont="1" applyBorder="1" applyAlignment="1">
      <alignment horizontal="right" vertical="center"/>
    </xf>
    <xf numFmtId="0" fontId="13" fillId="4" borderId="0" xfId="0" applyFont="1" applyFill="1"/>
    <xf numFmtId="166" fontId="13" fillId="4" borderId="0" xfId="0" applyNumberFormat="1" applyFont="1" applyFill="1"/>
    <xf numFmtId="174" fontId="13" fillId="0" borderId="0" xfId="0" applyNumberFormat="1" applyFont="1"/>
    <xf numFmtId="166" fontId="4" fillId="0" borderId="0" xfId="0" applyNumberFormat="1" applyFont="1"/>
    <xf numFmtId="14" fontId="13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6" fontId="1" fillId="0" borderId="2" xfId="0" applyNumberFormat="1" applyFont="1" applyBorder="1"/>
    <xf numFmtId="166" fontId="8" fillId="0" borderId="0" xfId="0" applyNumberFormat="1" applyFont="1" applyAlignment="1">
      <alignment horizontal="right"/>
    </xf>
    <xf numFmtId="166" fontId="8" fillId="0" borderId="0" xfId="0" applyNumberFormat="1" applyFont="1"/>
    <xf numFmtId="166" fontId="0" fillId="0" borderId="2" xfId="0" applyNumberFormat="1" applyBorder="1"/>
    <xf numFmtId="166" fontId="8" fillId="0" borderId="31" xfId="0" applyNumberFormat="1" applyFont="1" applyBorder="1"/>
    <xf numFmtId="166" fontId="0" fillId="0" borderId="0" xfId="0" applyNumberFormat="1" applyAlignment="1">
      <alignment horizontal="center" wrapText="1"/>
    </xf>
    <xf numFmtId="166" fontId="1" fillId="0" borderId="0" xfId="0" applyNumberFormat="1" applyFont="1"/>
    <xf numFmtId="166" fontId="1" fillId="0" borderId="31" xfId="0" applyNumberFormat="1" applyFont="1" applyBorder="1"/>
    <xf numFmtId="166" fontId="0" fillId="0" borderId="0" xfId="0" applyNumberFormat="1" applyAlignment="1">
      <alignment horizontal="right"/>
    </xf>
    <xf numFmtId="166" fontId="0" fillId="0" borderId="55" xfId="0" applyNumberFormat="1" applyBorder="1"/>
    <xf numFmtId="166" fontId="1" fillId="0" borderId="57" xfId="0" applyNumberFormat="1" applyFont="1" applyBorder="1"/>
    <xf numFmtId="0" fontId="0" fillId="3" borderId="0" xfId="0" applyFill="1"/>
    <xf numFmtId="0" fontId="0" fillId="3" borderId="0" xfId="0" applyFill="1" applyAlignment="1">
      <alignment horizontal="right"/>
    </xf>
    <xf numFmtId="0" fontId="6" fillId="12" borderId="0" xfId="0" applyFont="1" applyFill="1"/>
    <xf numFmtId="0" fontId="6" fillId="12" borderId="0" xfId="0" applyFont="1" applyFill="1" applyAlignment="1">
      <alignment horizontal="right"/>
    </xf>
    <xf numFmtId="0" fontId="7" fillId="12" borderId="0" xfId="0" applyFont="1" applyFill="1"/>
    <xf numFmtId="0" fontId="11" fillId="12" borderId="0" xfId="0" applyFont="1" applyFill="1" applyAlignment="1">
      <alignment horizontal="left"/>
    </xf>
    <xf numFmtId="0" fontId="10" fillId="3" borderId="0" xfId="0" applyFont="1" applyFill="1"/>
    <xf numFmtId="0" fontId="11" fillId="13" borderId="1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7" fillId="13" borderId="2" xfId="0" applyFont="1" applyFill="1" applyBorder="1"/>
    <xf numFmtId="0" fontId="2" fillId="13" borderId="12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14" fontId="2" fillId="13" borderId="15" xfId="0" applyNumberFormat="1" applyFont="1" applyFill="1" applyBorder="1" applyAlignment="1">
      <alignment horizontal="center"/>
    </xf>
    <xf numFmtId="0" fontId="2" fillId="13" borderId="1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3" borderId="0" xfId="0" applyFont="1" applyFill="1" applyAlignment="1">
      <alignment horizontal="left"/>
    </xf>
    <xf numFmtId="166" fontId="2" fillId="3" borderId="20" xfId="0" applyNumberFormat="1" applyFont="1" applyFill="1" applyBorder="1" applyAlignment="1">
      <alignment horizontal="center"/>
    </xf>
    <xf numFmtId="166" fontId="2" fillId="3" borderId="21" xfId="0" applyNumberFormat="1" applyFont="1" applyFill="1" applyBorder="1" applyAlignment="1">
      <alignment horizontal="center"/>
    </xf>
    <xf numFmtId="166" fontId="2" fillId="3" borderId="22" xfId="0" applyNumberFormat="1" applyFont="1" applyFill="1" applyBorder="1" applyAlignment="1">
      <alignment horizontal="center"/>
    </xf>
    <xf numFmtId="0" fontId="4" fillId="3" borderId="18" xfId="0" applyFont="1" applyFill="1" applyBorder="1" applyAlignment="1">
      <alignment horizontal="right"/>
    </xf>
    <xf numFmtId="166" fontId="4" fillId="3" borderId="20" xfId="0" applyNumberFormat="1" applyFont="1" applyFill="1" applyBorder="1" applyAlignment="1">
      <alignment horizontal="right"/>
    </xf>
    <xf numFmtId="166" fontId="4" fillId="3" borderId="21" xfId="0" applyNumberFormat="1" applyFont="1" applyFill="1" applyBorder="1" applyAlignment="1">
      <alignment horizontal="right"/>
    </xf>
    <xf numFmtId="10" fontId="4" fillId="3" borderId="21" xfId="0" applyNumberFormat="1" applyFont="1" applyFill="1" applyBorder="1" applyAlignment="1">
      <alignment horizontal="right"/>
    </xf>
    <xf numFmtId="166" fontId="4" fillId="3" borderId="22" xfId="0" applyNumberFormat="1" applyFont="1" applyFill="1" applyBorder="1" applyAlignment="1">
      <alignment horizontal="right"/>
    </xf>
    <xf numFmtId="0" fontId="2" fillId="14" borderId="23" xfId="0" applyFont="1" applyFill="1" applyBorder="1" applyAlignment="1">
      <alignment horizontal="right"/>
    </xf>
    <xf numFmtId="0" fontId="2" fillId="14" borderId="2" xfId="0" applyFont="1" applyFill="1" applyBorder="1" applyAlignment="1">
      <alignment horizontal="left"/>
    </xf>
    <xf numFmtId="166" fontId="4" fillId="14" borderId="25" xfId="0" applyNumberFormat="1" applyFont="1" applyFill="1" applyBorder="1" applyAlignment="1">
      <alignment horizontal="right"/>
    </xf>
    <xf numFmtId="10" fontId="4" fillId="14" borderId="25" xfId="0" applyNumberFormat="1" applyFont="1" applyFill="1" applyBorder="1" applyAlignment="1">
      <alignment horizontal="right"/>
    </xf>
    <xf numFmtId="166" fontId="4" fillId="14" borderId="26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2" fillId="14" borderId="14" xfId="0" applyFont="1" applyFill="1" applyBorder="1" applyAlignment="1">
      <alignment horizontal="left"/>
    </xf>
    <xf numFmtId="0" fontId="2" fillId="15" borderId="71" xfId="0" applyFont="1" applyFill="1" applyBorder="1" applyAlignment="1">
      <alignment horizontal="right"/>
    </xf>
    <xf numFmtId="0" fontId="2" fillId="15" borderId="28" xfId="0" applyFont="1" applyFill="1" applyBorder="1" applyAlignment="1">
      <alignment horizontal="left"/>
    </xf>
    <xf numFmtId="166" fontId="4" fillId="15" borderId="29" xfId="0" applyNumberFormat="1" applyFont="1" applyFill="1" applyBorder="1" applyAlignment="1">
      <alignment horizontal="right"/>
    </xf>
    <xf numFmtId="10" fontId="4" fillId="15" borderId="29" xfId="0" applyNumberFormat="1" applyFont="1" applyFill="1" applyBorder="1" applyAlignment="1">
      <alignment horizontal="right"/>
    </xf>
    <xf numFmtId="166" fontId="4" fillId="15" borderId="30" xfId="0" applyNumberFormat="1" applyFont="1" applyFill="1" applyBorder="1" applyAlignment="1">
      <alignment horizontal="right"/>
    </xf>
    <xf numFmtId="0" fontId="29" fillId="3" borderId="18" xfId="0" applyFont="1" applyFill="1" applyBorder="1" applyAlignment="1">
      <alignment horizontal="right"/>
    </xf>
    <xf numFmtId="0" fontId="29" fillId="3" borderId="0" xfId="0" applyFont="1" applyFill="1" applyAlignment="1">
      <alignment horizontal="left"/>
    </xf>
    <xf numFmtId="0" fontId="2" fillId="14" borderId="0" xfId="0" applyFont="1" applyFill="1" applyAlignment="1">
      <alignment horizontal="left"/>
    </xf>
    <xf numFmtId="0" fontId="2" fillId="14" borderId="72" xfId="0" applyFont="1" applyFill="1" applyBorder="1" applyAlignment="1">
      <alignment horizontal="left"/>
    </xf>
    <xf numFmtId="166" fontId="4" fillId="3" borderId="15" xfId="0" applyNumberFormat="1" applyFont="1" applyFill="1" applyBorder="1" applyAlignment="1">
      <alignment horizontal="right"/>
    </xf>
    <xf numFmtId="10" fontId="4" fillId="3" borderId="16" xfId="0" applyNumberFormat="1" applyFont="1" applyFill="1" applyBorder="1" applyAlignment="1">
      <alignment horizontal="right"/>
    </xf>
    <xf numFmtId="166" fontId="4" fillId="3" borderId="17" xfId="0" applyNumberFormat="1" applyFont="1" applyFill="1" applyBorder="1" applyAlignment="1">
      <alignment horizontal="right"/>
    </xf>
    <xf numFmtId="0" fontId="2" fillId="14" borderId="24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left"/>
    </xf>
    <xf numFmtId="0" fontId="2" fillId="14" borderId="23" xfId="0" applyFont="1" applyFill="1" applyBorder="1" applyAlignment="1">
      <alignment horizontal="left"/>
    </xf>
    <xf numFmtId="0" fontId="2" fillId="14" borderId="73" xfId="0" applyFont="1" applyFill="1" applyBorder="1" applyAlignment="1">
      <alignment horizontal="left"/>
    </xf>
    <xf numFmtId="166" fontId="2" fillId="14" borderId="25" xfId="0" applyNumberFormat="1" applyFont="1" applyFill="1" applyBorder="1" applyAlignment="1">
      <alignment horizontal="right"/>
    </xf>
    <xf numFmtId="10" fontId="2" fillId="14" borderId="25" xfId="0" applyNumberFormat="1" applyFont="1" applyFill="1" applyBorder="1" applyAlignment="1">
      <alignment horizontal="right"/>
    </xf>
    <xf numFmtId="166" fontId="2" fillId="14" borderId="26" xfId="0" applyNumberFormat="1" applyFont="1" applyFill="1" applyBorder="1" applyAlignment="1">
      <alignment horizontal="right"/>
    </xf>
    <xf numFmtId="0" fontId="31" fillId="3" borderId="0" xfId="0" applyFont="1" applyFill="1"/>
    <xf numFmtId="0" fontId="4" fillId="14" borderId="13" xfId="0" applyFont="1" applyFill="1" applyBorder="1" applyAlignment="1">
      <alignment horizontal="left" indent="1"/>
    </xf>
    <xf numFmtId="0" fontId="4" fillId="14" borderId="14" xfId="0" applyFont="1" applyFill="1" applyBorder="1" applyAlignment="1">
      <alignment horizontal="left" indent="1"/>
    </xf>
    <xf numFmtId="0" fontId="4" fillId="14" borderId="74" xfId="0" applyFont="1" applyFill="1" applyBorder="1" applyAlignment="1">
      <alignment horizontal="right"/>
    </xf>
    <xf numFmtId="0" fontId="4" fillId="14" borderId="20" xfId="0" applyFont="1" applyFill="1" applyBorder="1" applyAlignment="1">
      <alignment horizontal="right"/>
    </xf>
    <xf numFmtId="4" fontId="4" fillId="14" borderId="20" xfId="0" applyNumberFormat="1" applyFont="1" applyFill="1" applyBorder="1" applyAlignment="1">
      <alignment horizontal="right"/>
    </xf>
    <xf numFmtId="0" fontId="4" fillId="14" borderId="22" xfId="0" applyFont="1" applyFill="1" applyBorder="1" applyAlignment="1">
      <alignment horizontal="right"/>
    </xf>
    <xf numFmtId="0" fontId="2" fillId="13" borderId="18" xfId="0" applyFont="1" applyFill="1" applyBorder="1" applyAlignment="1">
      <alignment horizontal="left" wrapText="1" indent="2"/>
    </xf>
    <xf numFmtId="0" fontId="2" fillId="13" borderId="0" xfId="0" applyFont="1" applyFill="1" applyAlignment="1">
      <alignment horizontal="left" wrapText="1" indent="2"/>
    </xf>
    <xf numFmtId="0" fontId="10" fillId="13" borderId="2" xfId="0" applyFont="1" applyFill="1" applyBorder="1"/>
    <xf numFmtId="4" fontId="10" fillId="13" borderId="2" xfId="0" applyNumberFormat="1" applyFont="1" applyFill="1" applyBorder="1"/>
    <xf numFmtId="0" fontId="7" fillId="13" borderId="3" xfId="0" applyFont="1" applyFill="1" applyBorder="1"/>
    <xf numFmtId="0" fontId="2" fillId="13" borderId="13" xfId="0" applyFont="1" applyFill="1" applyBorder="1" applyAlignment="1">
      <alignment horizontal="left" wrapText="1" indent="2"/>
    </xf>
    <xf numFmtId="0" fontId="2" fillId="13" borderId="14" xfId="0" applyFont="1" applyFill="1" applyBorder="1" applyAlignment="1">
      <alignment horizontal="left" wrapText="1" indent="2"/>
    </xf>
    <xf numFmtId="0" fontId="7" fillId="13" borderId="14" xfId="0" applyFont="1" applyFill="1" applyBorder="1"/>
    <xf numFmtId="0" fontId="10" fillId="13" borderId="14" xfId="0" applyFont="1" applyFill="1" applyBorder="1"/>
    <xf numFmtId="4" fontId="10" fillId="13" borderId="14" xfId="0" applyNumberFormat="1" applyFont="1" applyFill="1" applyBorder="1"/>
    <xf numFmtId="0" fontId="7" fillId="13" borderId="36" xfId="0" applyFont="1" applyFill="1" applyBorder="1"/>
    <xf numFmtId="10" fontId="7" fillId="3" borderId="0" xfId="0" applyNumberFormat="1" applyFont="1" applyFill="1"/>
    <xf numFmtId="0" fontId="7" fillId="16" borderId="0" xfId="0" applyFont="1" applyFill="1" applyAlignment="1">
      <alignment horizontal="right" vertical="center" indent="1"/>
    </xf>
    <xf numFmtId="166" fontId="32" fillId="17" borderId="0" xfId="0" applyNumberFormat="1" applyFont="1" applyFill="1"/>
    <xf numFmtId="169" fontId="0" fillId="3" borderId="0" xfId="0" applyNumberFormat="1" applyFill="1"/>
    <xf numFmtId="0" fontId="33" fillId="15" borderId="0" xfId="0" applyFont="1" applyFill="1" applyAlignment="1">
      <alignment horizontal="center"/>
    </xf>
    <xf numFmtId="0" fontId="33" fillId="18" borderId="75" xfId="0" applyFont="1" applyFill="1" applyBorder="1" applyAlignment="1">
      <alignment horizontal="center" vertical="center"/>
    </xf>
    <xf numFmtId="166" fontId="13" fillId="0" borderId="14" xfId="0" applyNumberFormat="1" applyFont="1" applyBorder="1"/>
    <xf numFmtId="169" fontId="28" fillId="0" borderId="31" xfId="0" applyNumberFormat="1" applyFont="1" applyBorder="1"/>
    <xf numFmtId="14" fontId="13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166" fontId="28" fillId="0" borderId="2" xfId="0" applyNumberFormat="1" applyFont="1" applyBorder="1"/>
    <xf numFmtId="166" fontId="28" fillId="0" borderId="0" xfId="0" applyNumberFormat="1" applyFont="1"/>
    <xf numFmtId="0" fontId="13" fillId="0" borderId="14" xfId="0" applyFont="1" applyBorder="1"/>
    <xf numFmtId="166" fontId="28" fillId="0" borderId="14" xfId="0" applyNumberFormat="1" applyFont="1" applyBorder="1"/>
    <xf numFmtId="0" fontId="0" fillId="0" borderId="0" xfId="0" applyAlignment="1">
      <alignment horizontal="center"/>
    </xf>
    <xf numFmtId="0" fontId="31" fillId="0" borderId="0" xfId="0" applyFont="1"/>
    <xf numFmtId="0" fontId="33" fillId="15" borderId="0" xfId="0" applyFont="1" applyFill="1" applyAlignment="1">
      <alignment horizontal="right"/>
    </xf>
    <xf numFmtId="0" fontId="0" fillId="0" borderId="14" xfId="0" applyBorder="1"/>
    <xf numFmtId="1" fontId="6" fillId="2" borderId="0" xfId="0" applyNumberFormat="1" applyFont="1" applyFill="1"/>
    <xf numFmtId="1" fontId="11" fillId="2" borderId="0" xfId="0" applyNumberFormat="1" applyFont="1" applyFill="1" applyAlignment="1">
      <alignment horizontal="left"/>
    </xf>
    <xf numFmtId="1" fontId="2" fillId="2" borderId="0" xfId="0" applyNumberFormat="1" applyFont="1" applyFill="1"/>
    <xf numFmtId="0" fontId="2" fillId="2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" fontId="4" fillId="2" borderId="2" xfId="0" applyNumberFormat="1" applyFont="1" applyFill="1" applyBorder="1"/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/>
    <xf numFmtId="165" fontId="4" fillId="0" borderId="20" xfId="0" applyNumberFormat="1" applyFont="1" applyBorder="1" applyAlignment="1">
      <alignment horizontal="right"/>
    </xf>
    <xf numFmtId="4" fontId="4" fillId="0" borderId="20" xfId="0" applyNumberFormat="1" applyFont="1" applyBorder="1" applyAlignment="1" applyProtection="1">
      <alignment horizontal="right"/>
      <protection hidden="1"/>
    </xf>
    <xf numFmtId="1" fontId="2" fillId="6" borderId="24" xfId="0" applyNumberFormat="1" applyFont="1" applyFill="1" applyBorder="1" applyAlignment="1">
      <alignment horizontal="left"/>
    </xf>
    <xf numFmtId="165" fontId="4" fillId="6" borderId="76" xfId="0" applyNumberFormat="1" applyFont="1" applyFill="1" applyBorder="1" applyAlignment="1">
      <alignment horizontal="right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6" borderId="24" xfId="0" applyNumberFormat="1" applyFont="1" applyFill="1" applyBorder="1"/>
    <xf numFmtId="1" fontId="4" fillId="6" borderId="2" xfId="0" applyNumberFormat="1" applyFont="1" applyFill="1" applyBorder="1"/>
    <xf numFmtId="165" fontId="4" fillId="6" borderId="19" xfId="0" applyNumberFormat="1" applyFont="1" applyFill="1" applyBorder="1" applyAlignment="1">
      <alignment horizontal="right"/>
    </xf>
    <xf numFmtId="1" fontId="4" fillId="0" borderId="2" xfId="0" applyNumberFormat="1" applyFont="1" applyBorder="1"/>
    <xf numFmtId="1" fontId="4" fillId="7" borderId="31" xfId="0" applyNumberFormat="1" applyFont="1" applyFill="1" applyBorder="1"/>
    <xf numFmtId="165" fontId="4" fillId="7" borderId="29" xfId="0" applyNumberFormat="1" applyFont="1" applyFill="1" applyBorder="1" applyAlignment="1" applyProtection="1">
      <alignment horizontal="right"/>
      <protection hidden="1"/>
    </xf>
    <xf numFmtId="0" fontId="14" fillId="2" borderId="0" xfId="0" applyFont="1" applyFill="1" applyAlignment="1">
      <alignment horizontal="left"/>
    </xf>
    <xf numFmtId="165" fontId="7" fillId="2" borderId="0" xfId="0" applyNumberFormat="1" applyFont="1" applyFill="1"/>
    <xf numFmtId="0" fontId="6" fillId="2" borderId="0" xfId="0" applyFont="1" applyFill="1" applyAlignment="1">
      <alignment horizontal="left"/>
    </xf>
    <xf numFmtId="2" fontId="6" fillId="2" borderId="0" xfId="0" applyNumberFormat="1" applyFont="1" applyFill="1"/>
    <xf numFmtId="166" fontId="0" fillId="0" borderId="77" xfId="0" applyNumberFormat="1" applyBorder="1"/>
    <xf numFmtId="1" fontId="34" fillId="19" borderId="58" xfId="0" applyNumberFormat="1" applyFont="1" applyFill="1" applyBorder="1" applyAlignment="1">
      <alignment horizontal="center"/>
    </xf>
    <xf numFmtId="1" fontId="34" fillId="0" borderId="58" xfId="0" applyNumberFormat="1" applyFont="1" applyBorder="1" applyAlignment="1">
      <alignment horizontal="center"/>
    </xf>
    <xf numFmtId="0" fontId="7" fillId="2" borderId="58" xfId="0" applyFont="1" applyFill="1" applyBorder="1"/>
    <xf numFmtId="165" fontId="4" fillId="0" borderId="58" xfId="0" applyNumberFormat="1" applyFont="1" applyBorder="1" applyAlignment="1">
      <alignment horizontal="right"/>
    </xf>
    <xf numFmtId="39" fontId="7" fillId="2" borderId="58" xfId="0" applyNumberFormat="1" applyFont="1" applyFill="1" applyBorder="1"/>
    <xf numFmtId="9" fontId="4" fillId="0" borderId="58" xfId="0" applyNumberFormat="1" applyFont="1" applyBorder="1" applyAlignment="1">
      <alignment horizontal="right"/>
    </xf>
    <xf numFmtId="1" fontId="6" fillId="2" borderId="58" xfId="0" applyNumberFormat="1" applyFont="1" applyFill="1" applyBorder="1" applyAlignment="1">
      <alignment horizontal="center"/>
    </xf>
    <xf numFmtId="166" fontId="7" fillId="2" borderId="58" xfId="0" applyNumberFormat="1" applyFont="1" applyFill="1" applyBorder="1"/>
    <xf numFmtId="1" fontId="6" fillId="2" borderId="32" xfId="0" applyNumberFormat="1" applyFont="1" applyFill="1" applyBorder="1" applyAlignment="1">
      <alignment horizontal="center"/>
    </xf>
    <xf numFmtId="0" fontId="7" fillId="2" borderId="32" xfId="0" applyFont="1" applyFill="1" applyBorder="1"/>
    <xf numFmtId="165" fontId="4" fillId="0" borderId="32" xfId="0" applyNumberFormat="1" applyFont="1" applyBorder="1" applyAlignment="1">
      <alignment horizontal="right"/>
    </xf>
    <xf numFmtId="166" fontId="7" fillId="2" borderId="32" xfId="0" applyNumberFormat="1" applyFont="1" applyFill="1" applyBorder="1"/>
    <xf numFmtId="9" fontId="4" fillId="0" borderId="32" xfId="0" applyNumberFormat="1" applyFont="1" applyBorder="1" applyAlignment="1">
      <alignment horizontal="right"/>
    </xf>
    <xf numFmtId="1" fontId="34" fillId="2" borderId="78" xfId="0" applyNumberFormat="1" applyFont="1" applyFill="1" applyBorder="1" applyAlignment="1">
      <alignment horizontal="center"/>
    </xf>
    <xf numFmtId="0" fontId="34" fillId="2" borderId="78" xfId="0" applyFont="1" applyFill="1" applyBorder="1"/>
    <xf numFmtId="165" fontId="2" fillId="0" borderId="78" xfId="0" applyNumberFormat="1" applyFont="1" applyBorder="1" applyAlignment="1">
      <alignment horizontal="right"/>
    </xf>
    <xf numFmtId="9" fontId="2" fillId="0" borderId="78" xfId="0" applyNumberFormat="1" applyFont="1" applyBorder="1" applyAlignment="1">
      <alignment horizontal="right"/>
    </xf>
    <xf numFmtId="166" fontId="7" fillId="20" borderId="0" xfId="0" applyNumberFormat="1" applyFont="1" applyFill="1"/>
    <xf numFmtId="175" fontId="7" fillId="0" borderId="0" xfId="0" applyNumberFormat="1" applyFont="1"/>
    <xf numFmtId="165" fontId="4" fillId="11" borderId="29" xfId="0" applyNumberFormat="1" applyFont="1" applyFill="1" applyBorder="1" applyAlignment="1" applyProtection="1">
      <alignment horizontal="right"/>
      <protection hidden="1"/>
    </xf>
    <xf numFmtId="39" fontId="7" fillId="0" borderId="0" xfId="0" applyNumberFormat="1" applyFont="1"/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25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26.xml"/><Relationship Id="rId11" Type="http://schemas.openxmlformats.org/officeDocument/2006/relationships/worksheet" Target="worksheets/sheet4.xml"/><Relationship Id="rId12" Type="http://schemas.openxmlformats.org/officeDocument/2006/relationships/worksheet" Target="worksheets/sheet21.xml"/><Relationship Id="rId13" Type="http://schemas.openxmlformats.org/officeDocument/2006/relationships/worksheet" Target="worksheets/sheet23.xml"/><Relationship Id="rId14" Type="http://schemas.openxmlformats.org/officeDocument/2006/relationships/worksheet" Target="worksheets/sheet22.xml"/><Relationship Id="rId15" Type="http://schemas.openxmlformats.org/officeDocument/2006/relationships/worksheet" Target="worksheets/sheet27.xml"/><Relationship Id="rId16" Type="http://schemas.openxmlformats.org/officeDocument/2006/relationships/worksheet" Target="worksheets/sheet28.xml"/><Relationship Id="rId17" Type="http://schemas.openxmlformats.org/officeDocument/2006/relationships/worksheet" Target="worksheets/sheet29.xml"/><Relationship Id="rId18" Type="http://schemas.openxmlformats.org/officeDocument/2006/relationships/worksheet" Target="worksheets/sheet30.xml"/><Relationship Id="rId19" Type="http://schemas.openxmlformats.org/officeDocument/2006/relationships/worksheet" Target="worksheets/sheet31.xml"/><Relationship Id="rId20" Type="http://schemas.openxmlformats.org/officeDocument/2006/relationships/worksheet" Target="worksheets/sheet32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526675</xdr:colOff>
      <xdr:row>128</xdr:row>
      <xdr:rowOff>224117</xdr:rowOff>
    </xdr:from>
    <xdr:to>
      <xdr:col>5</xdr:col>
      <xdr:colOff>361395</xdr:colOff>
      <xdr:row>156</xdr:row>
      <xdr:rowOff>212627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78441</xdr:colOff>
      <xdr:row>3</xdr:row>
      <xdr:rowOff>21815</xdr:rowOff>
    </xdr:from>
    <xdr:to>
      <xdr:col>27</xdr:col>
      <xdr:colOff>550620</xdr:colOff>
      <xdr:row>17</xdr:row>
      <xdr:rowOff>168088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2400300</xdr:colOff>
      <xdr:row>26</xdr:row>
      <xdr:rowOff>171450</xdr:rowOff>
    </xdr:from>
    <xdr:to>
      <xdr:col>4</xdr:col>
      <xdr:colOff>836157</xdr:colOff>
      <xdr:row>34</xdr:row>
      <xdr:rowOff>59529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154038</xdr:colOff>
      <xdr:row>45</xdr:row>
      <xdr:rowOff>39275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"/>
  <sheetViews>
    <sheetView workbookViewId="0" zoomScale="100" zoomScaleNormal="100">
      <selection activeCell="H31" sqref="H31"/>
    </sheetView>
  </sheetViews>
  <sheetFormatPr defaultRowHeight="14.4" outlineLevelRow="1" outlineLevelCol="0" x14ac:dyDescent="0.3" customHeight="1"/>
  <cols>
    <col min="2" max="2" width="37.88671875" customWidth="1"/>
    <col min="3" max="3" width="19.44140625" customWidth="1"/>
    <col min="4" max="7" width="11.88671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6" ht="27.6" customHeight="1" spans="2:9" x14ac:dyDescent="0.25">
      <c r="B6" s="2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4" t="s">
        <v>9</v>
      </c>
      <c r="I6" s="5" t="s">
        <v>10</v>
      </c>
    </row>
    <row r="7" spans="2:9" x14ac:dyDescent="0.25">
      <c r="B7" s="6" t="s">
        <v>11</v>
      </c>
      <c r="C7" s="7">
        <f>'Budget to Actual P1'!G13</f>
        <v>0</v>
      </c>
      <c r="D7" s="8">
        <f>C7/$I$7</f>
        <v>0</v>
      </c>
      <c r="E7" s="7">
        <f>'Budget to Actual P1'!J13</f>
        <v>0</v>
      </c>
      <c r="F7" s="7">
        <f>'Budget to Actual P1'!L13</f>
        <v>0</v>
      </c>
      <c r="G7" s="9">
        <f>IF(ISERROR(E7/C7),0,E7/C7)</f>
        <v>0</v>
      </c>
      <c r="I7" s="10">
        <v>222677</v>
      </c>
    </row>
    <row r="8" hidden="1" spans="2:7" x14ac:dyDescent="0.25">
      <c r="B8" s="11" t="s">
        <v>12</v>
      </c>
      <c r="C8" s="12">
        <f>'Budget to Actual P1'!G18</f>
        <v>0</v>
      </c>
      <c r="D8" s="8">
        <f t="shared" ref="D8:D14" si="0">C8/$I$7</f>
        <v>0</v>
      </c>
      <c r="E8" s="12">
        <f>'Budget to Actual P1'!J18</f>
        <v>0</v>
      </c>
      <c r="F8" s="12">
        <f>'Budget to Actual P1'!L18</f>
        <v>0</v>
      </c>
      <c r="G8" s="9">
        <f t="shared" ref="G8:G13" si="1">IF(ISERROR(E8/C8),0,E8/C8)</f>
        <v>0</v>
      </c>
    </row>
    <row r="9" spans="2:7" x14ac:dyDescent="0.25">
      <c r="B9" s="11" t="s">
        <v>13</v>
      </c>
      <c r="C9" s="7">
        <f>'Budget to Actual P1'!G28</f>
        <v>6379396.919999999</v>
      </c>
      <c r="D9" s="8">
        <f t="shared" si="0"/>
        <v>28.64865666413684</v>
      </c>
      <c r="E9" s="7">
        <f>'Budget to Actual P1'!J28</f>
        <v>5467355.149999999</v>
      </c>
      <c r="F9" s="7">
        <f>'Budget to Actual P1'!L28</f>
        <v>912041.77</v>
      </c>
      <c r="G9" s="9">
        <f t="shared" si="1"/>
        <v>0.8570332303449149</v>
      </c>
    </row>
    <row r="10" hidden="1" spans="2:7" x14ac:dyDescent="0.25">
      <c r="B10" s="11" t="s">
        <v>14</v>
      </c>
      <c r="C10" s="7">
        <f>'Budget to Actual P1'!G44</f>
        <v>0</v>
      </c>
      <c r="D10" s="8">
        <f t="shared" si="0"/>
        <v>0</v>
      </c>
      <c r="E10" s="7">
        <f>'Budget to Actual P1'!J44</f>
        <v>0</v>
      </c>
      <c r="F10" s="7">
        <f>'Budget to Actual P1'!L44</f>
        <v>0</v>
      </c>
      <c r="G10" s="9">
        <f t="shared" si="1"/>
        <v>0</v>
      </c>
    </row>
    <row r="11" spans="2:7" x14ac:dyDescent="0.25">
      <c r="B11" s="11" t="s">
        <v>15</v>
      </c>
      <c r="C11" s="7">
        <f>'Budget to Actual P1'!G67</f>
        <v>164385.7</v>
      </c>
      <c r="D11" s="8">
        <f t="shared" si="0"/>
        <v>0.7382248727978193</v>
      </c>
      <c r="E11" s="7">
        <f>'Budget to Actual P1'!J67</f>
        <v>164385.7</v>
      </c>
      <c r="F11" s="7">
        <f>'Budget to Actual P1'!L67</f>
        <v>0</v>
      </c>
      <c r="G11" s="9">
        <f t="shared" si="1"/>
        <v>1</v>
      </c>
    </row>
    <row r="12" spans="2:7" x14ac:dyDescent="0.25">
      <c r="B12" s="11" t="s">
        <v>16</v>
      </c>
      <c r="C12" s="7">
        <f>'Budget to Actual P1'!G92</f>
        <v>2586495.5300000003</v>
      </c>
      <c r="D12" s="8">
        <f t="shared" si="0"/>
        <v>11.615458848466615</v>
      </c>
      <c r="E12" s="7">
        <f>'Budget to Actual P1'!J92</f>
        <v>735654.03</v>
      </c>
      <c r="F12" s="7">
        <f>'Budget to Actual P1'!L92</f>
        <v>1850841.5</v>
      </c>
      <c r="G12" s="9">
        <f t="shared" si="1"/>
        <v>0.2844211487966499</v>
      </c>
    </row>
    <row r="13" spans="2:7" x14ac:dyDescent="0.25">
      <c r="B13" s="11" t="s">
        <v>17</v>
      </c>
      <c r="C13" s="7">
        <f>'Budget to Actual P1'!G113</f>
        <v>329018.68</v>
      </c>
      <c r="D13" s="8">
        <f t="shared" si="0"/>
        <v>1.4775602329831998</v>
      </c>
      <c r="E13" s="7">
        <f>'Budget to Actual P1'!J113</f>
        <v>291272.4752</v>
      </c>
      <c r="F13" s="7">
        <f>'Budget to Actual P1'!L113</f>
        <v>37746.20480000001</v>
      </c>
      <c r="G13" s="9">
        <f t="shared" si="1"/>
        <v>0.8852764080142805</v>
      </c>
    </row>
    <row r="14" hidden="1" spans="2:7" x14ac:dyDescent="0.25">
      <c r="B14" s="11" t="s">
        <v>18</v>
      </c>
      <c r="C14" s="7">
        <f>'Budget to Actual P1'!G124</f>
        <v>1416100.7</v>
      </c>
      <c r="D14" s="8">
        <f t="shared" si="0"/>
        <v>6.359438558989028</v>
      </c>
      <c r="E14" s="7">
        <f>'Budget to Actual P1'!J124</f>
        <v>917186.8400000001</v>
      </c>
      <c r="F14" s="7">
        <f>'Budget to Actual P1'!L124</f>
        <v>498913.85999999987</v>
      </c>
      <c r="G14" s="9">
        <f>IF(ISERROR(E14/C14),0,E14/C14)</f>
        <v>0.6476847585768443</v>
      </c>
    </row>
    <row r="15" spans="2:7" x14ac:dyDescent="0.25">
      <c r="B15" s="13" t="s">
        <v>19</v>
      </c>
      <c r="C15" s="14">
        <f>SUM(C7:C14)</f>
        <v>10875397.529999997</v>
      </c>
      <c r="D15" s="15">
        <f>SUM(D7:D14)</f>
        <v>48.8393391773735</v>
      </c>
      <c r="E15" s="14">
        <f>SUM(E7:E14)</f>
        <v>7575854.1952</v>
      </c>
      <c r="F15" s="14">
        <f>SUM(F7:F14)</f>
        <v>3299543.3348</v>
      </c>
      <c r="G15" s="16">
        <f>E15/C15</f>
        <v>0.6966048067945891</v>
      </c>
    </row>
    <row r="16" hidden="1" spans="3:6" x14ac:dyDescent="0.25" outlineLevel="1" collapsed="1">
      <c r="C16" s="17">
        <f>'Budget to Actual P1'!G126-C15</f>
        <v>0</v>
      </c>
      <c r="E16" s="17">
        <f>E15-'Budget to Actual P1'!J126</f>
        <v>0</v>
      </c>
      <c r="F16" s="17">
        <f>F15-'Budget to Actual P1'!L126</f>
        <v>0</v>
      </c>
    </row>
  </sheetData>
  <pageMargins left="0.7" right="0.7" top="0.75" bottom="0.75" header="0.3" footer="0.3"/>
  <pageSetup orientation="landscape" horizontalDpi="1200" verticalDpi="1200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6"/>
  <sheetViews>
    <sheetView workbookViewId="0" showGridLines="0" zoomScale="85" zoomScaleNormal="85">
      <selection activeCell="F27" sqref="F27"/>
    </sheetView>
  </sheetViews>
  <sheetFormatPr defaultRowHeight="18" outlineLevelRow="1" outlineLevelCol="0" x14ac:dyDescent="0.35" defaultColWidth="9.109375" customHeight="1"/>
  <cols>
    <col min="1" max="1" width="1.6640625" style="18" customWidth="1"/>
    <col min="2" max="2" width="14.33203125" style="18" customWidth="1"/>
    <col min="3" max="3" width="35.33203125" style="18" customWidth="1"/>
    <col min="4" max="5" width="25" style="19" customWidth="1"/>
    <col min="6" max="6" width="26.44140625" style="19" customWidth="1"/>
    <col min="7" max="7" width="28.109375" style="20" customWidth="1"/>
    <col min="8" max="8" width="25.33203125" style="21" customWidth="1"/>
    <col min="9" max="9" width="22.109375" style="21" customWidth="1"/>
    <col min="10" max="10" width="27.6640625" style="21" customWidth="1"/>
    <col min="11" max="11" width="18.33203125" style="21" customWidth="1"/>
    <col min="12" max="12" width="22.109375" style="21" customWidth="1"/>
    <col min="13" max="13" width="9.109375" style="22" customWidth="1"/>
    <col min="14" max="14" width="20" style="22" customWidth="1"/>
    <col min="15" max="15" width="18.33203125" style="22" customWidth="1"/>
    <col min="16" max="17" width="9.109375" style="22" customWidth="1"/>
    <col min="18" max="18" width="15.44140625" style="22" customWidth="1"/>
    <col min="19" max="19" width="13" style="22" customWidth="1"/>
    <col min="20" max="20" width="12.33203125" style="22" customWidth="1"/>
    <col min="21" max="21" width="13" style="18" customWidth="1"/>
    <col min="22" max="16384" width="9.109375" style="18" customWidth="1"/>
  </cols>
  <sheetData>
    <row r="1" hidden="1" spans="1:21" x14ac:dyDescent="0.25" outlineLevel="1" collapsed="1">
      <c r="A1" s="22"/>
      <c r="B1" s="23"/>
      <c r="C1" s="22"/>
      <c r="D1" s="21"/>
      <c r="E1" s="21"/>
      <c r="F1" s="21"/>
      <c r="G1" s="21"/>
      <c r="H1" s="24" t="s">
        <v>20</v>
      </c>
      <c r="I1" s="24" t="s">
        <v>20</v>
      </c>
      <c r="J1" s="24" t="s">
        <v>20</v>
      </c>
      <c r="K1" s="25"/>
      <c r="L1" s="24" t="s">
        <v>21</v>
      </c>
      <c r="M1" s="22"/>
      <c r="N1" s="22"/>
      <c r="O1" s="22"/>
      <c r="P1" s="22"/>
      <c r="Q1" s="22"/>
      <c r="R1" s="22"/>
      <c r="S1" s="22"/>
      <c r="T1" s="22"/>
      <c r="U1" s="18"/>
    </row>
    <row r="2" spans="1:21" x14ac:dyDescent="0.25">
      <c r="A2" s="18"/>
      <c r="B2" s="26" t="s">
        <v>22</v>
      </c>
      <c r="C2" s="22"/>
      <c r="D2" s="22"/>
      <c r="E2" s="21"/>
      <c r="F2" s="21"/>
      <c r="G2" s="21"/>
      <c r="H2" s="27"/>
      <c r="I2" s="21"/>
      <c r="J2" s="21"/>
      <c r="K2" s="21"/>
      <c r="L2" s="21"/>
      <c r="M2" s="22"/>
      <c r="N2" s="22"/>
      <c r="O2" s="22"/>
      <c r="P2" s="22"/>
      <c r="Q2" s="22"/>
      <c r="R2" s="22"/>
      <c r="S2" s="22"/>
      <c r="T2" s="22"/>
      <c r="U2" s="18"/>
    </row>
    <row r="3" spans="1:21" x14ac:dyDescent="0.25">
      <c r="A3" s="18"/>
      <c r="B3" s="28" t="s">
        <v>23</v>
      </c>
      <c r="C3" s="22"/>
      <c r="D3" s="22"/>
      <c r="E3" s="21"/>
      <c r="F3" s="21"/>
      <c r="G3" s="21"/>
      <c r="H3" s="27"/>
      <c r="I3" s="21"/>
      <c r="J3" s="21"/>
      <c r="K3" s="21"/>
      <c r="L3" s="21"/>
      <c r="M3" s="22"/>
      <c r="N3" s="22"/>
      <c r="O3" s="22"/>
      <c r="P3" s="22"/>
      <c r="Q3" s="22"/>
      <c r="R3" s="22"/>
      <c r="S3" s="22"/>
      <c r="T3" s="22"/>
      <c r="U3" s="18"/>
    </row>
    <row r="4" spans="1:21" x14ac:dyDescent="0.25">
      <c r="A4" s="18"/>
      <c r="B4" s="29">
        <v>46234</v>
      </c>
      <c r="C4" s="22"/>
      <c r="D4" s="22"/>
      <c r="E4" s="21"/>
      <c r="F4" s="21"/>
      <c r="G4" s="21"/>
      <c r="H4" s="21"/>
      <c r="I4" s="21"/>
      <c r="J4" s="21"/>
      <c r="K4" s="21"/>
      <c r="L4" s="21"/>
      <c r="M4" s="22"/>
      <c r="N4" s="22"/>
      <c r="O4" s="22"/>
      <c r="P4" s="22"/>
      <c r="Q4" s="22"/>
      <c r="R4" s="22"/>
      <c r="S4" s="22"/>
      <c r="T4" s="22"/>
      <c r="U4" s="18"/>
    </row>
    <row r="5" spans="1:21" x14ac:dyDescent="0.25">
      <c r="A5" s="30"/>
      <c r="B5" s="22"/>
      <c r="C5" s="22"/>
      <c r="D5" s="22"/>
      <c r="E5" s="21"/>
      <c r="F5" s="21"/>
      <c r="G5" s="21"/>
      <c r="H5" s="21"/>
      <c r="I5" s="21"/>
      <c r="J5" s="21"/>
      <c r="K5" s="21"/>
      <c r="L5" s="21"/>
      <c r="M5" s="22"/>
      <c r="N5" s="22"/>
      <c r="O5" s="22"/>
      <c r="P5" s="22"/>
      <c r="Q5" s="22"/>
      <c r="R5" s="22"/>
      <c r="S5" s="22"/>
      <c r="T5" s="22"/>
      <c r="U5" s="18"/>
    </row>
    <row r="6" spans="1:21" x14ac:dyDescent="0.25">
      <c r="A6" s="22"/>
      <c r="B6" s="22"/>
      <c r="C6" s="22"/>
      <c r="D6" s="21"/>
      <c r="E6" s="21"/>
      <c r="F6" s="21"/>
      <c r="G6" s="21"/>
      <c r="H6" s="21"/>
      <c r="I6" s="21"/>
      <c r="J6" s="21"/>
      <c r="K6" s="21"/>
      <c r="L6" s="21"/>
      <c r="M6" s="22"/>
      <c r="N6" s="22"/>
      <c r="O6" s="22"/>
      <c r="P6" s="22"/>
      <c r="Q6" s="22"/>
      <c r="R6" s="22"/>
      <c r="S6" s="22"/>
      <c r="T6" s="22"/>
      <c r="U6" s="18"/>
    </row>
    <row r="7" spans="1:21" x14ac:dyDescent="0.25">
      <c r="A7" s="18"/>
      <c r="B7" s="31"/>
      <c r="C7" s="32" t="s">
        <v>24</v>
      </c>
      <c r="D7" s="33" t="s">
        <v>25</v>
      </c>
      <c r="E7" s="33" t="s">
        <v>26</v>
      </c>
      <c r="F7" s="33" t="s">
        <v>27</v>
      </c>
      <c r="G7" s="33" t="s">
        <v>25</v>
      </c>
      <c r="H7" s="33" t="s">
        <v>28</v>
      </c>
      <c r="I7" s="33" t="s">
        <v>29</v>
      </c>
      <c r="J7" s="33" t="s">
        <v>30</v>
      </c>
      <c r="K7" s="34"/>
      <c r="L7" s="35" t="s">
        <v>31</v>
      </c>
      <c r="M7" s="22"/>
      <c r="N7" s="22"/>
      <c r="O7" s="22"/>
      <c r="P7" s="22"/>
      <c r="Q7" s="22"/>
      <c r="R7" s="22"/>
      <c r="S7" s="22"/>
      <c r="T7" s="22"/>
      <c r="U7" s="18"/>
    </row>
    <row r="8" spans="1:21" x14ac:dyDescent="0.25">
      <c r="A8" s="18"/>
      <c r="B8" s="36" t="s">
        <v>32</v>
      </c>
      <c r="C8" s="37" t="s">
        <v>33</v>
      </c>
      <c r="D8" s="38" t="s">
        <v>5</v>
      </c>
      <c r="E8" s="38" t="s">
        <v>34</v>
      </c>
      <c r="F8" s="38" t="s">
        <v>34</v>
      </c>
      <c r="G8" s="38" t="s">
        <v>35</v>
      </c>
      <c r="H8" s="38" t="s">
        <v>36</v>
      </c>
      <c r="I8" s="39" t="s">
        <v>37</v>
      </c>
      <c r="J8" s="38" t="s">
        <v>38</v>
      </c>
      <c r="K8" s="38" t="s">
        <v>39</v>
      </c>
      <c r="L8" s="40" t="s">
        <v>40</v>
      </c>
      <c r="M8" s="22"/>
      <c r="N8" s="22"/>
      <c r="O8" s="22"/>
      <c r="P8" s="22"/>
      <c r="Q8" s="22"/>
      <c r="R8" s="22"/>
      <c r="S8" s="22"/>
      <c r="T8" s="22"/>
      <c r="U8" s="18"/>
    </row>
    <row r="9" ht="9.9" customHeight="1" hidden="1" spans="1:21" x14ac:dyDescent="0.25">
      <c r="A9" s="18"/>
      <c r="B9" s="41"/>
      <c r="C9" s="42"/>
      <c r="D9" s="43"/>
      <c r="E9" s="43"/>
      <c r="F9" s="43"/>
      <c r="G9" s="43"/>
      <c r="H9" s="43"/>
      <c r="I9" s="44"/>
      <c r="J9" s="45"/>
      <c r="K9" s="44"/>
      <c r="L9" s="46"/>
      <c r="M9" s="22"/>
      <c r="N9" s="22"/>
      <c r="O9" s="22"/>
      <c r="P9" s="22"/>
      <c r="Q9" s="22"/>
      <c r="R9" s="22"/>
      <c r="S9" s="22"/>
      <c r="T9" s="22"/>
      <c r="U9" s="18"/>
    </row>
    <row r="10" hidden="1" spans="1:21" x14ac:dyDescent="0.25">
      <c r="A10" s="18"/>
      <c r="B10" s="41"/>
      <c r="C10" s="47" t="s">
        <v>41</v>
      </c>
      <c r="D10" s="48">
        <v>0</v>
      </c>
      <c r="E10" s="48">
        <v>0</v>
      </c>
      <c r="F10" s="48">
        <v>0</v>
      </c>
      <c r="G10" s="49">
        <f>+D10+E10+F10</f>
        <v>0</v>
      </c>
      <c r="H10" s="49">
        <f>SUMIF('Prior Invoice Log P1'!C:C,'Budget to Actual P1'!B10,'Prior Invoice Log P1'!G:G)</f>
        <v>0</v>
      </c>
      <c r="I10" s="50">
        <f>SUMIF('Current Invoice Log P1'!C:C,'Budget to Actual P1'!B10,'Current Invoice Log P1'!G:G)</f>
        <v>0</v>
      </c>
      <c r="J10" s="51">
        <f>SUM(H10,I10)</f>
        <v>0</v>
      </c>
      <c r="K10" s="52" t="e">
        <f>J10/G10</f>
        <v>#DIV/0!</v>
      </c>
      <c r="L10" s="53">
        <f>+G10-J10</f>
        <v>0</v>
      </c>
      <c r="M10" s="54"/>
      <c r="N10" s="22"/>
      <c r="O10" s="22"/>
      <c r="P10" s="22"/>
      <c r="Q10" s="22"/>
      <c r="R10" s="22"/>
      <c r="S10" s="22"/>
      <c r="T10" s="22"/>
      <c r="U10" s="18"/>
    </row>
    <row r="11" hidden="1" spans="1:21" x14ac:dyDescent="0.25">
      <c r="A11" s="18"/>
      <c r="B11" s="55">
        <v>11010</v>
      </c>
      <c r="C11" s="47" t="s">
        <v>42</v>
      </c>
      <c r="D11" s="48">
        <v>0</v>
      </c>
      <c r="E11" s="48">
        <v>0</v>
      </c>
      <c r="F11" s="48">
        <v>0</v>
      </c>
      <c r="G11" s="49">
        <f>+D11+E11+F11</f>
        <v>0</v>
      </c>
      <c r="H11" s="49">
        <f>SUMIF('Prior Invoice Log P1'!C:C,'Budget to Actual P1'!B11,'Prior Invoice Log P1'!G:G)</f>
        <v>0</v>
      </c>
      <c r="I11" s="50">
        <f>SUMIF('Current Invoice Log P1'!C:C,'Budget to Actual P1'!B11,'Current Invoice Log P1'!G:G)</f>
        <v>0</v>
      </c>
      <c r="J11" s="51">
        <f>SUM(H11:I11)</f>
        <v>0</v>
      </c>
      <c r="K11" s="52" t="e">
        <f>J11/G11</f>
        <v>#DIV/0!</v>
      </c>
      <c r="L11" s="53">
        <f>+G11-J11</f>
        <v>0</v>
      </c>
      <c r="M11" s="54"/>
      <c r="N11" s="22"/>
      <c r="O11" s="22"/>
      <c r="P11" s="22"/>
      <c r="Q11" s="22"/>
      <c r="R11" s="22"/>
      <c r="S11" s="22"/>
      <c r="T11" s="22"/>
      <c r="U11" s="18"/>
    </row>
    <row r="12" hidden="1" spans="1:21" x14ac:dyDescent="0.25">
      <c r="A12" s="18"/>
      <c r="B12" s="41"/>
      <c r="C12" s="47" t="s">
        <v>43</v>
      </c>
      <c r="D12" s="48">
        <v>0</v>
      </c>
      <c r="E12" s="48">
        <v>0</v>
      </c>
      <c r="F12" s="48">
        <v>0</v>
      </c>
      <c r="G12" s="49">
        <f>+D12+E12+F12</f>
        <v>0</v>
      </c>
      <c r="H12" s="49">
        <f>SUMIF('Prior Invoice Log P1'!C:C,'Budget to Actual P1'!B12,'Prior Invoice Log P1'!G:G)</f>
        <v>0</v>
      </c>
      <c r="I12" s="50">
        <f>SUMIF('Current Invoice Log P1'!C:C,'Budget to Actual P1'!B12,'Current Invoice Log P1'!G:G)</f>
        <v>0</v>
      </c>
      <c r="J12" s="51">
        <f>SUM(H12,I12)</f>
        <v>0</v>
      </c>
      <c r="K12" s="52" t="e">
        <f>J12/G12</f>
        <v>#DIV/0!</v>
      </c>
      <c r="L12" s="53">
        <f>+G12-J12</f>
        <v>0</v>
      </c>
      <c r="M12" s="54"/>
      <c r="N12" s="22"/>
      <c r="O12" s="22"/>
      <c r="P12" s="22"/>
      <c r="Q12" s="22"/>
      <c r="R12" s="22"/>
      <c r="S12" s="22"/>
      <c r="T12" s="22"/>
      <c r="U12" s="18"/>
    </row>
    <row r="13" hidden="1" spans="1:13" x14ac:dyDescent="0.25">
      <c r="A13" s="18"/>
      <c r="B13" s="56"/>
      <c r="C13" s="57" t="s">
        <v>44</v>
      </c>
      <c r="D13" s="58">
        <f t="shared" ref="D13:J13" si="0">SUBTOTAL(9,D10:D12)</f>
        <v>0</v>
      </c>
      <c r="E13" s="58">
        <f t="shared" si="0"/>
        <v>0</v>
      </c>
      <c r="F13" s="58">
        <f t="shared" si="0"/>
        <v>0</v>
      </c>
      <c r="G13" s="58">
        <f t="shared" si="0"/>
        <v>0</v>
      </c>
      <c r="H13" s="58">
        <f t="shared" si="0"/>
        <v>0</v>
      </c>
      <c r="I13" s="58">
        <f t="shared" si="0"/>
        <v>0</v>
      </c>
      <c r="J13" s="58">
        <f t="shared" si="0"/>
        <v>0</v>
      </c>
      <c r="K13" s="59" t="e">
        <f>J13/G13</f>
        <v>#DIV/0!</v>
      </c>
      <c r="L13" s="60">
        <f>SUBTOTAL(9,L10:L12)</f>
        <v>0</v>
      </c>
      <c r="M13" s="54"/>
    </row>
    <row r="14" hidden="1" spans="1:13" x14ac:dyDescent="0.25">
      <c r="A14" s="18"/>
      <c r="B14" s="61"/>
      <c r="C14" s="47" t="s">
        <v>45</v>
      </c>
      <c r="D14" s="48">
        <v>0</v>
      </c>
      <c r="E14" s="48">
        <v>0</v>
      </c>
      <c r="F14" s="48">
        <v>0</v>
      </c>
      <c r="G14" s="49">
        <f>+D14+E14+F14</f>
        <v>0</v>
      </c>
      <c r="H14" s="49">
        <f>SUMIF('Prior Invoice Log P1'!C:C,'Budget to Actual P1'!B14,'Prior Invoice Log P1'!G:G)</f>
        <v>0</v>
      </c>
      <c r="I14" s="50">
        <f>SUMIF('Current Invoice Log P1'!C:C,'Budget to Actual P1'!B14,'Current Invoice Log P1'!G:G)</f>
        <v>0</v>
      </c>
      <c r="J14" s="51">
        <f>SUM(H14,I14)</f>
        <v>0</v>
      </c>
      <c r="K14" s="52" t="e">
        <f t="shared" ref="K14:K16" si="1">J14/G14</f>
        <v>#DIV/0!</v>
      </c>
      <c r="L14" s="53">
        <f>+G14-J14</f>
        <v>0</v>
      </c>
      <c r="M14" s="54"/>
    </row>
    <row r="15" hidden="1" spans="1:13" x14ac:dyDescent="0.25">
      <c r="A15" s="18"/>
      <c r="B15" s="61"/>
      <c r="C15" s="47" t="s">
        <v>46</v>
      </c>
      <c r="D15" s="48">
        <v>0</v>
      </c>
      <c r="E15" s="48">
        <v>0</v>
      </c>
      <c r="F15" s="48">
        <v>0</v>
      </c>
      <c r="G15" s="49">
        <f>+D15+E15+F15</f>
        <v>0</v>
      </c>
      <c r="H15" s="49">
        <f>SUMIF('Prior Invoice Log P1'!C:C,'Budget to Actual P1'!B15,'Prior Invoice Log P1'!G:G)</f>
        <v>0</v>
      </c>
      <c r="I15" s="50">
        <f>SUMIF('Current Invoice Log P1'!C:C,'Budget to Actual P1'!B15,'Current Invoice Log P1'!G:G)</f>
        <v>0</v>
      </c>
      <c r="J15" s="51">
        <f>SUM(H15,I15)</f>
        <v>0</v>
      </c>
      <c r="K15" s="52" t="e">
        <f t="shared" si="1"/>
        <v>#DIV/0!</v>
      </c>
      <c r="L15" s="53">
        <f>+G15-J15</f>
        <v>0</v>
      </c>
      <c r="M15" s="54"/>
    </row>
    <row r="16" hidden="1" spans="1:13" x14ac:dyDescent="0.25">
      <c r="A16" s="18"/>
      <c r="B16" s="61"/>
      <c r="C16" s="47" t="s">
        <v>47</v>
      </c>
      <c r="D16" s="48">
        <v>0</v>
      </c>
      <c r="E16" s="48">
        <v>0</v>
      </c>
      <c r="F16" s="48">
        <v>0</v>
      </c>
      <c r="G16" s="49">
        <f>+D16+E16+F16</f>
        <v>0</v>
      </c>
      <c r="H16" s="49">
        <f>SUMIF('Prior Invoice Log P1'!C:C,'Budget to Actual P1'!B16,'Prior Invoice Log P1'!G:G)</f>
        <v>0</v>
      </c>
      <c r="I16" s="50">
        <f>SUMIF('Current Invoice Log P1'!C:C,'Budget to Actual P1'!B16,'Current Invoice Log P1'!G:G)</f>
        <v>0</v>
      </c>
      <c r="J16" s="51">
        <f>SUM(H16,I16)</f>
        <v>0</v>
      </c>
      <c r="K16" s="52" t="e">
        <f t="shared" si="1"/>
        <v>#DIV/0!</v>
      </c>
      <c r="L16" s="53">
        <f>+G16-J16</f>
        <v>0</v>
      </c>
      <c r="M16" s="54"/>
    </row>
    <row r="17" hidden="1" spans="1:13" x14ac:dyDescent="0.25">
      <c r="A17" s="18"/>
      <c r="B17" s="61"/>
      <c r="C17" s="47" t="s">
        <v>48</v>
      </c>
      <c r="D17" s="48">
        <v>0</v>
      </c>
      <c r="E17" s="48">
        <v>0</v>
      </c>
      <c r="F17" s="48">
        <v>0</v>
      </c>
      <c r="G17" s="49">
        <f>+D17+E17+F17</f>
        <v>0</v>
      </c>
      <c r="H17" s="49">
        <f>SUMIF('Prior Invoice Log P1'!C:C,'Budget to Actual P1'!B17,'Prior Invoice Log P1'!G:G)</f>
        <v>0</v>
      </c>
      <c r="I17" s="50">
        <f>SUMIF('Current Invoice Log P1'!C:C,'Budget to Actual P1'!B17,'Current Invoice Log P1'!G:G)</f>
        <v>0</v>
      </c>
      <c r="J17" s="51">
        <f>SUM(H17,I17)</f>
        <v>0</v>
      </c>
      <c r="K17" s="52" t="e">
        <f t="shared" ref="K17" si="2">J17/G17</f>
        <v>#DIV/0!</v>
      </c>
      <c r="L17" s="53">
        <f>+G17-J17</f>
        <v>0</v>
      </c>
      <c r="M17" s="54"/>
    </row>
    <row r="18" spans="1:13" x14ac:dyDescent="0.25">
      <c r="A18" s="18"/>
      <c r="B18" s="56"/>
      <c r="C18" s="57" t="s">
        <v>49</v>
      </c>
      <c r="D18" s="62">
        <f>SUBTOTAL(9,D14:D17)</f>
        <v>0</v>
      </c>
      <c r="E18" s="62">
        <f>SUBTOTAL(9,E14:E17)</f>
        <v>0</v>
      </c>
      <c r="F18" s="62">
        <f t="shared" ref="F18:L18" si="3">SUBTOTAL(9,F14:F17)</f>
        <v>0</v>
      </c>
      <c r="G18" s="62">
        <f t="shared" si="3"/>
        <v>0</v>
      </c>
      <c r="H18" s="62">
        <f>SUBTOTAL(9,H14:H17)</f>
        <v>0</v>
      </c>
      <c r="I18" s="62">
        <f>SUBTOTAL(9,I14:I17)</f>
        <v>0</v>
      </c>
      <c r="J18" s="62">
        <f>SUBTOTAL(9,J14:J17)</f>
        <v>0</v>
      </c>
      <c r="K18" s="59">
        <f>IFERROR(J18/G18,0)</f>
        <v>0</v>
      </c>
      <c r="L18" s="63">
        <f t="shared" si="3"/>
        <v>0</v>
      </c>
      <c r="M18" s="54"/>
    </row>
    <row r="19" spans="1:13" x14ac:dyDescent="0.25">
      <c r="A19" s="18"/>
      <c r="B19" s="64" t="s">
        <v>50</v>
      </c>
      <c r="C19" s="65" t="s">
        <v>51</v>
      </c>
      <c r="D19" s="66">
        <v>100000</v>
      </c>
      <c r="E19" s="66">
        <v>2678658.44</v>
      </c>
      <c r="F19" s="67">
        <v>0</v>
      </c>
      <c r="G19" s="68">
        <f>+D19+E19+F19</f>
        <v>2778658.44</v>
      </c>
      <c r="H19" s="68">
        <f>SUMIF('Prior Invoice Log P1'!C:C,'Budget to Actual P1'!B19,'Prior Invoice Log P1'!G:G)</f>
        <v>2778658.44</v>
      </c>
      <c r="I19" s="69">
        <f>SUMIF('Current Invoice Log P1'!C:C,'Budget to Actual P1'!B19,'Current Invoice Log P1'!G:G)</f>
        <v>0</v>
      </c>
      <c r="J19" s="70">
        <f t="shared" ref="J19:J26" si="4">SUM(H19,I19)</f>
        <v>2778658.44</v>
      </c>
      <c r="K19" s="52">
        <f t="shared" ref="K19:K24" si="5">J19/G19</f>
        <v>1</v>
      </c>
      <c r="L19" s="71">
        <f t="shared" ref="L19:L26" si="6">+G19-J19</f>
        <v>0</v>
      </c>
      <c r="M19" s="54"/>
    </row>
    <row r="20" spans="1:13" x14ac:dyDescent="0.25">
      <c r="A20" s="18"/>
      <c r="B20" s="64" t="s">
        <v>52</v>
      </c>
      <c r="C20" s="65" t="s">
        <v>53</v>
      </c>
      <c r="D20" s="66">
        <v>814195</v>
      </c>
      <c r="E20" s="66">
        <v>336094.78</v>
      </c>
      <c r="F20" s="67">
        <v>0</v>
      </c>
      <c r="G20" s="68">
        <f t="shared" ref="G20:G21" si="7">+D20+E20+F20</f>
        <v>1150289.78</v>
      </c>
      <c r="H20" s="68">
        <f>SUMIF('Prior Invoice Log P1'!C:C,'Budget to Actual P1'!B20,'Prior Invoice Log P1'!G:G)</f>
        <v>1150289.78</v>
      </c>
      <c r="I20" s="69">
        <f>SUMIF('Current Invoice Log P1'!C:C,'Budget to Actual P1'!B20,'Current Invoice Log P1'!G:G)</f>
        <v>0</v>
      </c>
      <c r="J20" s="70">
        <f t="shared" si="4"/>
        <v>1150289.78</v>
      </c>
      <c r="K20" s="52">
        <f t="shared" si="5"/>
        <v>1</v>
      </c>
      <c r="L20" s="71">
        <f t="shared" si="6"/>
        <v>0</v>
      </c>
      <c r="M20" s="54"/>
    </row>
    <row r="21" spans="1:13" x14ac:dyDescent="0.25">
      <c r="A21" s="18"/>
      <c r="B21" s="64" t="s">
        <v>54</v>
      </c>
      <c r="C21" s="47" t="s">
        <v>55</v>
      </c>
      <c r="D21" s="67">
        <v>143563</v>
      </c>
      <c r="E21" s="67">
        <v>480944</v>
      </c>
      <c r="F21" s="67">
        <v>0</v>
      </c>
      <c r="G21" s="68">
        <f t="shared" si="7"/>
        <v>624507</v>
      </c>
      <c r="H21" s="68">
        <f>SUMIF('Prior Invoice Log P1'!C:C,'Budget to Actual P1'!B21,'Prior Invoice Log P1'!G:G)</f>
        <v>537651.9</v>
      </c>
      <c r="I21" s="69">
        <f>SUMIF('Current Invoice Log P1'!C:C,'Budget to Actual P1'!B21,'Current Invoice Log P1'!G:G)</f>
        <v>86855.1</v>
      </c>
      <c r="J21" s="70">
        <f t="shared" si="4"/>
        <v>624507</v>
      </c>
      <c r="K21" s="52">
        <f t="shared" si="5"/>
        <v>1</v>
      </c>
      <c r="L21" s="71">
        <f t="shared" si="6"/>
        <v>0</v>
      </c>
      <c r="M21" s="54"/>
    </row>
    <row r="22" spans="1:13" x14ac:dyDescent="0.25">
      <c r="A22" s="18"/>
      <c r="B22" s="64" t="s">
        <v>56</v>
      </c>
      <c r="C22" s="65" t="s">
        <v>57</v>
      </c>
      <c r="D22" s="66">
        <v>210385</v>
      </c>
      <c r="E22" s="66">
        <v>300</v>
      </c>
      <c r="F22" s="66">
        <v>0</v>
      </c>
      <c r="G22" s="68">
        <f>+D22+E22+F22</f>
        <v>210685</v>
      </c>
      <c r="H22" s="68">
        <f>SUMIF('Prior Invoice Log P1'!C:C,'Budget to Actual P1'!B22,'Prior Invoice Log P1'!G:G)</f>
        <v>210685</v>
      </c>
      <c r="I22" s="69">
        <f>SUMIF('Current Invoice Log P1'!C:C,'Budget to Actual P1'!B22,'Current Invoice Log P1'!G:G)</f>
        <v>0</v>
      </c>
      <c r="J22" s="70">
        <f t="shared" si="4"/>
        <v>210685</v>
      </c>
      <c r="K22" s="52">
        <f t="shared" si="5"/>
        <v>1</v>
      </c>
      <c r="L22" s="71">
        <f t="shared" si="6"/>
        <v>0</v>
      </c>
      <c r="M22" s="54"/>
    </row>
    <row r="23" spans="1:13" x14ac:dyDescent="0.25">
      <c r="A23" s="18"/>
      <c r="B23" s="64" t="s">
        <v>58</v>
      </c>
      <c r="C23" s="47" t="s">
        <v>59</v>
      </c>
      <c r="D23" s="67">
        <v>222358</v>
      </c>
      <c r="E23" s="67">
        <v>79782.64</v>
      </c>
      <c r="F23" s="67">
        <v>0</v>
      </c>
      <c r="G23" s="68">
        <f>+D23+E23+F23</f>
        <v>302140.64</v>
      </c>
      <c r="H23" s="68">
        <f>SUMIF('Prior Invoice Log P1'!C:C,'Budget to Actual P1'!B23,'Prior Invoice Log P1'!G:G)</f>
        <v>206823.46</v>
      </c>
      <c r="I23" s="69">
        <f>SUMIF('Current Invoice Log P1'!C:C,'Budget to Actual P1'!B23,'Current Invoice Log P1'!G:G)</f>
        <v>95317.18000000001</v>
      </c>
      <c r="J23" s="70">
        <f t="shared" si="4"/>
        <v>302140.64</v>
      </c>
      <c r="K23" s="52">
        <f t="shared" si="5"/>
        <v>1</v>
      </c>
      <c r="L23" s="71">
        <f t="shared" si="6"/>
        <v>0</v>
      </c>
      <c r="M23" s="54"/>
    </row>
    <row r="24" spans="1:13" x14ac:dyDescent="0.25">
      <c r="A24" s="18"/>
      <c r="B24" s="64" t="s">
        <v>60</v>
      </c>
      <c r="C24" s="47" t="s">
        <v>61</v>
      </c>
      <c r="D24" s="67">
        <v>650000</v>
      </c>
      <c r="E24" s="67">
        <v>0</v>
      </c>
      <c r="F24" s="67">
        <v>0</v>
      </c>
      <c r="G24" s="68">
        <f>+D24+E24+F24</f>
        <v>650000</v>
      </c>
      <c r="H24" s="68">
        <f>SUMIF('Prior Invoice Log P1'!C:C,'Budget to Actual P1'!B24,'Prior Invoice Log P1'!G:G)</f>
        <v>112500</v>
      </c>
      <c r="I24" s="69">
        <f>SUMIF('Current Invoice Log P1'!C:C,'Budget to Actual P1'!B24,'Current Invoice Log P1'!G:G)</f>
        <v>0</v>
      </c>
      <c r="J24" s="70">
        <f t="shared" si="4"/>
        <v>112500</v>
      </c>
      <c r="K24" s="52">
        <f t="shared" si="5"/>
        <v>0.17307692307692307</v>
      </c>
      <c r="L24" s="71">
        <f t="shared" si="6"/>
        <v>537500</v>
      </c>
      <c r="M24" s="54"/>
    </row>
    <row r="25" spans="1:13" x14ac:dyDescent="0.25">
      <c r="A25" s="18"/>
      <c r="B25" s="64" t="s">
        <v>62</v>
      </c>
      <c r="C25" s="47" t="s">
        <v>63</v>
      </c>
      <c r="D25" s="67">
        <v>83393</v>
      </c>
      <c r="E25" s="67">
        <v>205181.29</v>
      </c>
      <c r="F25" s="67">
        <v>0</v>
      </c>
      <c r="G25" s="68">
        <f>+D25+E25+F25</f>
        <v>288574.29000000004</v>
      </c>
      <c r="H25" s="68">
        <f>SUMIF('Prior Invoice Log P1'!C:C,'Budget to Actual P1'!B25,'Prior Invoice Log P1'!G:G)</f>
        <v>288574.2900000001</v>
      </c>
      <c r="I25" s="69">
        <f>SUMIF('Current Invoice Log P1'!C:C,'Budget to Actual P1'!B25,'Current Invoice Log P1'!G:G)</f>
        <v>0</v>
      </c>
      <c r="J25" s="70">
        <f>SUM(H25,I25)</f>
        <v>288574.2900000001</v>
      </c>
      <c r="K25" s="52">
        <f>J25/G25</f>
        <v>1.0000000000000002</v>
      </c>
      <c r="L25" s="71">
        <f>+G25-J25</f>
        <v>0</v>
      </c>
      <c r="M25" s="54"/>
    </row>
    <row r="26" spans="1:13" x14ac:dyDescent="0.25">
      <c r="A26" s="18"/>
      <c r="B26" s="55">
        <v>11216</v>
      </c>
      <c r="C26" s="65" t="s">
        <v>64</v>
      </c>
      <c r="D26" s="67">
        <v>346282.8</v>
      </c>
      <c r="E26" s="67">
        <v>-221655.29</v>
      </c>
      <c r="F26" s="66">
        <v>0</v>
      </c>
      <c r="G26" s="68">
        <f t="shared" ref="G26" si="8">+D26+E26+F26</f>
        <v>124627.50999999998</v>
      </c>
      <c r="H26" s="68">
        <f>SUMIF('Prior Invoice Log P1'!C:C,'Budget to Actual P1'!B26,'Prior Invoice Log P1'!G:G)</f>
        <v>0</v>
      </c>
      <c r="I26" s="69">
        <f>SUMIF('Current Invoice Log P1'!C:C,'Budget to Actual P1'!B26,'Current Invoice Log P1'!G:G)</f>
        <v>0</v>
      </c>
      <c r="J26" s="70">
        <f t="shared" si="4"/>
        <v>0</v>
      </c>
      <c r="K26" s="52">
        <f>IFERROR(J26/G26,)</f>
        <v>0</v>
      </c>
      <c r="L26" s="71">
        <f t="shared" si="6"/>
        <v>124627.50999999998</v>
      </c>
      <c r="M26" s="54"/>
    </row>
    <row r="27" spans="1:13" x14ac:dyDescent="0.25">
      <c r="A27" s="18"/>
      <c r="B27" s="55">
        <v>11217</v>
      </c>
      <c r="C27" s="65" t="s">
        <v>65</v>
      </c>
      <c r="D27" s="67">
        <v>293570.38</v>
      </c>
      <c r="E27" s="67">
        <v>-43656.12</v>
      </c>
      <c r="F27" s="67">
        <v>0</v>
      </c>
      <c r="G27" s="68">
        <f t="shared" ref="G27" si="9">+D27+E27+F27</f>
        <v>249914.26</v>
      </c>
      <c r="H27" s="68">
        <f>SUMIF('Prior Invoice Log P1'!C:C,'Budget to Actual P1'!B27,'Prior Invoice Log P1'!G:G)</f>
        <v>0</v>
      </c>
      <c r="I27" s="69">
        <f>SUMIF('Current Invoice Log P1'!C:C,'Budget to Actual P1'!B27,'Current Invoice Log P1'!G:G)</f>
        <v>0</v>
      </c>
      <c r="J27" s="70">
        <f t="shared" ref="J27" si="10">SUM(H27,I27)</f>
        <v>0</v>
      </c>
      <c r="K27" s="52">
        <f t="shared" ref="K27" si="11">J27/G27</f>
        <v>0</v>
      </c>
      <c r="L27" s="71">
        <f t="shared" ref="L27" si="12">+G27-J27</f>
        <v>249914.26</v>
      </c>
      <c r="M27" s="54"/>
    </row>
    <row r="28" spans="1:13" x14ac:dyDescent="0.25">
      <c r="A28" s="18"/>
      <c r="B28" s="72"/>
      <c r="C28" s="73" t="s">
        <v>66</v>
      </c>
      <c r="D28" s="62">
        <f t="shared" ref="D28:J28" si="13">SUBTOTAL(9,D19:D27)</f>
        <v>2863747.1799999997</v>
      </c>
      <c r="E28" s="62">
        <v>3515649.74</v>
      </c>
      <c r="F28" s="62">
        <v>0</v>
      </c>
      <c r="G28" s="62">
        <f t="shared" si="13"/>
        <v>6379396.919999999</v>
      </c>
      <c r="H28" s="62">
        <f t="shared" si="13"/>
        <v>5285182.87</v>
      </c>
      <c r="I28" s="62">
        <f t="shared" si="13"/>
        <v>182172.28000000003</v>
      </c>
      <c r="J28" s="62">
        <f t="shared" si="13"/>
        <v>5467355.149999999</v>
      </c>
      <c r="K28" s="59">
        <f>J28/G28</f>
        <v>0.8570332303449149</v>
      </c>
      <c r="L28" s="63">
        <f>SUBTOTAL(9,L19:L27)</f>
        <v>912041.77</v>
      </c>
      <c r="M28" s="54"/>
    </row>
    <row r="29" hidden="1" spans="1:13" x14ac:dyDescent="0.25">
      <c r="A29" s="18"/>
      <c r="B29" s="61"/>
      <c r="C29" s="47" t="s">
        <v>67</v>
      </c>
      <c r="D29" s="67">
        <v>0</v>
      </c>
      <c r="E29" s="67">
        <v>0</v>
      </c>
      <c r="F29" s="67">
        <v>0</v>
      </c>
      <c r="G29" s="68">
        <f t="shared" ref="G29:G43" si="14">+D29+E29+F29</f>
        <v>0</v>
      </c>
      <c r="H29" s="68">
        <f>SUMIF('Prior Invoice Log P1'!C:C,'Budget to Actual P1'!B29,'Prior Invoice Log P1'!G:G)</f>
        <v>0</v>
      </c>
      <c r="I29" s="69">
        <f>SUMIF('Current Invoice Log P1'!C:C,'Budget to Actual P1'!B29,'Current Invoice Log P1'!G:G)</f>
        <v>0</v>
      </c>
      <c r="J29" s="70">
        <f t="shared" ref="J29:J43" si="15">SUM(H29,I29)</f>
        <v>0</v>
      </c>
      <c r="K29" s="52">
        <f t="shared" ref="K29:K30" si="16">IFERROR(J29/G29,0)</f>
        <v>0</v>
      </c>
      <c r="L29" s="71">
        <f t="shared" ref="L29:L43" si="17">+G29-J29</f>
        <v>0</v>
      </c>
      <c r="M29" s="54"/>
    </row>
    <row r="30" hidden="1" spans="1:13" x14ac:dyDescent="0.25">
      <c r="A30" s="18"/>
      <c r="B30" s="61"/>
      <c r="C30" s="47" t="s">
        <v>68</v>
      </c>
      <c r="D30" s="67">
        <v>0</v>
      </c>
      <c r="E30" s="67">
        <v>0</v>
      </c>
      <c r="F30" s="67">
        <v>0</v>
      </c>
      <c r="G30" s="68">
        <f t="shared" si="14"/>
        <v>0</v>
      </c>
      <c r="H30" s="68">
        <f>SUMIF('Prior Invoice Log P1'!C:C,'Budget to Actual P1'!B30,'Prior Invoice Log P1'!G:G)</f>
        <v>0</v>
      </c>
      <c r="I30" s="69">
        <f>SUMIF('Current Invoice Log P1'!C:C,'Budget to Actual P1'!B30,'Current Invoice Log P1'!G:G)</f>
        <v>0</v>
      </c>
      <c r="J30" s="70">
        <f t="shared" si="15"/>
        <v>0</v>
      </c>
      <c r="K30" s="52">
        <f t="shared" si="16"/>
        <v>0</v>
      </c>
      <c r="L30" s="71">
        <f t="shared" si="17"/>
        <v>0</v>
      </c>
      <c r="M30" s="54"/>
    </row>
    <row r="31" hidden="1" spans="1:13" x14ac:dyDescent="0.25">
      <c r="A31" s="18"/>
      <c r="B31" s="61"/>
      <c r="C31" s="47" t="s">
        <v>69</v>
      </c>
      <c r="D31" s="67">
        <v>0</v>
      </c>
      <c r="E31" s="67">
        <v>0</v>
      </c>
      <c r="F31" s="67">
        <v>0</v>
      </c>
      <c r="G31" s="68">
        <f t="shared" si="14"/>
        <v>0</v>
      </c>
      <c r="H31" s="68">
        <f>SUMIF('Prior Invoice Log P1'!C:C,'Budget to Actual P1'!B31,'Prior Invoice Log P1'!G:G)</f>
        <v>0</v>
      </c>
      <c r="I31" s="69">
        <f>SUMIF('Current Invoice Log P1'!C:C,'Budget to Actual P1'!B31,'Current Invoice Log P1'!G:G)</f>
        <v>0</v>
      </c>
      <c r="J31" s="70">
        <f t="shared" si="15"/>
        <v>0</v>
      </c>
      <c r="K31" s="52">
        <f>IFERROR(J31/G31,0)</f>
        <v>0</v>
      </c>
      <c r="L31" s="71">
        <f t="shared" si="17"/>
        <v>0</v>
      </c>
      <c r="M31" s="54"/>
    </row>
    <row r="32" hidden="1" spans="1:13" x14ac:dyDescent="0.25">
      <c r="A32" s="18"/>
      <c r="B32" s="61"/>
      <c r="C32" s="47" t="s">
        <v>70</v>
      </c>
      <c r="D32" s="67">
        <v>0</v>
      </c>
      <c r="E32" s="67">
        <v>0</v>
      </c>
      <c r="F32" s="67">
        <v>0</v>
      </c>
      <c r="G32" s="68">
        <f t="shared" si="14"/>
        <v>0</v>
      </c>
      <c r="H32" s="68">
        <f>SUMIF('Prior Invoice Log P1'!C:C,'Budget to Actual P1'!B32,'Prior Invoice Log P1'!G:G)</f>
        <v>0</v>
      </c>
      <c r="I32" s="69">
        <f>SUMIF('Current Invoice Log P1'!C:C,'Budget to Actual P1'!B32,'Current Invoice Log P1'!G:G)</f>
        <v>0</v>
      </c>
      <c r="J32" s="70">
        <f t="shared" si="15"/>
        <v>0</v>
      </c>
      <c r="K32" s="52">
        <f t="shared" ref="K32:K43" si="18">IFERROR(J32/G32,0)</f>
        <v>0</v>
      </c>
      <c r="L32" s="71">
        <f t="shared" si="17"/>
        <v>0</v>
      </c>
      <c r="M32" s="54"/>
    </row>
    <row r="33" hidden="1" spans="1:13" x14ac:dyDescent="0.25">
      <c r="A33" s="18"/>
      <c r="B33" s="61"/>
      <c r="C33" s="47" t="s">
        <v>71</v>
      </c>
      <c r="D33" s="67">
        <v>0</v>
      </c>
      <c r="E33" s="67">
        <v>0</v>
      </c>
      <c r="F33" s="67">
        <v>0</v>
      </c>
      <c r="G33" s="68">
        <f t="shared" si="14"/>
        <v>0</v>
      </c>
      <c r="H33" s="68">
        <f>SUMIF('Prior Invoice Log P1'!C:C,'Budget to Actual P1'!B33,'Prior Invoice Log P1'!G:G)</f>
        <v>0</v>
      </c>
      <c r="I33" s="69">
        <f>SUMIF('Current Invoice Log P1'!C:C,'Budget to Actual P1'!B33,'Current Invoice Log P1'!G:G)</f>
        <v>0</v>
      </c>
      <c r="J33" s="70">
        <f t="shared" si="15"/>
        <v>0</v>
      </c>
      <c r="K33" s="52">
        <f t="shared" si="18"/>
        <v>0</v>
      </c>
      <c r="L33" s="71">
        <f t="shared" si="17"/>
        <v>0</v>
      </c>
      <c r="M33" s="54"/>
    </row>
    <row r="34" hidden="1" spans="1:13" x14ac:dyDescent="0.25">
      <c r="A34" s="18"/>
      <c r="B34" s="61"/>
      <c r="C34" s="47" t="s">
        <v>72</v>
      </c>
      <c r="D34" s="67">
        <v>0</v>
      </c>
      <c r="E34" s="67">
        <v>0</v>
      </c>
      <c r="F34" s="67">
        <v>0</v>
      </c>
      <c r="G34" s="68">
        <f t="shared" si="14"/>
        <v>0</v>
      </c>
      <c r="H34" s="68">
        <f>SUMIF('Prior Invoice Log P1'!C:C,'Budget to Actual P1'!B34,'Prior Invoice Log P1'!G:G)</f>
        <v>0</v>
      </c>
      <c r="I34" s="69">
        <f>SUMIF('Current Invoice Log P1'!C:C,'Budget to Actual P1'!B34,'Current Invoice Log P1'!G:G)</f>
        <v>0</v>
      </c>
      <c r="J34" s="70">
        <f t="shared" si="15"/>
        <v>0</v>
      </c>
      <c r="K34" s="52">
        <f t="shared" si="18"/>
        <v>0</v>
      </c>
      <c r="L34" s="71">
        <f t="shared" si="17"/>
        <v>0</v>
      </c>
      <c r="M34" s="54"/>
    </row>
    <row r="35" hidden="1" spans="1:13" x14ac:dyDescent="0.25">
      <c r="A35" s="18"/>
      <c r="B35" s="61"/>
      <c r="C35" s="47" t="s">
        <v>73</v>
      </c>
      <c r="D35" s="67">
        <v>0</v>
      </c>
      <c r="E35" s="67">
        <v>0</v>
      </c>
      <c r="F35" s="67">
        <v>0</v>
      </c>
      <c r="G35" s="68">
        <f t="shared" si="14"/>
        <v>0</v>
      </c>
      <c r="H35" s="68">
        <f>SUMIF('Prior Invoice Log P1'!C:C,'Budget to Actual P1'!B35,'Prior Invoice Log P1'!G:G)</f>
        <v>0</v>
      </c>
      <c r="I35" s="69">
        <f>SUMIF('Current Invoice Log P1'!C:C,'Budget to Actual P1'!B35,'Current Invoice Log P1'!G:G)</f>
        <v>0</v>
      </c>
      <c r="J35" s="70">
        <f t="shared" si="15"/>
        <v>0</v>
      </c>
      <c r="K35" s="52">
        <f t="shared" si="18"/>
        <v>0</v>
      </c>
      <c r="L35" s="71">
        <f t="shared" si="17"/>
        <v>0</v>
      </c>
      <c r="M35" s="54"/>
    </row>
    <row r="36" hidden="1" spans="1:13" x14ac:dyDescent="0.25">
      <c r="A36" s="18"/>
      <c r="B36" s="61"/>
      <c r="C36" s="47" t="s">
        <v>74</v>
      </c>
      <c r="D36" s="67">
        <v>0</v>
      </c>
      <c r="E36" s="67">
        <v>0</v>
      </c>
      <c r="F36" s="67">
        <v>0</v>
      </c>
      <c r="G36" s="68">
        <f t="shared" si="14"/>
        <v>0</v>
      </c>
      <c r="H36" s="68">
        <f>SUMIF('Prior Invoice Log P1'!C:C,'Budget to Actual P1'!B36,'Prior Invoice Log P1'!G:G)</f>
        <v>0</v>
      </c>
      <c r="I36" s="69">
        <f>SUMIF('Current Invoice Log P1'!C:C,'Budget to Actual P1'!B36,'Current Invoice Log P1'!G:G)</f>
        <v>0</v>
      </c>
      <c r="J36" s="70">
        <f t="shared" si="15"/>
        <v>0</v>
      </c>
      <c r="K36" s="52">
        <f t="shared" si="18"/>
        <v>0</v>
      </c>
      <c r="L36" s="71">
        <f t="shared" si="17"/>
        <v>0</v>
      </c>
      <c r="M36" s="54"/>
    </row>
    <row r="37" hidden="1" spans="1:13" x14ac:dyDescent="0.25">
      <c r="A37" s="18"/>
      <c r="B37" s="61"/>
      <c r="C37" s="47" t="s">
        <v>75</v>
      </c>
      <c r="D37" s="67">
        <v>0</v>
      </c>
      <c r="E37" s="67">
        <v>0</v>
      </c>
      <c r="F37" s="67">
        <v>0</v>
      </c>
      <c r="G37" s="68">
        <f t="shared" si="14"/>
        <v>0</v>
      </c>
      <c r="H37" s="68">
        <f>SUMIF('Prior Invoice Log P1'!C:C,'Budget to Actual P1'!B37,'Prior Invoice Log P1'!G:G)</f>
        <v>0</v>
      </c>
      <c r="I37" s="69">
        <f>SUMIF('Current Invoice Log P1'!C:C,'Budget to Actual P1'!B37,'Current Invoice Log P1'!G:G)</f>
        <v>0</v>
      </c>
      <c r="J37" s="70">
        <f t="shared" si="15"/>
        <v>0</v>
      </c>
      <c r="K37" s="52">
        <f t="shared" si="18"/>
        <v>0</v>
      </c>
      <c r="L37" s="71">
        <f t="shared" si="17"/>
        <v>0</v>
      </c>
      <c r="M37" s="54"/>
    </row>
    <row r="38" hidden="1" spans="1:13" x14ac:dyDescent="0.25">
      <c r="A38" s="18"/>
      <c r="B38" s="61"/>
      <c r="C38" s="47" t="s">
        <v>76</v>
      </c>
      <c r="D38" s="67">
        <v>0</v>
      </c>
      <c r="E38" s="67">
        <v>0</v>
      </c>
      <c r="F38" s="67">
        <v>0</v>
      </c>
      <c r="G38" s="68">
        <f t="shared" si="14"/>
        <v>0</v>
      </c>
      <c r="H38" s="68">
        <f>SUMIF('Prior Invoice Log P1'!C:C,'Budget to Actual P1'!B38,'Prior Invoice Log P1'!G:G)</f>
        <v>0</v>
      </c>
      <c r="I38" s="69">
        <f>SUMIF('Current Invoice Log P1'!C:C,'Budget to Actual P1'!B38,'Current Invoice Log P1'!G:G)</f>
        <v>0</v>
      </c>
      <c r="J38" s="70">
        <f t="shared" si="15"/>
        <v>0</v>
      </c>
      <c r="K38" s="52">
        <f t="shared" si="18"/>
        <v>0</v>
      </c>
      <c r="L38" s="71">
        <f t="shared" si="17"/>
        <v>0</v>
      </c>
      <c r="M38" s="54"/>
    </row>
    <row r="39" hidden="1" spans="1:13" x14ac:dyDescent="0.25">
      <c r="A39" s="18"/>
      <c r="B39" s="61"/>
      <c r="C39" s="47" t="s">
        <v>77</v>
      </c>
      <c r="D39" s="67">
        <v>0</v>
      </c>
      <c r="E39" s="67">
        <v>0</v>
      </c>
      <c r="F39" s="67">
        <v>0</v>
      </c>
      <c r="G39" s="68">
        <f t="shared" si="14"/>
        <v>0</v>
      </c>
      <c r="H39" s="68">
        <f>SUMIF('Prior Invoice Log P1'!C:C,'Budget to Actual P1'!B39,'Prior Invoice Log P1'!G:G)</f>
        <v>0</v>
      </c>
      <c r="I39" s="69">
        <f>SUMIF('Current Invoice Log P1'!C:C,'Budget to Actual P1'!B39,'Current Invoice Log P1'!G:G)</f>
        <v>0</v>
      </c>
      <c r="J39" s="70">
        <f t="shared" si="15"/>
        <v>0</v>
      </c>
      <c r="K39" s="52">
        <f t="shared" si="18"/>
        <v>0</v>
      </c>
      <c r="L39" s="71">
        <f t="shared" si="17"/>
        <v>0</v>
      </c>
      <c r="M39" s="54"/>
    </row>
    <row r="40" hidden="1" spans="1:13" x14ac:dyDescent="0.25">
      <c r="A40" s="18"/>
      <c r="B40" s="61"/>
      <c r="C40" s="47" t="s">
        <v>78</v>
      </c>
      <c r="D40" s="67">
        <v>0</v>
      </c>
      <c r="E40" s="67">
        <v>0</v>
      </c>
      <c r="F40" s="67">
        <v>0</v>
      </c>
      <c r="G40" s="68">
        <f t="shared" si="14"/>
        <v>0</v>
      </c>
      <c r="H40" s="68">
        <f>SUMIF('Prior Invoice Log P1'!C:C,'Budget to Actual P1'!B40,'Prior Invoice Log P1'!G:G)</f>
        <v>0</v>
      </c>
      <c r="I40" s="69">
        <f>SUMIF('Current Invoice Log P1'!C:C,'Budget to Actual P1'!B40,'Current Invoice Log P1'!G:G)</f>
        <v>0</v>
      </c>
      <c r="J40" s="70">
        <f t="shared" si="15"/>
        <v>0</v>
      </c>
      <c r="K40" s="52">
        <f t="shared" si="18"/>
        <v>0</v>
      </c>
      <c r="L40" s="71">
        <f t="shared" si="17"/>
        <v>0</v>
      </c>
      <c r="M40" s="54"/>
    </row>
    <row r="41" hidden="1" spans="1:13" x14ac:dyDescent="0.25">
      <c r="A41" s="18"/>
      <c r="B41" s="61"/>
      <c r="C41" s="47" t="s">
        <v>79</v>
      </c>
      <c r="D41" s="67">
        <v>0</v>
      </c>
      <c r="E41" s="67">
        <v>0</v>
      </c>
      <c r="F41" s="67">
        <v>0</v>
      </c>
      <c r="G41" s="68">
        <f t="shared" si="14"/>
        <v>0</v>
      </c>
      <c r="H41" s="68">
        <f>SUMIF('Prior Invoice Log P1'!C:C,'Budget to Actual P1'!B41,'Prior Invoice Log P1'!G:G)</f>
        <v>0</v>
      </c>
      <c r="I41" s="69">
        <f>SUMIF('Current Invoice Log P1'!C:C,'Budget to Actual P1'!B41,'Current Invoice Log P1'!G:G)</f>
        <v>0</v>
      </c>
      <c r="J41" s="70">
        <f t="shared" si="15"/>
        <v>0</v>
      </c>
      <c r="K41" s="52">
        <f t="shared" si="18"/>
        <v>0</v>
      </c>
      <c r="L41" s="71">
        <f t="shared" si="17"/>
        <v>0</v>
      </c>
      <c r="M41" s="54"/>
    </row>
    <row r="42" hidden="1" spans="1:13" x14ac:dyDescent="0.25">
      <c r="A42" s="18"/>
      <c r="B42" s="61"/>
      <c r="C42" s="47" t="s">
        <v>80</v>
      </c>
      <c r="D42" s="67">
        <v>0</v>
      </c>
      <c r="E42" s="67">
        <v>0</v>
      </c>
      <c r="F42" s="67">
        <v>0</v>
      </c>
      <c r="G42" s="68">
        <f t="shared" si="14"/>
        <v>0</v>
      </c>
      <c r="H42" s="68">
        <f>SUMIF('Prior Invoice Log P1'!C:C,'Budget to Actual P1'!B42,'Prior Invoice Log P1'!G:G)</f>
        <v>0</v>
      </c>
      <c r="I42" s="69">
        <f>SUMIF('Current Invoice Log P1'!C:C,'Budget to Actual P1'!B42,'Current Invoice Log P1'!G:G)</f>
        <v>0</v>
      </c>
      <c r="J42" s="70">
        <f t="shared" si="15"/>
        <v>0</v>
      </c>
      <c r="K42" s="52">
        <f t="shared" si="18"/>
        <v>0</v>
      </c>
      <c r="L42" s="71">
        <f t="shared" si="17"/>
        <v>0</v>
      </c>
      <c r="M42" s="54"/>
    </row>
    <row r="43" hidden="1" spans="1:13" x14ac:dyDescent="0.25">
      <c r="A43" s="18"/>
      <c r="B43" s="61"/>
      <c r="C43" s="47" t="s">
        <v>81</v>
      </c>
      <c r="D43" s="67">
        <v>0</v>
      </c>
      <c r="E43" s="67">
        <v>0</v>
      </c>
      <c r="F43" s="67">
        <v>0</v>
      </c>
      <c r="G43" s="68">
        <f t="shared" si="14"/>
        <v>0</v>
      </c>
      <c r="H43" s="68">
        <f>SUMIF('Prior Invoice Log P1'!C:C,'Budget to Actual P1'!B43,'Prior Invoice Log P1'!G:G)</f>
        <v>0</v>
      </c>
      <c r="I43" s="69">
        <f>SUMIF('Current Invoice Log P1'!C:C,'Budget to Actual P1'!B43,'Current Invoice Log P1'!G:G)</f>
        <v>0</v>
      </c>
      <c r="J43" s="70">
        <f t="shared" si="15"/>
        <v>0</v>
      </c>
      <c r="K43" s="52">
        <f t="shared" si="18"/>
        <v>0</v>
      </c>
      <c r="L43" s="71">
        <f t="shared" si="17"/>
        <v>0</v>
      </c>
      <c r="M43" s="54"/>
    </row>
    <row r="44" spans="1:13" x14ac:dyDescent="0.25">
      <c r="A44" s="18"/>
      <c r="B44" s="72"/>
      <c r="C44" s="73" t="s">
        <v>82</v>
      </c>
      <c r="D44" s="62">
        <f>SUBTOTAL(9,D29:D43)</f>
        <v>0</v>
      </c>
      <c r="E44" s="62">
        <f t="shared" ref="E44" si="19">SUBTOTAL(9,E29:E43)</f>
        <v>0</v>
      </c>
      <c r="F44" s="62">
        <f t="shared" ref="F44:H44" si="20">SUBTOTAL(9,F29:F43)</f>
        <v>0</v>
      </c>
      <c r="G44" s="62">
        <f t="shared" si="20"/>
        <v>0</v>
      </c>
      <c r="H44" s="62">
        <f t="shared" si="20"/>
        <v>0</v>
      </c>
      <c r="I44" s="62">
        <f>SUBTOTAL(9,I29:I43)</f>
        <v>0</v>
      </c>
      <c r="J44" s="62">
        <f>SUBTOTAL(9,J29:J43)</f>
        <v>0</v>
      </c>
      <c r="K44" s="59">
        <f>IFERROR(J44/G44,0)</f>
        <v>0</v>
      </c>
      <c r="L44" s="63">
        <f>SUBTOTAL(9,L29:L43)</f>
        <v>0</v>
      </c>
      <c r="M44" s="54"/>
    </row>
    <row r="45" hidden="1" spans="1:13" x14ac:dyDescent="0.25">
      <c r="A45" s="18"/>
      <c r="B45" s="55"/>
      <c r="C45" s="65" t="s">
        <v>83</v>
      </c>
      <c r="D45" s="66"/>
      <c r="E45" s="66">
        <v>0</v>
      </c>
      <c r="F45" s="67">
        <v>0</v>
      </c>
      <c r="G45" s="68">
        <f t="shared" ref="G45:G46" si="21">+D45+E45+F45</f>
        <v>0</v>
      </c>
      <c r="H45" s="68">
        <f>SUMIF('Prior Invoice Log P1'!C:C,'Budget to Actual P1'!B45,'Prior Invoice Log P1'!G:G)</f>
        <v>0</v>
      </c>
      <c r="I45" s="69">
        <f>SUMIF('Current Invoice Log P1'!C:C,'Budget to Actual P1'!B45,'Current Invoice Log P1'!G:G)</f>
        <v>0</v>
      </c>
      <c r="J45" s="70">
        <f t="shared" ref="J45:J46" si="22">SUM(H45:I45)</f>
        <v>0</v>
      </c>
      <c r="K45" s="52" t="e">
        <f t="shared" ref="K45:K46" si="23">J45/G45</f>
        <v>#DIV/0!</v>
      </c>
      <c r="L45" s="71">
        <f t="shared" ref="L45:L46" si="24">+G45-J45</f>
        <v>0</v>
      </c>
      <c r="M45" s="54"/>
    </row>
    <row r="46" spans="1:13" x14ac:dyDescent="0.25">
      <c r="A46" s="18"/>
      <c r="B46" s="55">
        <v>12115</v>
      </c>
      <c r="C46" s="65" t="s">
        <v>84</v>
      </c>
      <c r="D46" s="66">
        <v>53750</v>
      </c>
      <c r="E46" s="66">
        <v>34396.36</v>
      </c>
      <c r="F46" s="67">
        <v>0</v>
      </c>
      <c r="G46" s="68">
        <f t="shared" si="21"/>
        <v>88146.36</v>
      </c>
      <c r="H46" s="68">
        <f>SUMIF('Prior Invoice Log P1'!C:C,'Budget to Actual P1'!B46,'Prior Invoice Log P1'!G:G)</f>
        <v>88146.36</v>
      </c>
      <c r="I46" s="69">
        <f>SUMIF('Current Invoice Log P1'!C:C,'Budget to Actual P1'!B46,'Current Invoice Log P1'!G:G)</f>
        <v>0</v>
      </c>
      <c r="J46" s="70">
        <f t="shared" si="22"/>
        <v>88146.36</v>
      </c>
      <c r="K46" s="52">
        <f t="shared" si="23"/>
        <v>1</v>
      </c>
      <c r="L46" s="71">
        <f t="shared" si="24"/>
        <v>0</v>
      </c>
      <c r="M46" s="54"/>
    </row>
    <row r="47" hidden="1" spans="1:13" x14ac:dyDescent="0.25">
      <c r="A47" s="18"/>
      <c r="B47" s="55">
        <v>12116</v>
      </c>
      <c r="C47" s="65" t="s">
        <v>85</v>
      </c>
      <c r="D47" s="67">
        <v>0</v>
      </c>
      <c r="E47" s="67">
        <v>0</v>
      </c>
      <c r="F47" s="67">
        <v>0</v>
      </c>
      <c r="G47" s="68">
        <f t="shared" ref="G47" si="25">+D47+E47+F47</f>
        <v>0</v>
      </c>
      <c r="H47" s="68">
        <f>SUMIF('Prior Invoice Log P1'!C:C,'Budget to Actual P1'!B47,'Prior Invoice Log P1'!G:G)</f>
        <v>0</v>
      </c>
      <c r="I47" s="69">
        <f>SUMIF('Current Invoice Log P1'!C:C,'Budget to Actual P1'!B47,'Current Invoice Log P1'!G:G)</f>
        <v>0</v>
      </c>
      <c r="J47" s="70">
        <f t="shared" ref="J47" si="26">SUM(H47:I47)</f>
        <v>0</v>
      </c>
      <c r="K47" s="52" t="e">
        <f t="shared" ref="K47:K48" si="27">J47/G47</f>
        <v>#DIV/0!</v>
      </c>
      <c r="L47" s="71">
        <f t="shared" ref="L47:L48" si="28">+G47-J47</f>
        <v>0</v>
      </c>
      <c r="M47" s="54"/>
    </row>
    <row r="48" hidden="1" spans="1:13" x14ac:dyDescent="0.25">
      <c r="A48" s="18"/>
      <c r="B48" s="55">
        <v>11760</v>
      </c>
      <c r="C48" s="65" t="s">
        <v>86</v>
      </c>
      <c r="D48" s="67">
        <v>0</v>
      </c>
      <c r="E48" s="67">
        <v>0</v>
      </c>
      <c r="F48" s="67">
        <v>0</v>
      </c>
      <c r="G48" s="68">
        <f>+D48+E48+F48</f>
        <v>0</v>
      </c>
      <c r="H48" s="68">
        <f>SUMIF('Prior Invoice Log P1'!C:C,'Budget to Actual P1'!B48,'Prior Invoice Log P1'!G:G)</f>
        <v>0</v>
      </c>
      <c r="I48" s="69">
        <f>SUMIF('Current Invoice Log P1'!C:C,'Budget to Actual P1'!B48,'Current Invoice Log P1'!G:G)</f>
        <v>0</v>
      </c>
      <c r="J48" s="70">
        <f>SUM(H48:I48)</f>
        <v>0</v>
      </c>
      <c r="K48" s="52" t="e">
        <f t="shared" si="27"/>
        <v>#DIV/0!</v>
      </c>
      <c r="L48" s="71">
        <f t="shared" si="28"/>
        <v>0</v>
      </c>
      <c r="M48" s="54"/>
    </row>
    <row r="49" hidden="1" spans="1:13" x14ac:dyDescent="0.25">
      <c r="A49" s="18"/>
      <c r="B49" s="55">
        <v>12013</v>
      </c>
      <c r="C49" s="65" t="s">
        <v>87</v>
      </c>
      <c r="D49" s="66">
        <v>0</v>
      </c>
      <c r="E49" s="66">
        <v>0</v>
      </c>
      <c r="F49" s="66">
        <v>0</v>
      </c>
      <c r="G49" s="68">
        <f>+D49+E49+F49</f>
        <v>0</v>
      </c>
      <c r="H49" s="68">
        <f>SUMIF('Prior Invoice Log P1'!C:C,'Budget to Actual P1'!B49,'Prior Invoice Log P1'!G:G)</f>
        <v>0</v>
      </c>
      <c r="I49" s="69">
        <f>SUMIF('Current Invoice Log P1'!C:C,'Budget to Actual P1'!B49,'Current Invoice Log P1'!G:G)</f>
        <v>0</v>
      </c>
      <c r="J49" s="70">
        <f t="shared" ref="J49" si="29">SUM(H49:I49)</f>
        <v>0</v>
      </c>
      <c r="K49" s="52" t="e">
        <f>J49/G49</f>
        <v>#DIV/0!</v>
      </c>
      <c r="L49" s="71">
        <f>+G49-J49</f>
        <v>0</v>
      </c>
      <c r="M49" s="54"/>
    </row>
    <row r="50" hidden="1" spans="1:13" x14ac:dyDescent="0.25">
      <c r="A50" s="18"/>
      <c r="B50" s="55">
        <v>12127</v>
      </c>
      <c r="C50" s="65" t="s">
        <v>88</v>
      </c>
      <c r="D50" s="67">
        <v>0</v>
      </c>
      <c r="E50" s="67">
        <v>0</v>
      </c>
      <c r="F50" s="67">
        <v>0</v>
      </c>
      <c r="G50" s="68">
        <f t="shared" ref="G50:G66" si="30">+D50+E50+F50</f>
        <v>0</v>
      </c>
      <c r="H50" s="68">
        <f>SUMIF('Prior Invoice Log P1'!C:C,'Budget to Actual P1'!B50,'Prior Invoice Log P1'!G:G)</f>
        <v>0</v>
      </c>
      <c r="I50" s="69">
        <f>SUMIF('Current Invoice Log P1'!C:C,'Budget to Actual P1'!B50,'Current Invoice Log P1'!G:G)</f>
        <v>0</v>
      </c>
      <c r="J50" s="70">
        <f t="shared" ref="J50:J66" si="31">SUM(H50:I50)</f>
        <v>0</v>
      </c>
      <c r="K50" s="52" t="e">
        <f t="shared" ref="K50:K56" si="32">J50/G50</f>
        <v>#DIV/0!</v>
      </c>
      <c r="L50" s="71">
        <f t="shared" ref="L50:L66" si="33">+G50-J50</f>
        <v>0</v>
      </c>
      <c r="M50" s="54"/>
    </row>
    <row r="51" hidden="1" spans="1:13" x14ac:dyDescent="0.25">
      <c r="A51" s="18"/>
      <c r="B51" s="55"/>
      <c r="C51" s="65" t="s">
        <v>89</v>
      </c>
      <c r="D51" s="67">
        <v>0</v>
      </c>
      <c r="E51" s="67">
        <v>0</v>
      </c>
      <c r="F51" s="67">
        <v>0</v>
      </c>
      <c r="G51" s="68">
        <f t="shared" si="30"/>
        <v>0</v>
      </c>
      <c r="H51" s="68">
        <f>SUMIF('Prior Invoice Log P1'!C:C,'Budget to Actual P1'!B51,'Prior Invoice Log P1'!G:G)</f>
        <v>0</v>
      </c>
      <c r="I51" s="69">
        <f>SUMIF('Current Invoice Log P1'!C:C,'Budget to Actual P1'!B51,'Current Invoice Log P1'!G:G)</f>
        <v>0</v>
      </c>
      <c r="J51" s="70">
        <f t="shared" si="31"/>
        <v>0</v>
      </c>
      <c r="K51" s="52" t="e">
        <f t="shared" si="32"/>
        <v>#DIV/0!</v>
      </c>
      <c r="L51" s="71">
        <f t="shared" si="33"/>
        <v>0</v>
      </c>
      <c r="M51" s="54"/>
    </row>
    <row r="52" hidden="1" spans="1:13" x14ac:dyDescent="0.25">
      <c r="A52" s="18"/>
      <c r="B52" s="55"/>
      <c r="C52" s="65" t="s">
        <v>90</v>
      </c>
      <c r="D52" s="67">
        <v>0</v>
      </c>
      <c r="E52" s="67">
        <v>0</v>
      </c>
      <c r="F52" s="67">
        <v>0</v>
      </c>
      <c r="G52" s="68">
        <f t="shared" si="30"/>
        <v>0</v>
      </c>
      <c r="H52" s="68">
        <f>SUMIF('Prior Invoice Log P1'!C:C,'Budget to Actual P1'!B52,'Prior Invoice Log P1'!G:G)</f>
        <v>0</v>
      </c>
      <c r="I52" s="69">
        <f>SUMIF('Current Invoice Log P1'!C:C,'Budget to Actual P1'!B52,'Current Invoice Log P1'!G:G)</f>
        <v>0</v>
      </c>
      <c r="J52" s="70">
        <f t="shared" si="31"/>
        <v>0</v>
      </c>
      <c r="K52" s="52" t="e">
        <f t="shared" si="32"/>
        <v>#DIV/0!</v>
      </c>
      <c r="L52" s="71">
        <f t="shared" si="33"/>
        <v>0</v>
      </c>
      <c r="M52" s="54"/>
    </row>
    <row r="53" hidden="1" spans="1:13" x14ac:dyDescent="0.25">
      <c r="A53" s="18"/>
      <c r="B53" s="55"/>
      <c r="C53" s="65" t="s">
        <v>91</v>
      </c>
      <c r="D53" s="67">
        <v>0</v>
      </c>
      <c r="E53" s="67">
        <v>0</v>
      </c>
      <c r="F53" s="67">
        <v>0</v>
      </c>
      <c r="G53" s="68">
        <f t="shared" si="30"/>
        <v>0</v>
      </c>
      <c r="H53" s="68">
        <f>SUMIF('Prior Invoice Log P1'!C:C,'Budget to Actual P1'!B53,'Prior Invoice Log P1'!G:G)</f>
        <v>0</v>
      </c>
      <c r="I53" s="69">
        <f>SUMIF('Current Invoice Log P1'!C:C,'Budget to Actual P1'!B53,'Current Invoice Log P1'!G:G)</f>
        <v>0</v>
      </c>
      <c r="J53" s="70">
        <f t="shared" si="31"/>
        <v>0</v>
      </c>
      <c r="K53" s="52" t="e">
        <f t="shared" si="32"/>
        <v>#DIV/0!</v>
      </c>
      <c r="L53" s="71">
        <f t="shared" si="33"/>
        <v>0</v>
      </c>
      <c r="M53" s="54"/>
    </row>
    <row r="54" hidden="1" spans="1:13" x14ac:dyDescent="0.25">
      <c r="A54" s="18"/>
      <c r="B54" s="55"/>
      <c r="C54" s="65" t="s">
        <v>92</v>
      </c>
      <c r="D54" s="67">
        <v>0</v>
      </c>
      <c r="E54" s="67">
        <v>0</v>
      </c>
      <c r="F54" s="67">
        <v>0</v>
      </c>
      <c r="G54" s="68">
        <f t="shared" si="30"/>
        <v>0</v>
      </c>
      <c r="H54" s="68">
        <f>SUMIF('Prior Invoice Log P1'!C:C,'Budget to Actual P1'!B54,'Prior Invoice Log P1'!G:G)</f>
        <v>0</v>
      </c>
      <c r="I54" s="69">
        <f>SUMIF('Current Invoice Log P1'!C:C,'Budget to Actual P1'!B54,'Current Invoice Log P1'!G:G)</f>
        <v>0</v>
      </c>
      <c r="J54" s="70">
        <f t="shared" si="31"/>
        <v>0</v>
      </c>
      <c r="K54" s="52" t="e">
        <f t="shared" si="32"/>
        <v>#DIV/0!</v>
      </c>
      <c r="L54" s="71">
        <f t="shared" si="33"/>
        <v>0</v>
      </c>
      <c r="M54" s="54"/>
    </row>
    <row r="55" hidden="1" spans="1:13" x14ac:dyDescent="0.25">
      <c r="A55" s="18"/>
      <c r="B55" s="55"/>
      <c r="C55" s="65" t="s">
        <v>93</v>
      </c>
      <c r="D55" s="67">
        <v>0</v>
      </c>
      <c r="E55" s="67">
        <v>0</v>
      </c>
      <c r="F55" s="67">
        <v>0</v>
      </c>
      <c r="G55" s="68">
        <f t="shared" si="30"/>
        <v>0</v>
      </c>
      <c r="H55" s="68">
        <f>SUMIF('Prior Invoice Log P1'!C:C,'Budget to Actual P1'!B55,'Prior Invoice Log P1'!G:G)</f>
        <v>0</v>
      </c>
      <c r="I55" s="69">
        <f>SUMIF('Current Invoice Log P1'!C:C,'Budget to Actual P1'!B55,'Current Invoice Log P1'!G:G)</f>
        <v>0</v>
      </c>
      <c r="J55" s="70">
        <f t="shared" si="31"/>
        <v>0</v>
      </c>
      <c r="K55" s="52" t="e">
        <f t="shared" si="32"/>
        <v>#DIV/0!</v>
      </c>
      <c r="L55" s="71">
        <f t="shared" si="33"/>
        <v>0</v>
      </c>
      <c r="M55" s="54"/>
    </row>
    <row r="56" hidden="1" spans="1:13" x14ac:dyDescent="0.25">
      <c r="A56" s="18"/>
      <c r="B56" s="55"/>
      <c r="C56" s="65" t="s">
        <v>94</v>
      </c>
      <c r="D56" s="67">
        <v>0</v>
      </c>
      <c r="E56" s="67">
        <v>0</v>
      </c>
      <c r="F56" s="67">
        <v>0</v>
      </c>
      <c r="G56" s="68">
        <f t="shared" si="30"/>
        <v>0</v>
      </c>
      <c r="H56" s="68">
        <f>SUMIF('Prior Invoice Log P1'!C:C,'Budget to Actual P1'!B56,'Prior Invoice Log P1'!G:G)</f>
        <v>0</v>
      </c>
      <c r="I56" s="69">
        <f>SUMIF('Current Invoice Log P1'!C:C,'Budget to Actual P1'!B56,'Current Invoice Log P1'!G:G)</f>
        <v>0</v>
      </c>
      <c r="J56" s="70">
        <f t="shared" si="31"/>
        <v>0</v>
      </c>
      <c r="K56" s="52" t="e">
        <f t="shared" si="32"/>
        <v>#DIV/0!</v>
      </c>
      <c r="L56" s="71">
        <f>+G56-J56</f>
        <v>0</v>
      </c>
      <c r="M56" s="54"/>
    </row>
    <row r="57" hidden="1" spans="1:13" x14ac:dyDescent="0.25">
      <c r="A57" s="18"/>
      <c r="B57" s="55"/>
      <c r="C57" s="65" t="s">
        <v>95</v>
      </c>
      <c r="D57" s="67">
        <v>0</v>
      </c>
      <c r="E57" s="67">
        <v>0</v>
      </c>
      <c r="F57" s="67">
        <v>0</v>
      </c>
      <c r="G57" s="68">
        <f t="shared" si="30"/>
        <v>0</v>
      </c>
      <c r="H57" s="68">
        <f>SUMIF('Prior Invoice Log P1'!C:C,'Budget to Actual P1'!B57,'Prior Invoice Log P1'!G:G)</f>
        <v>0</v>
      </c>
      <c r="I57" s="69">
        <f>SUMIF('Current Invoice Log P1'!C:C,'Budget to Actual P1'!B57,'Current Invoice Log P1'!G:G)</f>
        <v>0</v>
      </c>
      <c r="J57" s="70">
        <f t="shared" si="31"/>
        <v>0</v>
      </c>
      <c r="K57" s="52" t="e">
        <f t="shared" ref="K57:K65" si="34">J57/G57</f>
        <v>#DIV/0!</v>
      </c>
      <c r="L57" s="71">
        <f t="shared" si="33"/>
        <v>0</v>
      </c>
      <c r="M57" s="54"/>
    </row>
    <row r="58" hidden="1" spans="1:13" x14ac:dyDescent="0.25">
      <c r="A58" s="18"/>
      <c r="B58" s="55"/>
      <c r="C58" s="65" t="s">
        <v>96</v>
      </c>
      <c r="D58" s="67">
        <v>0</v>
      </c>
      <c r="E58" s="67">
        <v>0</v>
      </c>
      <c r="F58" s="67">
        <v>0</v>
      </c>
      <c r="G58" s="68">
        <f t="shared" si="30"/>
        <v>0</v>
      </c>
      <c r="H58" s="68">
        <f>SUMIF('Prior Invoice Log P1'!C:C,'Budget to Actual P1'!B58,'Prior Invoice Log P1'!G:G)</f>
        <v>0</v>
      </c>
      <c r="I58" s="69">
        <f>SUMIF('Current Invoice Log P1'!C:C,'Budget to Actual P1'!B58,'Current Invoice Log P1'!G:G)</f>
        <v>0</v>
      </c>
      <c r="J58" s="70">
        <f t="shared" si="31"/>
        <v>0</v>
      </c>
      <c r="K58" s="52" t="e">
        <f t="shared" si="34"/>
        <v>#DIV/0!</v>
      </c>
      <c r="L58" s="71">
        <f t="shared" si="33"/>
        <v>0</v>
      </c>
      <c r="M58" s="54"/>
    </row>
    <row r="59" hidden="1" spans="1:13" x14ac:dyDescent="0.25">
      <c r="A59" s="18"/>
      <c r="B59" s="55"/>
      <c r="C59" s="65" t="s">
        <v>97</v>
      </c>
      <c r="D59" s="67">
        <v>0</v>
      </c>
      <c r="E59" s="67">
        <v>0</v>
      </c>
      <c r="F59" s="67">
        <v>0</v>
      </c>
      <c r="G59" s="68">
        <f t="shared" si="30"/>
        <v>0</v>
      </c>
      <c r="H59" s="68">
        <f>SUMIF('Prior Invoice Log P1'!C:C,'Budget to Actual P1'!B59,'Prior Invoice Log P1'!G:G)</f>
        <v>0</v>
      </c>
      <c r="I59" s="69">
        <f>SUMIF('Current Invoice Log P1'!C:C,'Budget to Actual P1'!B59,'Current Invoice Log P1'!G:G)</f>
        <v>0</v>
      </c>
      <c r="J59" s="70">
        <f t="shared" si="31"/>
        <v>0</v>
      </c>
      <c r="K59" s="52" t="e">
        <f t="shared" si="34"/>
        <v>#DIV/0!</v>
      </c>
      <c r="L59" s="71">
        <f t="shared" si="33"/>
        <v>0</v>
      </c>
      <c r="M59" s="54"/>
    </row>
    <row r="60" hidden="1" spans="1:13" x14ac:dyDescent="0.25">
      <c r="A60" s="18"/>
      <c r="B60" s="55"/>
      <c r="C60" s="65" t="s">
        <v>98</v>
      </c>
      <c r="D60" s="67">
        <v>0</v>
      </c>
      <c r="E60" s="67">
        <v>0</v>
      </c>
      <c r="F60" s="67">
        <v>0</v>
      </c>
      <c r="G60" s="68">
        <f t="shared" si="30"/>
        <v>0</v>
      </c>
      <c r="H60" s="68">
        <f>SUMIF('Prior Invoice Log P1'!C:C,'Budget to Actual P1'!B60,'Prior Invoice Log P1'!G:G)</f>
        <v>0</v>
      </c>
      <c r="I60" s="69">
        <f>SUMIF('Current Invoice Log P1'!C:C,'Budget to Actual P1'!B60,'Current Invoice Log P1'!G:G)</f>
        <v>0</v>
      </c>
      <c r="J60" s="70">
        <f t="shared" si="31"/>
        <v>0</v>
      </c>
      <c r="K60" s="52">
        <v>0</v>
      </c>
      <c r="L60" s="71">
        <f t="shared" si="33"/>
        <v>0</v>
      </c>
      <c r="M60" s="54"/>
    </row>
    <row r="61" hidden="1" spans="1:13" x14ac:dyDescent="0.25">
      <c r="A61" s="18"/>
      <c r="B61" s="55"/>
      <c r="C61" s="65" t="s">
        <v>99</v>
      </c>
      <c r="D61" s="67">
        <v>0</v>
      </c>
      <c r="E61" s="67">
        <v>0</v>
      </c>
      <c r="F61" s="67">
        <v>0</v>
      </c>
      <c r="G61" s="68">
        <f t="shared" si="30"/>
        <v>0</v>
      </c>
      <c r="H61" s="68">
        <f>SUMIF('Prior Invoice Log P1'!C:C,'Budget to Actual P1'!B61,'Prior Invoice Log P1'!G:G)</f>
        <v>0</v>
      </c>
      <c r="I61" s="69">
        <f>SUMIF('Current Invoice Log P1'!C:C,'Budget to Actual P1'!B61,'Current Invoice Log P1'!G:G)</f>
        <v>0</v>
      </c>
      <c r="J61" s="70">
        <f t="shared" si="31"/>
        <v>0</v>
      </c>
      <c r="K61" s="52" t="e">
        <f t="shared" si="34"/>
        <v>#DIV/0!</v>
      </c>
      <c r="L61" s="71">
        <f t="shared" si="33"/>
        <v>0</v>
      </c>
      <c r="M61" s="54"/>
    </row>
    <row r="62" hidden="1" spans="1:13" x14ac:dyDescent="0.25">
      <c r="A62" s="18"/>
      <c r="B62" s="55"/>
      <c r="C62" s="65" t="s">
        <v>100</v>
      </c>
      <c r="D62" s="67">
        <v>0</v>
      </c>
      <c r="E62" s="67">
        <v>0</v>
      </c>
      <c r="F62" s="67">
        <v>0</v>
      </c>
      <c r="G62" s="68">
        <f t="shared" si="30"/>
        <v>0</v>
      </c>
      <c r="H62" s="68">
        <f>SUMIF('Prior Invoice Log P1'!C:C,'Budget to Actual P1'!B62,'Prior Invoice Log P1'!G:G)</f>
        <v>0</v>
      </c>
      <c r="I62" s="69">
        <f>SUMIF('Current Invoice Log P1'!C:C,'Budget to Actual P1'!B62,'Current Invoice Log P1'!G:G)</f>
        <v>0</v>
      </c>
      <c r="J62" s="70">
        <f t="shared" si="31"/>
        <v>0</v>
      </c>
      <c r="K62" s="52" t="e">
        <f t="shared" si="34"/>
        <v>#DIV/0!</v>
      </c>
      <c r="L62" s="71">
        <f t="shared" si="33"/>
        <v>0</v>
      </c>
      <c r="M62" s="54"/>
    </row>
    <row r="63" hidden="1" spans="1:13" x14ac:dyDescent="0.25">
      <c r="A63" s="18"/>
      <c r="B63" s="55"/>
      <c r="C63" s="65" t="s">
        <v>101</v>
      </c>
      <c r="D63" s="67">
        <v>0</v>
      </c>
      <c r="E63" s="67">
        <v>0</v>
      </c>
      <c r="F63" s="67">
        <v>0</v>
      </c>
      <c r="G63" s="68">
        <f t="shared" si="30"/>
        <v>0</v>
      </c>
      <c r="H63" s="68">
        <f>SUMIF('Prior Invoice Log P1'!C:C,'Budget to Actual P1'!B63,'Prior Invoice Log P1'!G:G)</f>
        <v>0</v>
      </c>
      <c r="I63" s="69">
        <f>SUMIF('Current Invoice Log P1'!C:C,'Budget to Actual P1'!B63,'Current Invoice Log P1'!G:G)</f>
        <v>0</v>
      </c>
      <c r="J63" s="70">
        <f t="shared" si="31"/>
        <v>0</v>
      </c>
      <c r="K63" s="52" t="e">
        <f t="shared" si="34"/>
        <v>#DIV/0!</v>
      </c>
      <c r="L63" s="71">
        <f t="shared" si="33"/>
        <v>0</v>
      </c>
      <c r="M63" s="54"/>
    </row>
    <row r="64" hidden="1" spans="1:13" x14ac:dyDescent="0.25">
      <c r="A64" s="18"/>
      <c r="B64" s="55"/>
      <c r="C64" s="65" t="s">
        <v>102</v>
      </c>
      <c r="D64" s="67">
        <v>0</v>
      </c>
      <c r="E64" s="67">
        <v>0</v>
      </c>
      <c r="F64" s="67">
        <v>0</v>
      </c>
      <c r="G64" s="68">
        <f t="shared" si="30"/>
        <v>0</v>
      </c>
      <c r="H64" s="68">
        <f>SUMIF('Prior Invoice Log P1'!C:C,'Budget to Actual P1'!B64,'Prior Invoice Log P1'!G:G)</f>
        <v>0</v>
      </c>
      <c r="I64" s="69">
        <f>SUMIF('Current Invoice Log P1'!C:C,'Budget to Actual P1'!B64,'Current Invoice Log P1'!G:G)</f>
        <v>0</v>
      </c>
      <c r="J64" s="70">
        <f t="shared" si="31"/>
        <v>0</v>
      </c>
      <c r="K64" s="52" t="e">
        <f t="shared" si="34"/>
        <v>#DIV/0!</v>
      </c>
      <c r="L64" s="71">
        <f t="shared" si="33"/>
        <v>0</v>
      </c>
      <c r="M64" s="54"/>
    </row>
    <row r="65" spans="1:13" x14ac:dyDescent="0.25">
      <c r="A65" s="18"/>
      <c r="B65" s="55">
        <v>12230</v>
      </c>
      <c r="C65" s="65" t="s">
        <v>103</v>
      </c>
      <c r="D65" s="67">
        <v>72000</v>
      </c>
      <c r="E65" s="67">
        <v>4239.34</v>
      </c>
      <c r="F65" s="66">
        <v>0</v>
      </c>
      <c r="G65" s="68">
        <f t="shared" si="30"/>
        <v>76239.34</v>
      </c>
      <c r="H65" s="68">
        <f>SUMIF('Prior Invoice Log P1'!C:C,'Budget to Actual P1'!B65,'Prior Invoice Log P1'!G:G)</f>
        <v>69274.24</v>
      </c>
      <c r="I65" s="69">
        <f>SUMIF('Current Invoice Log P1'!C:C,'Budget to Actual P1'!B65,'Current Invoice Log P1'!G:G)</f>
        <v>6965.099999999999</v>
      </c>
      <c r="J65" s="70">
        <f t="shared" si="31"/>
        <v>76239.34000000001</v>
      </c>
      <c r="K65" s="52">
        <f t="shared" si="34"/>
        <v>1.0000000000000002</v>
      </c>
      <c r="L65" s="71">
        <f>+G65-J65</f>
        <v>0</v>
      </c>
      <c r="M65" s="54"/>
    </row>
    <row r="66" hidden="1" spans="1:13" x14ac:dyDescent="0.25">
      <c r="A66" s="18"/>
      <c r="B66" s="55"/>
      <c r="C66" s="47" t="s">
        <v>104</v>
      </c>
      <c r="D66" s="67">
        <v>0</v>
      </c>
      <c r="E66" s="67">
        <v>0</v>
      </c>
      <c r="F66" s="67">
        <v>0</v>
      </c>
      <c r="G66" s="68">
        <f t="shared" si="30"/>
        <v>0</v>
      </c>
      <c r="H66" s="68">
        <f>SUMIF('Prior Invoice Log P1'!C:C,'Budget to Actual P1'!B66,'Prior Invoice Log P1'!G:G)</f>
        <v>0</v>
      </c>
      <c r="I66" s="69">
        <f>SUMIF('Current Invoice Log P1'!C:C,'Budget to Actual P1'!B66,'Current Invoice Log P1'!G:G)</f>
        <v>0</v>
      </c>
      <c r="J66" s="70">
        <f t="shared" si="31"/>
        <v>0</v>
      </c>
      <c r="K66" s="50"/>
      <c r="L66" s="71">
        <f t="shared" si="33"/>
        <v>0</v>
      </c>
      <c r="M66" s="54"/>
    </row>
    <row r="67" spans="1:13" x14ac:dyDescent="0.25">
      <c r="A67" s="18"/>
      <c r="B67" s="72"/>
      <c r="C67" s="73" t="s">
        <v>105</v>
      </c>
      <c r="D67" s="62">
        <f t="shared" ref="D67:J67" si="35">SUBTOTAL(9,D45:D66)</f>
        <v>125750</v>
      </c>
      <c r="E67" s="62">
        <v>38635.7</v>
      </c>
      <c r="F67" s="62">
        <v>0</v>
      </c>
      <c r="G67" s="62">
        <f t="shared" si="35"/>
        <v>164385.7</v>
      </c>
      <c r="H67" s="62">
        <f t="shared" si="35"/>
        <v>157420.6</v>
      </c>
      <c r="I67" s="62">
        <f t="shared" si="35"/>
        <v>6965.099999999999</v>
      </c>
      <c r="J67" s="62">
        <f t="shared" si="35"/>
        <v>164385.7</v>
      </c>
      <c r="K67" s="59">
        <f>J67/G67</f>
        <v>1</v>
      </c>
      <c r="L67" s="63">
        <f>SUBTOTAL(9,L45:L66)</f>
        <v>0</v>
      </c>
      <c r="M67" s="54"/>
    </row>
    <row r="68" spans="1:13" x14ac:dyDescent="0.25">
      <c r="A68" s="18"/>
      <c r="B68" s="55">
        <v>11970</v>
      </c>
      <c r="C68" s="65" t="s">
        <v>106</v>
      </c>
      <c r="D68" s="66">
        <v>50000</v>
      </c>
      <c r="E68" s="66">
        <v>18086.04</v>
      </c>
      <c r="F68" s="67">
        <v>0</v>
      </c>
      <c r="G68" s="68">
        <f>+D68+E68+F68</f>
        <v>68086.04000000001</v>
      </c>
      <c r="H68" s="68">
        <f>SUMIF('Prior Invoice Log P1'!C:C,'Budget to Actual P1'!B68,'Prior Invoice Log P1'!G:G)</f>
        <v>68086.04</v>
      </c>
      <c r="I68" s="69">
        <f>SUMIF('Current Invoice Log P1'!C:C,'Budget to Actual P1'!B68,'Current Invoice Log P1'!G:G)</f>
        <v>0</v>
      </c>
      <c r="J68" s="70">
        <f>SUM(H68:I68)</f>
        <v>68086.04</v>
      </c>
      <c r="K68" s="52">
        <f>J68/G68</f>
        <v>0.9999999999999998</v>
      </c>
      <c r="L68" s="71">
        <f>+G68-J68</f>
        <v>0</v>
      </c>
      <c r="M68" s="54"/>
    </row>
    <row r="69" spans="1:13" x14ac:dyDescent="0.25">
      <c r="A69" s="18"/>
      <c r="B69" s="55">
        <v>12343</v>
      </c>
      <c r="C69" s="65" t="s">
        <v>107</v>
      </c>
      <c r="D69" s="66">
        <v>115935.11</v>
      </c>
      <c r="E69" s="66">
        <f>29172.33</f>
        <v>29172.33</v>
      </c>
      <c r="F69" s="67">
        <v>0</v>
      </c>
      <c r="G69" s="68">
        <f>+D69+E69+F69</f>
        <v>145107.44</v>
      </c>
      <c r="H69" s="68">
        <f>SUMIF('Prior Invoice Log P1'!C:C,'Budget to Actual P1'!B69,'Prior Invoice Log P1'!G:G)</f>
        <v>145107.44</v>
      </c>
      <c r="I69" s="69">
        <f>SUMIF('Current Invoice Log P1'!C:C,'Budget to Actual P1'!B69,'Current Invoice Log P1'!G:G)</f>
        <v>0</v>
      </c>
      <c r="J69" s="70">
        <f t="shared" ref="J69:J90" si="36">SUM(H69:I69)</f>
        <v>145107.44</v>
      </c>
      <c r="K69" s="52">
        <f>J69/G69</f>
        <v>1</v>
      </c>
      <c r="L69" s="71">
        <f>+G69-J69</f>
        <v>0</v>
      </c>
      <c r="M69" s="54"/>
    </row>
    <row r="70" hidden="1" spans="1:13" x14ac:dyDescent="0.25">
      <c r="A70" s="18"/>
      <c r="B70" s="55"/>
      <c r="C70" s="65" t="s">
        <v>108</v>
      </c>
      <c r="D70" s="66"/>
      <c r="E70" s="66">
        <v>0</v>
      </c>
      <c r="F70" s="67">
        <v>0</v>
      </c>
      <c r="G70" s="68">
        <f t="shared" ref="G70:G71" si="37">+D70+E70+F70</f>
        <v>0</v>
      </c>
      <c r="H70" s="68">
        <f>SUMIF('Prior Invoice Log P1'!C:C,'Budget to Actual P1'!B70,'Prior Invoice Log P1'!G:G)</f>
        <v>0</v>
      </c>
      <c r="I70" s="69">
        <f>SUMIF('Current Invoice Log P1'!C:C,'Budget to Actual P1'!B70,'Current Invoice Log P1'!G:G)</f>
        <v>0</v>
      </c>
      <c r="J70" s="70">
        <f t="shared" si="36"/>
        <v>0</v>
      </c>
      <c r="K70" s="52" t="e">
        <f t="shared" ref="K70:K71" si="38">J70/G70</f>
        <v>#DIV/0!</v>
      </c>
      <c r="L70" s="71">
        <f t="shared" ref="L70:L71" si="39">+G70-J70</f>
        <v>0</v>
      </c>
      <c r="M70" s="54"/>
    </row>
    <row r="71" hidden="1" spans="1:13" x14ac:dyDescent="0.25">
      <c r="A71" s="18"/>
      <c r="B71" s="55">
        <v>12411</v>
      </c>
      <c r="C71" s="65" t="s">
        <v>109</v>
      </c>
      <c r="D71" s="66">
        <v>0</v>
      </c>
      <c r="E71" s="66">
        <v>0</v>
      </c>
      <c r="F71" s="67">
        <v>0</v>
      </c>
      <c r="G71" s="68">
        <f t="shared" si="37"/>
        <v>0</v>
      </c>
      <c r="H71" s="68">
        <f>SUMIF('Prior Invoice Log P1'!C:C,'Budget to Actual P1'!B71,'Prior Invoice Log P1'!G:G)</f>
        <v>0</v>
      </c>
      <c r="I71" s="69">
        <f>SUMIF('Current Invoice Log P1'!C:C,'Budget to Actual P1'!B71,'Current Invoice Log P1'!G:G)</f>
        <v>0</v>
      </c>
      <c r="J71" s="70">
        <f t="shared" si="36"/>
        <v>0</v>
      </c>
      <c r="K71" s="52" t="e">
        <f t="shared" si="38"/>
        <v>#DIV/0!</v>
      </c>
      <c r="L71" s="71">
        <f t="shared" si="39"/>
        <v>0</v>
      </c>
      <c r="M71" s="54"/>
    </row>
    <row r="72" hidden="1" spans="1:13" x14ac:dyDescent="0.25">
      <c r="A72" s="18"/>
      <c r="B72" s="55">
        <v>12310</v>
      </c>
      <c r="C72" s="65" t="s">
        <v>110</v>
      </c>
      <c r="D72" s="67">
        <v>0</v>
      </c>
      <c r="E72" s="67">
        <v>0</v>
      </c>
      <c r="F72" s="67">
        <v>0</v>
      </c>
      <c r="G72" s="68">
        <f>+D72+E72+F72</f>
        <v>0</v>
      </c>
      <c r="H72" s="68">
        <f>SUMIF('Prior Invoice Log P1'!C:C,'Budget to Actual P1'!B72,'Prior Invoice Log P1'!G:G)</f>
        <v>0</v>
      </c>
      <c r="I72" s="69">
        <f>SUMIF('Current Invoice Log P1'!C:C,'Budget to Actual P1'!B72,'Current Invoice Log P1'!G:G)</f>
        <v>0</v>
      </c>
      <c r="J72" s="70">
        <f t="shared" si="36"/>
        <v>0</v>
      </c>
      <c r="K72" s="52" t="e">
        <f>J72/G72</f>
        <v>#DIV/0!</v>
      </c>
      <c r="L72" s="71">
        <f>+G72-J72</f>
        <v>0</v>
      </c>
      <c r="M72" s="54"/>
    </row>
    <row r="73" hidden="1" spans="1:13" x14ac:dyDescent="0.25">
      <c r="A73" s="18"/>
      <c r="B73" s="55"/>
      <c r="C73" s="65" t="s">
        <v>111</v>
      </c>
      <c r="D73" s="67">
        <v>0</v>
      </c>
      <c r="E73" s="67">
        <v>0</v>
      </c>
      <c r="F73" s="67">
        <v>0</v>
      </c>
      <c r="G73" s="68">
        <f t="shared" ref="G73:G91" si="40">+D73+E73+F73</f>
        <v>0</v>
      </c>
      <c r="H73" s="68">
        <f>SUMIF('Prior Invoice Log P1'!C:C,'Budget to Actual P1'!B73,'Prior Invoice Log P1'!G:G)</f>
        <v>0</v>
      </c>
      <c r="I73" s="69">
        <f>SUMIF('Current Invoice Log P1'!C:C,'Budget to Actual P1'!B73,'Current Invoice Log P1'!G:G)</f>
        <v>0</v>
      </c>
      <c r="J73" s="70">
        <f t="shared" si="36"/>
        <v>0</v>
      </c>
      <c r="K73" s="52" t="e">
        <f t="shared" ref="K73:K76" si="41">J73/G73</f>
        <v>#DIV/0!</v>
      </c>
      <c r="L73" s="71">
        <f t="shared" ref="L73:L91" si="42">+G73-J73</f>
        <v>0</v>
      </c>
      <c r="M73" s="54"/>
    </row>
    <row r="74" hidden="1" spans="1:13" x14ac:dyDescent="0.25">
      <c r="A74" s="18"/>
      <c r="B74" s="55"/>
      <c r="C74" s="65" t="s">
        <v>112</v>
      </c>
      <c r="D74" s="67">
        <v>0</v>
      </c>
      <c r="E74" s="67">
        <v>0</v>
      </c>
      <c r="F74" s="67">
        <v>0</v>
      </c>
      <c r="G74" s="68">
        <f t="shared" si="40"/>
        <v>0</v>
      </c>
      <c r="H74" s="68">
        <f>SUMIF('Prior Invoice Log P1'!C:C,'Budget to Actual P1'!B74,'Prior Invoice Log P1'!G:G)</f>
        <v>0</v>
      </c>
      <c r="I74" s="69">
        <f>SUMIF('Current Invoice Log P1'!C:C,'Budget to Actual P1'!B74,'Current Invoice Log P1'!G:G)</f>
        <v>0</v>
      </c>
      <c r="J74" s="70">
        <f t="shared" si="36"/>
        <v>0</v>
      </c>
      <c r="K74" s="52" t="e">
        <f t="shared" si="41"/>
        <v>#DIV/0!</v>
      </c>
      <c r="L74" s="71">
        <f t="shared" si="42"/>
        <v>0</v>
      </c>
      <c r="M74" s="54"/>
    </row>
    <row r="75" hidden="1" spans="1:13" x14ac:dyDescent="0.25">
      <c r="A75" s="18"/>
      <c r="B75" s="55"/>
      <c r="C75" s="65" t="s">
        <v>113</v>
      </c>
      <c r="D75" s="67">
        <v>0</v>
      </c>
      <c r="E75" s="67">
        <v>0</v>
      </c>
      <c r="F75" s="67">
        <v>0</v>
      </c>
      <c r="G75" s="68">
        <f t="shared" si="40"/>
        <v>0</v>
      </c>
      <c r="H75" s="68">
        <f>SUMIF('Prior Invoice Log P1'!C:C,'Budget to Actual P1'!B75,'Prior Invoice Log P1'!G:G)</f>
        <v>0</v>
      </c>
      <c r="I75" s="69">
        <f>SUMIF('Current Invoice Log P1'!C:C,'Budget to Actual P1'!B75,'Current Invoice Log P1'!G:G)</f>
        <v>0</v>
      </c>
      <c r="J75" s="70">
        <f t="shared" si="36"/>
        <v>0</v>
      </c>
      <c r="K75" s="52" t="e">
        <f t="shared" si="41"/>
        <v>#DIV/0!</v>
      </c>
      <c r="L75" s="71">
        <f t="shared" si="42"/>
        <v>0</v>
      </c>
      <c r="M75" s="54"/>
    </row>
    <row r="76" hidden="1" spans="1:13" x14ac:dyDescent="0.25">
      <c r="A76" s="18"/>
      <c r="B76" s="55"/>
      <c r="C76" s="65" t="s">
        <v>114</v>
      </c>
      <c r="D76" s="67">
        <v>0</v>
      </c>
      <c r="E76" s="67">
        <v>0</v>
      </c>
      <c r="F76" s="67">
        <v>0</v>
      </c>
      <c r="G76" s="68">
        <f t="shared" si="40"/>
        <v>0</v>
      </c>
      <c r="H76" s="68">
        <f>SUMIF('Prior Invoice Log P1'!C:C,'Budget to Actual P1'!B76,'Prior Invoice Log P1'!G:G)</f>
        <v>0</v>
      </c>
      <c r="I76" s="69">
        <f>SUMIF('Current Invoice Log P1'!C:C,'Budget to Actual P1'!B76,'Current Invoice Log P1'!G:G)</f>
        <v>0</v>
      </c>
      <c r="J76" s="70">
        <f t="shared" si="36"/>
        <v>0</v>
      </c>
      <c r="K76" s="52" t="e">
        <f t="shared" si="41"/>
        <v>#DIV/0!</v>
      </c>
      <c r="L76" s="71">
        <f t="shared" si="42"/>
        <v>0</v>
      </c>
      <c r="M76" s="54"/>
    </row>
    <row r="77" hidden="1" spans="1:13" x14ac:dyDescent="0.25">
      <c r="A77" s="18"/>
      <c r="B77" s="55"/>
      <c r="C77" s="65" t="s">
        <v>115</v>
      </c>
      <c r="D77" s="67">
        <v>0</v>
      </c>
      <c r="E77" s="67">
        <v>0</v>
      </c>
      <c r="F77" s="67">
        <v>0</v>
      </c>
      <c r="G77" s="68">
        <f t="shared" si="40"/>
        <v>0</v>
      </c>
      <c r="H77" s="68">
        <f>SUMIF('Prior Invoice Log P1'!C:C,'Budget to Actual P1'!B77,'Prior Invoice Log P1'!G:G)</f>
        <v>0</v>
      </c>
      <c r="I77" s="69">
        <f>SUMIF('Current Invoice Log P1'!C:C,'Budget to Actual P1'!B77,'Current Invoice Log P1'!G:G)</f>
        <v>0</v>
      </c>
      <c r="J77" s="70">
        <f t="shared" si="36"/>
        <v>0</v>
      </c>
      <c r="K77" s="52" t="e">
        <f t="shared" ref="K77:K91" si="43">J77/G77</f>
        <v>#DIV/0!</v>
      </c>
      <c r="L77" s="71">
        <f t="shared" si="42"/>
        <v>0</v>
      </c>
      <c r="M77" s="54"/>
    </row>
    <row r="78" hidden="1" spans="1:13" x14ac:dyDescent="0.25">
      <c r="A78" s="18"/>
      <c r="B78" s="55"/>
      <c r="C78" s="65" t="s">
        <v>116</v>
      </c>
      <c r="D78" s="67">
        <v>0</v>
      </c>
      <c r="E78" s="67">
        <v>0</v>
      </c>
      <c r="F78" s="67">
        <v>0</v>
      </c>
      <c r="G78" s="68">
        <f t="shared" si="40"/>
        <v>0</v>
      </c>
      <c r="H78" s="68">
        <f>SUMIF('Prior Invoice Log P1'!C:C,'Budget to Actual P1'!B78,'Prior Invoice Log P1'!G:G)</f>
        <v>0</v>
      </c>
      <c r="I78" s="69">
        <f>SUMIF('Current Invoice Log P1'!C:C,'Budget to Actual P1'!B78,'Current Invoice Log P1'!G:G)</f>
        <v>0</v>
      </c>
      <c r="J78" s="70">
        <f t="shared" si="36"/>
        <v>0</v>
      </c>
      <c r="K78" s="52" t="e">
        <f t="shared" si="43"/>
        <v>#DIV/0!</v>
      </c>
      <c r="L78" s="71">
        <f t="shared" si="42"/>
        <v>0</v>
      </c>
      <c r="M78" s="54"/>
    </row>
    <row r="79" spans="1:13" x14ac:dyDescent="0.25">
      <c r="A79" s="18"/>
      <c r="B79" s="55">
        <v>12596</v>
      </c>
      <c r="C79" s="65" t="s">
        <v>117</v>
      </c>
      <c r="D79" s="67">
        <v>100000</v>
      </c>
      <c r="E79" s="67">
        <f>-41697.95</f>
        <v>-41697.95</v>
      </c>
      <c r="F79" s="67">
        <v>0</v>
      </c>
      <c r="G79" s="68">
        <f t="shared" si="40"/>
        <v>58302.05</v>
      </c>
      <c r="H79" s="68">
        <f>SUMIF('Prior Invoice Log P1'!C:C,'Budget to Actual P1'!B79,'Prior Invoice Log P1'!G:G)</f>
        <v>0</v>
      </c>
      <c r="I79" s="69">
        <f>SUMIF('Current Invoice Log P1'!C:C,'Budget to Actual P1'!B79,'Current Invoice Log P1'!G:G)</f>
        <v>0</v>
      </c>
      <c r="J79" s="70">
        <f t="shared" si="36"/>
        <v>0</v>
      </c>
      <c r="K79" s="52">
        <f t="shared" si="43"/>
        <v>0</v>
      </c>
      <c r="L79" s="71">
        <f t="shared" si="42"/>
        <v>58302.05</v>
      </c>
      <c r="M79" s="54"/>
    </row>
    <row r="80" hidden="1" spans="1:13" x14ac:dyDescent="0.25">
      <c r="A80" s="18"/>
      <c r="B80" s="55"/>
      <c r="C80" s="65" t="s">
        <v>118</v>
      </c>
      <c r="D80" s="67">
        <v>0</v>
      </c>
      <c r="E80" s="67">
        <v>0</v>
      </c>
      <c r="F80" s="67">
        <v>0</v>
      </c>
      <c r="G80" s="68">
        <f t="shared" si="40"/>
        <v>0</v>
      </c>
      <c r="H80" s="68">
        <f>SUMIF('Prior Invoice Log P1'!C:C,'Budget to Actual P1'!B80,'Prior Invoice Log P1'!G:G)</f>
        <v>0</v>
      </c>
      <c r="I80" s="69">
        <f>SUMIF('Current Invoice Log P1'!C:C,'Budget to Actual P1'!B80,'Current Invoice Log P1'!G:G)</f>
        <v>0</v>
      </c>
      <c r="J80" s="70">
        <f t="shared" si="36"/>
        <v>0</v>
      </c>
      <c r="K80" s="52" t="e">
        <f t="shared" si="43"/>
        <v>#DIV/0!</v>
      </c>
      <c r="L80" s="71">
        <f t="shared" si="42"/>
        <v>0</v>
      </c>
      <c r="M80" s="54"/>
    </row>
    <row r="81" hidden="1" spans="1:13" x14ac:dyDescent="0.25">
      <c r="A81" s="18"/>
      <c r="B81" s="55"/>
      <c r="C81" s="65" t="s">
        <v>119</v>
      </c>
      <c r="D81" s="67">
        <v>0</v>
      </c>
      <c r="E81" s="67">
        <v>0</v>
      </c>
      <c r="F81" s="67">
        <v>0</v>
      </c>
      <c r="G81" s="68">
        <f t="shared" si="40"/>
        <v>0</v>
      </c>
      <c r="H81" s="68">
        <f>SUMIF('Prior Invoice Log P1'!C:C,'Budget to Actual P1'!B81,'Prior Invoice Log P1'!G:G)</f>
        <v>0</v>
      </c>
      <c r="I81" s="69">
        <f>SUMIF('Current Invoice Log P1'!C:C,'Budget to Actual P1'!B81,'Current Invoice Log P1'!G:G)</f>
        <v>0</v>
      </c>
      <c r="J81" s="70">
        <f t="shared" si="36"/>
        <v>0</v>
      </c>
      <c r="K81" s="52" t="e">
        <f t="shared" si="43"/>
        <v>#DIV/0!</v>
      </c>
      <c r="L81" s="71">
        <f t="shared" si="42"/>
        <v>0</v>
      </c>
      <c r="M81" s="54"/>
    </row>
    <row r="82" hidden="1" spans="1:13" x14ac:dyDescent="0.25">
      <c r="A82" s="18"/>
      <c r="B82" s="55"/>
      <c r="C82" s="65" t="s">
        <v>120</v>
      </c>
      <c r="D82" s="67">
        <v>0</v>
      </c>
      <c r="E82" s="67">
        <v>0</v>
      </c>
      <c r="F82" s="67">
        <v>0</v>
      </c>
      <c r="G82" s="68">
        <f t="shared" si="40"/>
        <v>0</v>
      </c>
      <c r="H82" s="68">
        <f>SUMIF('Prior Invoice Log P1'!C:C,'Budget to Actual P1'!B82,'Prior Invoice Log P1'!G:G)</f>
        <v>0</v>
      </c>
      <c r="I82" s="69">
        <f>SUMIF('Current Invoice Log P1'!C:C,'Budget to Actual P1'!B82,'Current Invoice Log P1'!G:G)</f>
        <v>0</v>
      </c>
      <c r="J82" s="70">
        <f t="shared" si="36"/>
        <v>0</v>
      </c>
      <c r="K82" s="52" t="e">
        <f t="shared" si="43"/>
        <v>#DIV/0!</v>
      </c>
      <c r="L82" s="71">
        <f t="shared" si="42"/>
        <v>0</v>
      </c>
      <c r="M82" s="54"/>
    </row>
    <row r="83" hidden="1" spans="1:13" x14ac:dyDescent="0.25">
      <c r="A83" s="18"/>
      <c r="B83" s="55"/>
      <c r="C83" s="65" t="s">
        <v>121</v>
      </c>
      <c r="D83" s="67">
        <v>0</v>
      </c>
      <c r="E83" s="67">
        <v>0</v>
      </c>
      <c r="F83" s="67">
        <v>0</v>
      </c>
      <c r="G83" s="68">
        <f t="shared" si="40"/>
        <v>0</v>
      </c>
      <c r="H83" s="68">
        <f>SUMIF('Prior Invoice Log P1'!C:C,'Budget to Actual P1'!B83,'Prior Invoice Log P1'!G:G)</f>
        <v>0</v>
      </c>
      <c r="I83" s="69">
        <f>SUMIF('Current Invoice Log P1'!C:C,'Budget to Actual P1'!B83,'Current Invoice Log P1'!G:G)</f>
        <v>0</v>
      </c>
      <c r="J83" s="70">
        <f t="shared" si="36"/>
        <v>0</v>
      </c>
      <c r="K83" s="52" t="e">
        <f t="shared" si="43"/>
        <v>#DIV/0!</v>
      </c>
      <c r="L83" s="71">
        <f t="shared" si="42"/>
        <v>0</v>
      </c>
      <c r="M83" s="54"/>
    </row>
    <row r="84" hidden="1" spans="1:13" x14ac:dyDescent="0.25">
      <c r="A84" s="18"/>
      <c r="B84" s="55"/>
      <c r="C84" s="65" t="s">
        <v>122</v>
      </c>
      <c r="D84" s="67">
        <v>0</v>
      </c>
      <c r="E84" s="67">
        <v>0</v>
      </c>
      <c r="F84" s="67">
        <v>0</v>
      </c>
      <c r="G84" s="68">
        <f t="shared" si="40"/>
        <v>0</v>
      </c>
      <c r="H84" s="68">
        <f>SUMIF('Prior Invoice Log P1'!C:C,'Budget to Actual P1'!B84,'Prior Invoice Log P1'!G:G)</f>
        <v>0</v>
      </c>
      <c r="I84" s="69">
        <f>SUMIF('Current Invoice Log P1'!C:C,'Budget to Actual P1'!B84,'Current Invoice Log P1'!G:G)</f>
        <v>0</v>
      </c>
      <c r="J84" s="70">
        <f t="shared" si="36"/>
        <v>0</v>
      </c>
      <c r="K84" s="52" t="e">
        <f t="shared" si="43"/>
        <v>#DIV/0!</v>
      </c>
      <c r="L84" s="71">
        <f t="shared" si="42"/>
        <v>0</v>
      </c>
      <c r="M84" s="54"/>
    </row>
    <row r="85" hidden="1" spans="1:13" x14ac:dyDescent="0.25">
      <c r="A85" s="18"/>
      <c r="B85" s="55"/>
      <c r="C85" s="65" t="s">
        <v>123</v>
      </c>
      <c r="D85" s="67">
        <v>0</v>
      </c>
      <c r="E85" s="67">
        <v>0</v>
      </c>
      <c r="F85" s="67">
        <v>0</v>
      </c>
      <c r="G85" s="68">
        <f t="shared" si="40"/>
        <v>0</v>
      </c>
      <c r="H85" s="68">
        <f>SUMIF('Prior Invoice Log P1'!C:C,'Budget to Actual P1'!B85,'Prior Invoice Log P1'!G:G)</f>
        <v>0</v>
      </c>
      <c r="I85" s="69">
        <f>SUMIF('Current Invoice Log P1'!C:C,'Budget to Actual P1'!B85,'Current Invoice Log P1'!G:G)</f>
        <v>0</v>
      </c>
      <c r="J85" s="70">
        <f t="shared" si="36"/>
        <v>0</v>
      </c>
      <c r="K85" s="52" t="e">
        <f t="shared" si="43"/>
        <v>#DIV/0!</v>
      </c>
      <c r="L85" s="71">
        <f t="shared" si="42"/>
        <v>0</v>
      </c>
      <c r="M85" s="54"/>
    </row>
    <row r="86" hidden="1" spans="1:13" x14ac:dyDescent="0.25">
      <c r="A86" s="18"/>
      <c r="B86" s="55">
        <v>12385</v>
      </c>
      <c r="C86" s="65" t="s">
        <v>124</v>
      </c>
      <c r="D86" s="67">
        <v>0</v>
      </c>
      <c r="E86" s="67">
        <v>0</v>
      </c>
      <c r="F86" s="67">
        <v>0</v>
      </c>
      <c r="G86" s="68">
        <f>+D86+E86+F86</f>
        <v>0</v>
      </c>
      <c r="H86" s="68">
        <f>SUMIF('Prior Invoice Log P1'!C:C,'Budget to Actual P1'!B86,'Prior Invoice Log P1'!G:G)</f>
        <v>0</v>
      </c>
      <c r="I86" s="69">
        <v>0</v>
      </c>
      <c r="J86" s="70">
        <f t="shared" si="36"/>
        <v>0</v>
      </c>
      <c r="K86" s="52" t="e">
        <f t="shared" si="43"/>
        <v>#DIV/0!</v>
      </c>
      <c r="L86" s="71">
        <f t="shared" si="42"/>
        <v>0</v>
      </c>
      <c r="M86" s="54"/>
    </row>
    <row r="87" hidden="1" spans="1:13" x14ac:dyDescent="0.25">
      <c r="A87" s="18"/>
      <c r="B87" s="55">
        <v>12410</v>
      </c>
      <c r="C87" s="65" t="s">
        <v>125</v>
      </c>
      <c r="D87" s="66">
        <v>0</v>
      </c>
      <c r="E87" s="66">
        <v>0</v>
      </c>
      <c r="F87" s="67">
        <v>0</v>
      </c>
      <c r="G87" s="68">
        <f t="shared" si="40"/>
        <v>0</v>
      </c>
      <c r="H87" s="68">
        <f>SUMIF('Prior Invoice Log P1'!C:C,'Budget to Actual P1'!B87,'Prior Invoice Log P1'!G:G)</f>
        <v>0</v>
      </c>
      <c r="I87" s="69">
        <f>SUMIF('Current Invoice Log P1'!C:C,'Budget to Actual P1'!B87,'Current Invoice Log P1'!G:G)</f>
        <v>0</v>
      </c>
      <c r="J87" s="70">
        <f t="shared" si="36"/>
        <v>0</v>
      </c>
      <c r="K87" s="52" t="e">
        <f t="shared" si="43"/>
        <v>#DIV/0!</v>
      </c>
      <c r="L87" s="71">
        <f t="shared" si="42"/>
        <v>0</v>
      </c>
      <c r="M87" s="54"/>
    </row>
    <row r="88" hidden="1" spans="1:13" x14ac:dyDescent="0.25">
      <c r="A88" s="18"/>
      <c r="B88" s="55">
        <v>12421</v>
      </c>
      <c r="C88" s="65" t="s">
        <v>126</v>
      </c>
      <c r="D88" s="66">
        <v>0</v>
      </c>
      <c r="E88" s="66">
        <v>0</v>
      </c>
      <c r="F88" s="67">
        <v>0</v>
      </c>
      <c r="G88" s="68">
        <f>+D88+E88+F88</f>
        <v>0</v>
      </c>
      <c r="H88" s="68">
        <f>SUMIF('Prior Invoice Log P1'!C:C,'Budget to Actual P1'!B88,'Prior Invoice Log P1'!G:G)</f>
        <v>0</v>
      </c>
      <c r="I88" s="69">
        <f>SUMIF('Current Invoice Log P1'!C:C,'Budget to Actual P1'!B88,'Current Invoice Log P1'!G:G)</f>
        <v>0</v>
      </c>
      <c r="J88" s="70">
        <f t="shared" si="36"/>
        <v>0</v>
      </c>
      <c r="K88" s="52" t="e">
        <f t="shared" ref="K88:K90" si="44">J88/G88</f>
        <v>#DIV/0!</v>
      </c>
      <c r="L88" s="71">
        <f>+G88-J88</f>
        <v>0</v>
      </c>
      <c r="M88" s="54"/>
    </row>
    <row r="89" hidden="1" spans="1:13" x14ac:dyDescent="0.25">
      <c r="A89" s="18"/>
      <c r="B89" s="55"/>
      <c r="C89" s="65" t="s">
        <v>127</v>
      </c>
      <c r="D89" s="67">
        <v>0</v>
      </c>
      <c r="E89" s="67">
        <v>0</v>
      </c>
      <c r="F89" s="67">
        <v>0</v>
      </c>
      <c r="G89" s="68">
        <f t="shared" ref="G89" si="45">+D89+E89+F89</f>
        <v>0</v>
      </c>
      <c r="H89" s="68">
        <f>SUMIF('Prior Invoice Log P1'!C:C,'Budget to Actual P1'!B89,'Prior Invoice Log P1'!G:G)</f>
        <v>0</v>
      </c>
      <c r="I89" s="69">
        <f>SUMIF('Current Invoice Log P1'!C:C,'Budget to Actual P1'!B89,'Current Invoice Log P1'!G:G)</f>
        <v>0</v>
      </c>
      <c r="J89" s="70">
        <f t="shared" si="36"/>
        <v>0</v>
      </c>
      <c r="K89" s="52" t="e">
        <f t="shared" si="44"/>
        <v>#DIV/0!</v>
      </c>
      <c r="L89" s="71">
        <f t="shared" ref="L89:L90" si="46">+G89-J89</f>
        <v>0</v>
      </c>
      <c r="M89" s="54"/>
    </row>
    <row r="90" hidden="1" spans="1:13" x14ac:dyDescent="0.25">
      <c r="A90" s="18"/>
      <c r="B90" s="55"/>
      <c r="C90" s="65" t="s">
        <v>128</v>
      </c>
      <c r="D90" s="66">
        <v>0</v>
      </c>
      <c r="E90" s="66">
        <v>0</v>
      </c>
      <c r="F90" s="67">
        <v>0</v>
      </c>
      <c r="G90" s="68">
        <f t="shared" si="40"/>
        <v>0</v>
      </c>
      <c r="H90" s="68">
        <f>SUMIF('Prior Invoice Log P1'!C:C,'Budget to Actual P1'!B90,'Prior Invoice Log P1'!G:G)</f>
        <v>0</v>
      </c>
      <c r="I90" s="69">
        <f>SUMIF('Current Invoice Log P1'!C:C,'Budget to Actual P1'!B90,'Current Invoice Log P1'!G:G)</f>
        <v>0</v>
      </c>
      <c r="J90" s="70">
        <f t="shared" si="36"/>
        <v>0</v>
      </c>
      <c r="K90" s="52" t="e">
        <f t="shared" si="44"/>
        <v>#DIV/0!</v>
      </c>
      <c r="L90" s="71">
        <f t="shared" si="46"/>
        <v>0</v>
      </c>
      <c r="M90" s="54"/>
    </row>
    <row r="91" spans="1:13" x14ac:dyDescent="0.25">
      <c r="A91" s="18"/>
      <c r="B91" s="55">
        <v>12321</v>
      </c>
      <c r="C91" s="65" t="s">
        <v>129</v>
      </c>
      <c r="D91" s="66">
        <v>2315000</v>
      </c>
      <c r="E91" s="66">
        <v>0</v>
      </c>
      <c r="F91" s="67">
        <v>0</v>
      </c>
      <c r="G91" s="68">
        <f t="shared" si="40"/>
        <v>2315000</v>
      </c>
      <c r="H91" s="68">
        <f>SUMIF('Prior Invoice Log P1'!C:C,'Budget to Actual P1'!B91,'Prior Invoice Log P1'!G:G)</f>
        <v>458105.13</v>
      </c>
      <c r="I91" s="69">
        <f>SUMIF('Current Invoice Log P1'!C:C,'Budget to Actual P1'!B91,'Current Invoice Log P1'!G:G)</f>
        <v>64355.42</v>
      </c>
      <c r="J91" s="70">
        <f>SUM(H91:I91)</f>
        <v>522460.55</v>
      </c>
      <c r="K91" s="52">
        <f t="shared" si="43"/>
        <v>0.22568490280777537</v>
      </c>
      <c r="L91" s="71">
        <f t="shared" si="42"/>
        <v>1792539.45</v>
      </c>
      <c r="M91" s="54"/>
    </row>
    <row r="92" spans="1:13" x14ac:dyDescent="0.25">
      <c r="A92" s="18"/>
      <c r="B92" s="72"/>
      <c r="C92" s="73" t="s">
        <v>130</v>
      </c>
      <c r="D92" s="62">
        <f>SUBTOTAL(9,D68:D91)</f>
        <v>2580935.11</v>
      </c>
      <c r="E92" s="62">
        <f>SUBTOTAL(9,E68:E91)</f>
        <v>5560.4200000000055</v>
      </c>
      <c r="F92" s="62">
        <f t="shared" ref="F92:L92" si="47">SUBTOTAL(9,F68:F91)</f>
        <v>0</v>
      </c>
      <c r="G92" s="62">
        <f t="shared" si="47"/>
        <v>2586495.5300000003</v>
      </c>
      <c r="H92" s="62">
        <f t="shared" si="47"/>
        <v>671298.61</v>
      </c>
      <c r="I92" s="62">
        <f t="shared" si="47"/>
        <v>64355.42</v>
      </c>
      <c r="J92" s="62">
        <f t="shared" si="47"/>
        <v>735654.03</v>
      </c>
      <c r="K92" s="59">
        <f>J92/G92</f>
        <v>0.2844211487966499</v>
      </c>
      <c r="L92" s="63">
        <f t="shared" si="47"/>
        <v>1850841.5</v>
      </c>
      <c r="M92" s="54"/>
    </row>
    <row r="93" hidden="1" spans="1:13" x14ac:dyDescent="0.25">
      <c r="A93" s="18"/>
      <c r="B93" s="55"/>
      <c r="C93" s="65" t="s">
        <v>131</v>
      </c>
      <c r="D93" s="66"/>
      <c r="E93" s="66">
        <v>0</v>
      </c>
      <c r="F93" s="67">
        <v>0</v>
      </c>
      <c r="G93" s="68">
        <f t="shared" ref="G93:G94" si="48">+D93+E93+F93</f>
        <v>0</v>
      </c>
      <c r="H93" s="68">
        <f>SUMIF('Prior Invoice Log P1'!C:C,'Budget to Actual P1'!B93,'Prior Invoice Log P1'!G:G)</f>
        <v>0</v>
      </c>
      <c r="I93" s="69">
        <f>SUMIF('Current Invoice Log P1'!C:C,'Budget to Actual P1'!B93,'Current Invoice Log P1'!G:G)</f>
        <v>0</v>
      </c>
      <c r="J93" s="70">
        <f t="shared" ref="J93:J94" si="49">SUM(H93:I93)</f>
        <v>0</v>
      </c>
      <c r="K93" s="52" t="e">
        <f t="shared" ref="K93:K94" si="50">J93/G93</f>
        <v>#DIV/0!</v>
      </c>
      <c r="L93" s="71">
        <f t="shared" ref="L93:L94" si="51">+G93-J93</f>
        <v>0</v>
      </c>
      <c r="M93" s="54"/>
    </row>
    <row r="94" hidden="1" spans="1:13" x14ac:dyDescent="0.25">
      <c r="A94" s="18"/>
      <c r="B94" s="55"/>
      <c r="C94" s="74" t="s">
        <v>132</v>
      </c>
      <c r="D94" s="66"/>
      <c r="E94" s="66">
        <v>0</v>
      </c>
      <c r="F94" s="66">
        <v>0</v>
      </c>
      <c r="G94" s="68">
        <f t="shared" si="48"/>
        <v>0</v>
      </c>
      <c r="H94" s="68">
        <f>SUMIF('Prior Invoice Log P1'!C:C,'Budget to Actual P1'!B94,'Prior Invoice Log P1'!G:G)</f>
        <v>0</v>
      </c>
      <c r="I94" s="69">
        <f>SUMIF('Current Invoice Log P1'!C:C,'Budget to Actual P1'!B94,'Current Invoice Log P1'!G:G)</f>
        <v>0</v>
      </c>
      <c r="J94" s="70">
        <f t="shared" si="49"/>
        <v>0</v>
      </c>
      <c r="K94" s="52" t="e">
        <f t="shared" si="50"/>
        <v>#DIV/0!</v>
      </c>
      <c r="L94" s="71">
        <f t="shared" si="51"/>
        <v>0</v>
      </c>
      <c r="M94" s="54"/>
    </row>
    <row r="95" hidden="1" spans="1:13" x14ac:dyDescent="0.25">
      <c r="A95" s="18"/>
      <c r="B95" s="55"/>
      <c r="C95" s="47" t="s">
        <v>133</v>
      </c>
      <c r="D95" s="67">
        <v>0</v>
      </c>
      <c r="E95" s="67">
        <v>0</v>
      </c>
      <c r="F95" s="67">
        <v>0</v>
      </c>
      <c r="G95" s="68">
        <f t="shared" ref="G95:G111" si="52">+D95+E95+F95</f>
        <v>0</v>
      </c>
      <c r="H95" s="68">
        <f>SUMIF('Prior Invoice Log P1'!C:C,'Budget to Actual P1'!B95,'Prior Invoice Log P1'!G:G)</f>
        <v>0</v>
      </c>
      <c r="I95" s="69">
        <f>SUMIF('Current Invoice Log P1'!C:C,'Budget to Actual P1'!B95,'Current Invoice Log P1'!G:G)</f>
        <v>0</v>
      </c>
      <c r="J95" s="70">
        <f t="shared" ref="J95:J110" si="53">SUM(H95:I95)</f>
        <v>0</v>
      </c>
      <c r="K95" s="52" t="e">
        <f t="shared" ref="K95:K112" si="54">J95/G95</f>
        <v>#DIV/0!</v>
      </c>
      <c r="L95" s="71">
        <f t="shared" ref="L95:L112" si="55">+G95-J95</f>
        <v>0</v>
      </c>
      <c r="M95" s="54"/>
    </row>
    <row r="96" hidden="1" spans="1:13" x14ac:dyDescent="0.25">
      <c r="A96" s="18"/>
      <c r="B96" s="55"/>
      <c r="C96" s="47" t="s">
        <v>99</v>
      </c>
      <c r="D96" s="67">
        <v>0</v>
      </c>
      <c r="E96" s="67">
        <v>0</v>
      </c>
      <c r="F96" s="67">
        <v>0</v>
      </c>
      <c r="G96" s="68">
        <f t="shared" si="52"/>
        <v>0</v>
      </c>
      <c r="H96" s="68">
        <f>SUMIF('Prior Invoice Log P1'!C:C,'Budget to Actual P1'!B96,'Prior Invoice Log P1'!G:G)</f>
        <v>0</v>
      </c>
      <c r="I96" s="69">
        <f>SUMIF('Current Invoice Log P1'!C:C,'Budget to Actual P1'!B96,'Current Invoice Log P1'!G:G)</f>
        <v>0</v>
      </c>
      <c r="J96" s="70">
        <f t="shared" si="53"/>
        <v>0</v>
      </c>
      <c r="K96" s="52" t="e">
        <f t="shared" si="54"/>
        <v>#DIV/0!</v>
      </c>
      <c r="L96" s="71">
        <f t="shared" si="55"/>
        <v>0</v>
      </c>
      <c r="M96" s="54"/>
    </row>
    <row r="97" hidden="1" spans="1:13" x14ac:dyDescent="0.25">
      <c r="A97" s="18"/>
      <c r="B97" s="55">
        <v>12720</v>
      </c>
      <c r="C97" s="47" t="s">
        <v>134</v>
      </c>
      <c r="D97" s="67">
        <v>0</v>
      </c>
      <c r="E97" s="67">
        <f>'Prior Invoice Log P1'!G217</f>
        <v>0</v>
      </c>
      <c r="F97" s="66">
        <v>0</v>
      </c>
      <c r="G97" s="68">
        <f>+D97+E97+F97</f>
        <v>0</v>
      </c>
      <c r="H97" s="68">
        <f>SUMIF('Prior Invoice Log P1'!C:C,'Budget to Actual P1'!B97,'Prior Invoice Log P1'!G:G)</f>
        <v>0</v>
      </c>
      <c r="I97" s="69">
        <f>SUMIF('Current Invoice Log P1'!C:C,'Budget to Actual P1'!B97,'Current Invoice Log P1'!G:G)</f>
        <v>0</v>
      </c>
      <c r="J97" s="70">
        <f t="shared" si="53"/>
        <v>0</v>
      </c>
      <c r="K97" s="52" t="e">
        <f t="shared" si="54"/>
        <v>#DIV/0!</v>
      </c>
      <c r="L97" s="71">
        <f>+G97-J97</f>
        <v>0</v>
      </c>
      <c r="M97" s="54"/>
    </row>
    <row r="98" hidden="1" spans="1:13" x14ac:dyDescent="0.25">
      <c r="A98" s="18"/>
      <c r="B98" s="55">
        <v>12381</v>
      </c>
      <c r="C98" s="47" t="s">
        <v>135</v>
      </c>
      <c r="D98" s="67">
        <v>0</v>
      </c>
      <c r="E98" s="67">
        <v>0</v>
      </c>
      <c r="F98" s="67">
        <v>0</v>
      </c>
      <c r="G98" s="68">
        <f t="shared" si="52"/>
        <v>0</v>
      </c>
      <c r="H98" s="68">
        <f>SUMIF('Prior Invoice Log P1'!C:C,'Budget to Actual P1'!B98,'Prior Invoice Log P1'!G:G)</f>
        <v>0</v>
      </c>
      <c r="I98" s="69">
        <f>SUMIF('Current Invoice Log P1'!C:C,'Budget to Actual P1'!B98,'Current Invoice Log P1'!G:G)</f>
        <v>0</v>
      </c>
      <c r="J98" s="70">
        <f>SUM(H98:I98)</f>
        <v>0</v>
      </c>
      <c r="K98" s="52" t="e">
        <f t="shared" si="54"/>
        <v>#DIV/0!</v>
      </c>
      <c r="L98" s="71">
        <f t="shared" si="55"/>
        <v>0</v>
      </c>
      <c r="M98" s="54"/>
    </row>
    <row r="99" hidden="1" spans="1:13" x14ac:dyDescent="0.25">
      <c r="A99" s="18"/>
      <c r="B99" s="55"/>
      <c r="C99" s="47" t="s">
        <v>136</v>
      </c>
      <c r="D99" s="67">
        <v>0</v>
      </c>
      <c r="E99" s="67">
        <v>0</v>
      </c>
      <c r="F99" s="67">
        <v>0</v>
      </c>
      <c r="G99" s="68">
        <f t="shared" si="52"/>
        <v>0</v>
      </c>
      <c r="H99" s="68">
        <f>SUMIF('Prior Invoice Log P1'!C:C,'Budget to Actual P1'!B99,'Prior Invoice Log P1'!G:G)</f>
        <v>0</v>
      </c>
      <c r="I99" s="69">
        <f>SUMIF('Current Invoice Log P1'!C:C,'Budget to Actual P1'!B99,'Current Invoice Log P1'!G:G)</f>
        <v>0</v>
      </c>
      <c r="J99" s="70">
        <f t="shared" si="53"/>
        <v>0</v>
      </c>
      <c r="K99" s="52" t="e">
        <f t="shared" si="54"/>
        <v>#DIV/0!</v>
      </c>
      <c r="L99" s="71">
        <f t="shared" si="55"/>
        <v>0</v>
      </c>
      <c r="M99" s="54"/>
    </row>
    <row r="100" hidden="1" spans="1:13" x14ac:dyDescent="0.25">
      <c r="A100" s="18"/>
      <c r="B100" s="55"/>
      <c r="C100" s="47" t="s">
        <v>137</v>
      </c>
      <c r="D100" s="67">
        <v>0</v>
      </c>
      <c r="E100" s="67">
        <v>0</v>
      </c>
      <c r="F100" s="67">
        <v>0</v>
      </c>
      <c r="G100" s="68">
        <f t="shared" si="52"/>
        <v>0</v>
      </c>
      <c r="H100" s="68">
        <f>SUMIF('Prior Invoice Log P1'!C:C,'Budget to Actual P1'!B100,'Prior Invoice Log P1'!G:G)</f>
        <v>0</v>
      </c>
      <c r="I100" s="69">
        <f>SUMIF('Current Invoice Log P1'!C:C,'Budget to Actual P1'!B100,'Current Invoice Log P1'!G:G)</f>
        <v>0</v>
      </c>
      <c r="J100" s="70">
        <f t="shared" si="53"/>
        <v>0</v>
      </c>
      <c r="K100" s="52" t="e">
        <f t="shared" si="54"/>
        <v>#DIV/0!</v>
      </c>
      <c r="L100" s="71">
        <f t="shared" si="55"/>
        <v>0</v>
      </c>
      <c r="M100" s="54"/>
    </row>
    <row r="101" hidden="1" spans="1:13" x14ac:dyDescent="0.25">
      <c r="A101" s="18"/>
      <c r="B101" s="55"/>
      <c r="C101" s="65" t="s">
        <v>138</v>
      </c>
      <c r="D101" s="66">
        <v>0</v>
      </c>
      <c r="E101" s="66">
        <v>0</v>
      </c>
      <c r="F101" s="67">
        <v>0</v>
      </c>
      <c r="G101" s="68">
        <f t="shared" si="52"/>
        <v>0</v>
      </c>
      <c r="H101" s="68">
        <f>SUMIF('Prior Invoice Log P1'!C:C,'Budget to Actual P1'!B101,'Prior Invoice Log P1'!G:G)</f>
        <v>0</v>
      </c>
      <c r="I101" s="69">
        <f>SUMIF('Current Invoice Log P1'!C:C,'Budget to Actual P1'!B101,'Current Invoice Log P1'!G:G)</f>
        <v>0</v>
      </c>
      <c r="J101" s="70">
        <f t="shared" si="53"/>
        <v>0</v>
      </c>
      <c r="K101" s="52" t="e">
        <f t="shared" si="54"/>
        <v>#DIV/0!</v>
      </c>
      <c r="L101" s="71">
        <f t="shared" si="55"/>
        <v>0</v>
      </c>
      <c r="M101" s="54"/>
    </row>
    <row r="102" hidden="1" spans="1:13" x14ac:dyDescent="0.25">
      <c r="A102" s="18"/>
      <c r="B102" s="55"/>
      <c r="C102" s="65" t="s">
        <v>126</v>
      </c>
      <c r="D102" s="66">
        <v>0</v>
      </c>
      <c r="E102" s="66">
        <v>0</v>
      </c>
      <c r="F102" s="67">
        <v>0</v>
      </c>
      <c r="G102" s="68">
        <f t="shared" si="52"/>
        <v>0</v>
      </c>
      <c r="H102" s="68">
        <f>SUMIF('Prior Invoice Log P1'!C:C,'Budget to Actual P1'!B102,'Prior Invoice Log P1'!G:G)</f>
        <v>0</v>
      </c>
      <c r="I102" s="69">
        <f>SUMIF('Current Invoice Log P1'!C:C,'Budget to Actual P1'!B102,'Current Invoice Log P1'!G:G)</f>
        <v>0</v>
      </c>
      <c r="J102" s="70">
        <f t="shared" si="53"/>
        <v>0</v>
      </c>
      <c r="K102" s="52" t="e">
        <f t="shared" si="54"/>
        <v>#DIV/0!</v>
      </c>
      <c r="L102" s="71">
        <f t="shared" si="55"/>
        <v>0</v>
      </c>
      <c r="M102" s="54"/>
    </row>
    <row r="103" hidden="1" spans="1:13" x14ac:dyDescent="0.25">
      <c r="A103" s="18"/>
      <c r="B103" s="55"/>
      <c r="C103" s="65" t="s">
        <v>139</v>
      </c>
      <c r="D103" s="66">
        <v>0</v>
      </c>
      <c r="E103" s="66">
        <v>0</v>
      </c>
      <c r="F103" s="67">
        <v>0</v>
      </c>
      <c r="G103" s="68">
        <f t="shared" si="52"/>
        <v>0</v>
      </c>
      <c r="H103" s="68">
        <f>SUMIF('Prior Invoice Log P1'!C:C,'Budget to Actual P1'!B103,'Prior Invoice Log P1'!G:G)</f>
        <v>0</v>
      </c>
      <c r="I103" s="69">
        <f>SUMIF('Current Invoice Log P1'!C:C,'Budget to Actual P1'!B103,'Current Invoice Log P1'!G:G)</f>
        <v>0</v>
      </c>
      <c r="J103" s="70">
        <f t="shared" si="53"/>
        <v>0</v>
      </c>
      <c r="K103" s="52" t="e">
        <f t="shared" si="54"/>
        <v>#DIV/0!</v>
      </c>
      <c r="L103" s="71">
        <f t="shared" si="55"/>
        <v>0</v>
      </c>
      <c r="M103" s="54"/>
    </row>
    <row r="104" hidden="1" spans="1:13" x14ac:dyDescent="0.25">
      <c r="A104" s="18"/>
      <c r="B104" s="55"/>
      <c r="C104" s="65" t="s">
        <v>140</v>
      </c>
      <c r="D104" s="66">
        <v>0</v>
      </c>
      <c r="E104" s="66">
        <v>0</v>
      </c>
      <c r="F104" s="67">
        <v>0</v>
      </c>
      <c r="G104" s="68">
        <f t="shared" si="52"/>
        <v>0</v>
      </c>
      <c r="H104" s="68">
        <f>SUMIF('Prior Invoice Log P1'!C:C,'Budget to Actual P1'!B104,'Prior Invoice Log P1'!G:G)</f>
        <v>0</v>
      </c>
      <c r="I104" s="69">
        <f>SUMIF('Current Invoice Log P1'!C:C,'Budget to Actual P1'!B104,'Current Invoice Log P1'!G:G)</f>
        <v>0</v>
      </c>
      <c r="J104" s="70">
        <f t="shared" si="53"/>
        <v>0</v>
      </c>
      <c r="K104" s="52" t="e">
        <f t="shared" si="54"/>
        <v>#DIV/0!</v>
      </c>
      <c r="L104" s="71">
        <f t="shared" si="55"/>
        <v>0</v>
      </c>
      <c r="M104" s="54"/>
    </row>
    <row r="105" hidden="1" spans="1:13" x14ac:dyDescent="0.25">
      <c r="A105" s="18"/>
      <c r="B105" s="55"/>
      <c r="C105" s="65" t="s">
        <v>141</v>
      </c>
      <c r="D105" s="66">
        <v>0</v>
      </c>
      <c r="E105" s="66">
        <v>0</v>
      </c>
      <c r="F105" s="67">
        <v>0</v>
      </c>
      <c r="G105" s="68">
        <f t="shared" si="52"/>
        <v>0</v>
      </c>
      <c r="H105" s="68">
        <f>SUMIF('Prior Invoice Log P1'!C:C,'Budget to Actual P1'!B105,'Prior Invoice Log P1'!G:G)</f>
        <v>0</v>
      </c>
      <c r="I105" s="69">
        <f>SUMIF('Current Invoice Log P1'!C:C,'Budget to Actual P1'!B105,'Current Invoice Log P1'!G:G)</f>
        <v>0</v>
      </c>
      <c r="J105" s="70">
        <f t="shared" si="53"/>
        <v>0</v>
      </c>
      <c r="K105" s="52">
        <v>0</v>
      </c>
      <c r="L105" s="71">
        <f t="shared" si="55"/>
        <v>0</v>
      </c>
      <c r="M105" s="54"/>
    </row>
    <row r="106" hidden="1" spans="1:13" x14ac:dyDescent="0.25">
      <c r="A106" s="18"/>
      <c r="B106" s="55"/>
      <c r="C106" s="65" t="s">
        <v>142</v>
      </c>
      <c r="D106" s="66">
        <v>0</v>
      </c>
      <c r="E106" s="66">
        <v>0</v>
      </c>
      <c r="F106" s="67">
        <v>0</v>
      </c>
      <c r="G106" s="68">
        <f t="shared" si="52"/>
        <v>0</v>
      </c>
      <c r="H106" s="68">
        <f>SUMIF('Prior Invoice Log P1'!C:C,'Budget to Actual P1'!B106,'Prior Invoice Log P1'!G:G)</f>
        <v>0</v>
      </c>
      <c r="I106" s="69">
        <f>SUMIF('Current Invoice Log P1'!C:C,'Budget to Actual P1'!B106,'Current Invoice Log P1'!G:G)</f>
        <v>0</v>
      </c>
      <c r="J106" s="70">
        <f t="shared" si="53"/>
        <v>0</v>
      </c>
      <c r="K106" s="52" t="e">
        <f t="shared" si="54"/>
        <v>#DIV/0!</v>
      </c>
      <c r="L106" s="71">
        <f t="shared" si="55"/>
        <v>0</v>
      </c>
      <c r="M106" s="54"/>
    </row>
    <row r="107" hidden="1" spans="1:13" x14ac:dyDescent="0.25">
      <c r="A107" s="18"/>
      <c r="B107" s="55"/>
      <c r="C107" s="65" t="s">
        <v>143</v>
      </c>
      <c r="D107" s="66">
        <v>0</v>
      </c>
      <c r="E107" s="66">
        <v>0</v>
      </c>
      <c r="F107" s="67">
        <v>0</v>
      </c>
      <c r="G107" s="68">
        <f t="shared" si="52"/>
        <v>0</v>
      </c>
      <c r="H107" s="68">
        <f>SUMIF('Prior Invoice Log P1'!C:C,'Budget to Actual P1'!B107,'Prior Invoice Log P1'!G:G)</f>
        <v>0</v>
      </c>
      <c r="I107" s="69">
        <f>SUMIF('Current Invoice Log P1'!C:C,'Budget to Actual P1'!B107,'Current Invoice Log P1'!G:G)</f>
        <v>0</v>
      </c>
      <c r="J107" s="70">
        <f t="shared" si="53"/>
        <v>0</v>
      </c>
      <c r="K107" s="52" t="e">
        <f t="shared" si="54"/>
        <v>#DIV/0!</v>
      </c>
      <c r="L107" s="71">
        <f t="shared" si="55"/>
        <v>0</v>
      </c>
      <c r="M107" s="54"/>
    </row>
    <row r="108" hidden="1" spans="1:13" x14ac:dyDescent="0.25">
      <c r="A108" s="18"/>
      <c r="B108" s="55"/>
      <c r="C108" s="65" t="s">
        <v>144</v>
      </c>
      <c r="D108" s="66">
        <v>0</v>
      </c>
      <c r="E108" s="66">
        <v>0</v>
      </c>
      <c r="F108" s="67">
        <v>0</v>
      </c>
      <c r="G108" s="68">
        <f t="shared" si="52"/>
        <v>0</v>
      </c>
      <c r="H108" s="68">
        <f>SUMIF('Prior Invoice Log P1'!C:C,'Budget to Actual P1'!B108,'Prior Invoice Log P1'!G:G)</f>
        <v>0</v>
      </c>
      <c r="I108" s="69">
        <f>SUMIF('Current Invoice Log P1'!C:C,'Budget to Actual P1'!B108,'Current Invoice Log P1'!G:G)</f>
        <v>0</v>
      </c>
      <c r="J108" s="70">
        <f t="shared" si="53"/>
        <v>0</v>
      </c>
      <c r="K108" s="52" t="e">
        <f t="shared" si="54"/>
        <v>#DIV/0!</v>
      </c>
      <c r="L108" s="71">
        <f t="shared" si="55"/>
        <v>0</v>
      </c>
      <c r="M108" s="54"/>
    </row>
    <row r="109" hidden="1" spans="1:13" x14ac:dyDescent="0.25">
      <c r="A109" s="18"/>
      <c r="B109" s="55"/>
      <c r="C109" s="65" t="s">
        <v>145</v>
      </c>
      <c r="D109" s="66">
        <v>0</v>
      </c>
      <c r="E109" s="66">
        <v>0</v>
      </c>
      <c r="F109" s="67">
        <v>0</v>
      </c>
      <c r="G109" s="68">
        <f t="shared" si="52"/>
        <v>0</v>
      </c>
      <c r="H109" s="68">
        <f>SUMIF('Prior Invoice Log P1'!C:C,'Budget to Actual P1'!B109,'Prior Invoice Log P1'!G:G)</f>
        <v>0</v>
      </c>
      <c r="I109" s="69">
        <f>SUMIF('Current Invoice Log P1'!C:C,'Budget to Actual P1'!B109,'Current Invoice Log P1'!G:G)</f>
        <v>0</v>
      </c>
      <c r="J109" s="70">
        <f t="shared" si="53"/>
        <v>0</v>
      </c>
      <c r="K109" s="52" t="e">
        <f t="shared" si="54"/>
        <v>#DIV/0!</v>
      </c>
      <c r="L109" s="71">
        <f t="shared" si="55"/>
        <v>0</v>
      </c>
      <c r="M109" s="54"/>
    </row>
    <row r="110" hidden="1" spans="1:13" x14ac:dyDescent="0.25">
      <c r="A110" s="18"/>
      <c r="B110" s="55"/>
      <c r="C110" s="65" t="s">
        <v>146</v>
      </c>
      <c r="D110" s="66">
        <v>0</v>
      </c>
      <c r="E110" s="66">
        <v>0</v>
      </c>
      <c r="F110" s="67">
        <v>0</v>
      </c>
      <c r="G110" s="68">
        <f t="shared" si="52"/>
        <v>0</v>
      </c>
      <c r="H110" s="68">
        <f>SUMIF('Prior Invoice Log P1'!C:C,'Budget to Actual P1'!B110,'Prior Invoice Log P1'!G:G)</f>
        <v>0</v>
      </c>
      <c r="I110" s="69">
        <f>SUMIF('Current Invoice Log P1'!C:C,'Budget to Actual P1'!B110,'Current Invoice Log P1'!G:G)</f>
        <v>0</v>
      </c>
      <c r="J110" s="70">
        <f t="shared" si="53"/>
        <v>0</v>
      </c>
      <c r="K110" s="52" t="e">
        <f t="shared" si="54"/>
        <v>#DIV/0!</v>
      </c>
      <c r="L110" s="71">
        <f t="shared" si="55"/>
        <v>0</v>
      </c>
      <c r="M110" s="54"/>
    </row>
    <row r="111" spans="1:13" x14ac:dyDescent="0.25">
      <c r="A111" s="18"/>
      <c r="B111" s="55">
        <v>12913</v>
      </c>
      <c r="C111" s="65" t="s">
        <v>147</v>
      </c>
      <c r="D111" s="66">
        <v>329018.68</v>
      </c>
      <c r="E111" s="66">
        <v>0</v>
      </c>
      <c r="F111" s="67">
        <v>0</v>
      </c>
      <c r="G111" s="68">
        <f t="shared" si="52"/>
        <v>329018.68</v>
      </c>
      <c r="H111" s="68">
        <f>SUMIF('Prior Invoice Log P1'!C:C,'Budget to Actual P1'!B111,'Prior Invoice Log P1'!G:G)</f>
        <v>281132.7632</v>
      </c>
      <c r="I111" s="69">
        <f>SUMIF('Current Invoice Log P1'!C:C,'Budget to Actual P1'!B111,'Current Invoice Log P1'!G:G)</f>
        <v>10139.712000000001</v>
      </c>
      <c r="J111" s="70">
        <f>SUM(H111:I111)</f>
        <v>291272.4752</v>
      </c>
      <c r="K111" s="52">
        <f t="shared" si="54"/>
        <v>0.8852764080142805</v>
      </c>
      <c r="L111" s="71">
        <f>+G111-J111</f>
        <v>37746.20480000001</v>
      </c>
      <c r="M111" s="54"/>
    </row>
    <row r="112" hidden="1" spans="1:13" x14ac:dyDescent="0.25">
      <c r="A112" s="18"/>
      <c r="B112" s="55"/>
      <c r="C112" s="65" t="s">
        <v>148</v>
      </c>
      <c r="D112" s="66">
        <v>0</v>
      </c>
      <c r="E112" s="67">
        <v>0</v>
      </c>
      <c r="F112" s="67">
        <v>0</v>
      </c>
      <c r="G112" s="68">
        <f>+D112+E112+F112</f>
        <v>0</v>
      </c>
      <c r="H112" s="68">
        <f>SUMIF('Prior Invoice Log P1'!C:C,'Budget to Actual P1'!B112,'Prior Invoice Log P1'!G:G)</f>
        <v>0</v>
      </c>
      <c r="I112" s="69">
        <f>SUMIF('Current Invoice Log P1'!C:C,'Budget to Actual P1'!B112,'Current Invoice Log P1'!G:G)</f>
        <v>0</v>
      </c>
      <c r="J112" s="70">
        <f>SUM(H112,I112)</f>
        <v>0</v>
      </c>
      <c r="K112" s="52" t="e">
        <f t="shared" si="54"/>
        <v>#DIV/0!</v>
      </c>
      <c r="L112" s="71">
        <f t="shared" si="55"/>
        <v>0</v>
      </c>
      <c r="M112" s="54"/>
    </row>
    <row r="113" spans="1:13" x14ac:dyDescent="0.25">
      <c r="A113" s="18"/>
      <c r="B113" s="72"/>
      <c r="C113" s="73" t="s">
        <v>149</v>
      </c>
      <c r="D113" s="62">
        <f>SUBTOTAL(9,D93:D112)</f>
        <v>329018.68</v>
      </c>
      <c r="E113" s="62">
        <f t="shared" ref="E113:J113" si="56">SUBTOTAL(9,E93:E112)</f>
        <v>0</v>
      </c>
      <c r="F113" s="62">
        <f t="shared" si="56"/>
        <v>0</v>
      </c>
      <c r="G113" s="62">
        <f t="shared" si="56"/>
        <v>329018.68</v>
      </c>
      <c r="H113" s="62">
        <f t="shared" si="56"/>
        <v>281132.7632</v>
      </c>
      <c r="I113" s="62">
        <f>SUBTOTAL(9,I93:I112)</f>
        <v>10139.712000000001</v>
      </c>
      <c r="J113" s="62">
        <f t="shared" si="56"/>
        <v>291272.4752</v>
      </c>
      <c r="K113" s="59">
        <f>J113/G113</f>
        <v>0.8852764080142805</v>
      </c>
      <c r="L113" s="63">
        <f>SUBTOTAL(9,L93:L112)</f>
        <v>37746.20480000001</v>
      </c>
      <c r="M113" s="54"/>
    </row>
    <row r="114" hidden="1" spans="1:13" x14ac:dyDescent="0.25">
      <c r="A114" s="18"/>
      <c r="B114" s="75"/>
      <c r="C114" s="65" t="s">
        <v>150</v>
      </c>
      <c r="D114" s="66"/>
      <c r="E114" s="66">
        <v>0</v>
      </c>
      <c r="F114" s="67">
        <v>0</v>
      </c>
      <c r="G114" s="68">
        <f t="shared" ref="G114" si="57">+D114+E114+F114</f>
        <v>0</v>
      </c>
      <c r="H114" s="68">
        <f>SUMIF('Prior Invoice Log P1'!C:C,'Budget to Actual P1'!B114,'Prior Invoice Log P1'!G:G)</f>
        <v>0</v>
      </c>
      <c r="I114" s="69">
        <f>SUMIF('Current Invoice Log P1'!C:C,'Budget to Actual P1'!B114,'Current Invoice Log P1'!G:G)</f>
        <v>0</v>
      </c>
      <c r="J114" s="70">
        <f t="shared" ref="J114" si="58">SUM(H114:I114)</f>
        <v>0</v>
      </c>
      <c r="K114" s="52" t="e">
        <f t="shared" ref="K114" si="59">J114/G114</f>
        <v>#DIV/0!</v>
      </c>
      <c r="L114" s="71">
        <f t="shared" ref="L114" si="60">+G114-J114</f>
        <v>0</v>
      </c>
      <c r="M114" s="54"/>
    </row>
    <row r="115" spans="1:13" x14ac:dyDescent="0.25">
      <c r="A115" s="18"/>
      <c r="B115" s="55">
        <v>12594</v>
      </c>
      <c r="C115" s="65" t="s">
        <v>151</v>
      </c>
      <c r="D115" s="67">
        <v>1416100.7</v>
      </c>
      <c r="E115" s="67">
        <v>0</v>
      </c>
      <c r="F115" s="67">
        <v>0</v>
      </c>
      <c r="G115" s="68">
        <f t="shared" ref="G115:G122" si="61">+D115+E115+F115</f>
        <v>1416100.7</v>
      </c>
      <c r="H115" s="68">
        <f>SUMIF('Prior Invoice Log P1'!C:C,'Budget to Actual P1'!B115,'Prior Invoice Log P1'!G:G)</f>
        <v>917186.8400000001</v>
      </c>
      <c r="I115" s="69">
        <f>SUMIF('Current Invoice Log P1'!C:C,'Budget to Actual P1'!B115,'Current Invoice Log P1'!G:G)</f>
        <v>0</v>
      </c>
      <c r="J115" s="70">
        <f t="shared" ref="J115:J123" si="62">SUM(H115:I115)</f>
        <v>917186.8400000001</v>
      </c>
      <c r="K115" s="52">
        <f t="shared" ref="K115:K116" si="63">J115/G115</f>
        <v>0.6476847585768443</v>
      </c>
      <c r="L115" s="71">
        <f t="shared" ref="L115:L123" si="64">+G115-J115</f>
        <v>498913.85999999987</v>
      </c>
      <c r="M115" s="54"/>
    </row>
    <row r="116" hidden="1" spans="1:13" x14ac:dyDescent="0.25">
      <c r="A116" s="18"/>
      <c r="B116" s="75"/>
      <c r="C116" s="47" t="s">
        <v>152</v>
      </c>
      <c r="D116" s="66">
        <v>0</v>
      </c>
      <c r="E116" s="66">
        <v>0</v>
      </c>
      <c r="F116" s="67">
        <v>0</v>
      </c>
      <c r="G116" s="68">
        <f t="shared" si="61"/>
        <v>0</v>
      </c>
      <c r="H116" s="68">
        <f>SUMIF('Prior Invoice Log P1'!C:C,'Budget to Actual P1'!B116,'Prior Invoice Log P1'!G:G)</f>
        <v>0</v>
      </c>
      <c r="I116" s="69">
        <f>SUMIF('Current Invoice Log P1'!C:C,'Budget to Actual P1'!B116,'Current Invoice Log P1'!G:G)</f>
        <v>0</v>
      </c>
      <c r="J116" s="70">
        <f t="shared" si="62"/>
        <v>0</v>
      </c>
      <c r="K116" s="52" t="e">
        <f t="shared" si="63"/>
        <v>#DIV/0!</v>
      </c>
      <c r="L116" s="71">
        <f t="shared" si="64"/>
        <v>0</v>
      </c>
      <c r="M116" s="54"/>
    </row>
    <row r="117" hidden="1" spans="1:13" x14ac:dyDescent="0.25">
      <c r="A117" s="18"/>
      <c r="B117" s="61"/>
      <c r="C117" s="47" t="s">
        <v>153</v>
      </c>
      <c r="D117" s="67">
        <v>0</v>
      </c>
      <c r="E117" s="67">
        <v>0</v>
      </c>
      <c r="F117" s="67">
        <v>0</v>
      </c>
      <c r="G117" s="68">
        <f t="shared" si="61"/>
        <v>0</v>
      </c>
      <c r="H117" s="68">
        <f>SUMIF('Prior Invoice Log P1'!C:C,'Budget to Actual P1'!B117,'Prior Invoice Log P1'!G:G)</f>
        <v>0</v>
      </c>
      <c r="I117" s="69">
        <f>SUMIF('Current Invoice Log P1'!C:C,'Budget to Actual P1'!B117,'Current Invoice Log P1'!G:G)</f>
        <v>0</v>
      </c>
      <c r="J117" s="70">
        <f t="shared" si="62"/>
        <v>0</v>
      </c>
      <c r="K117" s="52" t="e">
        <f t="shared" ref="K117:K123" si="65">J117/G117</f>
        <v>#DIV/0!</v>
      </c>
      <c r="L117" s="71">
        <f t="shared" si="64"/>
        <v>0</v>
      </c>
      <c r="M117" s="54"/>
    </row>
    <row r="118" hidden="1" spans="1:12" x14ac:dyDescent="0.25">
      <c r="A118" s="18"/>
      <c r="B118" s="61"/>
      <c r="C118" s="47" t="s">
        <v>154</v>
      </c>
      <c r="D118" s="67">
        <v>0</v>
      </c>
      <c r="E118" s="67">
        <v>0</v>
      </c>
      <c r="F118" s="67">
        <v>0</v>
      </c>
      <c r="G118" s="68">
        <f t="shared" si="61"/>
        <v>0</v>
      </c>
      <c r="H118" s="68">
        <f>SUMIF('Prior Invoice Log P1'!C:C,'Budget to Actual P1'!B118,'Prior Invoice Log P1'!G:G)</f>
        <v>0</v>
      </c>
      <c r="I118" s="69">
        <f>SUMIF('Current Invoice Log P1'!C:C,'Budget to Actual P1'!B118,'Current Invoice Log P1'!G:G)</f>
        <v>0</v>
      </c>
      <c r="J118" s="70">
        <f t="shared" si="62"/>
        <v>0</v>
      </c>
      <c r="K118" s="52" t="e">
        <f t="shared" si="65"/>
        <v>#DIV/0!</v>
      </c>
      <c r="L118" s="71">
        <f t="shared" si="64"/>
        <v>0</v>
      </c>
    </row>
    <row r="119" hidden="1" spans="1:12" x14ac:dyDescent="0.25">
      <c r="A119" s="18"/>
      <c r="B119" s="61"/>
      <c r="C119" s="47" t="s">
        <v>155</v>
      </c>
      <c r="D119" s="67">
        <v>0</v>
      </c>
      <c r="E119" s="67">
        <v>0</v>
      </c>
      <c r="F119" s="67">
        <v>0</v>
      </c>
      <c r="G119" s="68">
        <f t="shared" si="61"/>
        <v>0</v>
      </c>
      <c r="H119" s="68">
        <f>SUMIF('Prior Invoice Log P1'!C:C,'Budget to Actual P1'!B119,'Prior Invoice Log P1'!G:G)</f>
        <v>0</v>
      </c>
      <c r="I119" s="69">
        <f>SUMIF('Current Invoice Log P1'!C:C,'Budget to Actual P1'!B119,'Current Invoice Log P1'!G:G)</f>
        <v>0</v>
      </c>
      <c r="J119" s="70">
        <f t="shared" si="62"/>
        <v>0</v>
      </c>
      <c r="K119" s="52" t="e">
        <f t="shared" si="65"/>
        <v>#DIV/0!</v>
      </c>
      <c r="L119" s="71">
        <f t="shared" si="64"/>
        <v>0</v>
      </c>
    </row>
    <row r="120" hidden="1" spans="1:12" x14ac:dyDescent="0.25">
      <c r="A120" s="18"/>
      <c r="B120" s="61"/>
      <c r="C120" s="47" t="s">
        <v>136</v>
      </c>
      <c r="D120" s="67">
        <v>0</v>
      </c>
      <c r="E120" s="67">
        <v>0</v>
      </c>
      <c r="F120" s="67">
        <v>0</v>
      </c>
      <c r="G120" s="68">
        <f t="shared" si="61"/>
        <v>0</v>
      </c>
      <c r="H120" s="68">
        <f>SUMIF('Prior Invoice Log P1'!C:C,'Budget to Actual P1'!B120,'Prior Invoice Log P1'!G:G)</f>
        <v>0</v>
      </c>
      <c r="I120" s="69">
        <f>SUMIF('Current Invoice Log P1'!C:C,'Budget to Actual P1'!B120,'Current Invoice Log P1'!G:G)</f>
        <v>0</v>
      </c>
      <c r="J120" s="70">
        <f t="shared" si="62"/>
        <v>0</v>
      </c>
      <c r="K120" s="52" t="e">
        <f t="shared" si="65"/>
        <v>#DIV/0!</v>
      </c>
      <c r="L120" s="71">
        <f t="shared" si="64"/>
        <v>0</v>
      </c>
    </row>
    <row r="121" hidden="1" spans="1:12" x14ac:dyDescent="0.25">
      <c r="A121" s="18"/>
      <c r="B121" s="61"/>
      <c r="C121" s="47" t="s">
        <v>137</v>
      </c>
      <c r="D121" s="67">
        <v>0</v>
      </c>
      <c r="E121" s="67">
        <v>0</v>
      </c>
      <c r="F121" s="67">
        <v>0</v>
      </c>
      <c r="G121" s="68">
        <f t="shared" si="61"/>
        <v>0</v>
      </c>
      <c r="H121" s="68">
        <f>SUMIF('Prior Invoice Log P1'!C:C,'Budget to Actual P1'!B121,'Prior Invoice Log P1'!G:G)</f>
        <v>0</v>
      </c>
      <c r="I121" s="69">
        <f>SUMIF('Current Invoice Log P1'!C:C,'Budget to Actual P1'!B121,'Current Invoice Log P1'!G:G)</f>
        <v>0</v>
      </c>
      <c r="J121" s="70">
        <f t="shared" si="62"/>
        <v>0</v>
      </c>
      <c r="K121" s="52" t="e">
        <f t="shared" si="65"/>
        <v>#DIV/0!</v>
      </c>
      <c r="L121" s="71">
        <f t="shared" si="64"/>
        <v>0</v>
      </c>
    </row>
    <row r="122" hidden="1" spans="1:12" x14ac:dyDescent="0.25">
      <c r="A122" s="18"/>
      <c r="B122" s="61"/>
      <c r="C122" s="47" t="s">
        <v>156</v>
      </c>
      <c r="D122" s="67">
        <v>0</v>
      </c>
      <c r="E122" s="67">
        <v>0</v>
      </c>
      <c r="F122" s="67">
        <v>0</v>
      </c>
      <c r="G122" s="68">
        <f t="shared" si="61"/>
        <v>0</v>
      </c>
      <c r="H122" s="68">
        <f>SUMIF('Prior Invoice Log P1'!C:C,'Budget to Actual P1'!B122,'Prior Invoice Log P1'!G:G)</f>
        <v>0</v>
      </c>
      <c r="I122" s="69">
        <f>SUMIF('Current Invoice Log P1'!C:C,'Budget to Actual P1'!B122,'Current Invoice Log P1'!G:G)</f>
        <v>0</v>
      </c>
      <c r="J122" s="70">
        <f t="shared" si="62"/>
        <v>0</v>
      </c>
      <c r="K122" s="52" t="e">
        <f t="shared" si="65"/>
        <v>#DIV/0!</v>
      </c>
      <c r="L122" s="71">
        <f t="shared" si="64"/>
        <v>0</v>
      </c>
    </row>
    <row r="123" hidden="1" spans="1:12" x14ac:dyDescent="0.25">
      <c r="A123" s="18"/>
      <c r="B123" s="61"/>
      <c r="C123" s="47" t="s">
        <v>157</v>
      </c>
      <c r="D123" s="67">
        <v>0</v>
      </c>
      <c r="E123" s="67">
        <v>0</v>
      </c>
      <c r="F123" s="67">
        <v>0</v>
      </c>
      <c r="G123" s="68">
        <f>+D123+E123+F123</f>
        <v>0</v>
      </c>
      <c r="H123" s="68">
        <f>SUMIF('Prior Invoice Log P1'!C:C,'Budget to Actual P1'!B123,'Prior Invoice Log P1'!G:G)</f>
        <v>0</v>
      </c>
      <c r="I123" s="69">
        <f>SUMIF('Current Invoice Log P1'!C:C,'Budget to Actual P1'!B123,'Current Invoice Log P1'!G:G)</f>
        <v>0</v>
      </c>
      <c r="J123" s="70">
        <f t="shared" si="62"/>
        <v>0</v>
      </c>
      <c r="K123" s="52" t="e">
        <f t="shared" si="65"/>
        <v>#DIV/0!</v>
      </c>
      <c r="L123" s="71">
        <f t="shared" si="64"/>
        <v>0</v>
      </c>
    </row>
    <row r="124" spans="1:12" x14ac:dyDescent="0.25">
      <c r="A124" s="18"/>
      <c r="B124" s="76"/>
      <c r="C124" s="77" t="s">
        <v>158</v>
      </c>
      <c r="D124" s="78">
        <f>SUBTOTAL(9,D114:D123)</f>
        <v>1416100.7</v>
      </c>
      <c r="E124" s="78">
        <f t="shared" ref="E124:I124" si="66">SUBTOTAL(9,E114:E123)</f>
        <v>0</v>
      </c>
      <c r="F124" s="78">
        <f>SUBTOTAL(9,F114:F123)</f>
        <v>0</v>
      </c>
      <c r="G124" s="78">
        <f t="shared" si="66"/>
        <v>1416100.7</v>
      </c>
      <c r="H124" s="78">
        <f t="shared" si="66"/>
        <v>917186.8400000001</v>
      </c>
      <c r="I124" s="78">
        <f t="shared" si="66"/>
        <v>0</v>
      </c>
      <c r="J124" s="78">
        <f>SUBTOTAL(9,J114:J123)</f>
        <v>917186.8400000001</v>
      </c>
      <c r="K124" s="59">
        <f>IFERROR(J124/G124,0)</f>
        <v>0.6476847585768443</v>
      </c>
      <c r="L124" s="79">
        <f>SUBTOTAL(9,L114:L123)</f>
        <v>498913.85999999987</v>
      </c>
    </row>
    <row r="125" spans="1:12" s="22" customFormat="1" x14ac:dyDescent="0.25">
      <c r="A125" s="22"/>
      <c r="B125" s="80"/>
      <c r="C125" s="81"/>
      <c r="D125" s="82"/>
      <c r="E125" s="82"/>
      <c r="F125" s="82"/>
      <c r="G125" s="82"/>
      <c r="H125" s="82"/>
      <c r="I125" s="82"/>
      <c r="J125" s="82"/>
      <c r="K125" s="83"/>
      <c r="L125" s="84"/>
    </row>
    <row r="126" ht="18.6" customHeight="1" spans="1:12" x14ac:dyDescent="0.25">
      <c r="A126" s="18"/>
      <c r="B126" s="85"/>
      <c r="C126" s="86" t="s">
        <v>159</v>
      </c>
      <c r="D126" s="87">
        <f t="shared" ref="D126:J126" si="67">SUM(D13,D18,D28,D44,D67,D92,D113,D124)</f>
        <v>7315551.669999999</v>
      </c>
      <c r="E126" s="87">
        <f t="shared" si="67"/>
        <v>3559845.86</v>
      </c>
      <c r="F126" s="87">
        <f t="shared" si="67"/>
        <v>0</v>
      </c>
      <c r="G126" s="87">
        <f t="shared" si="67"/>
        <v>10875397.529999997</v>
      </c>
      <c r="H126" s="87">
        <f t="shared" si="67"/>
        <v>7312221.6832</v>
      </c>
      <c r="I126" s="87">
        <f t="shared" si="67"/>
        <v>263632.51200000005</v>
      </c>
      <c r="J126" s="87">
        <f t="shared" si="67"/>
        <v>7575854.1952</v>
      </c>
      <c r="K126" s="88">
        <f>J126/G126</f>
        <v>0.6966048067945891</v>
      </c>
      <c r="L126" s="89">
        <f>SUM(L13,L18,L28,L44,L67,L92,L113,L124)</f>
        <v>3299543.3348</v>
      </c>
    </row>
    <row r="127" ht="18.6" customHeight="1" spans="1:18" x14ac:dyDescent="0.25">
      <c r="A127" s="18"/>
      <c r="B127" s="22"/>
      <c r="C127" s="90"/>
      <c r="D127" s="21"/>
      <c r="E127" s="21"/>
      <c r="F127" s="21"/>
      <c r="G127" s="21"/>
      <c r="H127" s="91"/>
      <c r="I127" s="91"/>
      <c r="J127" s="91"/>
      <c r="K127" s="91"/>
      <c r="R127" s="92"/>
    </row>
    <row r="128" spans="1:11" x14ac:dyDescent="0.25">
      <c r="A128" s="18"/>
      <c r="B128" s="22"/>
      <c r="C128" s="93"/>
      <c r="D128" s="21"/>
      <c r="E128" s="21"/>
      <c r="F128" s="21"/>
      <c r="G128" s="21"/>
      <c r="H128" s="94"/>
      <c r="I128" s="94"/>
      <c r="K128" s="94"/>
    </row>
    <row r="129" spans="1:10" x14ac:dyDescent="0.25">
      <c r="A129" s="18"/>
      <c r="B129" s="22"/>
      <c r="C129" s="22"/>
      <c r="D129" s="21"/>
      <c r="E129" s="21"/>
      <c r="F129" s="21"/>
      <c r="G129" s="91"/>
      <c r="H129" s="21"/>
      <c r="I129" s="95"/>
      <c r="J129" s="95"/>
    </row>
    <row r="130" spans="1:10" x14ac:dyDescent="0.25">
      <c r="A130" s="18"/>
      <c r="B130" s="22"/>
      <c r="C130" s="22"/>
      <c r="D130" s="96"/>
      <c r="E130" s="21"/>
      <c r="F130" s="21"/>
      <c r="G130" t="s">
        <v>160</v>
      </c>
      <c r="H130" s="21"/>
      <c r="J130" s="91">
        <v>3923740.1</v>
      </c>
    </row>
    <row r="131" spans="1:11" x14ac:dyDescent="0.25">
      <c r="A131" s="18"/>
      <c r="B131" s="22"/>
      <c r="C131" s="22"/>
      <c r="D131" s="21"/>
      <c r="E131" s="21"/>
      <c r="F131" s="21"/>
      <c r="G131" t="s">
        <v>161</v>
      </c>
      <c r="H131" s="21"/>
      <c r="I131" s="22"/>
      <c r="J131" s="97">
        <f>J126</f>
        <v>7575854.1952</v>
      </c>
      <c r="K131" s="98"/>
    </row>
    <row r="132" spans="1:10" x14ac:dyDescent="0.25">
      <c r="A132" s="18"/>
      <c r="B132" s="22"/>
      <c r="C132" s="22"/>
      <c r="D132" s="21"/>
      <c r="E132" s="21"/>
      <c r="F132" s="21"/>
      <c r="G132" s="99" t="s">
        <v>162</v>
      </c>
      <c r="H132" s="21"/>
      <c r="J132" s="100">
        <f>J130-J131</f>
        <v>-3652114.0952</v>
      </c>
    </row>
    <row r="133" spans="1:10" x14ac:dyDescent="0.25">
      <c r="A133" s="18"/>
      <c r="B133" s="22"/>
      <c r="C133" s="22"/>
      <c r="D133" s="21"/>
      <c r="E133" s="21"/>
      <c r="F133" s="21"/>
      <c r="G133" s="99" t="s">
        <v>163</v>
      </c>
      <c r="H133" s="21"/>
      <c r="J133" s="101">
        <f>O134</f>
        <v>0</v>
      </c>
    </row>
    <row r="134" spans="1:21" x14ac:dyDescent="0.25">
      <c r="A134" s="18"/>
      <c r="B134" s="22"/>
      <c r="C134" s="22"/>
      <c r="D134" s="21"/>
      <c r="E134" s="21"/>
      <c r="F134" s="21"/>
      <c r="G134" s="99" t="s">
        <v>164</v>
      </c>
      <c r="H134" s="21"/>
      <c r="J134" s="91">
        <f>J133+J132</f>
        <v>-3652114.0952</v>
      </c>
      <c r="L134" s="91"/>
      <c r="U134" s="102"/>
    </row>
    <row r="135" spans="1:10" x14ac:dyDescent="0.25">
      <c r="A135" s="18"/>
      <c r="B135" s="22"/>
      <c r="C135" s="22"/>
      <c r="D135" s="21"/>
      <c r="E135" s="21"/>
      <c r="F135" s="21"/>
      <c r="G135" s="99"/>
      <c r="H135" s="21"/>
      <c r="J135" s="91"/>
    </row>
    <row r="136" spans="1:10" x14ac:dyDescent="0.25">
      <c r="A136" s="18"/>
      <c r="B136" s="22"/>
      <c r="C136" s="22"/>
      <c r="D136" s="21"/>
      <c r="E136" s="21"/>
      <c r="F136" s="21"/>
      <c r="G136" t="s">
        <v>165</v>
      </c>
      <c r="H136" s="21"/>
      <c r="J136" s="91"/>
    </row>
    <row r="137" spans="1:10" x14ac:dyDescent="0.25">
      <c r="A137" s="18"/>
      <c r="B137" s="22"/>
      <c r="C137" s="22"/>
      <c r="D137" s="21"/>
      <c r="E137" s="21"/>
      <c r="F137" s="21"/>
      <c r="G137" s="21"/>
      <c r="H137" s="21"/>
      <c r="J137" s="91">
        <v>0</v>
      </c>
    </row>
    <row r="138" spans="1:10" x14ac:dyDescent="0.25">
      <c r="A138" s="18"/>
      <c r="B138" s="22"/>
      <c r="C138" s="22"/>
      <c r="D138" s="21"/>
      <c r="E138" s="21"/>
      <c r="F138" s="21"/>
      <c r="G138" s="21"/>
      <c r="H138" s="21"/>
      <c r="J138" s="91"/>
    </row>
    <row r="139" ht="18.6" customHeight="1" spans="1:10" x14ac:dyDescent="0.25">
      <c r="A139" s="18"/>
      <c r="B139" s="22"/>
      <c r="C139" s="22"/>
      <c r="D139" s="21"/>
      <c r="E139" s="21"/>
      <c r="F139" s="21"/>
      <c r="G139" s="21"/>
      <c r="H139" s="21"/>
      <c r="J139" s="103">
        <f>SUM(J137:J138)</f>
        <v>0</v>
      </c>
    </row>
    <row r="140" ht="18.6" customHeight="1" spans="1:8" x14ac:dyDescent="0.25">
      <c r="A140" s="18"/>
      <c r="B140" s="22"/>
      <c r="C140" s="22"/>
      <c r="D140" s="21"/>
      <c r="E140" s="21"/>
      <c r="F140" s="21"/>
      <c r="G140" s="21"/>
      <c r="H140" s="21"/>
    </row>
    <row r="141" spans="1:8" x14ac:dyDescent="0.25">
      <c r="A141" s="18"/>
      <c r="B141" s="22"/>
      <c r="C141" s="22"/>
      <c r="D141" s="21"/>
      <c r="E141" s="21"/>
      <c r="F141" s="21"/>
      <c r="G141" s="21"/>
      <c r="H141" s="21"/>
    </row>
    <row r="142" spans="1:8" x14ac:dyDescent="0.25">
      <c r="A142" s="18"/>
      <c r="B142" s="22"/>
      <c r="C142" s="22"/>
      <c r="D142" s="21"/>
      <c r="E142" s="21"/>
      <c r="F142" s="21"/>
      <c r="G142" s="21"/>
      <c r="H142" s="21"/>
    </row>
    <row r="143" hidden="1" spans="1:20" s="19" customFormat="1" x14ac:dyDescent="0.25" outlineLevel="1" collapsed="1">
      <c r="A143" s="19"/>
      <c r="B143" s="104" t="s">
        <v>166</v>
      </c>
      <c r="C143" s="21"/>
      <c r="D143" s="105" t="b">
        <f>G126='Board Report (Dev) '!C15</f>
        <v>1</v>
      </c>
      <c r="E143" s="105" t="b">
        <f>E124=0</f>
        <v>1</v>
      </c>
      <c r="F143" s="105" t="b">
        <f>F124=0</f>
        <v>1</v>
      </c>
      <c r="G143" s="21"/>
      <c r="H143" s="106" t="b">
        <f>H126='Prior Invoice Log P1'!G232</f>
        <v>1</v>
      </c>
      <c r="I143" s="106" t="b">
        <f>I126='Current Invoice Log P1'!G91</f>
        <v>1</v>
      </c>
      <c r="J143" s="91">
        <f>J130</f>
        <v>3923740.1</v>
      </c>
      <c r="K143" s="107" t="s">
        <v>167</v>
      </c>
      <c r="L143" s="21"/>
      <c r="M143" s="22"/>
      <c r="N143" s="22"/>
      <c r="O143" s="22"/>
      <c r="P143" s="22"/>
      <c r="Q143" s="22"/>
      <c r="R143" s="22"/>
      <c r="S143" s="22"/>
      <c r="T143" s="22"/>
    </row>
    <row r="144" hidden="1" spans="1:11" x14ac:dyDescent="0.25" outlineLevel="1" collapsed="1">
      <c r="A144" s="18"/>
      <c r="B144" s="22"/>
      <c r="C144" s="22"/>
      <c r="D144" s="108" t="s">
        <v>168</v>
      </c>
      <c r="E144" s="109" t="s">
        <v>169</v>
      </c>
      <c r="F144" s="109" t="s">
        <v>170</v>
      </c>
      <c r="G144" s="21"/>
      <c r="H144" s="109" t="s">
        <v>171</v>
      </c>
      <c r="I144" s="109" t="s">
        <v>172</v>
      </c>
      <c r="J144" s="91">
        <v>14444739.25</v>
      </c>
      <c r="K144" s="107" t="s">
        <v>173</v>
      </c>
    </row>
    <row r="145" hidden="1" spans="1:11" x14ac:dyDescent="0.25" outlineLevel="1" collapsed="1">
      <c r="A145" s="18"/>
      <c r="B145" s="22"/>
      <c r="C145" s="22"/>
      <c r="D145" s="21"/>
      <c r="E145" s="21"/>
      <c r="F145" s="21"/>
      <c r="G145" s="21"/>
      <c r="H145" s="21"/>
      <c r="J145" s="106" t="b">
        <f>J143=J144</f>
        <v>0</v>
      </c>
      <c r="K145" s="110"/>
    </row>
    <row r="146" hidden="1" spans="1:8" x14ac:dyDescent="0.25" outlineLevel="1" collapsed="1">
      <c r="A146" s="18"/>
      <c r="B146" s="22"/>
      <c r="C146" s="22"/>
      <c r="D146" s="21"/>
      <c r="E146" s="21"/>
      <c r="F146" s="21"/>
      <c r="G146" s="21"/>
      <c r="H146" s="21"/>
    </row>
    <row r="147" hidden="1" spans="1:10" x14ac:dyDescent="0.25" outlineLevel="1" collapsed="1">
      <c r="A147" s="18"/>
      <c r="B147" s="22"/>
      <c r="C147" s="22"/>
      <c r="D147" s="21"/>
      <c r="E147" s="21"/>
      <c r="F147" s="21"/>
      <c r="G147" s="21"/>
      <c r="H147" s="21"/>
      <c r="I147" s="106" t="e">
        <f>I111='Dev Fee P1'!#REF!</f>
        <v>#REF!</v>
      </c>
      <c r="J147" s="111" t="e">
        <f>+I111-'Dev Fee P1'!#REF!</f>
        <v>#REF!</v>
      </c>
    </row>
    <row r="148" hidden="1" spans="1:9" x14ac:dyDescent="0.25" outlineLevel="1" collapsed="1">
      <c r="A148" s="18"/>
      <c r="B148" s="22"/>
      <c r="C148" s="22"/>
      <c r="D148" s="21"/>
      <c r="E148" s="21"/>
      <c r="F148" s="21"/>
      <c r="G148" s="21"/>
      <c r="H148" s="21"/>
      <c r="I148" s="109" t="s">
        <v>174</v>
      </c>
    </row>
    <row r="149" spans="1:8" x14ac:dyDescent="0.25">
      <c r="A149" s="18"/>
      <c r="B149" s="22"/>
      <c r="C149" s="22"/>
      <c r="D149" s="21"/>
      <c r="E149" s="21"/>
      <c r="F149" s="21"/>
      <c r="G149" s="21"/>
      <c r="H149" s="21"/>
    </row>
    <row r="150" spans="1:8" x14ac:dyDescent="0.25">
      <c r="A150" s="18"/>
      <c r="B150" s="22"/>
      <c r="C150" s="22"/>
      <c r="D150" s="21"/>
      <c r="E150" s="21"/>
      <c r="F150" s="21"/>
      <c r="G150" s="21"/>
      <c r="H150" s="21"/>
    </row>
    <row r="151" spans="1:8" x14ac:dyDescent="0.25">
      <c r="A151" s="18"/>
      <c r="B151" s="22"/>
      <c r="C151" s="22"/>
      <c r="D151" s="21"/>
      <c r="E151" s="21"/>
      <c r="F151" s="21"/>
      <c r="G151" s="21"/>
      <c r="H151" s="21"/>
    </row>
    <row r="152" spans="1:8" x14ac:dyDescent="0.25">
      <c r="A152" s="18"/>
      <c r="B152" s="22"/>
      <c r="C152" s="22"/>
      <c r="D152" s="21"/>
      <c r="E152" s="21"/>
      <c r="F152" s="21"/>
      <c r="G152" s="21"/>
      <c r="H152" s="21"/>
    </row>
    <row r="153" spans="1:8" x14ac:dyDescent="0.25">
      <c r="A153" s="18"/>
      <c r="B153" s="22"/>
      <c r="C153" s="22"/>
      <c r="D153" s="21"/>
      <c r="E153" s="21"/>
      <c r="F153" s="21"/>
      <c r="G153" s="21"/>
      <c r="H153" s="21"/>
    </row>
    <row r="154" spans="1:8" x14ac:dyDescent="0.25">
      <c r="A154" s="18"/>
      <c r="B154" s="22"/>
      <c r="C154" s="22"/>
      <c r="D154" s="21"/>
      <c r="E154" s="21"/>
      <c r="F154" s="21"/>
      <c r="G154" s="21"/>
      <c r="H154" s="21"/>
    </row>
    <row r="155" spans="1:8" x14ac:dyDescent="0.25">
      <c r="A155" s="18"/>
      <c r="B155" s="22"/>
      <c r="C155" s="22"/>
      <c r="D155" s="21"/>
      <c r="E155" s="21"/>
      <c r="F155" s="21"/>
      <c r="G155" s="21"/>
      <c r="H155" s="21"/>
    </row>
    <row r="156" spans="1:8" x14ac:dyDescent="0.25">
      <c r="A156" s="18"/>
      <c r="B156" s="22"/>
      <c r="C156" s="22"/>
      <c r="D156" s="21"/>
      <c r="E156" s="21"/>
      <c r="F156" s="21"/>
      <c r="G156" s="21"/>
      <c r="H156" s="21"/>
    </row>
    <row r="157" spans="1:8" x14ac:dyDescent="0.25">
      <c r="A157" s="18"/>
      <c r="B157" s="22"/>
      <c r="C157" s="22"/>
      <c r="D157" s="21"/>
      <c r="E157" s="21"/>
      <c r="F157" s="21"/>
      <c r="G157" s="21"/>
      <c r="H157" s="21"/>
    </row>
    <row r="158" spans="1:8" x14ac:dyDescent="0.25">
      <c r="A158" s="18"/>
      <c r="B158" s="22"/>
      <c r="C158" s="22"/>
      <c r="D158" s="21"/>
      <c r="E158" s="21"/>
      <c r="F158" s="21"/>
      <c r="G158" s="21"/>
      <c r="H158" s="21"/>
    </row>
    <row r="159" spans="1:8" x14ac:dyDescent="0.25">
      <c r="A159" s="18"/>
      <c r="B159" s="22"/>
      <c r="C159" s="22"/>
      <c r="D159" s="21"/>
      <c r="E159" s="21"/>
      <c r="F159" s="21"/>
      <c r="G159" s="21"/>
      <c r="H159" s="21"/>
    </row>
    <row r="160" spans="1:8" x14ac:dyDescent="0.25">
      <c r="A160" s="18"/>
      <c r="B160" s="22"/>
      <c r="C160" s="22"/>
      <c r="D160" s="21"/>
      <c r="E160" s="21"/>
      <c r="F160" s="21"/>
      <c r="G160" s="21"/>
      <c r="H160" s="21"/>
    </row>
    <row r="161" spans="1:8" x14ac:dyDescent="0.25">
      <c r="A161" s="18"/>
      <c r="B161" s="22"/>
      <c r="C161" s="22"/>
      <c r="D161" s="21"/>
      <c r="E161" s="21"/>
      <c r="F161" s="21"/>
      <c r="G161" s="21"/>
      <c r="H161" s="21"/>
    </row>
    <row r="162" spans="1:8" x14ac:dyDescent="0.25">
      <c r="A162" s="18"/>
      <c r="B162" s="22"/>
      <c r="C162" s="22"/>
      <c r="D162" s="21"/>
      <c r="E162" s="21"/>
      <c r="F162" s="21"/>
      <c r="G162" s="21"/>
      <c r="H162" s="21"/>
    </row>
    <row r="163" spans="1:8" x14ac:dyDescent="0.25">
      <c r="A163" s="18"/>
      <c r="B163" s="22"/>
      <c r="C163" s="22"/>
      <c r="D163" s="21"/>
      <c r="E163" s="21"/>
      <c r="F163" s="21"/>
      <c r="G163" s="21"/>
      <c r="H163" s="21"/>
    </row>
    <row r="164" spans="1:8" x14ac:dyDescent="0.25">
      <c r="A164" s="18"/>
      <c r="B164" s="22"/>
      <c r="C164" s="22"/>
      <c r="D164" s="21"/>
      <c r="E164" s="21"/>
      <c r="F164" s="21"/>
      <c r="G164" s="21"/>
      <c r="H164" s="21"/>
    </row>
    <row r="165" spans="1:8" x14ac:dyDescent="0.25">
      <c r="A165" s="18"/>
      <c r="B165" s="22"/>
      <c r="C165" s="22"/>
      <c r="D165" s="21"/>
      <c r="E165" s="21"/>
      <c r="F165" s="21"/>
      <c r="G165" s="21"/>
      <c r="H165" s="21"/>
    </row>
    <row r="166" spans="1:8" x14ac:dyDescent="0.25">
      <c r="A166" s="18"/>
      <c r="B166" s="22"/>
      <c r="C166" s="22"/>
      <c r="D166" s="21"/>
      <c r="E166" s="21"/>
      <c r="F166" s="21"/>
      <c r="G166" s="21"/>
      <c r="H166" s="21"/>
    </row>
    <row r="167" spans="1:8" x14ac:dyDescent="0.25">
      <c r="A167" s="18"/>
      <c r="B167" s="22"/>
      <c r="C167" s="22"/>
      <c r="D167" s="21"/>
      <c r="E167" s="21"/>
      <c r="F167" s="21"/>
      <c r="G167" s="21"/>
      <c r="H167" s="21"/>
    </row>
    <row r="168" spans="1:8" x14ac:dyDescent="0.25">
      <c r="A168" s="18"/>
      <c r="B168" s="22"/>
      <c r="C168" s="22"/>
      <c r="D168" s="21"/>
      <c r="E168" s="21"/>
      <c r="F168" s="21"/>
      <c r="G168" s="21"/>
      <c r="H168" s="21"/>
    </row>
    <row r="169" spans="1:8" x14ac:dyDescent="0.25">
      <c r="A169" s="18"/>
      <c r="B169" s="22"/>
      <c r="C169" s="22"/>
      <c r="D169" s="21"/>
      <c r="E169" s="21"/>
      <c r="F169" s="21"/>
      <c r="G169" s="21"/>
      <c r="H169" s="21"/>
    </row>
    <row r="170" spans="1:8" x14ac:dyDescent="0.25">
      <c r="A170" s="18"/>
      <c r="B170" s="22"/>
      <c r="C170" s="22"/>
      <c r="D170" s="21"/>
      <c r="E170" s="21"/>
      <c r="F170" s="21"/>
      <c r="G170" s="21"/>
      <c r="H170" s="21"/>
    </row>
    <row r="171" spans="1:8" x14ac:dyDescent="0.25">
      <c r="A171" s="18"/>
      <c r="B171" s="22"/>
      <c r="C171" s="22"/>
      <c r="D171" s="21"/>
      <c r="E171" s="21"/>
      <c r="F171" s="21"/>
      <c r="G171" s="21"/>
      <c r="H171" s="21"/>
    </row>
    <row r="172" spans="1:8" x14ac:dyDescent="0.25">
      <c r="A172" s="18"/>
      <c r="B172" s="22"/>
      <c r="C172" s="22"/>
      <c r="D172" s="21"/>
      <c r="E172" s="21"/>
      <c r="F172" s="21"/>
      <c r="G172" s="21"/>
      <c r="H172" s="21"/>
    </row>
    <row r="173" spans="1:8" x14ac:dyDescent="0.25">
      <c r="A173" s="18"/>
      <c r="B173" s="22"/>
      <c r="C173" s="22"/>
      <c r="D173" s="21"/>
      <c r="E173" s="21"/>
      <c r="F173" s="21"/>
      <c r="G173" s="21"/>
      <c r="H173" s="21"/>
    </row>
    <row r="174" spans="1:8" x14ac:dyDescent="0.25">
      <c r="A174" s="18"/>
      <c r="B174" s="22"/>
      <c r="C174" s="22"/>
      <c r="D174" s="21"/>
      <c r="E174" s="21"/>
      <c r="F174" s="21"/>
      <c r="G174" s="21"/>
      <c r="H174" s="21"/>
    </row>
    <row r="175" spans="1:8" x14ac:dyDescent="0.25">
      <c r="A175" s="18"/>
      <c r="B175" s="22"/>
      <c r="C175" s="22"/>
      <c r="D175" s="21"/>
      <c r="E175" s="21"/>
      <c r="F175" s="21"/>
      <c r="G175" s="21"/>
      <c r="H175" s="21"/>
    </row>
    <row r="176" spans="1:8" x14ac:dyDescent="0.25">
      <c r="A176" s="18"/>
      <c r="B176" s="22"/>
      <c r="C176" s="22"/>
      <c r="D176" s="21"/>
      <c r="E176" s="21"/>
      <c r="F176" s="21"/>
      <c r="G176" s="21"/>
      <c r="H176" s="21"/>
    </row>
    <row r="177" spans="1:8" x14ac:dyDescent="0.25">
      <c r="A177" s="18"/>
      <c r="B177" s="22"/>
      <c r="C177" s="22"/>
      <c r="D177" s="21"/>
      <c r="E177" s="21"/>
      <c r="F177" s="21"/>
      <c r="G177" s="21"/>
      <c r="H177" s="21"/>
    </row>
    <row r="178" spans="1:8" x14ac:dyDescent="0.25">
      <c r="A178" s="18"/>
      <c r="B178" s="22"/>
      <c r="C178" s="22"/>
      <c r="D178" s="21"/>
      <c r="E178" s="21"/>
      <c r="F178" s="21"/>
      <c r="G178" s="21"/>
      <c r="H178" s="21"/>
    </row>
    <row r="179" spans="1:8" x14ac:dyDescent="0.25">
      <c r="A179" s="18"/>
      <c r="B179" s="22"/>
      <c r="C179" s="22"/>
      <c r="D179" s="21"/>
      <c r="E179" s="21"/>
      <c r="F179" s="21"/>
      <c r="G179" s="21"/>
      <c r="H179" s="21"/>
    </row>
    <row r="180" spans="1:8" x14ac:dyDescent="0.25">
      <c r="A180" s="18"/>
      <c r="B180" s="22"/>
      <c r="C180" s="22"/>
      <c r="D180" s="21"/>
      <c r="E180" s="21"/>
      <c r="F180" s="21"/>
      <c r="G180" s="21"/>
      <c r="H180" s="21"/>
    </row>
    <row r="181" spans="1:8" x14ac:dyDescent="0.25">
      <c r="A181" s="18"/>
      <c r="B181" s="22"/>
      <c r="C181" s="22"/>
      <c r="D181" s="21"/>
      <c r="E181" s="21"/>
      <c r="F181" s="21"/>
      <c r="G181" s="21"/>
      <c r="H181" s="21"/>
    </row>
    <row r="182" spans="1:8" x14ac:dyDescent="0.25">
      <c r="A182" s="18"/>
      <c r="B182" s="22"/>
      <c r="C182" s="22"/>
      <c r="D182" s="21"/>
      <c r="E182" s="21"/>
      <c r="F182" s="21"/>
      <c r="G182" s="21"/>
      <c r="H182" s="21"/>
    </row>
    <row r="183" spans="1:8" x14ac:dyDescent="0.25">
      <c r="A183" s="18"/>
      <c r="B183" s="22"/>
      <c r="C183" s="22"/>
      <c r="D183" s="21"/>
      <c r="E183" s="21"/>
      <c r="F183" s="21"/>
      <c r="G183" s="21"/>
      <c r="H183" s="21"/>
    </row>
    <row r="184" spans="1:8" x14ac:dyDescent="0.25">
      <c r="A184" s="18"/>
      <c r="B184" s="22"/>
      <c r="C184" s="22"/>
      <c r="D184" s="21"/>
      <c r="E184" s="21"/>
      <c r="F184" s="21"/>
      <c r="G184" s="21"/>
      <c r="H184" s="21"/>
    </row>
    <row r="185" spans="1:8" x14ac:dyDescent="0.25">
      <c r="A185" s="18"/>
      <c r="B185" s="22"/>
      <c r="C185" s="22"/>
      <c r="D185" s="21"/>
      <c r="E185" s="21"/>
      <c r="F185" s="21"/>
      <c r="G185" s="21"/>
      <c r="H185" s="21"/>
    </row>
    <row r="186" spans="1:8" x14ac:dyDescent="0.25">
      <c r="A186" s="18"/>
      <c r="B186" s="22"/>
      <c r="C186" s="22"/>
      <c r="D186" s="21"/>
      <c r="E186" s="21"/>
      <c r="F186" s="21"/>
      <c r="G186" s="21"/>
      <c r="H186" s="21"/>
    </row>
    <row r="187" spans="1:8" x14ac:dyDescent="0.25">
      <c r="A187" s="18"/>
      <c r="B187" s="22"/>
      <c r="C187" s="22"/>
      <c r="D187" s="21"/>
      <c r="E187" s="21"/>
      <c r="F187" s="21"/>
      <c r="G187" s="21"/>
      <c r="H187" s="21"/>
    </row>
    <row r="188" spans="1:8" x14ac:dyDescent="0.25">
      <c r="A188" s="18"/>
      <c r="B188" s="22"/>
      <c r="C188" s="22"/>
      <c r="D188" s="21"/>
      <c r="E188" s="21"/>
      <c r="F188" s="21"/>
      <c r="G188" s="21"/>
      <c r="H188" s="21"/>
    </row>
    <row r="189" spans="1:8" x14ac:dyDescent="0.25">
      <c r="A189" s="18"/>
      <c r="B189" s="22"/>
      <c r="C189" s="22"/>
      <c r="D189" s="21"/>
      <c r="E189" s="21"/>
      <c r="F189" s="21"/>
      <c r="G189" s="21"/>
      <c r="H189" s="21"/>
    </row>
    <row r="190" spans="1:8" x14ac:dyDescent="0.25">
      <c r="A190" s="18"/>
      <c r="B190" s="22"/>
      <c r="C190" s="22"/>
      <c r="D190" s="21"/>
      <c r="E190" s="21"/>
      <c r="F190" s="21"/>
      <c r="G190" s="21"/>
      <c r="H190" s="21"/>
    </row>
    <row r="191" spans="1:8" x14ac:dyDescent="0.25">
      <c r="A191" s="18"/>
      <c r="B191" s="22"/>
      <c r="C191" s="22"/>
      <c r="D191" s="21"/>
      <c r="E191" s="21"/>
      <c r="F191" s="21"/>
      <c r="G191" s="21"/>
      <c r="H191" s="21"/>
    </row>
    <row r="192" spans="1:8" x14ac:dyDescent="0.25">
      <c r="A192" s="18"/>
      <c r="B192" s="22"/>
      <c r="C192" s="22"/>
      <c r="D192" s="21"/>
      <c r="E192" s="21"/>
      <c r="F192" s="21"/>
      <c r="G192" s="21"/>
      <c r="H192" s="21"/>
    </row>
    <row r="193" spans="1:8" x14ac:dyDescent="0.25">
      <c r="A193" s="18"/>
      <c r="B193" s="22"/>
      <c r="C193" s="22"/>
      <c r="D193" s="21"/>
      <c r="E193" s="21"/>
      <c r="F193" s="21"/>
      <c r="G193" s="21"/>
      <c r="H193" s="21"/>
    </row>
    <row r="194" spans="1:8" x14ac:dyDescent="0.25">
      <c r="A194" s="18"/>
      <c r="B194" s="22"/>
      <c r="C194" s="22"/>
      <c r="D194" s="21"/>
      <c r="E194" s="21"/>
      <c r="F194" s="21"/>
      <c r="G194" s="21"/>
      <c r="H194" s="21"/>
    </row>
    <row r="195" spans="1:8" x14ac:dyDescent="0.25">
      <c r="A195" s="18"/>
      <c r="B195" s="22"/>
      <c r="C195" s="22"/>
      <c r="D195" s="21"/>
      <c r="E195" s="21"/>
      <c r="F195" s="21"/>
      <c r="G195" s="21"/>
      <c r="H195" s="21"/>
    </row>
    <row r="196" spans="1:8" x14ac:dyDescent="0.25">
      <c r="A196" s="18"/>
      <c r="B196" s="22"/>
      <c r="C196" s="22"/>
      <c r="D196" s="21"/>
      <c r="E196" s="21"/>
      <c r="F196" s="21"/>
      <c r="G196" s="21"/>
      <c r="H196" s="21"/>
    </row>
    <row r="197" spans="1:8" x14ac:dyDescent="0.25">
      <c r="A197" s="18"/>
      <c r="B197" s="22"/>
      <c r="C197" s="22"/>
      <c r="D197" s="21"/>
      <c r="E197" s="21"/>
      <c r="F197" s="21"/>
      <c r="G197" s="21"/>
      <c r="H197" s="21"/>
    </row>
    <row r="198" spans="1:8" x14ac:dyDescent="0.25">
      <c r="A198" s="18"/>
      <c r="B198" s="22"/>
      <c r="C198" s="22"/>
      <c r="D198" s="21"/>
      <c r="E198" s="21"/>
      <c r="F198" s="21"/>
      <c r="G198" s="21"/>
      <c r="H198" s="21"/>
    </row>
    <row r="199" spans="1:8" x14ac:dyDescent="0.25">
      <c r="A199" s="18"/>
      <c r="B199" s="22"/>
      <c r="C199" s="22"/>
      <c r="D199" s="21"/>
      <c r="E199" s="21"/>
      <c r="F199" s="21"/>
      <c r="G199" s="21"/>
      <c r="H199" s="21"/>
    </row>
    <row r="200" spans="1:8" x14ac:dyDescent="0.25">
      <c r="A200" s="18"/>
      <c r="B200" s="22"/>
      <c r="C200" s="22"/>
      <c r="D200" s="21"/>
      <c r="E200" s="21"/>
      <c r="F200" s="21"/>
      <c r="G200" s="21"/>
      <c r="H200" s="21"/>
    </row>
    <row r="201" spans="1:8" x14ac:dyDescent="0.25">
      <c r="A201" s="18"/>
      <c r="B201" s="22"/>
      <c r="C201" s="22"/>
      <c r="D201" s="21"/>
      <c r="E201" s="21"/>
      <c r="F201" s="21"/>
      <c r="G201" s="21"/>
      <c r="H201" s="21"/>
    </row>
    <row r="202" spans="1:8" x14ac:dyDescent="0.25">
      <c r="A202" s="18"/>
      <c r="B202" s="22"/>
      <c r="C202" s="22"/>
      <c r="D202" s="21"/>
      <c r="E202" s="21"/>
      <c r="F202" s="21"/>
      <c r="G202" s="21"/>
      <c r="H202" s="21"/>
    </row>
    <row r="203" spans="1:8" x14ac:dyDescent="0.25">
      <c r="A203" s="18"/>
      <c r="B203" s="22"/>
      <c r="C203" s="22"/>
      <c r="D203" s="21"/>
      <c r="E203" s="21"/>
      <c r="F203" s="21"/>
      <c r="G203" s="21"/>
      <c r="H203" s="21"/>
    </row>
    <row r="204" spans="1:8" x14ac:dyDescent="0.25">
      <c r="A204" s="18"/>
      <c r="B204" s="22"/>
      <c r="C204" s="22"/>
      <c r="D204" s="21"/>
      <c r="E204" s="21"/>
      <c r="F204" s="21"/>
      <c r="G204" s="21"/>
      <c r="H204" s="21"/>
    </row>
    <row r="205" spans="1:8" x14ac:dyDescent="0.25">
      <c r="A205" s="18"/>
      <c r="B205" s="22"/>
      <c r="C205" s="22"/>
      <c r="D205" s="21"/>
      <c r="E205" s="21"/>
      <c r="F205" s="21"/>
      <c r="G205" s="21"/>
      <c r="H205" s="21"/>
    </row>
    <row r="206" spans="1:8" x14ac:dyDescent="0.25">
      <c r="A206" s="18"/>
      <c r="B206" s="22"/>
      <c r="C206" s="22"/>
      <c r="D206" s="21"/>
      <c r="E206" s="21"/>
      <c r="F206" s="21"/>
      <c r="G206" s="21"/>
      <c r="H206" s="21"/>
    </row>
    <row r="207" spans="1:8" x14ac:dyDescent="0.25">
      <c r="A207" s="18"/>
      <c r="B207" s="22"/>
      <c r="C207" s="22"/>
      <c r="D207" s="21"/>
      <c r="E207" s="21"/>
      <c r="F207" s="21"/>
      <c r="G207" s="21"/>
      <c r="H207" s="21"/>
    </row>
    <row r="208" spans="1:8" x14ac:dyDescent="0.25">
      <c r="A208" s="18"/>
      <c r="B208" s="22"/>
      <c r="C208" s="22"/>
      <c r="D208" s="21"/>
      <c r="E208" s="21"/>
      <c r="F208" s="21"/>
      <c r="G208" s="21"/>
      <c r="H208" s="21"/>
    </row>
    <row r="209" spans="1:8" x14ac:dyDescent="0.25">
      <c r="A209" s="18"/>
      <c r="B209" s="22"/>
      <c r="C209" s="22"/>
      <c r="D209" s="21"/>
      <c r="E209" s="21"/>
      <c r="F209" s="21"/>
      <c r="G209" s="21"/>
      <c r="H209" s="21"/>
    </row>
    <row r="210" spans="1:8" x14ac:dyDescent="0.25">
      <c r="A210" s="18"/>
      <c r="B210" s="22"/>
      <c r="C210" s="22"/>
      <c r="D210" s="21"/>
      <c r="E210" s="21"/>
      <c r="F210" s="21"/>
      <c r="G210" s="21"/>
      <c r="H210" s="21"/>
    </row>
    <row r="211" spans="1:8" x14ac:dyDescent="0.25">
      <c r="A211" s="18"/>
      <c r="B211" s="22"/>
      <c r="C211" s="22"/>
      <c r="D211" s="21"/>
      <c r="E211" s="21"/>
      <c r="F211" s="21"/>
      <c r="G211" s="21"/>
      <c r="H211" s="21"/>
    </row>
    <row r="212" spans="1:8" x14ac:dyDescent="0.25">
      <c r="A212" s="18"/>
      <c r="B212" s="22"/>
      <c r="C212" s="22"/>
      <c r="D212" s="21"/>
      <c r="E212" s="21"/>
      <c r="F212" s="21"/>
      <c r="G212" s="21"/>
      <c r="H212" s="21"/>
    </row>
    <row r="213" spans="1:8" x14ac:dyDescent="0.25">
      <c r="A213" s="18"/>
      <c r="B213" s="22"/>
      <c r="C213" s="22"/>
      <c r="D213" s="21"/>
      <c r="E213" s="21"/>
      <c r="F213" s="21"/>
      <c r="G213" s="21"/>
      <c r="H213" s="21"/>
    </row>
    <row r="214" spans="1:8" x14ac:dyDescent="0.25">
      <c r="A214" s="18"/>
      <c r="B214" s="22"/>
      <c r="C214" s="22"/>
      <c r="D214" s="21"/>
      <c r="E214" s="21"/>
      <c r="F214" s="21"/>
      <c r="G214" s="21"/>
      <c r="H214" s="21"/>
    </row>
    <row r="215" spans="1:8" x14ac:dyDescent="0.25">
      <c r="A215" s="18"/>
      <c r="B215" s="22"/>
      <c r="C215" s="22"/>
      <c r="D215" s="21"/>
      <c r="E215" s="21"/>
      <c r="F215" s="21"/>
      <c r="G215" s="21"/>
      <c r="H215" s="21"/>
    </row>
    <row r="216" spans="1:8" x14ac:dyDescent="0.25">
      <c r="A216" s="18"/>
      <c r="B216" s="22"/>
      <c r="C216" s="22"/>
      <c r="D216" s="21"/>
      <c r="E216" s="21"/>
      <c r="F216" s="21"/>
      <c r="G216" s="21"/>
      <c r="H216" s="21"/>
    </row>
  </sheetData>
  <conditionalFormatting sqref="L2:L9 L11:L27 L29:L91 L93:L125 L127:L145 L147:L148 L150:L1048576">
    <cfRule type="cellIs" dxfId="0" priority="36" operator="lessThan">
      <formula>0</formula>
    </cfRule>
  </conditionalFormatting>
  <printOptions horizontalCentered="1"/>
  <pageMargins left="0.5" right="0.5" top="0.5" bottom="0.5" header="0.3" footer="0.3"/>
  <pageSetup orientation="landscape" horizontalDpi="4294967295" verticalDpi="4294967295" scale="46" fitToWidth="1" fitToHeight="1" firstPageNumber="9" useFirstPageNumber="1" copies="1"/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0"/>
  <sheetViews>
    <sheetView workbookViewId="0" zoomScale="85" zoomScaleNormal="85">
      <selection activeCell="K57" sqref="K57"/>
    </sheetView>
  </sheetViews>
  <sheetFormatPr defaultRowHeight="13.8" outlineLevelRow="1" outlineLevelCol="0" x14ac:dyDescent="0.3" defaultColWidth="9.109375" customHeight="1"/>
  <cols>
    <col min="1" max="1" width="32.33203125" style="301" customWidth="1"/>
    <col min="2" max="2" width="29.33203125" style="301" hidden="1" customWidth="1"/>
    <col min="3" max="3" width="18.109375" style="302" customWidth="1"/>
    <col min="4" max="4" width="39.33203125" style="301" customWidth="1"/>
    <col min="5" max="5" width="27.6640625" style="301" customWidth="1"/>
    <col min="6" max="6" width="31.88671875" style="302" customWidth="1"/>
    <col min="7" max="7" width="20.109375" style="303" customWidth="1"/>
    <col min="8" max="8" width="17.44140625" style="304" customWidth="1"/>
    <col min="9" max="9" width="11.44140625" style="302" hidden="1" customWidth="1"/>
    <col min="10" max="10" width="5.33203125" style="301" customWidth="1"/>
    <col min="11" max="11" width="29" style="301" customWidth="1"/>
    <col min="12" max="12" width="13.33203125" style="301" customWidth="1"/>
    <col min="13" max="13" width="5.5546875" style="301" customWidth="1"/>
    <col min="14" max="14" width="9.109375" style="301" customWidth="1"/>
    <col min="15" max="15" width="12.6640625" style="301" customWidth="1"/>
    <col min="16" max="16384" width="9.109375" style="301" customWidth="1"/>
  </cols>
  <sheetData>
    <row r="1" ht="15.6" customHeight="1" spans="1:25" x14ac:dyDescent="0.25">
      <c r="A1" s="90" t="str">
        <f>'Budget to Actual P1'!B2</f>
        <v>County Line Rail Silsbee LLC</v>
      </c>
      <c r="B1" s="301"/>
      <c r="C1" s="302"/>
      <c r="D1" s="301"/>
      <c r="E1" s="301"/>
      <c r="F1" s="302"/>
      <c r="G1" s="303"/>
      <c r="H1" s="305"/>
      <c r="I1" s="302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</row>
    <row r="2" ht="15.6" customHeight="1" spans="1:25" x14ac:dyDescent="0.25">
      <c r="A2" s="90" t="s">
        <v>205</v>
      </c>
      <c r="B2" s="301"/>
      <c r="C2" s="302"/>
      <c r="D2" s="301"/>
      <c r="E2" s="301"/>
      <c r="F2" s="302"/>
      <c r="G2" s="303"/>
      <c r="H2" s="305"/>
      <c r="I2" s="302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</row>
    <row r="3" ht="15.6" customHeight="1" spans="1:25" x14ac:dyDescent="0.25">
      <c r="A3" s="306">
        <f>'Budget to Actual P1'!B4</f>
        <v>46203</v>
      </c>
      <c r="B3" s="301"/>
      <c r="C3" s="302"/>
      <c r="D3" s="301"/>
      <c r="E3" s="301"/>
      <c r="F3" s="302"/>
      <c r="G3" s="303"/>
      <c r="H3" s="305"/>
      <c r="I3" s="302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</row>
    <row r="4" spans="1:25" x14ac:dyDescent="0.25">
      <c r="A4" s="301"/>
      <c r="B4" s="301"/>
      <c r="C4" s="302"/>
      <c r="D4" s="301"/>
      <c r="E4" s="301"/>
      <c r="F4" s="302"/>
      <c r="G4" s="303"/>
      <c r="H4" s="305"/>
      <c r="I4" s="302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</row>
    <row r="5" spans="1:25" s="307" customFormat="1" x14ac:dyDescent="0.25">
      <c r="A5" s="308" t="s">
        <v>176</v>
      </c>
      <c r="B5" s="308" t="s">
        <v>206</v>
      </c>
      <c r="C5" s="309" t="s">
        <v>207</v>
      </c>
      <c r="D5" s="308" t="s">
        <v>208</v>
      </c>
      <c r="E5" s="308" t="s">
        <v>209</v>
      </c>
      <c r="F5" s="308" t="s">
        <v>210</v>
      </c>
      <c r="G5" s="310" t="s">
        <v>211</v>
      </c>
      <c r="H5" s="309" t="s">
        <v>212</v>
      </c>
      <c r="I5" s="309" t="s">
        <v>213</v>
      </c>
      <c r="J5" s="301"/>
      <c r="K5" s="301"/>
      <c r="L5" s="301"/>
      <c r="M5" s="301"/>
      <c r="N5" s="301"/>
      <c r="O5" s="301"/>
      <c r="P5" s="301"/>
      <c r="Q5" s="307"/>
      <c r="R5" s="307"/>
      <c r="S5" s="307"/>
      <c r="T5" s="307"/>
      <c r="U5" s="307"/>
      <c r="V5" s="307"/>
      <c r="W5" s="307"/>
      <c r="X5" s="307"/>
      <c r="Y5" s="307"/>
    </row>
    <row r="6" ht="15" customHeight="1" spans="1:25" x14ac:dyDescent="0.25">
      <c r="A6" s="301" t="s">
        <v>103</v>
      </c>
      <c r="B6" s="301"/>
      <c r="C6" s="311">
        <v>12230</v>
      </c>
      <c r="D6" s="301" t="s">
        <v>103</v>
      </c>
      <c r="E6" s="301" t="s">
        <v>214</v>
      </c>
      <c r="F6" s="312" t="s">
        <v>215</v>
      </c>
      <c r="G6" s="313">
        <v>6912.36</v>
      </c>
      <c r="H6" s="314" t="s">
        <v>216</v>
      </c>
      <c r="I6" s="302"/>
      <c r="J6" s="301"/>
      <c r="K6" s="301" t="s">
        <v>217</v>
      </c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11">
        <v>12230</v>
      </c>
    </row>
    <row r="7" ht="14.4" customHeight="1" spans="1:25" x14ac:dyDescent="0.25">
      <c r="A7" s="301"/>
      <c r="B7" s="315"/>
      <c r="C7" s="302"/>
      <c r="D7" s="301"/>
      <c r="E7" s="301"/>
      <c r="F7" s="304"/>
      <c r="G7" s="313"/>
      <c r="H7" s="316"/>
      <c r="I7" s="302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</row>
    <row r="8" ht="15" customHeight="1" spans="1:25" x14ac:dyDescent="0.25">
      <c r="A8" s="301"/>
      <c r="B8" s="315"/>
      <c r="C8" s="302"/>
      <c r="D8" s="301" t="s">
        <v>218</v>
      </c>
      <c r="E8" s="301"/>
      <c r="F8" s="304"/>
      <c r="G8" s="317">
        <f>SUBTOTAL(9,G6:G7)</f>
      </c>
      <c r="H8" s="316"/>
      <c r="I8" s="302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</row>
    <row r="9" ht="14.4" customHeight="1" spans="1:25" x14ac:dyDescent="0.25">
      <c r="A9" s="301"/>
      <c r="B9" s="315"/>
      <c r="C9" s="302"/>
      <c r="D9" s="301"/>
      <c r="E9" s="301"/>
      <c r="F9" s="304"/>
      <c r="G9" s="313"/>
      <c r="H9" s="316"/>
      <c r="I9" s="302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</row>
    <row r="10" ht="15" customHeight="1" spans="1:25" x14ac:dyDescent="0.25">
      <c r="A10" s="301" t="s">
        <v>129</v>
      </c>
      <c r="B10" s="315"/>
      <c r="C10" s="311">
        <v>12321</v>
      </c>
      <c r="D10" s="301" t="s">
        <v>129</v>
      </c>
      <c r="E10" s="301" t="s">
        <v>219</v>
      </c>
      <c r="F10" s="304" t="s">
        <v>220</v>
      </c>
      <c r="G10" s="313">
        <v>62794.4</v>
      </c>
      <c r="H10" s="316" t="s">
        <v>216</v>
      </c>
      <c r="I10" s="302"/>
      <c r="J10" s="301"/>
      <c r="K10" s="301" t="s">
        <v>221</v>
      </c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11">
        <v>12321</v>
      </c>
    </row>
    <row r="11" ht="6" customHeight="1" spans="1:25" x14ac:dyDescent="0.25">
      <c r="A11" s="301"/>
      <c r="B11" s="315"/>
      <c r="C11" s="302"/>
      <c r="D11" s="301"/>
      <c r="E11" s="301"/>
      <c r="F11" s="304"/>
      <c r="G11" s="313"/>
      <c r="H11" s="316"/>
      <c r="I11" s="302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</row>
    <row r="12" ht="15" customHeight="1" spans="1:25" x14ac:dyDescent="0.25">
      <c r="A12" s="301"/>
      <c r="B12" s="315"/>
      <c r="C12" s="302"/>
      <c r="D12" s="301" t="s">
        <v>222</v>
      </c>
      <c r="E12" s="301"/>
      <c r="F12" s="304"/>
      <c r="G12" s="317">
        <f>SUBTOTAL(9,G10:G11)</f>
      </c>
      <c r="H12" s="316"/>
      <c r="I12" s="302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</row>
    <row r="13" spans="1:25" x14ac:dyDescent="0.25" outlineLevel="1" collapsed="1">
      <c r="A13" s="301"/>
      <c r="B13" s="315"/>
      <c r="C13" s="302"/>
      <c r="D13" s="301"/>
      <c r="E13" s="301"/>
      <c r="F13" s="304"/>
      <c r="G13" s="313"/>
      <c r="H13" s="316"/>
      <c r="I13" s="302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</row>
    <row r="14" ht="15" customHeight="1" spans="1:25" x14ac:dyDescent="0.25" outlineLevel="1" collapsed="1">
      <c r="A14" s="301" t="s">
        <v>223</v>
      </c>
      <c r="B14" s="315" t="s">
        <v>224</v>
      </c>
      <c r="C14" s="311">
        <v>12913</v>
      </c>
      <c r="D14" s="301" t="s">
        <v>224</v>
      </c>
      <c r="E14" s="301" t="s">
        <v>225</v>
      </c>
      <c r="F14" s="304" t="s">
        <v>226</v>
      </c>
      <c r="G14" s="313">
        <v>10049.82</v>
      </c>
      <c r="H14" s="316" t="s">
        <v>216</v>
      </c>
      <c r="I14" s="302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11">
        <v>12913</v>
      </c>
    </row>
    <row r="15" ht="5.4" customHeight="1" spans="1:25" x14ac:dyDescent="0.25" outlineLevel="1" collapsed="1">
      <c r="A15" s="301"/>
      <c r="B15" s="315"/>
      <c r="C15" s="302"/>
      <c r="D15" s="301"/>
      <c r="E15" s="301"/>
      <c r="F15" s="304"/>
      <c r="G15" s="313"/>
      <c r="H15" s="316"/>
      <c r="I15" s="302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</row>
    <row r="16" ht="15" customHeight="1" spans="1:25" x14ac:dyDescent="0.25" outlineLevel="1" collapsed="1">
      <c r="A16" s="301"/>
      <c r="B16" s="315"/>
      <c r="C16" s="302"/>
      <c r="D16" s="301" t="s">
        <v>227</v>
      </c>
      <c r="E16" s="301"/>
      <c r="F16" s="304"/>
      <c r="G16" s="317">
        <f>SUBTOTAL(9,G14:G15)</f>
      </c>
      <c r="H16" s="316"/>
      <c r="I16" s="302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</row>
    <row r="17" spans="1:25" x14ac:dyDescent="0.25" outlineLevel="1" collapsed="1">
      <c r="A17" s="301"/>
      <c r="B17" s="315"/>
      <c r="C17" s="302"/>
      <c r="D17" s="301"/>
      <c r="E17" s="301"/>
      <c r="F17" s="304"/>
      <c r="G17" s="313"/>
      <c r="H17" s="316"/>
      <c r="I17" s="302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</row>
    <row r="18" ht="15" customHeight="1" spans="1:25" x14ac:dyDescent="0.25" outlineLevel="1" collapsed="1">
      <c r="A18" s="301" t="s">
        <v>151</v>
      </c>
      <c r="B18" s="315"/>
      <c r="C18" s="311">
        <v>12594</v>
      </c>
      <c r="D18" s="301" t="s">
        <v>151</v>
      </c>
      <c r="E18" s="301" t="s">
        <v>228</v>
      </c>
      <c r="F18" s="304" t="s">
        <v>229</v>
      </c>
      <c r="G18" s="318">
        <v>181538.72</v>
      </c>
      <c r="H18" s="316" t="s">
        <v>216</v>
      </c>
      <c r="I18" s="302"/>
      <c r="J18" s="301"/>
      <c r="K18" s="301" t="s">
        <v>230</v>
      </c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11">
        <v>12594</v>
      </c>
    </row>
    <row r="19" ht="6" customHeight="1" spans="1:25" x14ac:dyDescent="0.25" outlineLevel="1" collapsed="1">
      <c r="A19" s="301"/>
      <c r="B19" s="315"/>
      <c r="C19" s="302"/>
      <c r="D19" s="301"/>
      <c r="E19" s="301"/>
      <c r="F19" s="304"/>
      <c r="G19" s="313"/>
      <c r="H19" s="316"/>
      <c r="I19" s="302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</row>
    <row r="20" ht="15" customHeight="1" spans="1:25" x14ac:dyDescent="0.25" outlineLevel="1" collapsed="1">
      <c r="A20" s="301"/>
      <c r="B20" s="315"/>
      <c r="C20" s="302"/>
      <c r="D20" s="301" t="s">
        <v>231</v>
      </c>
      <c r="E20" s="301"/>
      <c r="F20" s="304"/>
      <c r="G20" s="317">
        <f>SUBTOTAL(9,G18:G19)</f>
      </c>
      <c r="H20" s="316"/>
      <c r="I20" s="302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</row>
    <row r="21" spans="1:25" x14ac:dyDescent="0.25" outlineLevel="1" collapsed="1">
      <c r="A21" s="301"/>
      <c r="B21" s="315"/>
      <c r="C21" s="302"/>
      <c r="D21" s="301"/>
      <c r="E21" s="301"/>
      <c r="F21" s="304"/>
      <c r="G21" s="313"/>
      <c r="H21" s="316"/>
      <c r="I21" s="302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</row>
    <row r="22" ht="15" customHeight="1" spans="1:25" x14ac:dyDescent="0.25" outlineLevel="1" collapsed="1">
      <c r="A22" s="301"/>
      <c r="B22" s="315"/>
      <c r="C22" s="302"/>
      <c r="D22" s="301" t="s">
        <v>232</v>
      </c>
      <c r="E22" s="301"/>
      <c r="F22" s="304"/>
      <c r="G22" s="319">
        <f>SUBTOTAL(9,G6:G21)</f>
      </c>
      <c r="H22" s="316"/>
      <c r="I22" s="302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</row>
    <row r="23" ht="6" customHeight="1" hidden="1" spans="1:25" x14ac:dyDescent="0.25" outlineLevel="1" collapsed="1">
      <c r="A23" s="301"/>
      <c r="B23" s="315"/>
      <c r="C23" s="302"/>
      <c r="D23" s="301"/>
      <c r="E23" s="301"/>
      <c r="F23" s="304"/>
      <c r="G23" s="320"/>
      <c r="H23" s="316"/>
      <c r="I23" s="302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</row>
    <row r="24" hidden="1" spans="1:25" x14ac:dyDescent="0.25" outlineLevel="1" collapsed="1">
      <c r="A24" s="301"/>
      <c r="B24" s="315"/>
      <c r="C24" s="302"/>
      <c r="D24" s="301"/>
      <c r="E24" s="301"/>
      <c r="F24" s="304"/>
      <c r="G24" s="320"/>
      <c r="H24" s="316"/>
      <c r="I24" s="302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</row>
    <row r="25" hidden="1" spans="1:25" x14ac:dyDescent="0.25" outlineLevel="1" collapsed="1">
      <c r="A25" s="301"/>
      <c r="B25" s="315"/>
      <c r="C25" s="302"/>
      <c r="D25" s="301"/>
      <c r="E25" s="301"/>
      <c r="F25" s="304"/>
      <c r="G25" s="320"/>
      <c r="H25" s="316"/>
      <c r="I25" s="302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</row>
    <row r="26" hidden="1" spans="1:25" x14ac:dyDescent="0.25" outlineLevel="1" collapsed="1">
      <c r="A26" s="301"/>
      <c r="B26" s="315"/>
      <c r="C26" s="302"/>
      <c r="D26" s="301"/>
      <c r="E26" s="301"/>
      <c r="F26" s="304"/>
      <c r="G26" s="320"/>
      <c r="H26" s="316"/>
      <c r="I26" s="302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</row>
    <row r="27" ht="6" customHeight="1" hidden="1" spans="1:25" x14ac:dyDescent="0.25" outlineLevel="1" collapsed="1">
      <c r="A27" s="301"/>
      <c r="B27" s="315"/>
      <c r="C27" s="302"/>
      <c r="D27" s="301"/>
      <c r="E27" s="301"/>
      <c r="F27" s="304"/>
      <c r="G27" s="320"/>
      <c r="H27" s="316"/>
      <c r="I27" s="302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</row>
    <row r="28" hidden="1" spans="1:25" x14ac:dyDescent="0.25" outlineLevel="1" collapsed="1">
      <c r="A28" s="301"/>
      <c r="B28" s="315"/>
      <c r="C28" s="302"/>
      <c r="D28" s="301"/>
      <c r="E28" s="301"/>
      <c r="F28" s="304"/>
      <c r="G28" s="320"/>
      <c r="H28" s="316"/>
      <c r="I28" s="302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</row>
    <row r="29" hidden="1" spans="1:25" x14ac:dyDescent="0.25" outlineLevel="1" collapsed="1">
      <c r="A29" s="301"/>
      <c r="B29" s="315"/>
      <c r="C29" s="302"/>
      <c r="D29" s="301"/>
      <c r="E29" s="301"/>
      <c r="F29" s="304"/>
      <c r="G29" s="320"/>
      <c r="H29" s="316"/>
      <c r="I29" s="302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</row>
    <row r="30" hidden="1" spans="1:25" x14ac:dyDescent="0.25" outlineLevel="1" collapsed="1">
      <c r="A30" s="301"/>
      <c r="B30" s="315"/>
      <c r="C30" s="302"/>
      <c r="D30" s="301"/>
      <c r="E30" s="301"/>
      <c r="F30" s="304"/>
      <c r="G30" s="320"/>
      <c r="H30" s="316"/>
      <c r="I30" s="302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</row>
    <row r="31" ht="6" customHeight="1" hidden="1" spans="1:25" x14ac:dyDescent="0.25" outlineLevel="1" collapsed="1">
      <c r="A31" s="301"/>
      <c r="B31" s="315"/>
      <c r="C31" s="302"/>
      <c r="D31" s="301"/>
      <c r="E31" s="301"/>
      <c r="F31" s="304"/>
      <c r="G31" s="320"/>
      <c r="H31" s="316"/>
      <c r="I31" s="302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</row>
    <row r="32" hidden="1" spans="1:25" x14ac:dyDescent="0.25" outlineLevel="1" collapsed="1">
      <c r="A32" s="301"/>
      <c r="B32" s="315"/>
      <c r="C32" s="302"/>
      <c r="D32" s="301"/>
      <c r="E32" s="301"/>
      <c r="F32" s="304"/>
      <c r="G32" s="320"/>
      <c r="H32" s="316"/>
      <c r="I32" s="302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</row>
    <row r="33" hidden="1" spans="1:25" x14ac:dyDescent="0.25" outlineLevel="1" collapsed="1">
      <c r="A33" s="301"/>
      <c r="B33" s="315"/>
      <c r="C33" s="302"/>
      <c r="D33" s="301"/>
      <c r="E33" s="301"/>
      <c r="F33" s="304"/>
      <c r="G33" s="320"/>
      <c r="H33" s="316"/>
      <c r="I33" s="302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</row>
    <row r="34" hidden="1" spans="1:25" x14ac:dyDescent="0.25" outlineLevel="1" collapsed="1">
      <c r="A34" s="301"/>
      <c r="B34" s="315"/>
      <c r="C34" s="302"/>
      <c r="D34" s="301"/>
      <c r="E34" s="301"/>
      <c r="F34" s="304"/>
      <c r="G34" s="320"/>
      <c r="H34" s="316"/>
      <c r="I34" s="302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</row>
    <row r="35" hidden="1" spans="1:25" x14ac:dyDescent="0.25" outlineLevel="1" collapsed="1">
      <c r="A35" s="301"/>
      <c r="B35" s="315"/>
      <c r="C35" s="302"/>
      <c r="D35" s="301"/>
      <c r="E35" s="301"/>
      <c r="F35" s="304"/>
      <c r="G35" s="303"/>
      <c r="H35" s="316"/>
      <c r="I35" s="302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</row>
    <row r="36" ht="6" customHeight="1" hidden="1" spans="1:25" x14ac:dyDescent="0.25" outlineLevel="1" collapsed="1">
      <c r="A36" s="301"/>
      <c r="B36" s="315"/>
      <c r="C36" s="302"/>
      <c r="D36" s="301"/>
      <c r="E36" s="301"/>
      <c r="F36" s="301"/>
      <c r="G36" s="303"/>
      <c r="H36" s="316"/>
      <c r="I36" s="302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</row>
    <row r="37" hidden="1" spans="1:25" x14ac:dyDescent="0.25" outlineLevel="1" collapsed="1">
      <c r="A37" s="301"/>
      <c r="B37" s="315"/>
      <c r="C37" s="302"/>
      <c r="D37" s="301"/>
      <c r="E37" s="301"/>
      <c r="F37" s="301"/>
      <c r="G37" s="320"/>
      <c r="H37" s="316"/>
      <c r="I37" s="302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</row>
    <row r="38" hidden="1" spans="1:25" x14ac:dyDescent="0.25" outlineLevel="1" collapsed="1">
      <c r="A38" s="301"/>
      <c r="B38" s="315"/>
      <c r="C38" s="302"/>
      <c r="D38" s="301"/>
      <c r="E38" s="301"/>
      <c r="F38" s="304"/>
      <c r="G38" s="320"/>
      <c r="H38" s="316"/>
      <c r="I38" s="302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</row>
    <row r="39" hidden="1" spans="1:25" x14ac:dyDescent="0.25" outlineLevel="1" collapsed="1">
      <c r="A39" s="301"/>
      <c r="B39" s="321"/>
      <c r="C39" s="302"/>
      <c r="D39" s="301"/>
      <c r="E39" s="301"/>
      <c r="F39" s="304"/>
      <c r="G39" s="303"/>
      <c r="H39" s="316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</row>
    <row r="40" ht="4.95" customHeight="1" hidden="1" spans="1:25" x14ac:dyDescent="0.25" outlineLevel="1" collapsed="1">
      <c r="A40" s="301"/>
      <c r="B40" s="321"/>
      <c r="C40" s="302"/>
      <c r="D40" s="301"/>
      <c r="E40" s="301"/>
      <c r="F40" s="304"/>
      <c r="G40" s="303"/>
      <c r="H40" s="316"/>
      <c r="I40" s="302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</row>
    <row r="41" hidden="1" spans="1:25" x14ac:dyDescent="0.25" outlineLevel="1" collapsed="1">
      <c r="A41" s="301"/>
      <c r="B41" s="321"/>
      <c r="C41" s="302"/>
      <c r="D41" s="301"/>
      <c r="E41" s="301"/>
      <c r="F41" s="304"/>
      <c r="G41" s="320"/>
      <c r="H41" s="316"/>
      <c r="I41" s="302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</row>
    <row r="42" hidden="1" spans="1:25" x14ac:dyDescent="0.25" outlineLevel="1" collapsed="1">
      <c r="A42" s="301"/>
      <c r="B42" s="321"/>
      <c r="C42" s="302"/>
      <c r="D42" s="301"/>
      <c r="E42" s="301"/>
      <c r="F42" s="304"/>
      <c r="G42" s="303"/>
      <c r="H42" s="316"/>
      <c r="I42" s="302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</row>
    <row r="43" hidden="1" spans="1:25" x14ac:dyDescent="0.25" outlineLevel="1" collapsed="1">
      <c r="A43" s="301"/>
      <c r="B43" s="321"/>
      <c r="C43" s="302"/>
      <c r="D43" s="301"/>
      <c r="E43" s="301"/>
      <c r="F43" s="304"/>
      <c r="G43" s="320"/>
      <c r="H43" s="316"/>
      <c r="I43" s="302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</row>
    <row r="44" hidden="1" spans="1:25" x14ac:dyDescent="0.25" outlineLevel="1" collapsed="1">
      <c r="A44" s="301"/>
      <c r="B44" s="321"/>
      <c r="C44" s="302"/>
      <c r="D44" s="301"/>
      <c r="E44" s="301"/>
      <c r="F44" s="304"/>
      <c r="G44" s="320"/>
      <c r="H44" s="316"/>
      <c r="I44" s="302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</row>
    <row r="45" hidden="1" spans="1:25" x14ac:dyDescent="0.25" outlineLevel="1" collapsed="1">
      <c r="A45" s="301"/>
      <c r="B45" s="321"/>
      <c r="C45" s="302"/>
      <c r="D45" s="301"/>
      <c r="E45" s="301"/>
      <c r="F45" s="304"/>
      <c r="G45" s="320"/>
      <c r="H45" s="316"/>
      <c r="I45" s="302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</row>
    <row r="46" hidden="1" spans="1:25" x14ac:dyDescent="0.25" outlineLevel="1" collapsed="1">
      <c r="A46" s="301"/>
      <c r="B46" s="321"/>
      <c r="C46" s="302"/>
      <c r="D46" s="301"/>
      <c r="E46" s="301"/>
      <c r="F46" s="304"/>
      <c r="G46" s="320"/>
      <c r="H46" s="316"/>
      <c r="I46" s="302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</row>
    <row r="47" hidden="1" spans="1:25" x14ac:dyDescent="0.25" outlineLevel="1" collapsed="1">
      <c r="A47" s="301"/>
      <c r="B47" s="301"/>
      <c r="C47" s="302"/>
      <c r="D47" s="301"/>
      <c r="E47" s="301"/>
      <c r="F47" s="322"/>
      <c r="G47" s="323"/>
      <c r="H47" s="316"/>
      <c r="I47" s="302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</row>
    <row r="48" ht="5.4" customHeight="1" hidden="1" spans="1:25" x14ac:dyDescent="0.25" outlineLevel="1" collapsed="1">
      <c r="A48" s="301"/>
      <c r="B48" s="315"/>
      <c r="C48" s="302"/>
      <c r="D48" s="301"/>
      <c r="E48" s="301"/>
      <c r="F48" s="304"/>
      <c r="G48" s="303"/>
      <c r="H48" s="316"/>
      <c r="I48" s="302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</row>
    <row r="49" hidden="1" spans="1:25" x14ac:dyDescent="0.25" outlineLevel="1" collapsed="1">
      <c r="A49" s="301"/>
      <c r="B49" s="315"/>
      <c r="C49" s="302"/>
      <c r="D49" s="301"/>
      <c r="E49" s="301"/>
      <c r="F49" s="304"/>
      <c r="G49" s="320"/>
      <c r="H49" s="316"/>
      <c r="I49" s="302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</row>
    <row r="50" hidden="1" spans="1:25" x14ac:dyDescent="0.25" outlineLevel="1" collapsed="1">
      <c r="A50" s="301"/>
      <c r="B50" s="315"/>
      <c r="C50" s="302"/>
      <c r="D50" s="301"/>
      <c r="E50" s="301"/>
      <c r="F50" s="304"/>
      <c r="G50" s="320"/>
      <c r="H50" s="316"/>
      <c r="I50" s="302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</row>
    <row r="51" hidden="1" spans="1:25" x14ac:dyDescent="0.25" outlineLevel="1" collapsed="1">
      <c r="A51" s="301"/>
      <c r="B51" s="301"/>
      <c r="C51" s="302"/>
      <c r="D51" s="301"/>
      <c r="E51" s="301"/>
      <c r="F51" s="322"/>
      <c r="G51" s="303"/>
      <c r="H51" s="316"/>
      <c r="I51" s="302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</row>
    <row r="52" hidden="1" spans="1:25" x14ac:dyDescent="0.25" outlineLevel="1" collapsed="1">
      <c r="A52" s="301"/>
      <c r="B52" s="315"/>
      <c r="C52" s="302"/>
      <c r="D52" s="301"/>
      <c r="E52" s="301"/>
      <c r="F52" s="304"/>
      <c r="G52" s="320"/>
      <c r="H52" s="316"/>
      <c r="I52" s="302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</row>
    <row r="53" hidden="1" spans="1:25" x14ac:dyDescent="0.25" outlineLevel="1" collapsed="1">
      <c r="A53" s="301"/>
      <c r="B53" s="315"/>
      <c r="C53" s="302"/>
      <c r="D53" s="301"/>
      <c r="E53" s="301"/>
      <c r="F53" s="304"/>
      <c r="G53" s="320"/>
      <c r="H53" s="316"/>
      <c r="I53" s="302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</row>
    <row r="54" spans="1:25" x14ac:dyDescent="0.25">
      <c r="A54" s="301"/>
      <c r="B54" s="315"/>
      <c r="C54" s="302"/>
      <c r="D54" s="301"/>
      <c r="E54" s="301"/>
      <c r="F54" s="304"/>
      <c r="G54" s="320"/>
      <c r="H54" s="316"/>
      <c r="I54" s="302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</row>
    <row r="55" spans="1:25" x14ac:dyDescent="0.25">
      <c r="A55" s="301"/>
      <c r="B55" s="321"/>
      <c r="C55" s="302"/>
      <c r="D55" s="301"/>
      <c r="E55" s="301"/>
      <c r="F55" s="322"/>
      <c r="G55" s="303"/>
      <c r="H55" s="316"/>
      <c r="I55" s="302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</row>
    <row r="56" ht="4.5" customHeight="1" spans="1:25" x14ac:dyDescent="0.25">
      <c r="A56" s="301"/>
      <c r="B56" s="321"/>
      <c r="C56" s="302"/>
      <c r="D56" s="301"/>
      <c r="E56" s="301"/>
      <c r="F56" s="304"/>
      <c r="G56" s="303"/>
      <c r="H56" s="316"/>
      <c r="I56" s="302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</row>
    <row r="57" spans="1:25" x14ac:dyDescent="0.25">
      <c r="A57" s="301"/>
      <c r="B57" s="315"/>
      <c r="C57" s="302"/>
      <c r="D57" s="301"/>
      <c r="E57" s="301"/>
      <c r="F57" s="304"/>
      <c r="G57" s="320"/>
      <c r="H57" s="316"/>
      <c r="I57" s="302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</row>
    <row r="58" hidden="1" spans="1:25" x14ac:dyDescent="0.25" outlineLevel="1" collapsed="1">
      <c r="A58" s="301"/>
      <c r="B58" s="321"/>
      <c r="C58" s="302"/>
      <c r="D58" s="301"/>
      <c r="E58" s="301"/>
      <c r="F58" s="304"/>
      <c r="G58" s="303"/>
      <c r="H58" s="316"/>
      <c r="I58" s="302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</row>
    <row r="59" hidden="1" spans="1:25" x14ac:dyDescent="0.25" outlineLevel="1" collapsed="1">
      <c r="A59" s="301"/>
      <c r="B59" s="321"/>
      <c r="C59" s="302"/>
      <c r="D59" s="301"/>
      <c r="E59" s="301"/>
      <c r="F59" s="304"/>
      <c r="G59" s="303"/>
      <c r="H59" s="316"/>
      <c r="I59" s="302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</row>
    <row r="60" hidden="1" spans="1:25" x14ac:dyDescent="0.25" outlineLevel="1" collapsed="1">
      <c r="A60" s="301"/>
      <c r="B60" s="321"/>
      <c r="C60" s="302"/>
      <c r="D60" s="301"/>
      <c r="E60" s="301"/>
      <c r="F60" s="304"/>
      <c r="G60" s="303"/>
      <c r="H60" s="316"/>
      <c r="I60" s="302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</row>
    <row r="61" ht="4.95" customHeight="1" hidden="1" spans="1:25" x14ac:dyDescent="0.25" outlineLevel="1" collapsed="1">
      <c r="A61" s="301"/>
      <c r="B61" s="321"/>
      <c r="C61" s="302"/>
      <c r="D61" s="301"/>
      <c r="E61" s="301"/>
      <c r="F61" s="304"/>
      <c r="G61" s="303"/>
      <c r="H61" s="316"/>
      <c r="I61" s="302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</row>
    <row r="62" hidden="1" spans="1:25" x14ac:dyDescent="0.25" outlineLevel="1" collapsed="1">
      <c r="A62" s="301"/>
      <c r="B62" s="321"/>
      <c r="C62" s="302"/>
      <c r="D62" s="301"/>
      <c r="E62" s="301"/>
      <c r="F62" s="304"/>
      <c r="G62" s="320"/>
      <c r="H62" s="316"/>
      <c r="I62" s="302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</row>
    <row r="63" hidden="1" spans="1:25" x14ac:dyDescent="0.25" outlineLevel="1" collapsed="1">
      <c r="A63" s="301"/>
      <c r="B63" s="321"/>
      <c r="C63" s="302"/>
      <c r="D63" s="301"/>
      <c r="E63" s="301"/>
      <c r="F63" s="304"/>
      <c r="G63" s="303"/>
      <c r="H63" s="316"/>
      <c r="I63" s="302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</row>
    <row r="64" hidden="1" spans="1:25" x14ac:dyDescent="0.25" outlineLevel="1" collapsed="1">
      <c r="A64" s="301"/>
      <c r="B64" s="321"/>
      <c r="C64" s="302"/>
      <c r="D64" s="301"/>
      <c r="E64" s="324"/>
      <c r="F64" s="304"/>
      <c r="G64" s="303"/>
      <c r="H64" s="316"/>
      <c r="I64" s="302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</row>
    <row r="65" hidden="1" spans="1:25" x14ac:dyDescent="0.25" outlineLevel="1" collapsed="1">
      <c r="A65" s="301"/>
      <c r="B65" s="321"/>
      <c r="C65" s="302"/>
      <c r="D65" s="301"/>
      <c r="E65" s="301"/>
      <c r="F65" s="304"/>
      <c r="G65" s="303"/>
      <c r="H65" s="316"/>
      <c r="I65" s="302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</row>
    <row r="66" hidden="1" spans="1:25" x14ac:dyDescent="0.25" outlineLevel="1" collapsed="1">
      <c r="A66" s="301"/>
      <c r="B66" s="321"/>
      <c r="C66" s="302"/>
      <c r="D66" s="301"/>
      <c r="E66" s="301"/>
      <c r="F66" s="304"/>
      <c r="G66" s="320"/>
      <c r="H66" s="316"/>
      <c r="I66" s="302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</row>
    <row r="67" hidden="1" spans="1:25" x14ac:dyDescent="0.25" outlineLevel="1" collapsed="1">
      <c r="A67" s="301"/>
      <c r="B67" s="321"/>
      <c r="C67" s="302"/>
      <c r="D67" s="301"/>
      <c r="E67" s="301"/>
      <c r="F67" s="304"/>
      <c r="G67" s="320"/>
      <c r="H67" s="316"/>
      <c r="I67" s="302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</row>
    <row r="68" hidden="1" spans="1:25" x14ac:dyDescent="0.25" outlineLevel="1" collapsed="1">
      <c r="A68" s="301"/>
      <c r="B68" s="321"/>
      <c r="C68" s="302"/>
      <c r="D68" s="301"/>
      <c r="E68" s="301"/>
      <c r="F68" s="304"/>
      <c r="G68" s="325"/>
      <c r="H68" s="316"/>
      <c r="I68" s="302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</row>
    <row r="69" hidden="1" spans="1:25" x14ac:dyDescent="0.25" outlineLevel="1" collapsed="1">
      <c r="A69" s="301"/>
      <c r="B69" s="321"/>
      <c r="C69" s="302"/>
      <c r="D69" s="301"/>
      <c r="E69" s="301"/>
      <c r="F69" s="304"/>
      <c r="G69" s="325"/>
      <c r="H69" s="316"/>
      <c r="I69" s="302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</row>
    <row r="70" hidden="1" spans="1:25" x14ac:dyDescent="0.25" outlineLevel="1" collapsed="1">
      <c r="A70" s="301"/>
      <c r="B70" s="321"/>
      <c r="C70" s="302"/>
      <c r="D70" s="301"/>
      <c r="E70" s="301"/>
      <c r="F70" s="304"/>
      <c r="G70" s="320"/>
      <c r="H70" s="316"/>
      <c r="I70" s="302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</row>
    <row r="71" spans="1:25" x14ac:dyDescent="0.25">
      <c r="A71" s="301"/>
      <c r="B71" s="321"/>
      <c r="C71" s="302"/>
      <c r="D71" s="301"/>
      <c r="E71" s="301"/>
      <c r="F71" s="304"/>
      <c r="G71" s="320"/>
      <c r="H71" s="316"/>
      <c r="I71" s="302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</row>
    <row r="72" spans="1:25" s="307" customFormat="1" x14ac:dyDescent="0.25">
      <c r="A72" s="301"/>
      <c r="B72" s="321"/>
      <c r="C72" s="302"/>
      <c r="D72" s="301"/>
      <c r="E72" s="301"/>
      <c r="F72" s="304"/>
      <c r="G72" s="303"/>
      <c r="H72" s="316"/>
      <c r="I72" s="302"/>
      <c r="J72" s="301"/>
      <c r="K72" s="303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</row>
    <row r="73" ht="5.4" customHeight="1" spans="1:25" s="307" customFormat="1" x14ac:dyDescent="0.25">
      <c r="A73" s="301"/>
      <c r="B73" s="321"/>
      <c r="C73" s="302"/>
      <c r="D73" s="301"/>
      <c r="E73" s="301"/>
      <c r="F73" s="304"/>
      <c r="G73" s="303"/>
      <c r="H73" s="316"/>
      <c r="I73" s="302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7"/>
    </row>
    <row r="74" spans="1:25" s="307" customFormat="1" x14ac:dyDescent="0.25">
      <c r="A74" s="301"/>
      <c r="B74" s="321"/>
      <c r="C74" s="302"/>
      <c r="D74" s="301"/>
      <c r="E74" s="301"/>
      <c r="F74" s="304"/>
      <c r="G74" s="320"/>
      <c r="H74" s="305"/>
      <c r="I74" s="302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7"/>
    </row>
    <row r="75" hidden="1" spans="1:25" s="307" customFormat="1" x14ac:dyDescent="0.25" outlineLevel="1" collapsed="1">
      <c r="A75" s="301"/>
      <c r="B75" s="321"/>
      <c r="C75" s="302"/>
      <c r="D75" s="301"/>
      <c r="E75" s="301"/>
      <c r="F75" s="304"/>
      <c r="G75" s="303"/>
      <c r="H75" s="316"/>
      <c r="I75" s="302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7"/>
    </row>
    <row r="76" hidden="1" spans="1:25" s="307" customFormat="1" x14ac:dyDescent="0.25" outlineLevel="1" collapsed="1">
      <c r="A76" s="301"/>
      <c r="B76" s="326"/>
      <c r="C76" s="302"/>
      <c r="D76" s="301"/>
      <c r="E76" s="327"/>
      <c r="F76" s="304"/>
      <c r="G76" s="303"/>
      <c r="H76" s="316"/>
      <c r="I76" s="328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</row>
    <row r="77" hidden="1" spans="1:25" s="307" customFormat="1" x14ac:dyDescent="0.25" outlineLevel="1" collapsed="1">
      <c r="A77" s="301"/>
      <c r="B77" s="326"/>
      <c r="C77" s="302"/>
      <c r="D77" s="301"/>
      <c r="E77" s="301"/>
      <c r="F77" s="304"/>
      <c r="G77" s="303"/>
      <c r="H77" s="316"/>
      <c r="I77" s="328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</row>
    <row r="78" hidden="1" spans="1:25" s="307" customFormat="1" x14ac:dyDescent="0.25" outlineLevel="1" collapsed="1">
      <c r="A78" s="301"/>
      <c r="B78" s="326"/>
      <c r="C78" s="326"/>
      <c r="D78" s="327"/>
      <c r="E78" s="301"/>
      <c r="F78" s="329"/>
      <c r="G78" s="303"/>
      <c r="H78" s="304"/>
      <c r="I78" s="330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7"/>
    </row>
    <row r="79" hidden="1" spans="1:25" s="307" customFormat="1" x14ac:dyDescent="0.25" outlineLevel="1" collapsed="1">
      <c r="A79" s="301"/>
      <c r="B79" s="326"/>
      <c r="C79" s="326"/>
      <c r="D79" s="301"/>
      <c r="E79" s="301"/>
      <c r="F79" s="329"/>
      <c r="G79" s="303"/>
      <c r="H79" s="304"/>
      <c r="I79" s="330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7"/>
    </row>
    <row r="80" hidden="1" spans="1:25" s="307" customFormat="1" x14ac:dyDescent="0.25" outlineLevel="1" collapsed="1">
      <c r="A80" s="301"/>
      <c r="B80" s="321"/>
      <c r="C80" s="302"/>
      <c r="D80" s="301"/>
      <c r="E80" s="301"/>
      <c r="F80" s="304"/>
      <c r="G80" s="303"/>
      <c r="H80" s="316"/>
      <c r="I80" s="302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7"/>
    </row>
    <row r="81" hidden="1" spans="1:25" x14ac:dyDescent="0.25" outlineLevel="1" collapsed="1">
      <c r="A81" s="301"/>
      <c r="B81" s="315"/>
      <c r="C81" s="326"/>
      <c r="D81" s="301"/>
      <c r="E81" s="301"/>
      <c r="F81" s="331"/>
      <c r="G81" s="332"/>
      <c r="H81" s="316"/>
      <c r="I81" s="302"/>
      <c r="J81" s="333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</row>
    <row r="82" hidden="1" spans="1:25" x14ac:dyDescent="0.25" outlineLevel="1" collapsed="1">
      <c r="A82" s="301"/>
      <c r="B82" s="315"/>
      <c r="C82" s="326"/>
      <c r="D82" s="301"/>
      <c r="E82" s="301"/>
      <c r="F82" s="331"/>
      <c r="G82" s="332"/>
      <c r="H82" s="316"/>
      <c r="I82" s="302"/>
      <c r="J82" s="333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</row>
    <row r="83" hidden="1" spans="1:25" x14ac:dyDescent="0.25" outlineLevel="1" collapsed="1">
      <c r="A83" s="301"/>
      <c r="B83" s="315"/>
      <c r="C83" s="302"/>
      <c r="D83" s="301"/>
      <c r="E83" s="301"/>
      <c r="F83" s="304"/>
      <c r="G83" s="303"/>
      <c r="H83" s="316"/>
      <c r="I83" s="302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</row>
    <row r="84" hidden="1" spans="1:25" x14ac:dyDescent="0.25" outlineLevel="1" collapsed="1">
      <c r="A84" s="301"/>
      <c r="B84" s="315"/>
      <c r="C84" s="302"/>
      <c r="D84" s="301"/>
      <c r="E84" s="301"/>
      <c r="F84" s="304"/>
      <c r="G84" s="320"/>
      <c r="H84" s="316"/>
      <c r="I84" s="302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</row>
    <row r="85" spans="1:25" x14ac:dyDescent="0.25">
      <c r="A85" s="301"/>
      <c r="B85" s="315"/>
      <c r="C85" s="302"/>
      <c r="D85" s="301"/>
      <c r="E85" s="301"/>
      <c r="F85" s="304"/>
      <c r="G85" s="325"/>
      <c r="H85" s="316"/>
      <c r="I85" s="302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</row>
    <row r="86" spans="1:25" x14ac:dyDescent="0.25">
      <c r="A86" s="301"/>
      <c r="B86" s="315"/>
      <c r="C86" s="302"/>
      <c r="D86" s="301"/>
      <c r="E86" s="301"/>
      <c r="F86" s="304"/>
      <c r="G86" s="303"/>
      <c r="H86" s="316"/>
      <c r="I86" s="302"/>
      <c r="J86" s="333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</row>
    <row r="87" ht="5.4" customHeight="1" spans="1:25" s="307" customFormat="1" x14ac:dyDescent="0.25">
      <c r="A87" s="74"/>
      <c r="B87" s="74"/>
      <c r="C87" s="334"/>
      <c r="D87" s="74"/>
      <c r="E87" s="301"/>
      <c r="F87" s="324"/>
      <c r="G87" s="320"/>
      <c r="H87" s="316"/>
      <c r="I87" s="302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7"/>
    </row>
    <row r="88" spans="1:25" s="307" customFormat="1" x14ac:dyDescent="0.25">
      <c r="A88" s="74"/>
      <c r="B88" s="74"/>
      <c r="C88" s="334"/>
      <c r="D88" s="301"/>
      <c r="E88" s="301"/>
      <c r="F88" s="324"/>
      <c r="G88" s="320"/>
      <c r="H88" s="316"/>
      <c r="I88" s="302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7"/>
    </row>
    <row r="89" spans="1:25" x14ac:dyDescent="0.25">
      <c r="A89" s="74"/>
      <c r="B89" s="74"/>
      <c r="C89" s="334"/>
      <c r="D89" s="74"/>
      <c r="E89" s="301"/>
      <c r="F89" s="324"/>
      <c r="G89" s="320"/>
      <c r="H89" s="316"/>
      <c r="I89" s="302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</row>
    <row r="90" spans="1:25" x14ac:dyDescent="0.25">
      <c r="A90" s="74"/>
      <c r="B90" s="74"/>
      <c r="C90" s="334"/>
      <c r="D90" s="74"/>
      <c r="E90" s="301"/>
      <c r="F90" s="324"/>
      <c r="G90" s="320"/>
      <c r="H90" s="316"/>
      <c r="I90" s="302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</row>
    <row r="91" spans="1:25" x14ac:dyDescent="0.25">
      <c r="A91" s="74"/>
      <c r="B91" s="74"/>
      <c r="C91" s="334"/>
      <c r="D91" s="301"/>
      <c r="E91" s="301"/>
      <c r="F91" s="324"/>
      <c r="G91" s="320"/>
      <c r="H91" s="316"/>
      <c r="I91" s="302"/>
      <c r="J91" s="301"/>
      <c r="K91" s="301"/>
      <c r="L91" s="301"/>
      <c r="M91" s="301"/>
      <c r="N91" s="301"/>
      <c r="O91" s="335"/>
      <c r="P91" s="301"/>
      <c r="Q91" s="301"/>
      <c r="R91" s="301"/>
      <c r="S91" s="301"/>
      <c r="T91" s="301"/>
      <c r="U91" s="301"/>
      <c r="V91" s="301"/>
      <c r="W91" s="301"/>
      <c r="X91" s="301"/>
      <c r="Y91" s="301"/>
    </row>
    <row r="92" spans="1:25" s="307" customFormat="1" x14ac:dyDescent="0.25">
      <c r="A92" s="74"/>
      <c r="B92" s="74"/>
      <c r="C92" s="334"/>
      <c r="D92" s="74"/>
      <c r="E92" s="301"/>
      <c r="F92" s="324"/>
      <c r="G92" s="320"/>
      <c r="H92" s="316"/>
      <c r="I92" s="302"/>
      <c r="J92" s="301"/>
      <c r="K92" s="301"/>
      <c r="L92" s="301"/>
      <c r="M92" s="301"/>
      <c r="N92" s="301"/>
      <c r="O92" s="303"/>
      <c r="P92" s="301"/>
      <c r="Q92" s="301"/>
      <c r="R92" s="301"/>
      <c r="S92" s="301"/>
      <c r="T92" s="301"/>
      <c r="U92" s="301"/>
      <c r="V92" s="301"/>
      <c r="W92" s="301"/>
      <c r="X92" s="301"/>
      <c r="Y92" s="307"/>
    </row>
    <row r="93" spans="1:25" s="307" customFormat="1" x14ac:dyDescent="0.25">
      <c r="A93" s="74"/>
      <c r="B93" s="74"/>
      <c r="C93" s="334"/>
      <c r="D93" s="74"/>
      <c r="E93" s="301"/>
      <c r="F93" s="324"/>
      <c r="G93" s="320"/>
      <c r="H93" s="316"/>
      <c r="I93" s="302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7"/>
    </row>
    <row r="94" spans="1:25" x14ac:dyDescent="0.25">
      <c r="A94" s="74"/>
      <c r="B94" s="74"/>
      <c r="C94" s="334"/>
      <c r="D94" s="74"/>
      <c r="E94" s="301"/>
      <c r="F94" s="324"/>
      <c r="G94" s="320"/>
      <c r="H94" s="316"/>
      <c r="I94" s="302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</row>
    <row r="95" spans="1:25" s="307" customFormat="1" x14ac:dyDescent="0.25">
      <c r="A95" s="74"/>
      <c r="B95" s="74"/>
      <c r="C95" s="334"/>
      <c r="D95" s="74"/>
      <c r="E95" s="301"/>
      <c r="F95" s="324"/>
      <c r="G95" s="320"/>
      <c r="H95" s="305"/>
      <c r="I95" s="302"/>
      <c r="J95" s="301"/>
      <c r="K95" s="301"/>
      <c r="L95" s="303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7"/>
    </row>
    <row r="96" spans="1:25" s="307" customFormat="1" x14ac:dyDescent="0.25">
      <c r="A96" s="74"/>
      <c r="B96" s="74"/>
      <c r="C96" s="334"/>
      <c r="D96" s="74"/>
      <c r="E96" s="301"/>
      <c r="F96" s="324"/>
      <c r="G96" s="336"/>
      <c r="H96" s="305"/>
      <c r="I96" s="337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7"/>
    </row>
    <row r="97" spans="1:25" x14ac:dyDescent="0.25">
      <c r="A97" s="74"/>
      <c r="B97" s="338"/>
      <c r="C97" s="334"/>
      <c r="D97" s="74"/>
      <c r="E97" s="301"/>
      <c r="F97" s="324"/>
      <c r="G97" s="320"/>
      <c r="H97" s="316"/>
      <c r="I97" s="302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</row>
    <row r="98" spans="1:25" x14ac:dyDescent="0.25">
      <c r="A98" s="74"/>
      <c r="B98" s="339"/>
      <c r="C98" s="334"/>
      <c r="D98" s="74"/>
      <c r="E98" s="301"/>
      <c r="F98" s="304"/>
      <c r="G98" s="320"/>
      <c r="H98" s="316"/>
      <c r="I98" s="302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</row>
    <row r="99" spans="1:25" x14ac:dyDescent="0.25">
      <c r="A99" s="74"/>
      <c r="B99" s="339"/>
      <c r="C99" s="334"/>
      <c r="D99" s="74"/>
      <c r="E99" s="301"/>
      <c r="F99" s="304"/>
      <c r="G99" s="320"/>
      <c r="H99" s="316"/>
      <c r="I99" s="302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</row>
    <row r="100" spans="1:25" x14ac:dyDescent="0.25">
      <c r="A100" s="74"/>
      <c r="B100" s="339"/>
      <c r="C100" s="334"/>
      <c r="D100" s="74"/>
      <c r="E100" s="301"/>
      <c r="F100" s="304"/>
      <c r="G100" s="320"/>
      <c r="H100" s="316"/>
      <c r="I100" s="302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</row>
    <row r="101" spans="1:25" s="307" customFormat="1" x14ac:dyDescent="0.25">
      <c r="A101" s="74"/>
      <c r="B101" s="338"/>
      <c r="C101" s="334"/>
      <c r="D101" s="74"/>
      <c r="E101" s="301"/>
      <c r="F101" s="304"/>
      <c r="G101" s="303"/>
      <c r="H101" s="316"/>
      <c r="I101" s="302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7"/>
    </row>
    <row r="102" spans="1:25" s="307" customFormat="1" x14ac:dyDescent="0.25">
      <c r="A102" s="74"/>
      <c r="B102" s="338"/>
      <c r="C102" s="334"/>
      <c r="D102" s="74"/>
      <c r="E102" s="301"/>
      <c r="F102" s="304"/>
      <c r="G102" s="303"/>
      <c r="H102" s="316"/>
      <c r="I102" s="302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7"/>
    </row>
    <row r="103" spans="1:25" s="307" customFormat="1" x14ac:dyDescent="0.25">
      <c r="A103" s="74"/>
      <c r="B103" s="338"/>
      <c r="C103" s="334"/>
      <c r="D103" s="74"/>
      <c r="E103" s="301"/>
      <c r="F103" s="304"/>
      <c r="G103" s="303"/>
      <c r="H103" s="316"/>
      <c r="I103" s="302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7"/>
    </row>
    <row r="104" spans="1:25" s="307" customFormat="1" x14ac:dyDescent="0.25">
      <c r="A104" s="74"/>
      <c r="B104" s="321"/>
      <c r="C104" s="334"/>
      <c r="D104" s="74"/>
      <c r="E104" s="301"/>
      <c r="F104" s="304"/>
      <c r="G104" s="320"/>
      <c r="H104" s="316"/>
      <c r="I104" s="302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7"/>
    </row>
    <row r="105" spans="1:25" s="307" customFormat="1" x14ac:dyDescent="0.25">
      <c r="A105" s="74"/>
      <c r="B105" s="321"/>
      <c r="C105" s="334"/>
      <c r="D105" s="74"/>
      <c r="E105" s="301"/>
      <c r="F105" s="304"/>
      <c r="G105" s="320"/>
      <c r="H105" s="316"/>
      <c r="I105" s="302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7"/>
    </row>
    <row r="106" spans="1:25" s="307" customFormat="1" x14ac:dyDescent="0.25">
      <c r="A106" s="74"/>
      <c r="B106" s="321"/>
      <c r="C106" s="334"/>
      <c r="D106" s="74"/>
      <c r="E106" s="301"/>
      <c r="F106" s="304"/>
      <c r="G106" s="320"/>
      <c r="H106" s="316"/>
      <c r="I106" s="302"/>
      <c r="J106" s="301"/>
      <c r="K106" s="324"/>
      <c r="L106" s="340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7"/>
    </row>
    <row r="107" spans="1:25" x14ac:dyDescent="0.25">
      <c r="A107" s="74"/>
      <c r="B107" s="341"/>
      <c r="C107" s="334"/>
      <c r="D107" s="65"/>
      <c r="E107" s="301"/>
      <c r="F107" s="324"/>
      <c r="G107" s="320"/>
      <c r="H107" s="316"/>
      <c r="I107" s="302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</row>
    <row r="108" spans="1:25" x14ac:dyDescent="0.25">
      <c r="A108" s="74"/>
      <c r="B108" s="339"/>
      <c r="C108" s="334"/>
      <c r="D108" s="74"/>
      <c r="E108" s="301"/>
      <c r="F108" s="304"/>
      <c r="G108" s="320"/>
      <c r="H108" s="316"/>
      <c r="I108" s="302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</row>
    <row r="109" spans="1:25" x14ac:dyDescent="0.25">
      <c r="A109" s="74"/>
      <c r="B109" s="339"/>
      <c r="C109" s="334"/>
      <c r="D109" s="74"/>
      <c r="E109" s="301"/>
      <c r="F109" s="304"/>
      <c r="G109" s="320"/>
      <c r="H109" s="316"/>
      <c r="I109" s="302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</row>
    <row r="110" spans="1:25" x14ac:dyDescent="0.25">
      <c r="A110" s="74"/>
      <c r="B110" s="339"/>
      <c r="C110" s="334"/>
      <c r="D110" s="74"/>
      <c r="E110" s="301"/>
      <c r="F110" s="304"/>
      <c r="G110" s="320"/>
      <c r="H110" s="316"/>
      <c r="I110" s="302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</row>
    <row r="111" spans="1:25" x14ac:dyDescent="0.25">
      <c r="A111" s="74"/>
      <c r="B111" s="338"/>
      <c r="C111" s="334"/>
      <c r="D111" s="301"/>
      <c r="E111" s="301"/>
      <c r="F111" s="324"/>
      <c r="G111" s="320"/>
      <c r="H111" s="316"/>
      <c r="I111" s="302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</row>
    <row r="112" spans="1:25" x14ac:dyDescent="0.25">
      <c r="A112" s="74"/>
      <c r="B112" s="338"/>
      <c r="C112" s="334"/>
      <c r="D112" s="301"/>
      <c r="E112" s="301"/>
      <c r="F112" s="324"/>
      <c r="G112" s="320"/>
      <c r="H112" s="316"/>
      <c r="I112" s="302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</row>
    <row r="113" spans="1:25" x14ac:dyDescent="0.25">
      <c r="A113" s="74"/>
      <c r="B113" s="339"/>
      <c r="C113" s="334"/>
      <c r="D113" s="74"/>
      <c r="E113" s="301"/>
      <c r="F113" s="304"/>
      <c r="G113" s="320"/>
      <c r="H113" s="316"/>
      <c r="I113" s="302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</row>
    <row r="114" spans="1:25" x14ac:dyDescent="0.25">
      <c r="A114" s="74"/>
      <c r="B114" s="339"/>
      <c r="C114" s="334"/>
      <c r="D114" s="74"/>
      <c r="E114" s="301"/>
      <c r="F114" s="304"/>
      <c r="G114" s="320"/>
      <c r="H114" s="316"/>
      <c r="I114" s="302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</row>
    <row r="115" spans="1:25" x14ac:dyDescent="0.25">
      <c r="A115" s="74"/>
      <c r="B115" s="339"/>
      <c r="C115" s="334"/>
      <c r="D115" s="74"/>
      <c r="E115" s="301"/>
      <c r="F115" s="304"/>
      <c r="G115" s="320"/>
      <c r="H115" s="316"/>
      <c r="I115" s="302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</row>
    <row r="116" spans="1:25" x14ac:dyDescent="0.25">
      <c r="A116" s="74"/>
      <c r="B116" s="321"/>
      <c r="C116" s="334"/>
      <c r="D116" s="74"/>
      <c r="E116" s="301"/>
      <c r="F116" s="324"/>
      <c r="G116" s="320"/>
      <c r="H116" s="316"/>
      <c r="I116" s="302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</row>
    <row r="117" spans="1:25" x14ac:dyDescent="0.25">
      <c r="A117" s="74"/>
      <c r="B117" s="321"/>
      <c r="C117" s="334"/>
      <c r="D117" s="74"/>
      <c r="E117" s="301"/>
      <c r="F117" s="304"/>
      <c r="G117" s="320"/>
      <c r="H117" s="316"/>
      <c r="I117" s="302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</row>
    <row r="118" spans="1:25" x14ac:dyDescent="0.25">
      <c r="A118" s="74"/>
      <c r="B118" s="321"/>
      <c r="C118" s="334"/>
      <c r="D118" s="74"/>
      <c r="E118" s="301"/>
      <c r="F118" s="304"/>
      <c r="G118" s="320"/>
      <c r="H118" s="316"/>
      <c r="I118" s="302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</row>
    <row r="119" spans="1:25" x14ac:dyDescent="0.25">
      <c r="A119" s="74"/>
      <c r="B119" s="321"/>
      <c r="C119" s="334"/>
      <c r="D119" s="74"/>
      <c r="E119" s="301"/>
      <c r="F119" s="304"/>
      <c r="G119" s="320"/>
      <c r="H119" s="316"/>
      <c r="I119" s="302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</row>
    <row r="120" spans="1:25" x14ac:dyDescent="0.25">
      <c r="A120" s="74"/>
      <c r="B120" s="321"/>
      <c r="C120" s="334"/>
      <c r="D120" s="74"/>
      <c r="E120" s="301"/>
      <c r="F120" s="304"/>
      <c r="G120" s="320"/>
      <c r="H120" s="316"/>
      <c r="I120" s="302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</row>
    <row r="121" spans="1:25" x14ac:dyDescent="0.25">
      <c r="A121" s="74"/>
      <c r="B121" s="321"/>
      <c r="C121" s="334"/>
      <c r="D121" s="74"/>
      <c r="E121" s="301"/>
      <c r="F121" s="304"/>
      <c r="G121" s="320"/>
      <c r="H121" s="316"/>
      <c r="I121" s="302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</row>
    <row r="122" spans="1:25" x14ac:dyDescent="0.25">
      <c r="A122" s="74"/>
      <c r="B122" s="321"/>
      <c r="C122" s="334"/>
      <c r="D122" s="74"/>
      <c r="E122" s="301"/>
      <c r="F122" s="304"/>
      <c r="G122" s="320"/>
      <c r="H122" s="316"/>
      <c r="I122" s="302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</row>
    <row r="123" spans="1:25" x14ac:dyDescent="0.25">
      <c r="A123" s="74"/>
      <c r="B123" s="321"/>
      <c r="C123" s="334"/>
      <c r="D123" s="74"/>
      <c r="E123" s="301"/>
      <c r="F123" s="304"/>
      <c r="G123" s="320"/>
      <c r="H123" s="316"/>
      <c r="I123" s="302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</row>
    <row r="124" spans="1:25" x14ac:dyDescent="0.25">
      <c r="A124" s="74"/>
      <c r="B124" s="321"/>
      <c r="C124" s="334"/>
      <c r="D124" s="74"/>
      <c r="E124" s="301"/>
      <c r="F124" s="304"/>
      <c r="G124" s="320"/>
      <c r="H124" s="316"/>
      <c r="I124" s="302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</row>
    <row r="125" spans="1:25" x14ac:dyDescent="0.25">
      <c r="A125" s="74"/>
      <c r="B125" s="321"/>
      <c r="C125" s="334"/>
      <c r="D125" s="74"/>
      <c r="E125" s="301"/>
      <c r="F125" s="304"/>
      <c r="G125" s="320"/>
      <c r="H125" s="316"/>
      <c r="I125" s="302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</row>
    <row r="126" spans="1:25" x14ac:dyDescent="0.25">
      <c r="A126" s="74"/>
      <c r="B126" s="338"/>
      <c r="C126" s="334"/>
      <c r="D126" s="74"/>
      <c r="E126" s="301"/>
      <c r="F126" s="301"/>
      <c r="G126" s="320"/>
      <c r="H126" s="316"/>
      <c r="I126" s="302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</row>
    <row r="127" spans="1:25" x14ac:dyDescent="0.25">
      <c r="A127" s="74"/>
      <c r="B127" s="321"/>
      <c r="C127" s="334"/>
      <c r="D127" s="74"/>
      <c r="E127" s="301"/>
      <c r="F127" s="304"/>
      <c r="G127" s="320"/>
      <c r="H127" s="316"/>
      <c r="I127" s="302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</row>
    <row r="128" spans="1:25" x14ac:dyDescent="0.25">
      <c r="A128" s="74"/>
      <c r="B128" s="321"/>
      <c r="C128" s="334"/>
      <c r="D128" s="74"/>
      <c r="E128" s="301"/>
      <c r="F128" s="304"/>
      <c r="G128" s="320"/>
      <c r="H128" s="316"/>
      <c r="I128" s="302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</row>
    <row r="129" spans="1:25" x14ac:dyDescent="0.25">
      <c r="A129" s="74"/>
      <c r="B129" s="321"/>
      <c r="C129" s="334"/>
      <c r="D129" s="74"/>
      <c r="E129" s="301"/>
      <c r="F129" s="304"/>
      <c r="G129" s="320"/>
      <c r="H129" s="316"/>
      <c r="I129" s="302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</row>
    <row r="130" spans="1:25" x14ac:dyDescent="0.25">
      <c r="A130" s="74"/>
      <c r="B130" s="342"/>
      <c r="C130" s="334"/>
      <c r="D130" s="74"/>
      <c r="E130" s="301"/>
      <c r="F130" s="324"/>
      <c r="G130" s="320"/>
      <c r="H130" s="316"/>
      <c r="I130" s="302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</row>
    <row r="131" spans="1:25" x14ac:dyDescent="0.25">
      <c r="A131" s="74"/>
      <c r="B131" s="321"/>
      <c r="C131" s="334"/>
      <c r="D131" s="74"/>
      <c r="E131" s="301"/>
      <c r="F131" s="304"/>
      <c r="G131" s="320"/>
      <c r="H131" s="316"/>
      <c r="I131" s="302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</row>
    <row r="132" spans="1:25" x14ac:dyDescent="0.25">
      <c r="A132" s="74"/>
      <c r="B132" s="321"/>
      <c r="C132" s="334"/>
      <c r="D132" s="74"/>
      <c r="E132" s="301"/>
      <c r="F132" s="304"/>
      <c r="G132" s="320"/>
      <c r="H132" s="316"/>
      <c r="I132" s="302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</row>
    <row r="133" spans="1:25" s="307" customFormat="1" x14ac:dyDescent="0.25">
      <c r="A133" s="74"/>
      <c r="B133" s="321"/>
      <c r="C133" s="334"/>
      <c r="D133" s="74"/>
      <c r="E133" s="301"/>
      <c r="F133" s="324"/>
      <c r="G133" s="320"/>
      <c r="H133" s="316"/>
      <c r="I133" s="302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7"/>
    </row>
    <row r="134" spans="1:25" s="307" customFormat="1" x14ac:dyDescent="0.25">
      <c r="A134" s="74"/>
      <c r="B134" s="321"/>
      <c r="C134" s="334"/>
      <c r="D134" s="74"/>
      <c r="E134" s="301"/>
      <c r="F134" s="324"/>
      <c r="G134" s="303"/>
      <c r="H134" s="316"/>
      <c r="I134" s="302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7"/>
    </row>
    <row r="135" spans="1:25" s="307" customFormat="1" x14ac:dyDescent="0.25">
      <c r="A135" s="74"/>
      <c r="B135" s="321"/>
      <c r="C135" s="334"/>
      <c r="D135" s="74"/>
      <c r="E135" s="301"/>
      <c r="F135" s="304"/>
      <c r="G135" s="320"/>
      <c r="H135" s="316"/>
      <c r="I135" s="302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7"/>
    </row>
    <row r="136" spans="1:25" s="307" customFormat="1" x14ac:dyDescent="0.25">
      <c r="A136" s="74"/>
      <c r="B136" s="321"/>
      <c r="C136" s="334"/>
      <c r="D136" s="74"/>
      <c r="E136" s="301"/>
      <c r="F136" s="304"/>
      <c r="G136" s="320"/>
      <c r="H136" s="316"/>
      <c r="I136" s="302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7"/>
    </row>
    <row r="137" spans="1:25" s="307" customFormat="1" x14ac:dyDescent="0.25">
      <c r="A137" s="74"/>
      <c r="B137" s="321"/>
      <c r="C137" s="334"/>
      <c r="D137" s="74"/>
      <c r="E137" s="301"/>
      <c r="F137" s="304"/>
      <c r="G137" s="320"/>
      <c r="H137" s="316"/>
      <c r="I137" s="302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7"/>
    </row>
    <row r="138" spans="1:25" x14ac:dyDescent="0.25">
      <c r="A138" s="74"/>
      <c r="B138" s="321"/>
      <c r="C138" s="334"/>
      <c r="D138" s="74"/>
      <c r="E138" s="301"/>
      <c r="F138" s="304"/>
      <c r="G138" s="303"/>
      <c r="H138" s="316"/>
      <c r="I138" s="302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</row>
    <row r="139" spans="1:25" x14ac:dyDescent="0.25">
      <c r="A139" s="74"/>
      <c r="B139" s="321"/>
      <c r="C139" s="334"/>
      <c r="D139" s="74"/>
      <c r="E139" s="301"/>
      <c r="F139" s="304"/>
      <c r="G139" s="303"/>
      <c r="H139" s="316"/>
      <c r="I139" s="302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</row>
    <row r="140" spans="1:25" s="307" customFormat="1" x14ac:dyDescent="0.25">
      <c r="A140" s="74"/>
      <c r="B140" s="321"/>
      <c r="C140" s="334"/>
      <c r="D140" s="74"/>
      <c r="E140" s="301"/>
      <c r="F140" s="304"/>
      <c r="G140" s="320"/>
      <c r="H140" s="316"/>
      <c r="I140" s="302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7"/>
    </row>
    <row r="141" spans="1:25" s="307" customFormat="1" x14ac:dyDescent="0.25">
      <c r="A141" s="74"/>
      <c r="B141" s="321"/>
      <c r="C141" s="334"/>
      <c r="D141" s="74"/>
      <c r="E141" s="301"/>
      <c r="F141" s="304"/>
      <c r="G141" s="320"/>
      <c r="H141" s="316"/>
      <c r="I141" s="302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7"/>
    </row>
    <row r="142" spans="1:25" x14ac:dyDescent="0.25">
      <c r="A142" s="74"/>
      <c r="B142" s="321"/>
      <c r="C142" s="334"/>
      <c r="D142" s="74"/>
      <c r="E142" s="301"/>
      <c r="F142" s="304"/>
      <c r="G142" s="320"/>
      <c r="H142" s="316"/>
      <c r="I142" s="302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</row>
    <row r="143" spans="1:25" s="307" customFormat="1" x14ac:dyDescent="0.25">
      <c r="A143" s="74"/>
      <c r="B143" s="321"/>
      <c r="C143" s="334"/>
      <c r="D143" s="74"/>
      <c r="E143" s="301"/>
      <c r="F143" s="304"/>
      <c r="G143" s="320"/>
      <c r="H143" s="316"/>
      <c r="I143" s="302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7"/>
    </row>
    <row r="144" spans="1:25" s="307" customFormat="1" x14ac:dyDescent="0.25">
      <c r="A144" s="74"/>
      <c r="B144" s="321"/>
      <c r="C144" s="334"/>
      <c r="D144" s="74"/>
      <c r="E144" s="301"/>
      <c r="F144" s="304"/>
      <c r="G144" s="320"/>
      <c r="H144" s="316"/>
      <c r="I144" s="302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7"/>
    </row>
    <row r="145" spans="1:25" s="307" customFormat="1" x14ac:dyDescent="0.25">
      <c r="A145" s="74"/>
      <c r="B145" s="321"/>
      <c r="C145" s="334"/>
      <c r="D145" s="74"/>
      <c r="E145" s="301"/>
      <c r="F145" s="304"/>
      <c r="G145" s="320"/>
      <c r="H145" s="316"/>
      <c r="I145" s="302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7"/>
    </row>
    <row r="146" spans="1:25" s="307" customFormat="1" x14ac:dyDescent="0.25">
      <c r="A146" s="74"/>
      <c r="B146" s="321"/>
      <c r="C146" s="334"/>
      <c r="D146" s="74"/>
      <c r="E146" s="301"/>
      <c r="F146" s="304"/>
      <c r="G146" s="320"/>
      <c r="H146" s="316"/>
      <c r="I146" s="302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7"/>
    </row>
    <row r="147" spans="1:25" s="307" customFormat="1" x14ac:dyDescent="0.25">
      <c r="A147" s="74"/>
      <c r="B147" s="321"/>
      <c r="C147" s="334"/>
      <c r="D147" s="74"/>
      <c r="E147" s="301"/>
      <c r="F147" s="304"/>
      <c r="G147" s="320"/>
      <c r="H147" s="316"/>
      <c r="I147" s="302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7"/>
    </row>
    <row r="148" spans="1:25" s="307" customFormat="1" x14ac:dyDescent="0.25">
      <c r="A148" s="74"/>
      <c r="B148" s="321"/>
      <c r="C148" s="334"/>
      <c r="D148" s="74"/>
      <c r="E148" s="301"/>
      <c r="F148" s="304"/>
      <c r="G148" s="320"/>
      <c r="H148" s="316"/>
      <c r="I148" s="302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7"/>
    </row>
    <row r="149" spans="1:25" s="307" customFormat="1" x14ac:dyDescent="0.25">
      <c r="A149" s="74"/>
      <c r="B149" s="321"/>
      <c r="C149" s="334"/>
      <c r="D149" s="74"/>
      <c r="E149" s="301"/>
      <c r="F149" s="304"/>
      <c r="G149" s="320"/>
      <c r="H149" s="316"/>
      <c r="I149" s="302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7"/>
    </row>
    <row r="150" spans="1:25" s="307" customFormat="1" x14ac:dyDescent="0.25">
      <c r="A150" s="74"/>
      <c r="B150" s="321"/>
      <c r="C150" s="334"/>
      <c r="D150" s="74"/>
      <c r="E150" s="301"/>
      <c r="F150" s="304"/>
      <c r="G150" s="320"/>
      <c r="H150" s="316"/>
      <c r="I150" s="302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7"/>
    </row>
    <row r="151" spans="1:25" s="307" customFormat="1" x14ac:dyDescent="0.25">
      <c r="A151" s="74"/>
      <c r="B151" s="321"/>
      <c r="C151" s="334"/>
      <c r="D151" s="74"/>
      <c r="E151" s="301"/>
      <c r="F151" s="304"/>
      <c r="G151" s="320"/>
      <c r="H151" s="316"/>
      <c r="I151" s="302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7"/>
    </row>
    <row r="152" spans="1:25" s="307" customFormat="1" x14ac:dyDescent="0.25">
      <c r="A152" s="74"/>
      <c r="B152" s="321"/>
      <c r="C152" s="334"/>
      <c r="D152" s="74"/>
      <c r="E152" s="301"/>
      <c r="F152" s="304"/>
      <c r="G152" s="303"/>
      <c r="H152" s="316"/>
      <c r="I152" s="302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7"/>
    </row>
    <row r="153" spans="1:25" s="307" customFormat="1" x14ac:dyDescent="0.25">
      <c r="A153" s="74"/>
      <c r="B153" s="321"/>
      <c r="C153" s="334"/>
      <c r="D153" s="74"/>
      <c r="E153" s="301"/>
      <c r="F153" s="304"/>
      <c r="G153" s="303"/>
      <c r="H153" s="316"/>
      <c r="I153" s="302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7"/>
    </row>
    <row r="154" spans="1:25" s="307" customFormat="1" x14ac:dyDescent="0.25">
      <c r="A154" s="74"/>
      <c r="B154" s="321"/>
      <c r="C154" s="334"/>
      <c r="D154" s="74"/>
      <c r="E154" s="301"/>
      <c r="F154" s="304"/>
      <c r="G154" s="320"/>
      <c r="H154" s="316"/>
      <c r="I154" s="302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7"/>
    </row>
    <row r="155" spans="1:25" x14ac:dyDescent="0.25">
      <c r="A155" s="320"/>
      <c r="B155" s="321"/>
      <c r="C155" s="334"/>
      <c r="D155" s="74"/>
      <c r="E155" s="301"/>
      <c r="F155" s="304"/>
      <c r="G155" s="320"/>
      <c r="H155" s="304"/>
      <c r="I155" s="302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</row>
    <row r="156" spans="1:25" x14ac:dyDescent="0.25">
      <c r="A156" s="320"/>
      <c r="B156" s="321"/>
      <c r="C156" s="334"/>
      <c r="D156" s="74"/>
      <c r="E156" s="301"/>
      <c r="F156" s="304"/>
      <c r="G156" s="320"/>
      <c r="H156" s="316"/>
      <c r="I156" s="302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</row>
    <row r="157" spans="1:25" s="307" customFormat="1" x14ac:dyDescent="0.25">
      <c r="A157" s="74"/>
      <c r="B157" s="321"/>
      <c r="C157" s="334"/>
      <c r="D157" s="74"/>
      <c r="E157" s="301"/>
      <c r="F157" s="304"/>
      <c r="G157" s="303"/>
      <c r="H157" s="316"/>
      <c r="I157" s="302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7"/>
    </row>
    <row r="158" spans="1:25" s="307" customFormat="1" x14ac:dyDescent="0.25">
      <c r="A158" s="74"/>
      <c r="B158" s="321"/>
      <c r="C158" s="334"/>
      <c r="D158" s="74"/>
      <c r="E158" s="301"/>
      <c r="F158" s="304"/>
      <c r="G158" s="303"/>
      <c r="H158" s="316"/>
      <c r="I158" s="302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7"/>
    </row>
    <row r="159" spans="1:25" x14ac:dyDescent="0.25">
      <c r="A159" s="320"/>
      <c r="B159" s="321"/>
      <c r="C159" s="334"/>
      <c r="D159" s="74"/>
      <c r="E159" s="301"/>
      <c r="F159" s="304"/>
      <c r="G159" s="320"/>
      <c r="H159" s="316"/>
      <c r="I159" s="302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</row>
    <row r="160" spans="1:25" x14ac:dyDescent="0.25">
      <c r="A160" s="320"/>
      <c r="B160" s="321"/>
      <c r="C160" s="334"/>
      <c r="D160" s="74"/>
      <c r="E160" s="301"/>
      <c r="F160" s="304"/>
      <c r="G160" s="320"/>
      <c r="H160" s="316"/>
      <c r="I160" s="302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</row>
    <row r="161" spans="1:25" x14ac:dyDescent="0.25">
      <c r="A161" s="320"/>
      <c r="B161" s="321"/>
      <c r="C161" s="334"/>
      <c r="D161" s="74"/>
      <c r="E161" s="301"/>
      <c r="F161" s="304"/>
      <c r="G161" s="320"/>
      <c r="H161" s="316"/>
      <c r="I161" s="302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</row>
    <row r="162" spans="1:25" s="307" customFormat="1" x14ac:dyDescent="0.25">
      <c r="A162" s="74"/>
      <c r="B162" s="321"/>
      <c r="C162" s="334"/>
      <c r="D162" s="74"/>
      <c r="E162" s="301"/>
      <c r="F162" s="305"/>
      <c r="G162" s="320"/>
      <c r="H162" s="316"/>
      <c r="I162" s="302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7"/>
    </row>
    <row r="163" spans="1:25" s="307" customFormat="1" x14ac:dyDescent="0.25">
      <c r="A163" s="74"/>
      <c r="B163" s="321"/>
      <c r="C163" s="334"/>
      <c r="D163" s="74"/>
      <c r="E163" s="301"/>
      <c r="F163" s="305"/>
      <c r="G163" s="320"/>
      <c r="H163" s="316"/>
      <c r="I163" s="302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7"/>
    </row>
    <row r="164" spans="1:25" x14ac:dyDescent="0.25">
      <c r="A164" s="320"/>
      <c r="B164" s="321"/>
      <c r="C164" s="334"/>
      <c r="D164" s="74"/>
      <c r="E164" s="301"/>
      <c r="F164" s="305"/>
      <c r="G164" s="320"/>
      <c r="H164" s="316"/>
      <c r="I164" s="302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</row>
    <row r="165" spans="1:25" s="307" customFormat="1" x14ac:dyDescent="0.25">
      <c r="A165" s="320"/>
      <c r="B165" s="321"/>
      <c r="C165" s="334"/>
      <c r="D165" s="74"/>
      <c r="E165" s="301"/>
      <c r="F165" s="304"/>
      <c r="G165" s="320"/>
      <c r="H165" s="316"/>
      <c r="I165" s="302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7"/>
    </row>
    <row r="166" spans="1:25" s="307" customFormat="1" x14ac:dyDescent="0.25">
      <c r="A166" s="74"/>
      <c r="B166" s="321"/>
      <c r="C166" s="334"/>
      <c r="D166" s="74"/>
      <c r="E166" s="301"/>
      <c r="F166" s="305"/>
      <c r="G166" s="320"/>
      <c r="H166" s="316"/>
      <c r="I166" s="302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7"/>
    </row>
    <row r="167" spans="1:25" s="307" customFormat="1" x14ac:dyDescent="0.25">
      <c r="A167" s="74"/>
      <c r="B167" s="321"/>
      <c r="C167" s="334"/>
      <c r="D167" s="74"/>
      <c r="E167" s="301"/>
      <c r="F167" s="305"/>
      <c r="G167" s="320"/>
      <c r="H167" s="316"/>
      <c r="I167" s="302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7"/>
    </row>
    <row r="168" spans="1:25" s="307" customFormat="1" x14ac:dyDescent="0.25">
      <c r="A168" s="74"/>
      <c r="B168" s="321"/>
      <c r="C168" s="334"/>
      <c r="D168" s="74"/>
      <c r="E168" s="301"/>
      <c r="F168" s="305"/>
      <c r="G168" s="320"/>
      <c r="H168" s="316"/>
      <c r="I168" s="302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7"/>
    </row>
    <row r="169" spans="1:25" x14ac:dyDescent="0.25">
      <c r="A169" s="320"/>
      <c r="B169" s="321"/>
      <c r="C169" s="334"/>
      <c r="D169" s="74"/>
      <c r="E169" s="301"/>
      <c r="F169" s="305"/>
      <c r="G169" s="320"/>
      <c r="H169" s="316"/>
      <c r="I169" s="302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</row>
    <row r="170" spans="1:25" s="307" customFormat="1" x14ac:dyDescent="0.25">
      <c r="A170" s="320"/>
      <c r="B170" s="321"/>
      <c r="C170" s="334"/>
      <c r="D170" s="74"/>
      <c r="E170" s="301"/>
      <c r="F170" s="304"/>
      <c r="G170" s="320"/>
      <c r="H170" s="316"/>
      <c r="I170" s="302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7"/>
    </row>
    <row r="171" spans="1:25" s="307" customFormat="1" x14ac:dyDescent="0.25">
      <c r="A171" s="74"/>
      <c r="B171" s="321"/>
      <c r="C171" s="334"/>
      <c r="D171" s="74"/>
      <c r="E171" s="301"/>
      <c r="F171" s="304"/>
      <c r="G171" s="320"/>
      <c r="H171" s="316"/>
      <c r="I171" s="302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7"/>
    </row>
    <row r="172" spans="1:25" s="307" customFormat="1" x14ac:dyDescent="0.25">
      <c r="A172" s="74"/>
      <c r="B172" s="321"/>
      <c r="C172" s="334"/>
      <c r="D172" s="74"/>
      <c r="E172" s="301"/>
      <c r="F172" s="304"/>
      <c r="G172" s="320"/>
      <c r="H172" s="316"/>
      <c r="I172" s="302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7"/>
    </row>
    <row r="173" spans="1:25" s="307" customFormat="1" x14ac:dyDescent="0.25">
      <c r="A173" s="74"/>
      <c r="B173" s="321"/>
      <c r="C173" s="334"/>
      <c r="D173" s="74"/>
      <c r="E173" s="301"/>
      <c r="F173" s="304"/>
      <c r="G173" s="320"/>
      <c r="H173" s="316"/>
      <c r="I173" s="302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7"/>
    </row>
    <row r="174" spans="1:25" x14ac:dyDescent="0.25">
      <c r="A174" s="74"/>
      <c r="B174" s="321"/>
      <c r="C174" s="334"/>
      <c r="D174" s="74"/>
      <c r="E174" s="301"/>
      <c r="F174" s="304"/>
      <c r="G174" s="320"/>
      <c r="H174" s="316"/>
      <c r="I174" s="302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</row>
    <row r="175" spans="1:25" x14ac:dyDescent="0.25">
      <c r="A175" s="74"/>
      <c r="B175" s="321"/>
      <c r="C175" s="334"/>
      <c r="D175" s="74"/>
      <c r="E175" s="301"/>
      <c r="F175" s="304"/>
      <c r="G175" s="320"/>
      <c r="H175" s="316"/>
      <c r="I175" s="302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</row>
    <row r="176" spans="1:25" x14ac:dyDescent="0.25">
      <c r="A176" s="74"/>
      <c r="B176" s="321"/>
      <c r="C176" s="334"/>
      <c r="D176" s="74"/>
      <c r="E176" s="304"/>
      <c r="F176" s="304"/>
      <c r="G176" s="320"/>
      <c r="H176" s="316"/>
      <c r="I176" s="302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</row>
    <row r="177" spans="1:25" x14ac:dyDescent="0.25">
      <c r="A177" s="74"/>
      <c r="B177" s="321"/>
      <c r="C177" s="334"/>
      <c r="D177" s="74"/>
      <c r="E177" s="304"/>
      <c r="F177" s="304"/>
      <c r="G177" s="320"/>
      <c r="H177" s="316"/>
      <c r="I177" s="302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</row>
    <row r="178" spans="1:25" x14ac:dyDescent="0.25">
      <c r="A178" s="74"/>
      <c r="B178" s="321"/>
      <c r="C178" s="334"/>
      <c r="D178" s="74"/>
      <c r="E178" s="304"/>
      <c r="F178" s="304"/>
      <c r="G178" s="320"/>
      <c r="H178" s="316"/>
      <c r="I178" s="302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</row>
    <row r="179" spans="1:25" s="307" customFormat="1" x14ac:dyDescent="0.25">
      <c r="A179" s="74"/>
      <c r="B179" s="321"/>
      <c r="C179" s="334"/>
      <c r="D179" s="74"/>
      <c r="E179" s="301"/>
      <c r="F179" s="304"/>
      <c r="G179" s="320"/>
      <c r="H179" s="316"/>
      <c r="I179" s="302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7"/>
    </row>
    <row r="180" spans="1:25" s="307" customFormat="1" x14ac:dyDescent="0.25">
      <c r="A180" s="74"/>
      <c r="B180" s="321"/>
      <c r="C180" s="334"/>
      <c r="D180" s="74"/>
      <c r="E180" s="301"/>
      <c r="F180" s="304"/>
      <c r="G180" s="320"/>
      <c r="H180" s="316"/>
      <c r="I180" s="302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7"/>
    </row>
    <row r="181" spans="1:25" s="307" customFormat="1" x14ac:dyDescent="0.25">
      <c r="A181" s="74"/>
      <c r="B181" s="74"/>
      <c r="C181" s="334"/>
      <c r="D181" s="74"/>
      <c r="E181" s="301"/>
      <c r="F181" s="304"/>
      <c r="G181" s="320"/>
      <c r="H181" s="316"/>
      <c r="I181" s="302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7"/>
    </row>
    <row r="182" spans="1:25" x14ac:dyDescent="0.25">
      <c r="A182" s="74"/>
      <c r="B182" s="321"/>
      <c r="C182" s="334"/>
      <c r="D182" s="74"/>
      <c r="E182" s="301"/>
      <c r="F182" s="304"/>
      <c r="G182" s="320"/>
      <c r="H182" s="316"/>
      <c r="I182" s="302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</row>
    <row r="183" spans="1:25" x14ac:dyDescent="0.25">
      <c r="A183" s="74"/>
      <c r="B183" s="321"/>
      <c r="C183" s="334"/>
      <c r="D183" s="74"/>
      <c r="E183" s="301"/>
      <c r="F183" s="304"/>
      <c r="G183" s="320"/>
      <c r="H183" s="316"/>
      <c r="I183" s="302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</row>
    <row r="184" spans="1:25" s="307" customFormat="1" x14ac:dyDescent="0.25">
      <c r="A184" s="74"/>
      <c r="B184" s="321"/>
      <c r="C184" s="334"/>
      <c r="D184" s="74"/>
      <c r="E184" s="301"/>
      <c r="F184" s="324"/>
      <c r="G184" s="320"/>
      <c r="H184" s="316"/>
      <c r="I184" s="302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7"/>
    </row>
    <row r="185" spans="1:25" s="307" customFormat="1" x14ac:dyDescent="0.25">
      <c r="A185" s="74"/>
      <c r="B185" s="321"/>
      <c r="C185" s="334"/>
      <c r="D185" s="74"/>
      <c r="E185" s="301"/>
      <c r="F185" s="304"/>
      <c r="G185" s="320"/>
      <c r="H185" s="316"/>
      <c r="I185" s="302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7"/>
    </row>
    <row r="186" spans="1:25" x14ac:dyDescent="0.25">
      <c r="A186" s="74"/>
      <c r="B186" s="321"/>
      <c r="C186" s="334"/>
      <c r="D186" s="74"/>
      <c r="E186" s="301"/>
      <c r="F186" s="304"/>
      <c r="G186" s="320"/>
      <c r="H186" s="316"/>
      <c r="I186" s="302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</row>
    <row r="187" spans="1:25" x14ac:dyDescent="0.25">
      <c r="A187" s="74"/>
      <c r="B187" s="321"/>
      <c r="C187" s="334"/>
      <c r="D187" s="74"/>
      <c r="E187" s="301"/>
      <c r="F187" s="304"/>
      <c r="G187" s="320"/>
      <c r="H187" s="316"/>
      <c r="I187" s="302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</row>
    <row r="188" spans="1:25" x14ac:dyDescent="0.25">
      <c r="A188" s="74"/>
      <c r="B188" s="321"/>
      <c r="C188" s="334"/>
      <c r="D188" s="74"/>
      <c r="E188" s="301"/>
      <c r="F188" s="304"/>
      <c r="G188" s="320"/>
      <c r="H188" s="316"/>
      <c r="I188" s="302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</row>
    <row r="189" spans="1:25" x14ac:dyDescent="0.25">
      <c r="A189" s="74"/>
      <c r="B189" s="321"/>
      <c r="C189" s="334"/>
      <c r="D189" s="74"/>
      <c r="E189" s="301"/>
      <c r="F189" s="304"/>
      <c r="G189" s="320"/>
      <c r="H189" s="316"/>
      <c r="I189" s="302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</row>
    <row r="190" spans="1:25" x14ac:dyDescent="0.25">
      <c r="A190" s="74"/>
      <c r="B190" s="321"/>
      <c r="C190" s="334"/>
      <c r="D190" s="74"/>
      <c r="E190" s="301"/>
      <c r="F190" s="304"/>
      <c r="G190" s="320"/>
      <c r="H190" s="316"/>
      <c r="I190" s="302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</row>
    <row r="191" spans="1:25" x14ac:dyDescent="0.25">
      <c r="A191" s="74"/>
      <c r="B191" s="321"/>
      <c r="C191" s="334"/>
      <c r="D191" s="74"/>
      <c r="E191" s="301"/>
      <c r="F191" s="304"/>
      <c r="G191" s="320"/>
      <c r="H191" s="316"/>
      <c r="I191" s="302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</row>
    <row r="192" spans="1:25" x14ac:dyDescent="0.25">
      <c r="A192" s="74"/>
      <c r="B192" s="321"/>
      <c r="C192" s="334"/>
      <c r="D192" s="74"/>
      <c r="E192" s="301"/>
      <c r="F192" s="304"/>
      <c r="G192" s="320"/>
      <c r="H192" s="316"/>
      <c r="I192" s="302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</row>
    <row r="193" spans="1:25" x14ac:dyDescent="0.25">
      <c r="A193" s="74"/>
      <c r="B193" s="321"/>
      <c r="C193" s="334"/>
      <c r="D193" s="74"/>
      <c r="E193" s="301"/>
      <c r="F193" s="304"/>
      <c r="G193" s="320"/>
      <c r="H193" s="316"/>
      <c r="I193" s="302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</row>
    <row r="194" spans="1:25" x14ac:dyDescent="0.25">
      <c r="A194" s="74"/>
      <c r="B194" s="321"/>
      <c r="C194" s="334"/>
      <c r="D194" s="74"/>
      <c r="E194" s="301"/>
      <c r="F194" s="304"/>
      <c r="G194" s="320"/>
      <c r="H194" s="316"/>
      <c r="I194" s="302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</row>
    <row r="195" spans="1:25" x14ac:dyDescent="0.25">
      <c r="A195" s="74"/>
      <c r="B195" s="321"/>
      <c r="C195" s="334"/>
      <c r="D195" s="74"/>
      <c r="E195" s="301"/>
      <c r="F195" s="324"/>
      <c r="G195" s="320"/>
      <c r="H195" s="316"/>
      <c r="I195" s="302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</row>
    <row r="196" spans="1:25" x14ac:dyDescent="0.25">
      <c r="A196" s="74"/>
      <c r="B196" s="321"/>
      <c r="C196" s="334"/>
      <c r="D196" s="74"/>
      <c r="E196" s="301"/>
      <c r="F196" s="304"/>
      <c r="G196" s="320"/>
      <c r="H196" s="316"/>
      <c r="I196" s="302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</row>
    <row r="197" spans="1:25" x14ac:dyDescent="0.25">
      <c r="A197" s="74"/>
      <c r="B197" s="321"/>
      <c r="C197" s="334"/>
      <c r="D197" s="74"/>
      <c r="E197" s="301"/>
      <c r="F197" s="304"/>
      <c r="G197" s="320"/>
      <c r="H197" s="316"/>
      <c r="I197" s="302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</row>
    <row r="198" spans="1:25" s="307" customFormat="1" x14ac:dyDescent="0.25">
      <c r="A198" s="74"/>
      <c r="B198" s="74"/>
      <c r="C198" s="334"/>
      <c r="D198" s="74"/>
      <c r="E198" s="301"/>
      <c r="F198" s="324"/>
      <c r="G198" s="320"/>
      <c r="H198" s="316"/>
      <c r="I198" s="302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7"/>
    </row>
    <row r="199" spans="1:25" s="307" customFormat="1" x14ac:dyDescent="0.25">
      <c r="A199" s="74"/>
      <c r="B199" s="74"/>
      <c r="C199" s="334"/>
      <c r="D199" s="74"/>
      <c r="E199" s="301"/>
      <c r="F199" s="324"/>
      <c r="G199" s="320"/>
      <c r="H199" s="316"/>
      <c r="I199" s="302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7"/>
    </row>
    <row r="200" spans="1:25" s="307" customFormat="1" x14ac:dyDescent="0.25">
      <c r="A200" s="320"/>
      <c r="B200" s="320"/>
      <c r="C200" s="334"/>
      <c r="D200" s="74"/>
      <c r="E200" s="301"/>
      <c r="F200" s="324"/>
      <c r="G200" s="320"/>
      <c r="H200" s="316"/>
      <c r="I200" s="302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7"/>
    </row>
    <row r="201" spans="1:25" s="307" customFormat="1" x14ac:dyDescent="0.25">
      <c r="A201" s="74"/>
      <c r="B201" s="74"/>
      <c r="C201" s="334"/>
      <c r="D201" s="74"/>
      <c r="E201" s="301"/>
      <c r="F201" s="324"/>
      <c r="G201" s="320"/>
      <c r="H201" s="316"/>
      <c r="I201" s="302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7"/>
    </row>
    <row r="202" spans="1:25" s="307" customFormat="1" x14ac:dyDescent="0.25">
      <c r="A202" s="74"/>
      <c r="B202" s="74"/>
      <c r="C202" s="334"/>
      <c r="D202" s="74"/>
      <c r="E202" s="304"/>
      <c r="F202" s="324"/>
      <c r="G202" s="320"/>
      <c r="H202" s="316"/>
      <c r="I202" s="302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7"/>
    </row>
    <row r="203" spans="1:25" x14ac:dyDescent="0.25">
      <c r="A203" s="74"/>
      <c r="B203" s="321"/>
      <c r="C203" s="334"/>
      <c r="D203" s="74"/>
      <c r="E203" s="304"/>
      <c r="F203" s="304"/>
      <c r="G203" s="320"/>
      <c r="H203" s="316"/>
      <c r="I203" s="302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</row>
    <row r="204" spans="1:25" s="307" customFormat="1" x14ac:dyDescent="0.25">
      <c r="A204" s="320"/>
      <c r="B204" s="320"/>
      <c r="C204" s="334"/>
      <c r="D204" s="74"/>
      <c r="E204" s="304"/>
      <c r="F204" s="324"/>
      <c r="G204" s="320"/>
      <c r="H204" s="316"/>
      <c r="I204" s="302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7"/>
    </row>
    <row r="205" spans="1:25" x14ac:dyDescent="0.25">
      <c r="A205" s="320"/>
      <c r="B205" s="320"/>
      <c r="C205" s="334"/>
      <c r="D205" s="74"/>
      <c r="E205" s="301"/>
      <c r="F205" s="324"/>
      <c r="G205" s="320"/>
      <c r="H205" s="316"/>
      <c r="I205" s="302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</row>
    <row r="206" spans="1:25" x14ac:dyDescent="0.25">
      <c r="A206" s="320"/>
      <c r="B206" s="320"/>
      <c r="C206" s="334"/>
      <c r="D206" s="74"/>
      <c r="E206" s="304"/>
      <c r="F206" s="324"/>
      <c r="G206" s="320"/>
      <c r="H206" s="316"/>
      <c r="I206" s="302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</row>
    <row r="207" spans="1:25" x14ac:dyDescent="0.25">
      <c r="A207" s="301"/>
      <c r="B207" s="301"/>
      <c r="C207" s="302"/>
      <c r="D207" s="301"/>
      <c r="E207" s="304"/>
      <c r="F207" s="301"/>
      <c r="G207" s="303"/>
      <c r="H207" s="316"/>
      <c r="I207" s="302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</row>
    <row r="208" spans="1:25" x14ac:dyDescent="0.25">
      <c r="A208" s="301"/>
      <c r="B208" s="301"/>
      <c r="C208" s="302"/>
      <c r="D208" s="304"/>
      <c r="E208" s="301"/>
      <c r="F208" s="302"/>
      <c r="G208" s="303"/>
      <c r="H208" s="316"/>
      <c r="I208" s="302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</row>
    <row r="209" spans="1:25" x14ac:dyDescent="0.25">
      <c r="A209" s="301"/>
      <c r="B209" s="301"/>
      <c r="C209" s="302"/>
      <c r="D209" s="301"/>
      <c r="E209" s="301"/>
      <c r="F209" s="302"/>
      <c r="G209" s="303"/>
      <c r="H209" s="316"/>
      <c r="I209" s="302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</row>
    <row r="210" spans="1:25" x14ac:dyDescent="0.25">
      <c r="A210" s="301"/>
      <c r="B210" s="301"/>
      <c r="C210" s="302"/>
      <c r="D210" s="301"/>
      <c r="E210" s="301"/>
      <c r="F210" s="302"/>
      <c r="G210" s="303"/>
      <c r="H210" s="316"/>
      <c r="I210" s="302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</row>
    <row r="211" spans="1:25" x14ac:dyDescent="0.25">
      <c r="A211" s="301"/>
      <c r="B211" s="301"/>
      <c r="C211" s="302"/>
      <c r="D211" s="301"/>
      <c r="E211" s="301"/>
      <c r="F211" s="302"/>
      <c r="G211" s="303"/>
      <c r="H211" s="316"/>
      <c r="I211" s="302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</row>
    <row r="212" spans="1:25" x14ac:dyDescent="0.25">
      <c r="A212" s="301"/>
      <c r="B212" s="301"/>
      <c r="C212" s="302"/>
      <c r="D212" s="301"/>
      <c r="E212" s="301"/>
      <c r="F212" s="302"/>
      <c r="G212" s="303"/>
      <c r="H212" s="343"/>
      <c r="I212" s="302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</row>
    <row r="213" spans="1:25" x14ac:dyDescent="0.25">
      <c r="A213" s="301"/>
      <c r="B213" s="301"/>
      <c r="C213" s="302"/>
      <c r="D213" s="301"/>
      <c r="E213" s="301"/>
      <c r="F213" s="302"/>
      <c r="G213" s="303"/>
      <c r="H213" s="343"/>
      <c r="I213" s="302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</row>
    <row r="214" spans="1:25" x14ac:dyDescent="0.25">
      <c r="A214" s="301"/>
      <c r="B214" s="301"/>
      <c r="C214" s="302"/>
      <c r="D214" s="301"/>
      <c r="E214" s="301"/>
      <c r="F214" s="302"/>
      <c r="G214" s="303"/>
      <c r="H214" s="316"/>
      <c r="I214" s="302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</row>
    <row r="215" spans="1:25" x14ac:dyDescent="0.25">
      <c r="A215" s="301"/>
      <c r="B215" s="301"/>
      <c r="C215" s="302"/>
      <c r="D215" s="301"/>
      <c r="E215" s="301"/>
      <c r="F215" s="302"/>
      <c r="G215" s="303"/>
      <c r="H215" s="316"/>
      <c r="I215" s="302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</row>
    <row r="216" spans="1:25" x14ac:dyDescent="0.25">
      <c r="A216" s="301"/>
      <c r="B216" s="301"/>
      <c r="C216" s="302"/>
      <c r="D216" s="301"/>
      <c r="E216" s="74"/>
      <c r="F216" s="302"/>
      <c r="G216" s="303"/>
      <c r="H216" s="305"/>
      <c r="I216" s="302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</row>
    <row r="217" spans="1:25" x14ac:dyDescent="0.25">
      <c r="A217" s="301"/>
      <c r="B217" s="301"/>
      <c r="C217" s="302"/>
      <c r="D217" s="301"/>
      <c r="E217" s="74"/>
      <c r="F217" s="302"/>
      <c r="G217" s="303"/>
      <c r="H217" s="305"/>
      <c r="I217" s="302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</row>
    <row r="218" spans="1:25" x14ac:dyDescent="0.25">
      <c r="A218" s="301"/>
      <c r="B218" s="301"/>
      <c r="C218" s="302"/>
      <c r="D218" s="301"/>
      <c r="E218" s="301"/>
      <c r="F218" s="302"/>
      <c r="G218" s="303"/>
      <c r="H218" s="343"/>
      <c r="I218" s="302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</row>
    <row r="219" spans="1:25" x14ac:dyDescent="0.25">
      <c r="A219" s="301"/>
      <c r="B219" s="301"/>
      <c r="C219" s="302"/>
      <c r="D219" s="301"/>
      <c r="E219" s="301"/>
      <c r="F219" s="302"/>
      <c r="G219" s="303"/>
      <c r="H219" s="343"/>
      <c r="I219" s="302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</row>
    <row r="220" spans="1:25" x14ac:dyDescent="0.25">
      <c r="A220" s="301"/>
      <c r="B220" s="301"/>
      <c r="C220" s="302"/>
      <c r="D220" s="301"/>
      <c r="E220" s="301"/>
      <c r="F220" s="302"/>
      <c r="G220" s="303"/>
      <c r="H220" s="343"/>
      <c r="I220" s="302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</row>
    <row r="221" spans="1:25" x14ac:dyDescent="0.25">
      <c r="A221" s="301"/>
      <c r="B221" s="301"/>
      <c r="C221" s="302"/>
      <c r="D221" s="301"/>
      <c r="E221" s="301"/>
      <c r="F221" s="302"/>
      <c r="G221" s="303"/>
      <c r="H221" s="343"/>
      <c r="I221" s="302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</row>
    <row r="222" spans="1:25" x14ac:dyDescent="0.25">
      <c r="A222" s="301"/>
      <c r="B222" s="301"/>
      <c r="C222" s="302"/>
      <c r="D222" s="301"/>
      <c r="E222" s="301"/>
      <c r="F222" s="302"/>
      <c r="G222" s="303"/>
      <c r="H222" s="343"/>
      <c r="I222" s="302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</row>
    <row r="223" spans="1:25" x14ac:dyDescent="0.25">
      <c r="A223" s="301"/>
      <c r="B223" s="301"/>
      <c r="C223" s="302"/>
      <c r="D223" s="301"/>
      <c r="E223" s="301"/>
      <c r="F223" s="302"/>
      <c r="G223" s="303"/>
      <c r="H223" s="343"/>
      <c r="I223" s="302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</row>
    <row r="224" spans="1:25" x14ac:dyDescent="0.25">
      <c r="A224" s="301"/>
      <c r="B224" s="301"/>
      <c r="C224" s="302"/>
      <c r="D224" s="301"/>
      <c r="E224" s="301"/>
      <c r="F224" s="302"/>
      <c r="G224" s="303"/>
      <c r="H224" s="343"/>
      <c r="I224" s="302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</row>
    <row r="225" spans="1:25" x14ac:dyDescent="0.25">
      <c r="A225" s="301"/>
      <c r="B225" s="301"/>
      <c r="C225" s="302"/>
      <c r="D225" s="301"/>
      <c r="E225" s="301"/>
      <c r="F225" s="302"/>
      <c r="G225" s="303"/>
      <c r="H225" s="343"/>
      <c r="I225" s="302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</row>
    <row r="226" spans="1:25" x14ac:dyDescent="0.25">
      <c r="A226" s="301"/>
      <c r="B226" s="301"/>
      <c r="C226" s="302"/>
      <c r="D226" s="301"/>
      <c r="E226" s="301"/>
      <c r="F226" s="302"/>
      <c r="G226" s="303"/>
      <c r="H226" s="343"/>
      <c r="I226" s="302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</row>
    <row r="227" spans="1:25" x14ac:dyDescent="0.25">
      <c r="A227" s="301"/>
      <c r="B227" s="301"/>
      <c r="C227" s="302"/>
      <c r="D227" s="301"/>
      <c r="E227" s="301"/>
      <c r="F227" s="302"/>
      <c r="G227" s="303"/>
      <c r="H227" s="343"/>
      <c r="I227" s="302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</row>
    <row r="228" spans="1:25" x14ac:dyDescent="0.25">
      <c r="A228" s="301"/>
      <c r="B228" s="301"/>
      <c r="C228" s="302"/>
      <c r="D228" s="301"/>
      <c r="E228" s="301"/>
      <c r="F228" s="302"/>
      <c r="G228" s="303"/>
      <c r="H228" s="343"/>
      <c r="I228" s="302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</row>
    <row r="229" spans="1:25" x14ac:dyDescent="0.25">
      <c r="A229" s="301"/>
      <c r="B229" s="301"/>
      <c r="C229" s="302"/>
      <c r="D229" s="301"/>
      <c r="E229" s="301"/>
      <c r="F229" s="302"/>
      <c r="G229" s="303"/>
      <c r="H229" s="343"/>
      <c r="I229" s="302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</row>
    <row r="230" spans="1:25" x14ac:dyDescent="0.25">
      <c r="A230" s="301"/>
      <c r="B230" s="301"/>
      <c r="C230" s="302"/>
      <c r="D230" s="301"/>
      <c r="E230" s="301"/>
      <c r="F230" s="302"/>
      <c r="G230" s="303"/>
      <c r="H230" s="343"/>
      <c r="I230" s="302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</row>
    <row r="231" spans="1:25" x14ac:dyDescent="0.25">
      <c r="A231" s="301"/>
      <c r="B231" s="301"/>
      <c r="C231" s="302"/>
      <c r="D231" s="301"/>
      <c r="E231" s="301"/>
      <c r="F231" s="302"/>
      <c r="G231" s="303"/>
      <c r="H231" s="343"/>
      <c r="I231" s="302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</row>
    <row r="232" spans="1:25" x14ac:dyDescent="0.25">
      <c r="A232" s="301"/>
      <c r="B232" s="301"/>
      <c r="C232" s="302"/>
      <c r="D232" s="301"/>
      <c r="E232" s="301"/>
      <c r="F232" s="302"/>
      <c r="G232" s="303"/>
      <c r="H232" s="343"/>
      <c r="I232" s="302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</row>
    <row r="233" spans="1:25" x14ac:dyDescent="0.25">
      <c r="A233" s="301"/>
      <c r="B233" s="301"/>
      <c r="C233" s="302"/>
      <c r="D233" s="301"/>
      <c r="E233" s="301"/>
      <c r="F233" s="302"/>
      <c r="G233" s="303"/>
      <c r="H233" s="343"/>
      <c r="I233" s="302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</row>
    <row r="234" spans="1:25" x14ac:dyDescent="0.25">
      <c r="A234" s="301"/>
      <c r="B234" s="301"/>
      <c r="C234" s="302"/>
      <c r="D234" s="301"/>
      <c r="E234" s="301"/>
      <c r="F234" s="302"/>
      <c r="G234" s="303"/>
      <c r="H234" s="343"/>
      <c r="I234" s="302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</row>
    <row r="235" spans="1:25" x14ac:dyDescent="0.25">
      <c r="A235" s="301"/>
      <c r="B235" s="301"/>
      <c r="C235" s="302"/>
      <c r="D235" s="301"/>
      <c r="E235" s="301"/>
      <c r="F235" s="302"/>
      <c r="G235" s="303"/>
      <c r="H235" s="343"/>
      <c r="I235" s="302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</row>
    <row r="236" spans="1:25" x14ac:dyDescent="0.25">
      <c r="A236" s="301"/>
      <c r="B236" s="301"/>
      <c r="C236" s="302"/>
      <c r="D236" s="301"/>
      <c r="E236" s="301"/>
      <c r="F236" s="302"/>
      <c r="G236" s="303"/>
      <c r="H236" s="343"/>
      <c r="I236" s="302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</row>
    <row r="237" spans="1:25" x14ac:dyDescent="0.25">
      <c r="A237" s="301"/>
      <c r="B237" s="301"/>
      <c r="C237" s="302"/>
      <c r="D237" s="301"/>
      <c r="E237" s="301"/>
      <c r="F237" s="302"/>
      <c r="G237" s="303"/>
      <c r="H237" s="343"/>
      <c r="I237" s="302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</row>
    <row r="238" spans="1:25" x14ac:dyDescent="0.25">
      <c r="A238" s="301"/>
      <c r="B238" s="301"/>
      <c r="C238" s="302"/>
      <c r="D238" s="301"/>
      <c r="E238" s="301"/>
      <c r="F238" s="302"/>
      <c r="G238" s="303"/>
      <c r="H238" s="343"/>
      <c r="I238" s="302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</row>
    <row r="239" spans="1:25" x14ac:dyDescent="0.25">
      <c r="A239" s="301"/>
      <c r="B239" s="301"/>
      <c r="C239" s="302"/>
      <c r="D239" s="301"/>
      <c r="E239" s="301"/>
      <c r="F239" s="302"/>
      <c r="G239" s="303"/>
      <c r="H239" s="343"/>
      <c r="I239" s="302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</row>
    <row r="240" spans="1:25" x14ac:dyDescent="0.25">
      <c r="A240" s="301"/>
      <c r="B240" s="301"/>
      <c r="C240" s="302"/>
      <c r="D240" s="301"/>
      <c r="E240" s="301"/>
      <c r="F240" s="302"/>
      <c r="G240" s="303"/>
      <c r="H240" s="343"/>
      <c r="I240" s="302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</row>
    <row r="241" spans="1:25" x14ac:dyDescent="0.25">
      <c r="A241" s="301"/>
      <c r="B241" s="301"/>
      <c r="C241" s="302"/>
      <c r="D241" s="301"/>
      <c r="E241" s="301"/>
      <c r="F241" s="302"/>
      <c r="G241" s="303"/>
      <c r="H241" s="343"/>
      <c r="I241" s="302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</row>
    <row r="242" spans="1:25" x14ac:dyDescent="0.25">
      <c r="A242" s="301"/>
      <c r="B242" s="301"/>
      <c r="C242" s="302"/>
      <c r="D242" s="301"/>
      <c r="E242" s="301"/>
      <c r="F242" s="302"/>
      <c r="G242" s="303"/>
      <c r="H242" s="343"/>
      <c r="I242" s="302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</row>
    <row r="243" spans="1:25" x14ac:dyDescent="0.25">
      <c r="A243" s="301"/>
      <c r="B243" s="301"/>
      <c r="C243" s="302"/>
      <c r="D243" s="301"/>
      <c r="E243" s="301"/>
      <c r="F243" s="302"/>
      <c r="G243" s="303"/>
      <c r="H243" s="343"/>
      <c r="I243" s="302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</row>
    <row r="244" spans="1:25" x14ac:dyDescent="0.25">
      <c r="A244" s="301"/>
      <c r="B244" s="301"/>
      <c r="C244" s="302"/>
      <c r="D244" s="301"/>
      <c r="E244" s="301"/>
      <c r="F244" s="302"/>
      <c r="G244" s="303"/>
      <c r="H244" s="343"/>
      <c r="I244" s="302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</row>
    <row r="245" spans="1:25" x14ac:dyDescent="0.25">
      <c r="A245" s="301"/>
      <c r="B245" s="301"/>
      <c r="C245" s="302"/>
      <c r="D245" s="301"/>
      <c r="E245" s="301"/>
      <c r="F245" s="302"/>
      <c r="G245" s="303"/>
      <c r="H245" s="343"/>
      <c r="I245" s="302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</row>
    <row r="246" spans="1:25" x14ac:dyDescent="0.25">
      <c r="A246" s="301"/>
      <c r="B246" s="301"/>
      <c r="C246" s="302"/>
      <c r="D246" s="301"/>
      <c r="E246" s="301"/>
      <c r="F246" s="302"/>
      <c r="G246" s="303"/>
      <c r="H246" s="343"/>
      <c r="I246" s="302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</row>
    <row r="247" spans="1:25" x14ac:dyDescent="0.25">
      <c r="A247" s="301"/>
      <c r="B247" s="301"/>
      <c r="C247" s="302"/>
      <c r="D247" s="301"/>
      <c r="E247" s="301"/>
      <c r="F247" s="302"/>
      <c r="G247" s="303"/>
      <c r="H247" s="343"/>
      <c r="I247" s="302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</row>
    <row r="248" spans="1:25" x14ac:dyDescent="0.25">
      <c r="A248" s="301"/>
      <c r="B248" s="301"/>
      <c r="C248" s="302"/>
      <c r="D248" s="301"/>
      <c r="E248" s="301"/>
      <c r="F248" s="302"/>
      <c r="G248" s="303"/>
      <c r="H248" s="343"/>
      <c r="I248" s="302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</row>
    <row r="249" spans="1:25" x14ac:dyDescent="0.25">
      <c r="A249" s="301"/>
      <c r="B249" s="301"/>
      <c r="C249" s="302"/>
      <c r="D249" s="301"/>
      <c r="E249" s="301"/>
      <c r="F249" s="302"/>
      <c r="G249" s="303"/>
      <c r="H249" s="343"/>
      <c r="I249" s="302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</row>
    <row r="250" spans="1:25" x14ac:dyDescent="0.25">
      <c r="A250" s="301"/>
      <c r="B250" s="301"/>
      <c r="C250" s="302"/>
      <c r="D250" s="301"/>
      <c r="E250" s="301"/>
      <c r="F250" s="302"/>
      <c r="G250" s="303"/>
      <c r="H250" s="343"/>
      <c r="I250" s="302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</row>
    <row r="251" spans="1:25" x14ac:dyDescent="0.25">
      <c r="A251" s="301"/>
      <c r="B251" s="301"/>
      <c r="C251" s="302"/>
      <c r="D251" s="301"/>
      <c r="E251" s="301"/>
      <c r="F251" s="302"/>
      <c r="G251" s="303"/>
      <c r="H251" s="343"/>
      <c r="I251" s="302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</row>
    <row r="252" spans="1:25" x14ac:dyDescent="0.25">
      <c r="A252" s="301"/>
      <c r="B252" s="301"/>
      <c r="C252" s="302"/>
      <c r="D252" s="301"/>
      <c r="E252" s="301"/>
      <c r="F252" s="302"/>
      <c r="G252" s="303"/>
      <c r="H252" s="343"/>
      <c r="I252" s="302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</row>
    <row r="253" spans="1:25" x14ac:dyDescent="0.25">
      <c r="A253" s="301"/>
      <c r="B253" s="301"/>
      <c r="C253" s="302"/>
      <c r="D253" s="301"/>
      <c r="E253" s="301"/>
      <c r="F253" s="302"/>
      <c r="G253" s="303"/>
      <c r="H253" s="343"/>
      <c r="I253" s="302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</row>
    <row r="254" spans="1:25" x14ac:dyDescent="0.25">
      <c r="A254" s="301"/>
      <c r="B254" s="301"/>
      <c r="C254" s="302"/>
      <c r="D254" s="301"/>
      <c r="E254" s="301"/>
      <c r="F254" s="302"/>
      <c r="G254" s="303"/>
      <c r="H254" s="343"/>
      <c r="I254" s="302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</row>
    <row r="255" spans="1:25" x14ac:dyDescent="0.25">
      <c r="A255" s="301"/>
      <c r="B255" s="301"/>
      <c r="C255" s="302"/>
      <c r="D255" s="301"/>
      <c r="E255" s="301"/>
      <c r="F255" s="302"/>
      <c r="G255" s="303"/>
      <c r="H255" s="343"/>
      <c r="I255" s="302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</row>
    <row r="256" spans="1:25" x14ac:dyDescent="0.25">
      <c r="A256" s="301"/>
      <c r="B256" s="301"/>
      <c r="C256" s="302"/>
      <c r="D256" s="301"/>
      <c r="E256" s="301"/>
      <c r="F256" s="302"/>
      <c r="G256" s="303"/>
      <c r="H256" s="343"/>
      <c r="I256" s="302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</row>
    <row r="257" spans="1:25" x14ac:dyDescent="0.25">
      <c r="A257" s="301"/>
      <c r="B257" s="301"/>
      <c r="C257" s="302"/>
      <c r="D257" s="301"/>
      <c r="E257" s="301"/>
      <c r="F257" s="302"/>
      <c r="G257" s="303"/>
      <c r="H257" s="343"/>
      <c r="I257" s="302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</row>
    <row r="258" spans="1:25" x14ac:dyDescent="0.25">
      <c r="A258" s="301"/>
      <c r="B258" s="301"/>
      <c r="C258" s="302"/>
      <c r="D258" s="301"/>
      <c r="E258" s="301"/>
      <c r="F258" s="302"/>
      <c r="G258" s="303"/>
      <c r="H258" s="343"/>
      <c r="I258" s="302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</row>
    <row r="259" spans="1:25" x14ac:dyDescent="0.25">
      <c r="A259" s="301"/>
      <c r="B259" s="301"/>
      <c r="C259" s="302"/>
      <c r="D259" s="301"/>
      <c r="E259" s="301"/>
      <c r="F259" s="302"/>
      <c r="G259" s="303"/>
      <c r="H259" s="343"/>
      <c r="I259" s="302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</row>
    <row r="260" spans="1:25" x14ac:dyDescent="0.25">
      <c r="A260" s="301"/>
      <c r="B260" s="301"/>
      <c r="C260" s="302"/>
      <c r="D260" s="301"/>
      <c r="E260" s="301"/>
      <c r="F260" s="302"/>
      <c r="G260" s="303"/>
      <c r="H260" s="343"/>
      <c r="I260" s="302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</row>
    <row r="261" spans="1:25" x14ac:dyDescent="0.25">
      <c r="A261" s="301"/>
      <c r="B261" s="301"/>
      <c r="C261" s="302"/>
      <c r="D261" s="301"/>
      <c r="E261" s="301"/>
      <c r="F261" s="302"/>
      <c r="G261" s="303"/>
      <c r="H261" s="343"/>
      <c r="I261" s="302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</row>
    <row r="262" spans="1:25" x14ac:dyDescent="0.25">
      <c r="A262" s="301"/>
      <c r="B262" s="301"/>
      <c r="C262" s="302"/>
      <c r="D262" s="301"/>
      <c r="E262" s="301"/>
      <c r="F262" s="302"/>
      <c r="G262" s="303"/>
      <c r="H262" s="343"/>
      <c r="I262" s="302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</row>
    <row r="263" spans="1:25" x14ac:dyDescent="0.25">
      <c r="A263" s="301"/>
      <c r="B263" s="301"/>
      <c r="C263" s="302"/>
      <c r="D263" s="301"/>
      <c r="E263" s="301"/>
      <c r="F263" s="302"/>
      <c r="G263" s="303"/>
      <c r="H263" s="343"/>
      <c r="I263" s="302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</row>
    <row r="264" spans="1:25" x14ac:dyDescent="0.25">
      <c r="A264" s="301"/>
      <c r="B264" s="301"/>
      <c r="C264" s="302"/>
      <c r="D264" s="301"/>
      <c r="E264" s="301"/>
      <c r="F264" s="302"/>
      <c r="G264" s="303"/>
      <c r="H264" s="343"/>
      <c r="I264" s="302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</row>
    <row r="265" spans="1:25" x14ac:dyDescent="0.25">
      <c r="A265" s="301"/>
      <c r="B265" s="301"/>
      <c r="C265" s="302"/>
      <c r="D265" s="301"/>
      <c r="E265" s="301"/>
      <c r="F265" s="302"/>
      <c r="G265" s="303"/>
      <c r="H265" s="343"/>
      <c r="I265" s="302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</row>
    <row r="266" spans="1:25" x14ac:dyDescent="0.25">
      <c r="A266" s="301"/>
      <c r="B266" s="301"/>
      <c r="C266" s="302"/>
      <c r="D266" s="301"/>
      <c r="E266" s="301"/>
      <c r="F266" s="302"/>
      <c r="G266" s="303"/>
      <c r="H266" s="343"/>
      <c r="I266" s="302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</row>
    <row r="267" spans="1:25" x14ac:dyDescent="0.25">
      <c r="A267" s="301"/>
      <c r="B267" s="301"/>
      <c r="C267" s="302"/>
      <c r="D267" s="301"/>
      <c r="E267" s="301"/>
      <c r="F267" s="302"/>
      <c r="G267" s="303"/>
      <c r="H267" s="343"/>
      <c r="I267" s="302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</row>
    <row r="268" spans="1:25" x14ac:dyDescent="0.25">
      <c r="A268" s="301"/>
      <c r="B268" s="301"/>
      <c r="C268" s="302"/>
      <c r="D268" s="301"/>
      <c r="E268" s="301"/>
      <c r="F268" s="302"/>
      <c r="G268" s="303"/>
      <c r="H268" s="343"/>
      <c r="I268" s="302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</row>
    <row r="269" spans="1:25" x14ac:dyDescent="0.25">
      <c r="A269" s="301"/>
      <c r="B269" s="301"/>
      <c r="C269" s="302"/>
      <c r="D269" s="301"/>
      <c r="E269" s="301"/>
      <c r="F269" s="302"/>
      <c r="G269" s="303"/>
      <c r="H269" s="343"/>
      <c r="I269" s="302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</row>
    <row r="270" spans="1:25" x14ac:dyDescent="0.25">
      <c r="A270" s="301"/>
      <c r="B270" s="301"/>
      <c r="C270" s="302"/>
      <c r="D270" s="301"/>
      <c r="E270" s="301"/>
      <c r="F270" s="302"/>
      <c r="G270" s="303"/>
      <c r="H270" s="343"/>
      <c r="I270" s="302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</row>
    <row r="271" spans="1:25" x14ac:dyDescent="0.25">
      <c r="A271" s="301"/>
      <c r="B271" s="301"/>
      <c r="C271" s="302"/>
      <c r="D271" s="301"/>
      <c r="E271" s="301"/>
      <c r="F271" s="302"/>
      <c r="G271" s="303"/>
      <c r="H271" s="343"/>
      <c r="I271" s="302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</row>
    <row r="272" spans="1:25" x14ac:dyDescent="0.25">
      <c r="A272" s="301"/>
      <c r="B272" s="301"/>
      <c r="C272" s="302"/>
      <c r="D272" s="301"/>
      <c r="E272" s="301"/>
      <c r="F272" s="302"/>
      <c r="G272" s="303"/>
      <c r="H272" s="343"/>
      <c r="I272" s="302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</row>
    <row r="273" spans="1:25" x14ac:dyDescent="0.25">
      <c r="A273" s="301"/>
      <c r="B273" s="301"/>
      <c r="C273" s="302"/>
      <c r="D273" s="301"/>
      <c r="E273" s="301"/>
      <c r="F273" s="302"/>
      <c r="G273" s="303"/>
      <c r="H273" s="343"/>
      <c r="I273" s="302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</row>
    <row r="274" spans="1:25" x14ac:dyDescent="0.25">
      <c r="A274" s="301"/>
      <c r="B274" s="301"/>
      <c r="C274" s="302"/>
      <c r="D274" s="301"/>
      <c r="E274" s="301"/>
      <c r="F274" s="302"/>
      <c r="G274" s="303"/>
      <c r="H274" s="343"/>
      <c r="I274" s="302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</row>
    <row r="275" spans="1:25" x14ac:dyDescent="0.25">
      <c r="A275" s="301"/>
      <c r="B275" s="301"/>
      <c r="C275" s="302"/>
      <c r="D275" s="301"/>
      <c r="E275" s="301"/>
      <c r="F275" s="302"/>
      <c r="G275" s="303"/>
      <c r="H275" s="343"/>
      <c r="I275" s="302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</row>
    <row r="276" spans="1:25" x14ac:dyDescent="0.25">
      <c r="A276" s="301"/>
      <c r="B276" s="301"/>
      <c r="C276" s="302"/>
      <c r="D276" s="301"/>
      <c r="E276" s="301"/>
      <c r="F276" s="302"/>
      <c r="G276" s="303"/>
      <c r="H276" s="343"/>
      <c r="I276" s="302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</row>
    <row r="277" spans="1:25" x14ac:dyDescent="0.25">
      <c r="A277" s="301"/>
      <c r="B277" s="301"/>
      <c r="C277" s="302"/>
      <c r="D277" s="301"/>
      <c r="E277" s="301"/>
      <c r="F277" s="302"/>
      <c r="G277" s="303"/>
      <c r="H277" s="343"/>
      <c r="I277" s="302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</row>
    <row r="278" spans="1:25" x14ac:dyDescent="0.25">
      <c r="A278" s="301"/>
      <c r="B278" s="301"/>
      <c r="C278" s="302"/>
      <c r="D278" s="301"/>
      <c r="E278" s="301"/>
      <c r="F278" s="302"/>
      <c r="G278" s="303"/>
      <c r="H278" s="343"/>
      <c r="I278" s="302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</row>
    <row r="279" spans="1:25" x14ac:dyDescent="0.25">
      <c r="A279" s="301"/>
      <c r="B279" s="301"/>
      <c r="C279" s="302"/>
      <c r="D279" s="301"/>
      <c r="E279" s="301"/>
      <c r="F279" s="302"/>
      <c r="G279" s="303"/>
      <c r="H279" s="343"/>
      <c r="I279" s="302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</row>
    <row r="280" spans="1:25" x14ac:dyDescent="0.25">
      <c r="A280" s="301"/>
      <c r="B280" s="301"/>
      <c r="C280" s="302"/>
      <c r="D280" s="301"/>
      <c r="E280" s="301"/>
      <c r="F280" s="302"/>
      <c r="G280" s="303"/>
      <c r="H280" s="343"/>
      <c r="I280" s="302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</row>
    <row r="281" spans="1:25" x14ac:dyDescent="0.25">
      <c r="A281" s="301"/>
      <c r="B281" s="301"/>
      <c r="C281" s="302"/>
      <c r="D281" s="301"/>
      <c r="E281" s="301"/>
      <c r="F281" s="302"/>
      <c r="G281" s="303"/>
      <c r="H281" s="343"/>
      <c r="I281" s="302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</row>
    <row r="282" spans="1:25" x14ac:dyDescent="0.25">
      <c r="A282" s="301"/>
      <c r="B282" s="301"/>
      <c r="C282" s="302"/>
      <c r="D282" s="301"/>
      <c r="E282" s="301"/>
      <c r="F282" s="302"/>
      <c r="G282" s="303"/>
      <c r="H282" s="343"/>
      <c r="I282" s="302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</row>
    <row r="283" spans="1:25" x14ac:dyDescent="0.25">
      <c r="A283" s="301"/>
      <c r="B283" s="301"/>
      <c r="C283" s="302"/>
      <c r="D283" s="301"/>
      <c r="E283" s="301"/>
      <c r="F283" s="302"/>
      <c r="G283" s="303"/>
      <c r="H283" s="343"/>
      <c r="I283" s="302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</row>
    <row r="284" spans="1:25" x14ac:dyDescent="0.25">
      <c r="A284" s="301"/>
      <c r="B284" s="301"/>
      <c r="C284" s="302"/>
      <c r="D284" s="301"/>
      <c r="E284" s="301"/>
      <c r="F284" s="302"/>
      <c r="G284" s="303"/>
      <c r="H284" s="343"/>
      <c r="I284" s="302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</row>
    <row r="285" spans="1:25" x14ac:dyDescent="0.25">
      <c r="A285" s="301"/>
      <c r="B285" s="301"/>
      <c r="C285" s="302"/>
      <c r="D285" s="301"/>
      <c r="E285" s="301"/>
      <c r="F285" s="302"/>
      <c r="G285" s="303"/>
      <c r="H285" s="343"/>
      <c r="I285" s="302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</row>
    <row r="286" spans="1:25" x14ac:dyDescent="0.25">
      <c r="A286" s="301"/>
      <c r="B286" s="301"/>
      <c r="C286" s="302"/>
      <c r="D286" s="301"/>
      <c r="E286" s="301"/>
      <c r="F286" s="302"/>
      <c r="G286" s="303"/>
      <c r="H286" s="343"/>
      <c r="I286" s="302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</row>
    <row r="287" spans="1:25" x14ac:dyDescent="0.25">
      <c r="A287" s="301"/>
      <c r="B287" s="301"/>
      <c r="C287" s="302"/>
      <c r="D287" s="301"/>
      <c r="E287" s="301"/>
      <c r="F287" s="302"/>
      <c r="G287" s="303"/>
      <c r="H287" s="343"/>
      <c r="I287" s="302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</row>
    <row r="288" spans="1:25" x14ac:dyDescent="0.25">
      <c r="A288" s="301"/>
      <c r="B288" s="301"/>
      <c r="C288" s="302"/>
      <c r="D288" s="301"/>
      <c r="E288" s="301"/>
      <c r="F288" s="302"/>
      <c r="G288" s="303"/>
      <c r="H288" s="343"/>
      <c r="I288" s="302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</row>
    <row r="289" spans="1:25" x14ac:dyDescent="0.25">
      <c r="A289" s="301"/>
      <c r="B289" s="301"/>
      <c r="C289" s="302"/>
      <c r="D289" s="301"/>
      <c r="E289" s="301"/>
      <c r="F289" s="302"/>
      <c r="G289" s="303"/>
      <c r="H289" s="343"/>
      <c r="I289" s="302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</row>
    <row r="290" spans="1:25" x14ac:dyDescent="0.25">
      <c r="A290" s="301"/>
      <c r="B290" s="301"/>
      <c r="C290" s="302"/>
      <c r="D290" s="301"/>
      <c r="E290" s="301"/>
      <c r="F290" s="302"/>
      <c r="G290" s="303"/>
      <c r="H290" s="343"/>
      <c r="I290" s="302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</row>
    <row r="291" spans="1:25" x14ac:dyDescent="0.25">
      <c r="A291" s="301"/>
      <c r="B291" s="301"/>
      <c r="C291" s="302"/>
      <c r="D291" s="301"/>
      <c r="E291" s="301"/>
      <c r="F291" s="302"/>
      <c r="G291" s="303"/>
      <c r="H291" s="343"/>
      <c r="I291" s="302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</row>
    <row r="292" spans="1:25" x14ac:dyDescent="0.25">
      <c r="A292" s="301"/>
      <c r="B292" s="301"/>
      <c r="C292" s="302"/>
      <c r="D292" s="301"/>
      <c r="E292" s="301"/>
      <c r="F292" s="302"/>
      <c r="G292" s="303"/>
      <c r="H292" s="343"/>
      <c r="I292" s="302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</row>
    <row r="293" spans="1:25" x14ac:dyDescent="0.25">
      <c r="A293" s="301"/>
      <c r="B293" s="301"/>
      <c r="C293" s="302"/>
      <c r="D293" s="301"/>
      <c r="E293" s="301"/>
      <c r="F293" s="302"/>
      <c r="G293" s="303"/>
      <c r="H293" s="343"/>
      <c r="I293" s="302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</row>
    <row r="294" spans="1:25" x14ac:dyDescent="0.25">
      <c r="A294" s="301"/>
      <c r="B294" s="301"/>
      <c r="C294" s="302"/>
      <c r="D294" s="301"/>
      <c r="E294" s="301"/>
      <c r="F294" s="302"/>
      <c r="G294" s="303"/>
      <c r="H294" s="343"/>
      <c r="I294" s="302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</row>
    <row r="295" spans="1:25" x14ac:dyDescent="0.25">
      <c r="A295" s="301"/>
      <c r="B295" s="301"/>
      <c r="C295" s="302"/>
      <c r="D295" s="301"/>
      <c r="E295" s="301"/>
      <c r="F295" s="302"/>
      <c r="G295" s="303"/>
      <c r="H295" s="343"/>
      <c r="I295" s="302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</row>
    <row r="296" spans="1:25" x14ac:dyDescent="0.25">
      <c r="A296" s="301"/>
      <c r="B296" s="301"/>
      <c r="C296" s="302"/>
      <c r="D296" s="301"/>
      <c r="E296" s="301"/>
      <c r="F296" s="302"/>
      <c r="G296" s="303"/>
      <c r="H296" s="343"/>
      <c r="I296" s="302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</row>
    <row r="297" spans="1:25" x14ac:dyDescent="0.25">
      <c r="A297" s="301"/>
      <c r="B297" s="301"/>
      <c r="C297" s="302"/>
      <c r="D297" s="301"/>
      <c r="E297" s="301"/>
      <c r="F297" s="302"/>
      <c r="G297" s="303"/>
      <c r="H297" s="343"/>
      <c r="I297" s="302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</row>
    <row r="298" spans="1:25" x14ac:dyDescent="0.25">
      <c r="A298" s="301"/>
      <c r="B298" s="301"/>
      <c r="C298" s="302"/>
      <c r="D298" s="301"/>
      <c r="E298" s="301"/>
      <c r="F298" s="302"/>
      <c r="G298" s="303"/>
      <c r="H298" s="343"/>
      <c r="I298" s="302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</row>
    <row r="299" spans="1:25" x14ac:dyDescent="0.25">
      <c r="A299" s="301"/>
      <c r="B299" s="301"/>
      <c r="C299" s="302"/>
      <c r="D299" s="301"/>
      <c r="E299" s="301"/>
      <c r="F299" s="302"/>
      <c r="G299" s="303"/>
      <c r="H299" s="343"/>
      <c r="I299" s="302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</row>
    <row r="300" spans="1:25" x14ac:dyDescent="0.25">
      <c r="A300" s="301"/>
      <c r="B300" s="301"/>
      <c r="C300" s="302"/>
      <c r="D300" s="301"/>
      <c r="E300" s="301"/>
      <c r="F300" s="302"/>
      <c r="G300" s="303"/>
      <c r="H300" s="343"/>
      <c r="I300" s="302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</row>
    <row r="301" spans="1:25" x14ac:dyDescent="0.25">
      <c r="A301" s="301"/>
      <c r="B301" s="301"/>
      <c r="C301" s="302"/>
      <c r="D301" s="301"/>
      <c r="E301" s="301"/>
      <c r="F301" s="302"/>
      <c r="G301" s="303"/>
      <c r="H301" s="343"/>
      <c r="I301" s="302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</row>
    <row r="302" spans="1:25" x14ac:dyDescent="0.25">
      <c r="A302" s="301"/>
      <c r="B302" s="301"/>
      <c r="C302" s="302"/>
      <c r="D302" s="301"/>
      <c r="E302" s="301"/>
      <c r="F302" s="302"/>
      <c r="G302" s="303"/>
      <c r="H302" s="343"/>
      <c r="I302" s="302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</row>
    <row r="303" spans="1:25" x14ac:dyDescent="0.25">
      <c r="A303" s="301"/>
      <c r="B303" s="301"/>
      <c r="C303" s="302"/>
      <c r="D303" s="301"/>
      <c r="E303" s="301"/>
      <c r="F303" s="302"/>
      <c r="G303" s="303"/>
      <c r="H303" s="343"/>
      <c r="I303" s="302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</row>
    <row r="304" spans="1:25" x14ac:dyDescent="0.25">
      <c r="A304" s="301"/>
      <c r="B304" s="301"/>
      <c r="C304" s="302"/>
      <c r="D304" s="301"/>
      <c r="E304" s="301"/>
      <c r="F304" s="302"/>
      <c r="G304" s="303"/>
      <c r="H304" s="343"/>
      <c r="I304" s="302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</row>
    <row r="305" spans="1:25" x14ac:dyDescent="0.25">
      <c r="A305" s="301"/>
      <c r="B305" s="301"/>
      <c r="C305" s="302"/>
      <c r="D305" s="301"/>
      <c r="E305" s="301"/>
      <c r="F305" s="302"/>
      <c r="G305" s="303"/>
      <c r="H305" s="343"/>
      <c r="I305" s="302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</row>
    <row r="306" spans="1:25" x14ac:dyDescent="0.25">
      <c r="A306" s="301"/>
      <c r="B306" s="301"/>
      <c r="C306" s="302"/>
      <c r="D306" s="301"/>
      <c r="E306" s="301"/>
      <c r="F306" s="302"/>
      <c r="G306" s="303"/>
      <c r="H306" s="343"/>
      <c r="I306" s="302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</row>
    <row r="307" spans="1:25" x14ac:dyDescent="0.25">
      <c r="A307" s="301"/>
      <c r="B307" s="301"/>
      <c r="C307" s="302"/>
      <c r="D307" s="301"/>
      <c r="E307" s="301"/>
      <c r="F307" s="302"/>
      <c r="G307" s="303"/>
      <c r="H307" s="343"/>
      <c r="I307" s="302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</row>
    <row r="308" spans="1:25" x14ac:dyDescent="0.25">
      <c r="A308" s="301"/>
      <c r="B308" s="301"/>
      <c r="C308" s="302"/>
      <c r="D308" s="301"/>
      <c r="E308" s="301"/>
      <c r="F308" s="302"/>
      <c r="G308" s="303"/>
      <c r="H308" s="343"/>
      <c r="I308" s="302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</row>
    <row r="309" spans="1:25" x14ac:dyDescent="0.25">
      <c r="A309" s="301"/>
      <c r="B309" s="301"/>
      <c r="C309" s="302"/>
      <c r="D309" s="301"/>
      <c r="E309" s="301"/>
      <c r="F309" s="302"/>
      <c r="G309" s="303"/>
      <c r="H309" s="343"/>
      <c r="I309" s="302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</row>
    <row r="310" spans="1:25" x14ac:dyDescent="0.25">
      <c r="A310" s="301"/>
      <c r="B310" s="301"/>
      <c r="C310" s="302"/>
      <c r="D310" s="301"/>
      <c r="E310" s="301"/>
      <c r="F310" s="302"/>
      <c r="G310" s="303"/>
      <c r="H310" s="343"/>
      <c r="I310" s="302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</row>
    <row r="311" spans="1:25" x14ac:dyDescent="0.25">
      <c r="A311" s="301"/>
      <c r="B311" s="301"/>
      <c r="C311" s="302"/>
      <c r="D311" s="301"/>
      <c r="E311" s="301"/>
      <c r="F311" s="302"/>
      <c r="G311" s="303"/>
      <c r="H311" s="343"/>
      <c r="I311" s="302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</row>
    <row r="312" spans="1:25" x14ac:dyDescent="0.25">
      <c r="A312" s="301"/>
      <c r="B312" s="301"/>
      <c r="C312" s="302"/>
      <c r="D312" s="301"/>
      <c r="E312" s="301"/>
      <c r="F312" s="302"/>
      <c r="G312" s="303"/>
      <c r="H312" s="343"/>
      <c r="I312" s="302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</row>
    <row r="313" spans="1:25" x14ac:dyDescent="0.25">
      <c r="A313" s="301"/>
      <c r="B313" s="301"/>
      <c r="C313" s="302"/>
      <c r="D313" s="301"/>
      <c r="E313" s="301"/>
      <c r="F313" s="302"/>
      <c r="G313" s="303"/>
      <c r="H313" s="343"/>
      <c r="I313" s="302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</row>
    <row r="314" spans="1:25" x14ac:dyDescent="0.25">
      <c r="A314" s="301"/>
      <c r="B314" s="301"/>
      <c r="C314" s="302"/>
      <c r="D314" s="301"/>
      <c r="E314" s="301"/>
      <c r="F314" s="302"/>
      <c r="G314" s="303"/>
      <c r="H314" s="343"/>
      <c r="I314" s="302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</row>
    <row r="315" spans="1:25" x14ac:dyDescent="0.25">
      <c r="A315" s="301"/>
      <c r="B315" s="301"/>
      <c r="C315" s="302"/>
      <c r="D315" s="301"/>
      <c r="E315" s="301"/>
      <c r="F315" s="302"/>
      <c r="G315" s="303"/>
      <c r="H315" s="343"/>
      <c r="I315" s="302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</row>
    <row r="316" spans="1:25" x14ac:dyDescent="0.25">
      <c r="A316" s="301"/>
      <c r="B316" s="301"/>
      <c r="C316" s="302"/>
      <c r="D316" s="301"/>
      <c r="E316" s="301"/>
      <c r="F316" s="302"/>
      <c r="G316" s="303"/>
      <c r="H316" s="343"/>
      <c r="I316" s="302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</row>
    <row r="317" spans="1:25" x14ac:dyDescent="0.25">
      <c r="A317" s="301"/>
      <c r="B317" s="301"/>
      <c r="C317" s="302"/>
      <c r="D317" s="301"/>
      <c r="E317" s="301"/>
      <c r="F317" s="302"/>
      <c r="G317" s="303"/>
      <c r="H317" s="343"/>
      <c r="I317" s="302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</row>
    <row r="318" spans="1:25" x14ac:dyDescent="0.25">
      <c r="A318" s="301"/>
      <c r="B318" s="301"/>
      <c r="C318" s="302"/>
      <c r="D318" s="301"/>
      <c r="E318" s="301"/>
      <c r="F318" s="302"/>
      <c r="G318" s="303"/>
      <c r="H318" s="343"/>
      <c r="I318" s="302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</row>
    <row r="319" spans="1:25" x14ac:dyDescent="0.25">
      <c r="A319" s="301"/>
      <c r="B319" s="301"/>
      <c r="C319" s="302"/>
      <c r="D319" s="301"/>
      <c r="E319" s="301"/>
      <c r="F319" s="302"/>
      <c r="G319" s="303"/>
      <c r="H319" s="343"/>
      <c r="I319" s="302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</row>
    <row r="320" spans="1:25" x14ac:dyDescent="0.25">
      <c r="A320" s="301"/>
      <c r="B320" s="301"/>
      <c r="C320" s="302"/>
      <c r="D320" s="301"/>
      <c r="E320" s="301"/>
      <c r="F320" s="302"/>
      <c r="G320" s="303"/>
      <c r="H320" s="343"/>
      <c r="I320" s="302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</row>
    <row r="321" spans="1:25" x14ac:dyDescent="0.25">
      <c r="A321" s="301"/>
      <c r="B321" s="301"/>
      <c r="C321" s="302"/>
      <c r="D321" s="301"/>
      <c r="E321" s="301"/>
      <c r="F321" s="302"/>
      <c r="G321" s="303"/>
      <c r="H321" s="343"/>
      <c r="I321" s="302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</row>
    <row r="322" spans="1:25" x14ac:dyDescent="0.25">
      <c r="A322" s="301"/>
      <c r="B322" s="301"/>
      <c r="C322" s="302"/>
      <c r="D322" s="301"/>
      <c r="E322" s="301"/>
      <c r="F322" s="302"/>
      <c r="G322" s="303"/>
      <c r="H322" s="343"/>
      <c r="I322" s="302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</row>
    <row r="323" spans="1:25" x14ac:dyDescent="0.25">
      <c r="A323" s="301"/>
      <c r="B323" s="301"/>
      <c r="C323" s="302"/>
      <c r="D323" s="301"/>
      <c r="E323" s="301"/>
      <c r="F323" s="302"/>
      <c r="G323" s="303"/>
      <c r="H323" s="343"/>
      <c r="I323" s="302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</row>
    <row r="324" spans="1:25" x14ac:dyDescent="0.25">
      <c r="A324" s="301"/>
      <c r="B324" s="301"/>
      <c r="C324" s="302"/>
      <c r="D324" s="301"/>
      <c r="E324" s="301"/>
      <c r="F324" s="302"/>
      <c r="G324" s="303"/>
      <c r="H324" s="343"/>
      <c r="I324" s="302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</row>
    <row r="325" spans="1:25" x14ac:dyDescent="0.25">
      <c r="A325" s="301"/>
      <c r="B325" s="301"/>
      <c r="C325" s="302"/>
      <c r="D325" s="301"/>
      <c r="E325" s="301"/>
      <c r="F325" s="302"/>
      <c r="G325" s="303"/>
      <c r="H325" s="343"/>
      <c r="I325" s="302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</row>
    <row r="326" spans="1:25" x14ac:dyDescent="0.25">
      <c r="A326" s="301"/>
      <c r="B326" s="301"/>
      <c r="C326" s="302"/>
      <c r="D326" s="301"/>
      <c r="E326" s="301"/>
      <c r="F326" s="302"/>
      <c r="G326" s="303"/>
      <c r="H326" s="343"/>
      <c r="I326" s="302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</row>
    <row r="327" spans="1:25" x14ac:dyDescent="0.25">
      <c r="A327" s="301"/>
      <c r="B327" s="301"/>
      <c r="C327" s="302"/>
      <c r="D327" s="301"/>
      <c r="E327" s="301"/>
      <c r="F327" s="302"/>
      <c r="G327" s="303"/>
      <c r="H327" s="343"/>
      <c r="I327" s="302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</row>
    <row r="328" spans="1:25" x14ac:dyDescent="0.25">
      <c r="A328" s="301"/>
      <c r="B328" s="301"/>
      <c r="C328" s="302"/>
      <c r="D328" s="301"/>
      <c r="E328" s="301"/>
      <c r="F328" s="302"/>
      <c r="G328" s="303"/>
      <c r="H328" s="343"/>
      <c r="I328" s="302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</row>
    <row r="329" spans="1:25" x14ac:dyDescent="0.25">
      <c r="A329" s="301"/>
      <c r="B329" s="301"/>
      <c r="C329" s="302"/>
      <c r="D329" s="301"/>
      <c r="E329" s="301"/>
      <c r="F329" s="302"/>
      <c r="G329" s="303"/>
      <c r="H329" s="343"/>
      <c r="I329" s="302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</row>
    <row r="330" spans="1:25" x14ac:dyDescent="0.25">
      <c r="A330" s="301"/>
      <c r="B330" s="301"/>
      <c r="C330" s="302"/>
      <c r="D330" s="301"/>
      <c r="E330" s="304"/>
      <c r="F330" s="302"/>
      <c r="G330" s="303"/>
      <c r="H330" s="343"/>
      <c r="I330" s="302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</row>
    <row r="331" spans="1:25" x14ac:dyDescent="0.25">
      <c r="A331" s="301"/>
      <c r="B331" s="301"/>
      <c r="C331" s="302"/>
      <c r="D331" s="301"/>
      <c r="E331" s="304"/>
      <c r="F331" s="302"/>
      <c r="G331" s="303"/>
      <c r="H331" s="343"/>
      <c r="I331" s="302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</row>
    <row r="332" spans="1:25" x14ac:dyDescent="0.25">
      <c r="A332" s="301"/>
      <c r="B332" s="301"/>
      <c r="C332" s="302"/>
      <c r="D332" s="301"/>
      <c r="E332" s="304"/>
      <c r="F332" s="302"/>
      <c r="G332" s="303"/>
      <c r="H332" s="343"/>
      <c r="I332" s="302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</row>
    <row r="333" spans="1:25" x14ac:dyDescent="0.25">
      <c r="A333" s="301"/>
      <c r="B333" s="301"/>
      <c r="C333" s="302"/>
      <c r="D333" s="301"/>
      <c r="E333" s="304"/>
      <c r="F333" s="302"/>
      <c r="G333" s="303"/>
      <c r="H333" s="343"/>
      <c r="I333" s="302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</row>
    <row r="334" spans="1:25" x14ac:dyDescent="0.25">
      <c r="A334" s="301"/>
      <c r="B334" s="301"/>
      <c r="C334" s="302"/>
      <c r="D334" s="301"/>
      <c r="E334" s="301"/>
      <c r="F334" s="302"/>
      <c r="G334" s="303"/>
      <c r="H334" s="343"/>
      <c r="I334" s="302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</row>
    <row r="335" spans="1:25" x14ac:dyDescent="0.25">
      <c r="A335" s="301"/>
      <c r="B335" s="301"/>
      <c r="C335" s="302"/>
      <c r="D335" s="301"/>
      <c r="E335" s="301"/>
      <c r="F335" s="302"/>
      <c r="G335" s="303"/>
      <c r="H335" s="343"/>
      <c r="I335" s="302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</row>
    <row r="336" spans="1:25" x14ac:dyDescent="0.25">
      <c r="A336" s="301"/>
      <c r="B336" s="301"/>
      <c r="C336" s="302"/>
      <c r="D336" s="301"/>
      <c r="E336" s="301"/>
      <c r="F336" s="302"/>
      <c r="G336" s="303"/>
      <c r="H336" s="343"/>
      <c r="I336" s="302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</row>
    <row r="337" spans="1:25" x14ac:dyDescent="0.25">
      <c r="A337" s="301"/>
      <c r="B337" s="301"/>
      <c r="C337" s="302"/>
      <c r="D337" s="301"/>
      <c r="E337" s="301"/>
      <c r="F337" s="302"/>
      <c r="G337" s="303"/>
      <c r="H337" s="343"/>
      <c r="I337" s="302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</row>
    <row r="338" spans="1:25" x14ac:dyDescent="0.25">
      <c r="A338" s="301"/>
      <c r="B338" s="301"/>
      <c r="C338" s="302"/>
      <c r="D338" s="301"/>
      <c r="E338" s="301"/>
      <c r="F338" s="302"/>
      <c r="G338" s="303"/>
      <c r="H338" s="343"/>
      <c r="I338" s="302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</row>
    <row r="339" spans="1:25" x14ac:dyDescent="0.25">
      <c r="A339" s="301"/>
      <c r="B339" s="301"/>
      <c r="C339" s="302"/>
      <c r="D339" s="301"/>
      <c r="E339" s="301"/>
      <c r="F339" s="302"/>
      <c r="G339" s="303"/>
      <c r="H339" s="343"/>
      <c r="I339" s="302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</row>
    <row r="340" spans="1:25" x14ac:dyDescent="0.25">
      <c r="A340" s="301"/>
      <c r="B340" s="301"/>
      <c r="C340" s="302"/>
      <c r="D340" s="301"/>
      <c r="E340" s="301"/>
      <c r="F340" s="302"/>
      <c r="G340" s="303"/>
      <c r="H340" s="343"/>
      <c r="I340" s="302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</row>
    <row r="341" spans="1:25" x14ac:dyDescent="0.25">
      <c r="A341" s="301"/>
      <c r="B341" s="301"/>
      <c r="C341" s="302"/>
      <c r="D341" s="301"/>
      <c r="E341" s="301"/>
      <c r="F341" s="302"/>
      <c r="G341" s="303"/>
      <c r="H341" s="343"/>
      <c r="I341" s="302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</row>
    <row r="342" spans="1:25" x14ac:dyDescent="0.25">
      <c r="A342" s="301"/>
      <c r="B342" s="301"/>
      <c r="C342" s="302"/>
      <c r="D342" s="301"/>
      <c r="E342" s="301"/>
      <c r="F342" s="302"/>
      <c r="G342" s="303"/>
      <c r="H342" s="343"/>
      <c r="I342" s="302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</row>
    <row r="343" spans="1:25" x14ac:dyDescent="0.25">
      <c r="A343" s="301"/>
      <c r="B343" s="301"/>
      <c r="C343" s="302"/>
      <c r="D343" s="301"/>
      <c r="E343" s="301"/>
      <c r="F343" s="302"/>
      <c r="G343" s="303"/>
      <c r="H343" s="343"/>
      <c r="I343" s="302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</row>
    <row r="344" spans="1:25" x14ac:dyDescent="0.25">
      <c r="A344" s="301"/>
      <c r="B344" s="301"/>
      <c r="C344" s="302"/>
      <c r="D344" s="301"/>
      <c r="E344" s="301"/>
      <c r="F344" s="302"/>
      <c r="G344" s="303"/>
      <c r="H344" s="343"/>
      <c r="I344" s="302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</row>
    <row r="345" spans="1:25" x14ac:dyDescent="0.25">
      <c r="A345" s="301"/>
      <c r="B345" s="301"/>
      <c r="C345" s="302"/>
      <c r="D345" s="301"/>
      <c r="E345" s="301"/>
      <c r="F345" s="302"/>
      <c r="G345" s="303"/>
      <c r="H345" s="343"/>
      <c r="I345" s="302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</row>
    <row r="346" spans="1:25" x14ac:dyDescent="0.25">
      <c r="A346" s="301"/>
      <c r="B346" s="301"/>
      <c r="C346" s="302"/>
      <c r="D346" s="301"/>
      <c r="E346" s="301"/>
      <c r="F346" s="302"/>
      <c r="G346" s="303"/>
      <c r="H346" s="343"/>
      <c r="I346" s="302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</row>
    <row r="347" spans="1:25" x14ac:dyDescent="0.25">
      <c r="A347" s="301"/>
      <c r="B347" s="301"/>
      <c r="C347" s="302"/>
      <c r="D347" s="301"/>
      <c r="E347" s="301"/>
      <c r="F347" s="302"/>
      <c r="G347" s="303"/>
      <c r="H347" s="343"/>
      <c r="I347" s="302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</row>
    <row r="348" spans="1:25" x14ac:dyDescent="0.25">
      <c r="A348" s="301"/>
      <c r="B348" s="301"/>
      <c r="C348" s="302"/>
      <c r="D348" s="301"/>
      <c r="E348" s="301"/>
      <c r="F348" s="302"/>
      <c r="G348" s="303"/>
      <c r="H348" s="343"/>
      <c r="I348" s="302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</row>
    <row r="349" spans="1:25" x14ac:dyDescent="0.25">
      <c r="A349" s="301"/>
      <c r="B349" s="301"/>
      <c r="C349" s="302"/>
      <c r="D349" s="301"/>
      <c r="E349" s="301"/>
      <c r="F349" s="302"/>
      <c r="G349" s="303"/>
      <c r="H349" s="343"/>
      <c r="I349" s="302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</row>
    <row r="350" spans="1:25" x14ac:dyDescent="0.25">
      <c r="A350" s="301"/>
      <c r="B350" s="301"/>
      <c r="C350" s="302"/>
      <c r="D350" s="301"/>
      <c r="E350" s="301"/>
      <c r="F350" s="302"/>
      <c r="G350" s="303"/>
      <c r="H350" s="343"/>
      <c r="I350" s="302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</row>
    <row r="351" spans="1:25" x14ac:dyDescent="0.25">
      <c r="A351" s="301"/>
      <c r="B351" s="301"/>
      <c r="C351" s="302"/>
      <c r="D351" s="301"/>
      <c r="E351" s="301"/>
      <c r="F351" s="302"/>
      <c r="G351" s="303"/>
      <c r="H351" s="343"/>
      <c r="I351" s="302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</row>
    <row r="352" spans="1:25" x14ac:dyDescent="0.25">
      <c r="A352" s="301"/>
      <c r="B352" s="301"/>
      <c r="C352" s="302"/>
      <c r="D352" s="301"/>
      <c r="E352" s="301"/>
      <c r="F352" s="302"/>
      <c r="G352" s="303"/>
      <c r="H352" s="343"/>
      <c r="I352" s="302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</row>
    <row r="353" spans="1:25" x14ac:dyDescent="0.25">
      <c r="A353" s="301"/>
      <c r="B353" s="301"/>
      <c r="C353" s="302"/>
      <c r="D353" s="301"/>
      <c r="E353" s="301"/>
      <c r="F353" s="302"/>
      <c r="G353" s="303"/>
      <c r="H353" s="343"/>
      <c r="I353" s="302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</row>
    <row r="354" spans="1:25" x14ac:dyDescent="0.25">
      <c r="A354" s="301"/>
      <c r="B354" s="301"/>
      <c r="C354" s="302"/>
      <c r="D354" s="301"/>
      <c r="E354" s="301"/>
      <c r="F354" s="302"/>
      <c r="G354" s="303"/>
      <c r="H354" s="343"/>
      <c r="I354" s="302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</row>
    <row r="355" spans="1:25" x14ac:dyDescent="0.25">
      <c r="A355" s="301"/>
      <c r="B355" s="301"/>
      <c r="C355" s="302"/>
      <c r="D355" s="301"/>
      <c r="E355" s="301"/>
      <c r="F355" s="302"/>
      <c r="G355" s="303"/>
      <c r="H355" s="343"/>
      <c r="I355" s="302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</row>
    <row r="356" spans="1:25" x14ac:dyDescent="0.25">
      <c r="A356" s="301"/>
      <c r="B356" s="301"/>
      <c r="C356" s="302"/>
      <c r="D356" s="301"/>
      <c r="E356" s="301"/>
      <c r="F356" s="302"/>
      <c r="G356" s="303"/>
      <c r="H356" s="343"/>
      <c r="I356" s="302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</row>
    <row r="357" spans="1:25" x14ac:dyDescent="0.25">
      <c r="A357" s="301"/>
      <c r="B357" s="301"/>
      <c r="C357" s="302"/>
      <c r="D357" s="301"/>
      <c r="E357" s="301"/>
      <c r="F357" s="302"/>
      <c r="G357" s="303"/>
      <c r="H357" s="343"/>
      <c r="I357" s="302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</row>
    <row r="358" spans="1:25" x14ac:dyDescent="0.25">
      <c r="A358" s="301"/>
      <c r="B358" s="301"/>
      <c r="C358" s="302"/>
      <c r="D358" s="301"/>
      <c r="E358" s="301"/>
      <c r="F358" s="302"/>
      <c r="G358" s="303"/>
      <c r="H358" s="343"/>
      <c r="I358" s="302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</row>
    <row r="359" spans="1:25" x14ac:dyDescent="0.25">
      <c r="A359" s="301"/>
      <c r="B359" s="301"/>
      <c r="C359" s="302"/>
      <c r="D359" s="301"/>
      <c r="E359" s="301"/>
      <c r="F359" s="302"/>
      <c r="G359" s="303"/>
      <c r="H359" s="343"/>
      <c r="I359" s="302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</row>
    <row r="360" spans="1:25" x14ac:dyDescent="0.25">
      <c r="A360" s="301"/>
      <c r="B360" s="301"/>
      <c r="C360" s="302"/>
      <c r="D360" s="301"/>
      <c r="E360" s="301"/>
      <c r="F360" s="302"/>
      <c r="G360" s="303"/>
      <c r="H360" s="343"/>
      <c r="I360" s="302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</row>
    <row r="361" spans="1:25" x14ac:dyDescent="0.25">
      <c r="A361" s="301"/>
      <c r="B361" s="301"/>
      <c r="C361" s="302"/>
      <c r="D361" s="301"/>
      <c r="E361" s="301"/>
      <c r="F361" s="302"/>
      <c r="G361" s="303"/>
      <c r="H361" s="343"/>
      <c r="I361" s="302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</row>
    <row r="362" spans="1:25" x14ac:dyDescent="0.25">
      <c r="A362" s="301"/>
      <c r="B362" s="301"/>
      <c r="C362" s="302"/>
      <c r="D362" s="301"/>
      <c r="E362" s="301"/>
      <c r="F362" s="302"/>
      <c r="G362" s="303"/>
      <c r="H362" s="343"/>
      <c r="I362" s="302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</row>
    <row r="363" spans="1:25" x14ac:dyDescent="0.25">
      <c r="A363" s="301"/>
      <c r="B363" s="301"/>
      <c r="C363" s="302"/>
      <c r="D363" s="301"/>
      <c r="E363" s="301"/>
      <c r="F363" s="302"/>
      <c r="G363" s="303"/>
      <c r="H363" s="343"/>
      <c r="I363" s="302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</row>
    <row r="364" spans="1:25" x14ac:dyDescent="0.25">
      <c r="A364" s="301"/>
      <c r="B364" s="301"/>
      <c r="C364" s="302"/>
      <c r="D364" s="301"/>
      <c r="E364" s="301"/>
      <c r="F364" s="302"/>
      <c r="G364" s="303"/>
      <c r="H364" s="343"/>
      <c r="I364" s="302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</row>
    <row r="365" spans="1:25" x14ac:dyDescent="0.25">
      <c r="A365" s="301"/>
      <c r="B365" s="301"/>
      <c r="C365" s="302"/>
      <c r="D365" s="301"/>
      <c r="E365" s="301"/>
      <c r="F365" s="302"/>
      <c r="G365" s="303"/>
      <c r="H365" s="343"/>
      <c r="I365" s="302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</row>
    <row r="366" spans="1:25" x14ac:dyDescent="0.25">
      <c r="A366" s="301"/>
      <c r="B366" s="301"/>
      <c r="C366" s="302"/>
      <c r="D366" s="301"/>
      <c r="E366" s="301"/>
      <c r="F366" s="302"/>
      <c r="G366" s="303"/>
      <c r="H366" s="343"/>
      <c r="I366" s="302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</row>
    <row r="367" spans="1:25" x14ac:dyDescent="0.25">
      <c r="A367" s="301"/>
      <c r="B367" s="301"/>
      <c r="C367" s="302"/>
      <c r="D367" s="301"/>
      <c r="E367" s="301"/>
      <c r="F367" s="302"/>
      <c r="G367" s="303"/>
      <c r="H367" s="343"/>
      <c r="I367" s="302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</row>
    <row r="368" spans="1:25" x14ac:dyDescent="0.25">
      <c r="A368" s="301"/>
      <c r="B368" s="301"/>
      <c r="C368" s="302"/>
      <c r="D368" s="301"/>
      <c r="E368" s="301"/>
      <c r="F368" s="302"/>
      <c r="G368" s="303"/>
      <c r="H368" s="343"/>
      <c r="I368" s="302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</row>
    <row r="369" spans="1:25" x14ac:dyDescent="0.25">
      <c r="A369" s="301"/>
      <c r="B369" s="301"/>
      <c r="C369" s="302"/>
      <c r="D369" s="301"/>
      <c r="E369" s="301"/>
      <c r="F369" s="302"/>
      <c r="G369" s="303"/>
      <c r="H369" s="343"/>
      <c r="I369" s="302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</row>
    <row r="370" spans="1:25" x14ac:dyDescent="0.25">
      <c r="A370" s="301"/>
      <c r="B370" s="301"/>
      <c r="C370" s="302"/>
      <c r="D370" s="301"/>
      <c r="E370" s="301"/>
      <c r="F370" s="302"/>
      <c r="G370" s="303"/>
      <c r="H370" s="343"/>
      <c r="I370" s="302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</row>
    <row r="371" spans="1:25" x14ac:dyDescent="0.25">
      <c r="A371" s="301"/>
      <c r="B371" s="301"/>
      <c r="C371" s="302"/>
      <c r="D371" s="301"/>
      <c r="E371" s="301"/>
      <c r="F371" s="302"/>
      <c r="G371" s="303"/>
      <c r="H371" s="343"/>
      <c r="I371" s="302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</row>
    <row r="372" spans="1:25" x14ac:dyDescent="0.25">
      <c r="A372" s="301"/>
      <c r="B372" s="301"/>
      <c r="C372" s="302"/>
      <c r="D372" s="301"/>
      <c r="E372" s="301"/>
      <c r="F372" s="302"/>
      <c r="G372" s="303"/>
      <c r="H372" s="343"/>
      <c r="I372" s="302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</row>
    <row r="373" spans="1:25" x14ac:dyDescent="0.25">
      <c r="A373" s="301"/>
      <c r="B373" s="301"/>
      <c r="C373" s="302"/>
      <c r="D373" s="301"/>
      <c r="E373" s="301"/>
      <c r="F373" s="302"/>
      <c r="G373" s="303"/>
      <c r="H373" s="343"/>
      <c r="I373" s="302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</row>
    <row r="374" spans="1:25" x14ac:dyDescent="0.25">
      <c r="A374" s="301"/>
      <c r="B374" s="301"/>
      <c r="C374" s="302"/>
      <c r="D374" s="301"/>
      <c r="E374" s="301"/>
      <c r="F374" s="302"/>
      <c r="G374" s="303"/>
      <c r="H374" s="343"/>
      <c r="I374" s="302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</row>
    <row r="375" spans="1:25" x14ac:dyDescent="0.25">
      <c r="A375" s="301"/>
      <c r="B375" s="301"/>
      <c r="C375" s="302"/>
      <c r="D375" s="301"/>
      <c r="E375" s="301"/>
      <c r="F375" s="302"/>
      <c r="G375" s="303"/>
      <c r="H375" s="343"/>
      <c r="I375" s="302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</row>
    <row r="376" spans="1:25" x14ac:dyDescent="0.25">
      <c r="A376" s="301"/>
      <c r="B376" s="301"/>
      <c r="C376" s="302"/>
      <c r="D376" s="301"/>
      <c r="E376" s="301"/>
      <c r="F376" s="302"/>
      <c r="G376" s="303"/>
      <c r="H376" s="343"/>
      <c r="I376" s="302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</row>
    <row r="377" spans="1:25" x14ac:dyDescent="0.25">
      <c r="A377" s="301"/>
      <c r="B377" s="301"/>
      <c r="C377" s="302"/>
      <c r="D377" s="301"/>
      <c r="E377" s="301"/>
      <c r="F377" s="302"/>
      <c r="G377" s="303"/>
      <c r="H377" s="343"/>
      <c r="I377" s="302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</row>
    <row r="378" spans="1:25" x14ac:dyDescent="0.25">
      <c r="A378" s="301"/>
      <c r="B378" s="301"/>
      <c r="C378" s="302"/>
      <c r="D378" s="301"/>
      <c r="E378" s="301"/>
      <c r="F378" s="302"/>
      <c r="G378" s="303"/>
      <c r="H378" s="343"/>
      <c r="I378" s="302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</row>
    <row r="379" spans="1:25" x14ac:dyDescent="0.25">
      <c r="A379" s="301"/>
      <c r="B379" s="301"/>
      <c r="C379" s="302"/>
      <c r="D379" s="301"/>
      <c r="E379" s="301"/>
      <c r="F379" s="302"/>
      <c r="G379" s="303"/>
      <c r="H379" s="343"/>
      <c r="I379" s="302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</row>
    <row r="380" spans="1:25" x14ac:dyDescent="0.25">
      <c r="A380" s="301"/>
      <c r="B380" s="301"/>
      <c r="C380" s="302"/>
      <c r="D380" s="301"/>
      <c r="E380" s="301"/>
      <c r="F380" s="302"/>
      <c r="G380" s="303"/>
      <c r="H380" s="343"/>
      <c r="I380" s="302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</row>
    <row r="381" spans="1:25" x14ac:dyDescent="0.25">
      <c r="A381" s="301"/>
      <c r="B381" s="301"/>
      <c r="C381" s="302"/>
      <c r="D381" s="301"/>
      <c r="E381" s="301"/>
      <c r="F381" s="302"/>
      <c r="G381" s="303"/>
      <c r="H381" s="343"/>
      <c r="I381" s="302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</row>
    <row r="382" spans="1:25" x14ac:dyDescent="0.25">
      <c r="A382" s="301"/>
      <c r="B382" s="301"/>
      <c r="C382" s="302"/>
      <c r="D382" s="301"/>
      <c r="E382" s="301"/>
      <c r="F382" s="302"/>
      <c r="G382" s="303"/>
      <c r="H382" s="343"/>
      <c r="I382" s="302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</row>
    <row r="383" spans="1:25" x14ac:dyDescent="0.25">
      <c r="A383" s="301"/>
      <c r="B383" s="301"/>
      <c r="C383" s="302"/>
      <c r="D383" s="301"/>
      <c r="E383" s="301"/>
      <c r="F383" s="302"/>
      <c r="G383" s="303"/>
      <c r="H383" s="343"/>
      <c r="I383" s="302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</row>
    <row r="384" spans="1:25" x14ac:dyDescent="0.25">
      <c r="A384" s="301"/>
      <c r="B384" s="301"/>
      <c r="C384" s="302"/>
      <c r="D384" s="301"/>
      <c r="E384" s="301"/>
      <c r="F384" s="302"/>
      <c r="G384" s="303"/>
      <c r="H384" s="343"/>
      <c r="I384" s="302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</row>
    <row r="385" spans="1:25" x14ac:dyDescent="0.25">
      <c r="A385" s="301"/>
      <c r="B385" s="301"/>
      <c r="C385" s="302"/>
      <c r="D385" s="301"/>
      <c r="E385" s="301"/>
      <c r="F385" s="302"/>
      <c r="G385" s="303"/>
      <c r="H385" s="343"/>
      <c r="I385" s="302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</row>
    <row r="386" spans="1:25" x14ac:dyDescent="0.25">
      <c r="A386" s="301"/>
      <c r="B386" s="301"/>
      <c r="C386" s="302"/>
      <c r="D386" s="301"/>
      <c r="E386" s="301"/>
      <c r="F386" s="302"/>
      <c r="G386" s="303"/>
      <c r="H386" s="343"/>
      <c r="I386" s="302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</row>
    <row r="387" spans="1:25" x14ac:dyDescent="0.25">
      <c r="A387" s="301"/>
      <c r="B387" s="301"/>
      <c r="C387" s="302"/>
      <c r="D387" s="301"/>
      <c r="E387" s="301"/>
      <c r="F387" s="302"/>
      <c r="G387" s="303"/>
      <c r="H387" s="343"/>
      <c r="I387" s="302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</row>
    <row r="388" spans="1:25" x14ac:dyDescent="0.25">
      <c r="A388" s="301"/>
      <c r="B388" s="301"/>
      <c r="C388" s="302"/>
      <c r="D388" s="301"/>
      <c r="E388" s="301"/>
      <c r="F388" s="302"/>
      <c r="G388" s="303"/>
      <c r="H388" s="343"/>
      <c r="I388" s="302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</row>
    <row r="389" spans="1:25" x14ac:dyDescent="0.25">
      <c r="A389" s="301"/>
      <c r="B389" s="301"/>
      <c r="C389" s="302"/>
      <c r="D389" s="301"/>
      <c r="E389" s="301"/>
      <c r="F389" s="302"/>
      <c r="G389" s="303"/>
      <c r="H389" s="343"/>
      <c r="I389" s="302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</row>
    <row r="390" spans="1:25" x14ac:dyDescent="0.25">
      <c r="A390" s="301"/>
      <c r="B390" s="301"/>
      <c r="C390" s="302"/>
      <c r="D390" s="301"/>
      <c r="E390" s="301"/>
      <c r="F390" s="302"/>
      <c r="G390" s="303"/>
      <c r="H390" s="343"/>
      <c r="I390" s="302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</row>
    <row r="391" spans="1:25" x14ac:dyDescent="0.25">
      <c r="A391" s="301"/>
      <c r="B391" s="301"/>
      <c r="C391" s="302"/>
      <c r="D391" s="301"/>
      <c r="E391" s="301"/>
      <c r="F391" s="302"/>
      <c r="G391" s="303"/>
      <c r="H391" s="343"/>
      <c r="I391" s="302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</row>
    <row r="392" spans="1:25" x14ac:dyDescent="0.25">
      <c r="A392" s="301"/>
      <c r="B392" s="301"/>
      <c r="C392" s="302"/>
      <c r="D392" s="301"/>
      <c r="E392" s="301"/>
      <c r="F392" s="302"/>
      <c r="G392" s="303"/>
      <c r="H392" s="343"/>
      <c r="I392" s="302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</row>
    <row r="393" spans="1:25" x14ac:dyDescent="0.25">
      <c r="A393" s="301"/>
      <c r="B393" s="301"/>
      <c r="C393" s="302"/>
      <c r="D393" s="301"/>
      <c r="E393" s="301"/>
      <c r="F393" s="302"/>
      <c r="G393" s="303"/>
      <c r="H393" s="343"/>
      <c r="I393" s="302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</row>
    <row r="394" spans="1:25" x14ac:dyDescent="0.25">
      <c r="A394" s="301"/>
      <c r="B394" s="301"/>
      <c r="C394" s="302"/>
      <c r="D394" s="301"/>
      <c r="E394" s="301"/>
      <c r="F394" s="302"/>
      <c r="G394" s="303"/>
      <c r="H394" s="343"/>
      <c r="I394" s="302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</row>
    <row r="395" spans="1:25" x14ac:dyDescent="0.25">
      <c r="A395" s="301"/>
      <c r="B395" s="301"/>
      <c r="C395" s="302"/>
      <c r="D395" s="301"/>
      <c r="E395" s="301"/>
      <c r="F395" s="302"/>
      <c r="G395" s="303"/>
      <c r="H395" s="343"/>
      <c r="I395" s="302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</row>
    <row r="396" spans="1:25" x14ac:dyDescent="0.25">
      <c r="A396" s="301"/>
      <c r="B396" s="301"/>
      <c r="C396" s="302"/>
      <c r="D396" s="301"/>
      <c r="E396" s="301"/>
      <c r="F396" s="302"/>
      <c r="G396" s="303"/>
      <c r="H396" s="343"/>
      <c r="I396" s="302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</row>
    <row r="397" spans="1:25" x14ac:dyDescent="0.25">
      <c r="A397" s="301"/>
      <c r="B397" s="301"/>
      <c r="C397" s="302"/>
      <c r="D397" s="301"/>
      <c r="E397" s="301"/>
      <c r="F397" s="302"/>
      <c r="G397" s="303"/>
      <c r="H397" s="343"/>
      <c r="I397" s="302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</row>
    <row r="398" spans="1:25" x14ac:dyDescent="0.25">
      <c r="A398" s="301"/>
      <c r="B398" s="301"/>
      <c r="C398" s="302"/>
      <c r="D398" s="301"/>
      <c r="E398" s="301"/>
      <c r="F398" s="302"/>
      <c r="G398" s="303"/>
      <c r="H398" s="343"/>
      <c r="I398" s="302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</row>
    <row r="399" spans="1:25" x14ac:dyDescent="0.25">
      <c r="A399" s="301"/>
      <c r="B399" s="301"/>
      <c r="C399" s="302"/>
      <c r="D399" s="301"/>
      <c r="E399" s="301"/>
      <c r="F399" s="302"/>
      <c r="G399" s="303"/>
      <c r="H399" s="343"/>
      <c r="I399" s="302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</row>
    <row r="400" spans="1:25" x14ac:dyDescent="0.25">
      <c r="A400" s="301"/>
      <c r="B400" s="301"/>
      <c r="C400" s="302"/>
      <c r="D400" s="301"/>
      <c r="E400" s="301"/>
      <c r="F400" s="302"/>
      <c r="G400" s="303"/>
      <c r="H400" s="343"/>
      <c r="I400" s="302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</row>
    <row r="401" spans="1:25" x14ac:dyDescent="0.25">
      <c r="A401" s="301"/>
      <c r="B401" s="301"/>
      <c r="C401" s="302"/>
      <c r="D401" s="301"/>
      <c r="E401" s="301"/>
      <c r="F401" s="302"/>
      <c r="G401" s="303"/>
      <c r="H401" s="343"/>
      <c r="I401" s="302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</row>
    <row r="402" spans="1:25" x14ac:dyDescent="0.25">
      <c r="A402" s="301"/>
      <c r="B402" s="301"/>
      <c r="C402" s="302"/>
      <c r="D402" s="301"/>
      <c r="E402" s="301"/>
      <c r="F402" s="302"/>
      <c r="G402" s="303"/>
      <c r="H402" s="343"/>
      <c r="I402" s="302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</row>
    <row r="403" spans="1:25" x14ac:dyDescent="0.25">
      <c r="A403" s="301"/>
      <c r="B403" s="301"/>
      <c r="C403" s="302"/>
      <c r="D403" s="301"/>
      <c r="E403" s="301"/>
      <c r="F403" s="302"/>
      <c r="G403" s="303"/>
      <c r="H403" s="343"/>
      <c r="I403" s="302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</row>
    <row r="404" spans="1:25" x14ac:dyDescent="0.25">
      <c r="A404" s="301"/>
      <c r="B404" s="301"/>
      <c r="C404" s="302"/>
      <c r="D404" s="301"/>
      <c r="E404" s="301"/>
      <c r="F404" s="302"/>
      <c r="G404" s="303"/>
      <c r="H404" s="343"/>
      <c r="I404" s="302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</row>
    <row r="405" spans="1:25" x14ac:dyDescent="0.25">
      <c r="A405" s="301"/>
      <c r="B405" s="301"/>
      <c r="C405" s="302"/>
      <c r="D405" s="301"/>
      <c r="E405" s="301"/>
      <c r="F405" s="302"/>
      <c r="G405" s="303"/>
      <c r="H405" s="343"/>
      <c r="I405" s="302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</row>
    <row r="406" spans="1:25" x14ac:dyDescent="0.25">
      <c r="A406" s="301"/>
      <c r="B406" s="301"/>
      <c r="C406" s="302"/>
      <c r="D406" s="301"/>
      <c r="E406" s="301"/>
      <c r="F406" s="302"/>
      <c r="G406" s="303"/>
      <c r="H406" s="343"/>
      <c r="I406" s="302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</row>
    <row r="407" spans="1:25" x14ac:dyDescent="0.25">
      <c r="A407" s="301"/>
      <c r="B407" s="301"/>
      <c r="C407" s="302"/>
      <c r="D407" s="301"/>
      <c r="E407" s="301"/>
      <c r="F407" s="302"/>
      <c r="G407" s="303"/>
      <c r="H407" s="343"/>
      <c r="I407" s="302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</row>
    <row r="408" spans="1:25" x14ac:dyDescent="0.25">
      <c r="A408" s="301"/>
      <c r="B408" s="301"/>
      <c r="C408" s="302"/>
      <c r="D408" s="301"/>
      <c r="E408" s="301"/>
      <c r="F408" s="302"/>
      <c r="G408" s="303"/>
      <c r="H408" s="343"/>
      <c r="I408" s="302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</row>
    <row r="409" spans="1:25" x14ac:dyDescent="0.25">
      <c r="A409" s="301"/>
      <c r="B409" s="301"/>
      <c r="C409" s="302"/>
      <c r="D409" s="301"/>
      <c r="E409" s="301"/>
      <c r="F409" s="302"/>
      <c r="G409" s="303"/>
      <c r="H409" s="343"/>
      <c r="I409" s="302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</row>
    <row r="410" spans="1:25" x14ac:dyDescent="0.25">
      <c r="A410" s="301"/>
      <c r="B410" s="301"/>
      <c r="C410" s="302"/>
      <c r="D410" s="301"/>
      <c r="E410" s="301"/>
      <c r="F410" s="302"/>
      <c r="G410" s="303"/>
      <c r="H410" s="343"/>
      <c r="I410" s="302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</row>
    <row r="411" spans="1:25" x14ac:dyDescent="0.25">
      <c r="A411" s="301"/>
      <c r="B411" s="301"/>
      <c r="C411" s="302"/>
      <c r="D411" s="301"/>
      <c r="E411" s="301"/>
      <c r="F411" s="302"/>
      <c r="G411" s="303"/>
      <c r="H411" s="343"/>
      <c r="I411" s="302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</row>
    <row r="412" spans="1:25" x14ac:dyDescent="0.25">
      <c r="A412" s="301"/>
      <c r="B412" s="301"/>
      <c r="C412" s="302"/>
      <c r="D412" s="301"/>
      <c r="E412" s="301"/>
      <c r="F412" s="302"/>
      <c r="G412" s="303"/>
      <c r="H412" s="343"/>
      <c r="I412" s="302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</row>
    <row r="413" spans="1:25" x14ac:dyDescent="0.25">
      <c r="A413" s="301"/>
      <c r="B413" s="301"/>
      <c r="C413" s="302"/>
      <c r="D413" s="301"/>
      <c r="E413" s="301"/>
      <c r="F413" s="302"/>
      <c r="G413" s="303"/>
      <c r="H413" s="343"/>
      <c r="I413" s="302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</row>
    <row r="414" spans="1:25" x14ac:dyDescent="0.25">
      <c r="A414" s="301"/>
      <c r="B414" s="301"/>
      <c r="C414" s="302"/>
      <c r="D414" s="301"/>
      <c r="E414" s="301"/>
      <c r="F414" s="302"/>
      <c r="G414" s="303"/>
      <c r="H414" s="343"/>
      <c r="I414" s="302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</row>
    <row r="415" spans="1:25" x14ac:dyDescent="0.25">
      <c r="A415" s="301"/>
      <c r="B415" s="301"/>
      <c r="C415" s="302"/>
      <c r="D415" s="301"/>
      <c r="E415" s="301"/>
      <c r="F415" s="302"/>
      <c r="G415" s="303"/>
      <c r="H415" s="343"/>
      <c r="I415" s="302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</row>
    <row r="416" spans="1:25" x14ac:dyDescent="0.25">
      <c r="A416" s="301"/>
      <c r="B416" s="301"/>
      <c r="C416" s="302"/>
      <c r="D416" s="301"/>
      <c r="E416" s="301"/>
      <c r="F416" s="302"/>
      <c r="G416" s="303"/>
      <c r="H416" s="343"/>
      <c r="I416" s="302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</row>
    <row r="417" spans="1:25" x14ac:dyDescent="0.25">
      <c r="A417" s="301"/>
      <c r="B417" s="301"/>
      <c r="C417" s="302"/>
      <c r="D417" s="301"/>
      <c r="E417" s="301"/>
      <c r="F417" s="302"/>
      <c r="G417" s="303"/>
      <c r="H417" s="343"/>
      <c r="I417" s="302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</row>
    <row r="418" spans="1:25" x14ac:dyDescent="0.25">
      <c r="A418" s="301"/>
      <c r="B418" s="301"/>
      <c r="C418" s="302"/>
      <c r="D418" s="301"/>
      <c r="E418" s="301"/>
      <c r="F418" s="302"/>
      <c r="G418" s="303"/>
      <c r="H418" s="343"/>
      <c r="I418" s="302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</row>
    <row r="419" spans="1:25" x14ac:dyDescent="0.25">
      <c r="A419" s="301"/>
      <c r="B419" s="301"/>
      <c r="C419" s="302"/>
      <c r="D419" s="301"/>
      <c r="E419" s="301"/>
      <c r="F419" s="302"/>
      <c r="G419" s="303"/>
      <c r="H419" s="343"/>
      <c r="I419" s="302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</row>
    <row r="420" spans="1:25" x14ac:dyDescent="0.25">
      <c r="A420" s="301"/>
      <c r="B420" s="301"/>
      <c r="C420" s="302"/>
      <c r="D420" s="301"/>
      <c r="E420" s="301"/>
      <c r="F420" s="302"/>
      <c r="G420" s="303"/>
      <c r="H420" s="343"/>
      <c r="I420" s="302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</row>
    <row r="421" spans="1:25" x14ac:dyDescent="0.25">
      <c r="A421" s="301"/>
      <c r="B421" s="301"/>
      <c r="C421" s="302"/>
      <c r="D421" s="301"/>
      <c r="E421" s="301"/>
      <c r="F421" s="302"/>
      <c r="G421" s="303"/>
      <c r="H421" s="343"/>
      <c r="I421" s="302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</row>
    <row r="422" spans="1:25" x14ac:dyDescent="0.25">
      <c r="A422" s="301"/>
      <c r="B422" s="301"/>
      <c r="C422" s="302"/>
      <c r="D422" s="301"/>
      <c r="E422" s="301"/>
      <c r="F422" s="302"/>
      <c r="G422" s="303"/>
      <c r="H422" s="343"/>
      <c r="I422" s="302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</row>
    <row r="423" spans="1:25" x14ac:dyDescent="0.25">
      <c r="A423" s="301"/>
      <c r="B423" s="301"/>
      <c r="C423" s="302"/>
      <c r="D423" s="301"/>
      <c r="E423" s="301"/>
      <c r="F423" s="302"/>
      <c r="G423" s="303"/>
      <c r="H423" s="343"/>
      <c r="I423" s="302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</row>
    <row r="424" spans="1:25" x14ac:dyDescent="0.25">
      <c r="A424" s="301"/>
      <c r="B424" s="301"/>
      <c r="C424" s="302"/>
      <c r="D424" s="301"/>
      <c r="E424" s="301"/>
      <c r="F424" s="302"/>
      <c r="G424" s="303"/>
      <c r="H424" s="343"/>
      <c r="I424" s="302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</row>
    <row r="425" spans="1:25" x14ac:dyDescent="0.25">
      <c r="A425" s="301"/>
      <c r="B425" s="301"/>
      <c r="C425" s="302"/>
      <c r="D425" s="301"/>
      <c r="E425" s="301"/>
      <c r="F425" s="302"/>
      <c r="G425" s="303"/>
      <c r="H425" s="343"/>
      <c r="I425" s="302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</row>
    <row r="426" spans="1:25" x14ac:dyDescent="0.25">
      <c r="A426" s="301"/>
      <c r="B426" s="301"/>
      <c r="C426" s="302"/>
      <c r="D426" s="301"/>
      <c r="E426" s="301"/>
      <c r="F426" s="302"/>
      <c r="G426" s="303"/>
      <c r="H426" s="343"/>
      <c r="I426" s="302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</row>
    <row r="427" spans="1:25" x14ac:dyDescent="0.25">
      <c r="A427" s="301"/>
      <c r="B427" s="301"/>
      <c r="C427" s="302"/>
      <c r="D427" s="301"/>
      <c r="E427" s="301"/>
      <c r="F427" s="302"/>
      <c r="G427" s="303"/>
      <c r="H427" s="343"/>
      <c r="I427" s="302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</row>
    <row r="428" spans="1:25" x14ac:dyDescent="0.25">
      <c r="A428" s="301"/>
      <c r="B428" s="301"/>
      <c r="C428" s="302"/>
      <c r="D428" s="301"/>
      <c r="E428" s="301"/>
      <c r="F428" s="302"/>
      <c r="G428" s="303"/>
      <c r="H428" s="343"/>
      <c r="I428" s="302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</row>
    <row r="429" spans="1:25" x14ac:dyDescent="0.25">
      <c r="A429" s="301"/>
      <c r="B429" s="301"/>
      <c r="C429" s="302"/>
      <c r="D429" s="301"/>
      <c r="E429" s="301"/>
      <c r="F429" s="302"/>
      <c r="G429" s="303"/>
      <c r="H429" s="343"/>
      <c r="I429" s="302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</row>
    <row r="430" spans="1:25" x14ac:dyDescent="0.25">
      <c r="A430" s="301"/>
      <c r="B430" s="301"/>
      <c r="C430" s="302"/>
      <c r="D430" s="301"/>
      <c r="E430" s="301"/>
      <c r="F430" s="302"/>
      <c r="G430" s="303"/>
      <c r="H430" s="343"/>
      <c r="I430" s="302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</row>
    <row r="431" spans="1:25" x14ac:dyDescent="0.25">
      <c r="A431" s="301"/>
      <c r="B431" s="301"/>
      <c r="C431" s="302"/>
      <c r="D431" s="301"/>
      <c r="E431" s="301"/>
      <c r="F431" s="302"/>
      <c r="G431" s="303"/>
      <c r="H431" s="343"/>
      <c r="I431" s="302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</row>
    <row r="432" spans="1:25" x14ac:dyDescent="0.25">
      <c r="A432" s="301"/>
      <c r="B432" s="301"/>
      <c r="C432" s="302"/>
      <c r="D432" s="301"/>
      <c r="E432" s="301"/>
      <c r="F432" s="302"/>
      <c r="G432" s="303"/>
      <c r="H432" s="343"/>
      <c r="I432" s="302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</row>
    <row r="433" spans="1:25" x14ac:dyDescent="0.25">
      <c r="A433" s="301"/>
      <c r="B433" s="301"/>
      <c r="C433" s="302"/>
      <c r="D433" s="301"/>
      <c r="E433" s="301"/>
      <c r="F433" s="302"/>
      <c r="G433" s="303"/>
      <c r="H433" s="343"/>
      <c r="I433" s="302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</row>
    <row r="434" spans="1:25" x14ac:dyDescent="0.25">
      <c r="A434" s="301"/>
      <c r="B434" s="301"/>
      <c r="C434" s="302"/>
      <c r="D434" s="301"/>
      <c r="E434" s="301"/>
      <c r="F434" s="302"/>
      <c r="G434" s="303"/>
      <c r="H434" s="343"/>
      <c r="I434" s="302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</row>
    <row r="435" spans="1:25" x14ac:dyDescent="0.25">
      <c r="A435" s="301"/>
      <c r="B435" s="301"/>
      <c r="C435" s="302"/>
      <c r="D435" s="301"/>
      <c r="E435" s="301"/>
      <c r="F435" s="302"/>
      <c r="G435" s="303"/>
      <c r="H435" s="343"/>
      <c r="I435" s="302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</row>
    <row r="436" spans="1:25" x14ac:dyDescent="0.25">
      <c r="A436" s="301"/>
      <c r="B436" s="301"/>
      <c r="C436" s="302"/>
      <c r="D436" s="301"/>
      <c r="E436" s="301"/>
      <c r="F436" s="302"/>
      <c r="G436" s="303"/>
      <c r="H436" s="343"/>
      <c r="I436" s="302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</row>
    <row r="437" spans="1:25" x14ac:dyDescent="0.25">
      <c r="A437" s="301"/>
      <c r="B437" s="301"/>
      <c r="C437" s="302"/>
      <c r="D437" s="301"/>
      <c r="E437" s="301"/>
      <c r="F437" s="302"/>
      <c r="G437" s="303"/>
      <c r="H437" s="343"/>
      <c r="I437" s="302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</row>
    <row r="438" spans="1:25" x14ac:dyDescent="0.25">
      <c r="A438" s="301"/>
      <c r="B438" s="301"/>
      <c r="C438" s="302"/>
      <c r="D438" s="301"/>
      <c r="E438" s="301"/>
      <c r="F438" s="302"/>
      <c r="G438" s="303"/>
      <c r="H438" s="343"/>
      <c r="I438" s="302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</row>
    <row r="439" spans="1:25" x14ac:dyDescent="0.25">
      <c r="A439" s="301"/>
      <c r="B439" s="301"/>
      <c r="C439" s="302"/>
      <c r="D439" s="301"/>
      <c r="E439" s="301"/>
      <c r="F439" s="302"/>
      <c r="G439" s="303"/>
      <c r="H439" s="343"/>
      <c r="I439" s="302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</row>
    <row r="440" spans="1:25" x14ac:dyDescent="0.25">
      <c r="A440" s="301"/>
      <c r="B440" s="301"/>
      <c r="C440" s="302"/>
      <c r="D440" s="301"/>
      <c r="E440" s="301"/>
      <c r="F440" s="302"/>
      <c r="G440" s="303"/>
      <c r="H440" s="343"/>
      <c r="I440" s="302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</row>
  </sheetData>
  <conditionalFormatting sqref="D208">
    <cfRule type="containsText" dxfId="7" priority="208">
      <formula>NOT(ISERROR(SEARCH("Req#3",D208)))</formula>
    </cfRule>
  </conditionalFormatting>
  <conditionalFormatting sqref="H99">
    <cfRule type="containsText" dxfId="8" priority="2">
      <formula>NOT(ISERROR(SEARCH("Req#3",H99)))</formula>
    </cfRule>
  </conditionalFormatting>
  <conditionalFormatting sqref="H216:H217">
    <cfRule type="containsText" dxfId="9" priority="1">
      <formula>NOT(ISERROR(SEARCH("Req#3",H216)))</formula>
    </cfRule>
  </conditionalFormatting>
  <printOptions horizontalCentered="1"/>
  <pageMargins left="0.5" right="0.5" top="0.5" bottom="0.25" header="0.25" footer="0.25"/>
  <pageSetup orientation="landscape" horizontalDpi="4294967295" verticalDpi="4294967295" scale="71" fitToWidth="1" fitToHeight="1" firstPageNumber="12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7"/>
  <sheetViews>
    <sheetView workbookViewId="0" zoomScale="100" zoomScaleNormal="100"/>
  </sheetViews>
  <sheetFormatPr defaultRowHeight="18" outlineLevelRow="1" outlineLevelCol="0" x14ac:dyDescent="0.35" defaultColWidth="9.109375" customHeight="1"/>
  <cols>
    <col min="1" max="1" width="10.109375" style="461" customWidth="1"/>
    <col min="2" max="2" width="43.44140625" style="18" customWidth="1"/>
    <col min="3" max="3" width="26.44140625" style="19" customWidth="1"/>
    <col min="4" max="4" width="25" style="19" customWidth="1"/>
    <col min="5" max="5" width="26.44140625" style="19" customWidth="1"/>
    <col min="6" max="6" width="28.109375" style="20" customWidth="1"/>
    <col min="7" max="7" width="25.33203125" style="21" customWidth="1"/>
    <col min="8" max="8" width="22.109375" style="21" customWidth="1"/>
    <col min="9" max="9" width="27.6640625" style="21" customWidth="1"/>
    <col min="10" max="11" width="22.109375" style="21" customWidth="1"/>
    <col min="12" max="12" width="9.109375" style="18" customWidth="1"/>
    <col min="13" max="13" width="15" style="18" customWidth="1"/>
    <col min="14" max="16384" width="9.109375" style="18" customWidth="1"/>
  </cols>
  <sheetData>
    <row r="1" spans="1:7" x14ac:dyDescent="0.25" outlineLevel="1" collapsed="1">
      <c r="A1" s="462" t="s">
        <v>438</v>
      </c>
      <c r="F1" s="19"/>
      <c r="G1" s="27"/>
    </row>
    <row r="2" spans="1:7" x14ac:dyDescent="0.25" outlineLevel="1" collapsed="1">
      <c r="A2" s="462" t="e">
        <f>'Budget to Actual P1'!#REF!</f>
        <v>#REF!</v>
      </c>
      <c r="F2" s="19"/>
      <c r="G2" s="27"/>
    </row>
    <row r="3" spans="1:6" x14ac:dyDescent="0.25" outlineLevel="1" collapsed="1">
      <c r="A3" s="462">
        <f>'Budget to Actual P1'!B4</f>
        <v>46203</v>
      </c>
      <c r="F3" s="19"/>
    </row>
    <row r="4" ht="18" customHeight="1" spans="1:6" x14ac:dyDescent="0.25" outlineLevel="1" collapsed="1">
      <c r="A4" s="462">
        <f>'Budget to Actual P1'!A5</f>
        <v>0</v>
      </c>
      <c r="F4" s="19"/>
    </row>
    <row r="5" ht="18" customHeight="1" spans="1:6" x14ac:dyDescent="0.25" outlineLevel="1" collapsed="1">
      <c r="A5" s="462"/>
      <c r="F5" s="19"/>
    </row>
    <row r="6" ht="18" customHeight="1" spans="1:11" x14ac:dyDescent="0.25">
      <c r="A6" s="463"/>
      <c r="B6" s="47" t="s">
        <v>24</v>
      </c>
      <c r="C6" s="464" t="s">
        <v>833</v>
      </c>
      <c r="D6" s="464" t="s">
        <v>26</v>
      </c>
      <c r="E6" s="464" t="s">
        <v>27</v>
      </c>
      <c r="F6" s="464" t="s">
        <v>833</v>
      </c>
      <c r="G6" s="465" t="s">
        <v>28</v>
      </c>
      <c r="H6" s="465" t="s">
        <v>29</v>
      </c>
      <c r="I6" s="465" t="s">
        <v>30</v>
      </c>
      <c r="K6" s="466" t="s">
        <v>31</v>
      </c>
    </row>
    <row r="7" ht="18" customHeight="1" spans="1:11" x14ac:dyDescent="0.25">
      <c r="A7" s="467" t="s">
        <v>183</v>
      </c>
      <c r="B7" s="468" t="s">
        <v>33</v>
      </c>
      <c r="C7" s="469" t="s">
        <v>989</v>
      </c>
      <c r="D7" s="469" t="s">
        <v>34</v>
      </c>
      <c r="E7" s="469" t="s">
        <v>34</v>
      </c>
      <c r="F7" s="469" t="s">
        <v>35</v>
      </c>
      <c r="G7" s="470" t="s">
        <v>990</v>
      </c>
      <c r="H7" s="471" t="s">
        <v>991</v>
      </c>
      <c r="I7" s="470" t="s">
        <v>992</v>
      </c>
      <c r="J7" s="466" t="s">
        <v>39</v>
      </c>
      <c r="K7" s="472" t="s">
        <v>993</v>
      </c>
    </row>
    <row r="8" ht="7.5" customHeight="1" spans="1:11" x14ac:dyDescent="0.25">
      <c r="A8" s="473"/>
      <c r="B8" s="42"/>
      <c r="C8" s="43"/>
      <c r="D8" s="43"/>
      <c r="E8" s="43"/>
      <c r="F8" s="43"/>
      <c r="G8" s="45"/>
      <c r="H8" s="44"/>
      <c r="I8" s="45"/>
      <c r="J8" s="44"/>
      <c r="K8" s="44"/>
    </row>
    <row r="9" ht="18" customHeight="1" spans="1:11" x14ac:dyDescent="0.25">
      <c r="A9" s="475">
        <v>11010</v>
      </c>
      <c r="B9" s="47" t="s">
        <v>41</v>
      </c>
      <c r="C9" s="476">
        <v>5858494.36</v>
      </c>
      <c r="D9" s="48">
        <v>0</v>
      </c>
      <c r="E9" s="48">
        <v>0</v>
      </c>
      <c r="F9" s="49">
        <v>5858494.36</v>
      </c>
      <c r="G9" s="477">
        <v>5858494.36</v>
      </c>
      <c r="H9" s="50">
        <v>0</v>
      </c>
      <c r="I9" s="51">
        <v>5858494.36</v>
      </c>
      <c r="J9" s="52">
        <v>1</v>
      </c>
      <c r="K9" s="50">
        <v>0</v>
      </c>
    </row>
    <row r="10" ht="18" customHeight="1" spans="1:11" x14ac:dyDescent="0.25">
      <c r="A10" s="475">
        <v>11050</v>
      </c>
      <c r="B10" s="47" t="s">
        <v>43</v>
      </c>
      <c r="C10" s="476">
        <v>200754.83</v>
      </c>
      <c r="D10" s="48">
        <v>-49410.84</v>
      </c>
      <c r="E10" s="48">
        <v>0</v>
      </c>
      <c r="F10" s="49">
        <v>151343.99</v>
      </c>
      <c r="G10" s="477">
        <v>151343.99</v>
      </c>
      <c r="H10" s="50">
        <v>0</v>
      </c>
      <c r="I10" s="51">
        <v>151343.99</v>
      </c>
      <c r="J10" s="52">
        <v>1</v>
      </c>
      <c r="K10" s="50">
        <v>0</v>
      </c>
    </row>
    <row r="11" ht="18" customHeight="1" spans="1:11" x14ac:dyDescent="0.25">
      <c r="A11" s="478"/>
      <c r="B11" s="57" t="s">
        <v>44</v>
      </c>
      <c r="C11" s="58">
        <v>6059249.19</v>
      </c>
      <c r="D11" s="58">
        <v>-49410.84</v>
      </c>
      <c r="E11" s="58">
        <v>0</v>
      </c>
      <c r="F11" s="58">
        <v>6009838.350000001</v>
      </c>
      <c r="G11" s="58">
        <v>6009838.350000001</v>
      </c>
      <c r="H11" s="58">
        <v>0</v>
      </c>
      <c r="I11" s="58">
        <v>6009838.350000001</v>
      </c>
      <c r="J11" s="59">
        <v>1</v>
      </c>
      <c r="K11" s="479">
        <v>0</v>
      </c>
    </row>
    <row r="12" ht="18" customHeight="1" hidden="1" spans="1:11" x14ac:dyDescent="0.25" outlineLevel="1" collapsed="1">
      <c r="A12" s="475">
        <v>11110</v>
      </c>
      <c r="B12" s="47" t="s">
        <v>45</v>
      </c>
      <c r="C12" s="48">
        <v>0</v>
      </c>
      <c r="D12" s="48">
        <v>0</v>
      </c>
      <c r="E12" s="48">
        <v>0</v>
      </c>
      <c r="F12" s="49">
        <v>0</v>
      </c>
      <c r="G12" s="477">
        <v>0</v>
      </c>
      <c r="H12" s="50">
        <v>0</v>
      </c>
      <c r="I12" s="51">
        <v>0</v>
      </c>
      <c r="J12" s="50"/>
      <c r="K12" s="50">
        <v>0</v>
      </c>
    </row>
    <row r="13" ht="18" customHeight="1" hidden="1" spans="1:11" x14ac:dyDescent="0.25" outlineLevel="1" collapsed="1">
      <c r="A13" s="475">
        <v>11120</v>
      </c>
      <c r="B13" s="47" t="s">
        <v>46</v>
      </c>
      <c r="C13" s="48">
        <v>0</v>
      </c>
      <c r="D13" s="48">
        <v>0</v>
      </c>
      <c r="E13" s="48">
        <v>0</v>
      </c>
      <c r="F13" s="49">
        <v>0</v>
      </c>
      <c r="G13" s="477">
        <v>0</v>
      </c>
      <c r="H13" s="50">
        <v>0</v>
      </c>
      <c r="I13" s="51">
        <v>0</v>
      </c>
      <c r="J13" s="50"/>
      <c r="K13" s="50">
        <v>0</v>
      </c>
    </row>
    <row r="14" ht="18" customHeight="1" hidden="1" spans="1:11" x14ac:dyDescent="0.25" outlineLevel="1" collapsed="1">
      <c r="A14" s="475">
        <v>11130</v>
      </c>
      <c r="B14" s="47" t="s">
        <v>47</v>
      </c>
      <c r="C14" s="48">
        <v>0</v>
      </c>
      <c r="D14" s="48">
        <v>0</v>
      </c>
      <c r="E14" s="48">
        <v>0</v>
      </c>
      <c r="F14" s="49">
        <v>0</v>
      </c>
      <c r="G14" s="477">
        <v>0</v>
      </c>
      <c r="H14" s="50">
        <v>0</v>
      </c>
      <c r="I14" s="51">
        <v>0</v>
      </c>
      <c r="J14" s="50"/>
      <c r="K14" s="50">
        <v>0</v>
      </c>
    </row>
    <row r="15" ht="18" customHeight="1" spans="1:11" x14ac:dyDescent="0.25">
      <c r="A15" s="475">
        <v>11140</v>
      </c>
      <c r="B15" s="47" t="s">
        <v>48</v>
      </c>
      <c r="C15" s="476">
        <v>150000</v>
      </c>
      <c r="D15" s="48">
        <v>62251</v>
      </c>
      <c r="E15" s="48">
        <v>0</v>
      </c>
      <c r="F15" s="49">
        <v>212251</v>
      </c>
      <c r="G15" s="477">
        <v>62251.02</v>
      </c>
      <c r="H15" s="50">
        <v>0</v>
      </c>
      <c r="I15" s="51">
        <v>62251.02</v>
      </c>
      <c r="J15" s="52">
        <v>0.29328964292276594</v>
      </c>
      <c r="K15" s="50">
        <v>149999.98</v>
      </c>
    </row>
    <row r="16" ht="18" customHeight="1" spans="1:11" x14ac:dyDescent="0.25">
      <c r="A16" s="478"/>
      <c r="B16" s="57" t="s">
        <v>49</v>
      </c>
      <c r="C16" s="58">
        <v>150000</v>
      </c>
      <c r="D16" s="58">
        <v>62251</v>
      </c>
      <c r="E16" s="58">
        <v>0</v>
      </c>
      <c r="F16" s="58">
        <v>212251</v>
      </c>
      <c r="G16" s="58">
        <v>62251.02</v>
      </c>
      <c r="H16" s="58">
        <v>0</v>
      </c>
      <c r="I16" s="58">
        <v>62251.02</v>
      </c>
      <c r="J16" s="59">
        <v>0.29328964292276594</v>
      </c>
      <c r="K16" s="479">
        <v>149999.98</v>
      </c>
    </row>
    <row r="17" ht="18" customHeight="1" spans="1:11" x14ac:dyDescent="0.25">
      <c r="A17" s="475">
        <v>11230</v>
      </c>
      <c r="B17" s="47" t="s">
        <v>259</v>
      </c>
      <c r="C17" s="476">
        <v>400000</v>
      </c>
      <c r="D17" s="48">
        <v>-310000</v>
      </c>
      <c r="E17" s="48">
        <v>0</v>
      </c>
      <c r="F17" s="49">
        <v>90000</v>
      </c>
      <c r="G17" s="477">
        <v>0</v>
      </c>
      <c r="H17" s="50">
        <v>0</v>
      </c>
      <c r="I17" s="51">
        <v>0</v>
      </c>
      <c r="J17" s="52">
        <v>0</v>
      </c>
      <c r="K17" s="50">
        <v>90000</v>
      </c>
    </row>
    <row r="18" ht="18" customHeight="1" hidden="1" spans="1:11" x14ac:dyDescent="0.25" outlineLevel="1" collapsed="1">
      <c r="A18" s="475">
        <v>11220</v>
      </c>
      <c r="B18" s="47" t="s">
        <v>841</v>
      </c>
      <c r="C18" s="476">
        <v>0</v>
      </c>
      <c r="D18" s="48">
        <v>0</v>
      </c>
      <c r="E18" s="48">
        <v>0</v>
      </c>
      <c r="F18" s="49">
        <v>0</v>
      </c>
      <c r="G18" s="477">
        <v>0</v>
      </c>
      <c r="H18" s="50">
        <v>0</v>
      </c>
      <c r="I18" s="51">
        <v>0</v>
      </c>
      <c r="J18" s="52" t="e">
        <v>#DIV/0!</v>
      </c>
      <c r="K18" s="50">
        <v>0</v>
      </c>
    </row>
    <row r="19" ht="18" customHeight="1" spans="1:11" x14ac:dyDescent="0.25">
      <c r="A19" s="475">
        <v>11210</v>
      </c>
      <c r="B19" s="47" t="s">
        <v>842</v>
      </c>
      <c r="C19" s="476">
        <v>38698021.05</v>
      </c>
      <c r="D19" s="48">
        <v>9454867.37</v>
      </c>
      <c r="E19" s="48">
        <v>0</v>
      </c>
      <c r="F19" s="49">
        <v>48152888.419999994</v>
      </c>
      <c r="G19" s="477">
        <v>6814171.260000001</v>
      </c>
      <c r="H19" s="50">
        <v>505411.87</v>
      </c>
      <c r="I19" s="51">
        <v>7319583.130000001</v>
      </c>
      <c r="J19" s="52">
        <v>0.15200714578442315</v>
      </c>
      <c r="K19" s="50">
        <v>40833305.28999999</v>
      </c>
    </row>
    <row r="20" ht="18" customHeight="1" hidden="1" spans="1:11" x14ac:dyDescent="0.25" outlineLevel="1" collapsed="1">
      <c r="A20" s="475">
        <v>11250</v>
      </c>
      <c r="B20" s="47" t="s">
        <v>843</v>
      </c>
      <c r="C20" s="476">
        <v>0</v>
      </c>
      <c r="D20" s="48">
        <v>0</v>
      </c>
      <c r="E20" s="48">
        <v>0</v>
      </c>
      <c r="F20" s="48">
        <v>0</v>
      </c>
      <c r="G20" s="477">
        <v>0</v>
      </c>
      <c r="H20" s="50">
        <v>0</v>
      </c>
      <c r="I20" s="51">
        <v>0</v>
      </c>
      <c r="J20" s="52" t="e">
        <v>#DIV/0!</v>
      </c>
      <c r="K20" s="50">
        <v>0</v>
      </c>
    </row>
    <row r="21" ht="18" customHeight="1" hidden="1" spans="1:11" x14ac:dyDescent="0.25" outlineLevel="1" collapsed="1">
      <c r="A21" s="475">
        <v>11240</v>
      </c>
      <c r="B21" s="47" t="s">
        <v>844</v>
      </c>
      <c r="C21" s="476">
        <v>0</v>
      </c>
      <c r="D21" s="48">
        <v>0</v>
      </c>
      <c r="E21" s="48">
        <v>0</v>
      </c>
      <c r="F21" s="49">
        <v>0</v>
      </c>
      <c r="G21" s="477">
        <v>0</v>
      </c>
      <c r="H21" s="50">
        <v>0</v>
      </c>
      <c r="I21" s="51">
        <v>0</v>
      </c>
      <c r="J21" s="52" t="e">
        <v>#DIV/0!</v>
      </c>
      <c r="K21" s="50">
        <v>0</v>
      </c>
    </row>
    <row r="22" ht="18" customHeight="1" hidden="1" spans="1:11" x14ac:dyDescent="0.25" outlineLevel="1" collapsed="1">
      <c r="A22" s="475">
        <v>11310</v>
      </c>
      <c r="B22" s="47" t="s">
        <v>845</v>
      </c>
      <c r="C22" s="476">
        <v>0</v>
      </c>
      <c r="D22" s="48">
        <v>0</v>
      </c>
      <c r="E22" s="48">
        <v>0</v>
      </c>
      <c r="F22" s="49">
        <v>0</v>
      </c>
      <c r="G22" s="477">
        <v>0</v>
      </c>
      <c r="H22" s="50">
        <v>0</v>
      </c>
      <c r="I22" s="51">
        <v>0</v>
      </c>
      <c r="J22" s="52" t="e">
        <v>#DIV/0!</v>
      </c>
      <c r="K22" s="50">
        <v>0</v>
      </c>
    </row>
    <row r="23" ht="18" customHeight="1" hidden="1" spans="1:11" x14ac:dyDescent="0.25" outlineLevel="1" collapsed="1">
      <c r="A23" s="475">
        <v>11320</v>
      </c>
      <c r="B23" s="47" t="s">
        <v>846</v>
      </c>
      <c r="C23" s="476">
        <v>0</v>
      </c>
      <c r="D23" s="48">
        <v>0</v>
      </c>
      <c r="E23" s="48">
        <v>0</v>
      </c>
      <c r="F23" s="49">
        <v>0</v>
      </c>
      <c r="G23" s="477">
        <v>0</v>
      </c>
      <c r="H23" s="50">
        <v>0</v>
      </c>
      <c r="I23" s="51">
        <v>0</v>
      </c>
      <c r="J23" s="52" t="e">
        <v>#DIV/0!</v>
      </c>
      <c r="K23" s="50">
        <v>0</v>
      </c>
    </row>
    <row r="24" ht="18" customHeight="1" hidden="1" spans="1:11" x14ac:dyDescent="0.25" outlineLevel="1" collapsed="1">
      <c r="A24" s="475">
        <v>11330</v>
      </c>
      <c r="B24" s="47" t="s">
        <v>847</v>
      </c>
      <c r="C24" s="476">
        <v>0</v>
      </c>
      <c r="D24" s="48">
        <v>0</v>
      </c>
      <c r="E24" s="48">
        <v>0</v>
      </c>
      <c r="F24" s="49">
        <v>0</v>
      </c>
      <c r="G24" s="477">
        <v>0</v>
      </c>
      <c r="H24" s="50">
        <v>0</v>
      </c>
      <c r="I24" s="51">
        <v>0</v>
      </c>
      <c r="J24" s="52" t="e">
        <v>#DIV/0!</v>
      </c>
      <c r="K24" s="50">
        <v>0</v>
      </c>
    </row>
    <row r="25" ht="18" customHeight="1" hidden="1" spans="1:11" x14ac:dyDescent="0.25" outlineLevel="1" collapsed="1">
      <c r="A25" s="475">
        <v>11340</v>
      </c>
      <c r="B25" s="47" t="s">
        <v>848</v>
      </c>
      <c r="C25" s="476">
        <v>0</v>
      </c>
      <c r="D25" s="48">
        <v>0</v>
      </c>
      <c r="E25" s="48">
        <v>0</v>
      </c>
      <c r="F25" s="49">
        <v>0</v>
      </c>
      <c r="G25" s="477">
        <v>0</v>
      </c>
      <c r="H25" s="50">
        <v>0</v>
      </c>
      <c r="I25" s="51">
        <v>0</v>
      </c>
      <c r="J25" s="52" t="e">
        <v>#DIV/0!</v>
      </c>
      <c r="K25" s="50">
        <v>0</v>
      </c>
    </row>
    <row r="26" ht="18" customHeight="1" hidden="1" spans="1:11" x14ac:dyDescent="0.25" outlineLevel="1" collapsed="1">
      <c r="A26" s="475">
        <v>11350</v>
      </c>
      <c r="B26" s="47" t="s">
        <v>849</v>
      </c>
      <c r="C26" s="476">
        <v>0</v>
      </c>
      <c r="D26" s="48">
        <v>0</v>
      </c>
      <c r="E26" s="48">
        <v>0</v>
      </c>
      <c r="F26" s="49">
        <v>0</v>
      </c>
      <c r="G26" s="477">
        <v>0</v>
      </c>
      <c r="H26" s="50">
        <v>0</v>
      </c>
      <c r="I26" s="51">
        <v>0</v>
      </c>
      <c r="J26" s="52" t="e">
        <v>#DIV/0!</v>
      </c>
      <c r="K26" s="50">
        <v>0</v>
      </c>
    </row>
    <row r="27" ht="18" customHeight="1" hidden="1" spans="1:11" x14ac:dyDescent="0.25" outlineLevel="1" collapsed="1">
      <c r="A27" s="475">
        <v>11410</v>
      </c>
      <c r="B27" s="47" t="s">
        <v>850</v>
      </c>
      <c r="C27" s="476">
        <v>0</v>
      </c>
      <c r="D27" s="48">
        <v>0</v>
      </c>
      <c r="E27" s="48">
        <v>0</v>
      </c>
      <c r="F27" s="49">
        <v>0</v>
      </c>
      <c r="G27" s="477">
        <v>0</v>
      </c>
      <c r="H27" s="50">
        <v>0</v>
      </c>
      <c r="I27" s="51">
        <v>0</v>
      </c>
      <c r="J27" s="52" t="e">
        <v>#DIV/0!</v>
      </c>
      <c r="K27" s="50">
        <v>0</v>
      </c>
    </row>
    <row r="28" ht="18" customHeight="1" hidden="1" spans="1:11" x14ac:dyDescent="0.25" outlineLevel="1" collapsed="1">
      <c r="A28" s="475">
        <v>11420</v>
      </c>
      <c r="B28" s="47" t="s">
        <v>851</v>
      </c>
      <c r="C28" s="476">
        <v>0</v>
      </c>
      <c r="D28" s="48">
        <v>0</v>
      </c>
      <c r="E28" s="48">
        <v>0</v>
      </c>
      <c r="F28" s="49">
        <v>0</v>
      </c>
      <c r="G28" s="477">
        <v>0</v>
      </c>
      <c r="H28" s="50">
        <v>0</v>
      </c>
      <c r="I28" s="51">
        <v>0</v>
      </c>
      <c r="J28" s="52" t="e">
        <v>#DIV/0!</v>
      </c>
      <c r="K28" s="50">
        <v>0</v>
      </c>
    </row>
    <row r="29" ht="18" customHeight="1" hidden="1" spans="1:11" x14ac:dyDescent="0.25" outlineLevel="1" collapsed="1">
      <c r="A29" s="475">
        <v>11430</v>
      </c>
      <c r="B29" s="47" t="s">
        <v>852</v>
      </c>
      <c r="C29" s="476">
        <v>0</v>
      </c>
      <c r="D29" s="48">
        <v>0</v>
      </c>
      <c r="E29" s="48">
        <v>0</v>
      </c>
      <c r="F29" s="49">
        <v>0</v>
      </c>
      <c r="G29" s="477">
        <v>0</v>
      </c>
      <c r="H29" s="50">
        <v>0</v>
      </c>
      <c r="I29" s="51">
        <v>0</v>
      </c>
      <c r="J29" s="52" t="e">
        <v>#DIV/0!</v>
      </c>
      <c r="K29" s="50">
        <v>0</v>
      </c>
    </row>
    <row r="30" ht="18" customHeight="1" hidden="1" spans="1:11" x14ac:dyDescent="0.25" outlineLevel="1" collapsed="1">
      <c r="A30" s="475">
        <v>11440</v>
      </c>
      <c r="B30" s="47" t="s">
        <v>853</v>
      </c>
      <c r="C30" s="476">
        <v>0</v>
      </c>
      <c r="D30" s="48">
        <v>0</v>
      </c>
      <c r="E30" s="48">
        <v>0</v>
      </c>
      <c r="F30" s="49">
        <v>0</v>
      </c>
      <c r="G30" s="477">
        <v>0</v>
      </c>
      <c r="H30" s="50">
        <v>0</v>
      </c>
      <c r="I30" s="51">
        <v>0</v>
      </c>
      <c r="J30" s="52" t="e">
        <v>#DIV/0!</v>
      </c>
      <c r="K30" s="50">
        <v>0</v>
      </c>
    </row>
    <row r="31" ht="18" customHeight="1" hidden="1" spans="1:11" x14ac:dyDescent="0.25" outlineLevel="1" collapsed="1">
      <c r="A31" s="475">
        <v>11450</v>
      </c>
      <c r="B31" s="47" t="s">
        <v>854</v>
      </c>
      <c r="C31" s="476">
        <v>0</v>
      </c>
      <c r="D31" s="48">
        <v>0</v>
      </c>
      <c r="E31" s="48">
        <v>0</v>
      </c>
      <c r="F31" s="49">
        <v>0</v>
      </c>
      <c r="G31" s="477">
        <v>0</v>
      </c>
      <c r="H31" s="50">
        <v>0</v>
      </c>
      <c r="I31" s="51">
        <v>0</v>
      </c>
      <c r="J31" s="52" t="e">
        <v>#DIV/0!</v>
      </c>
      <c r="K31" s="50">
        <v>0</v>
      </c>
    </row>
    <row r="32" ht="18" customHeight="1" spans="1:11" x14ac:dyDescent="0.25">
      <c r="A32" s="475">
        <v>11610</v>
      </c>
      <c r="B32" s="47" t="s">
        <v>855</v>
      </c>
      <c r="C32" s="476">
        <v>40000</v>
      </c>
      <c r="D32" s="476">
        <v>-40000</v>
      </c>
      <c r="E32" s="48">
        <v>0</v>
      </c>
      <c r="F32" s="49">
        <v>0</v>
      </c>
      <c r="G32" s="477">
        <v>0</v>
      </c>
      <c r="H32" s="50">
        <v>0</v>
      </c>
      <c r="I32" s="51">
        <v>0</v>
      </c>
      <c r="J32" s="52">
        <v>0</v>
      </c>
      <c r="K32" s="50">
        <v>0</v>
      </c>
    </row>
    <row r="33" ht="18" customHeight="1" spans="1:11" x14ac:dyDescent="0.25">
      <c r="A33" s="475">
        <v>11620</v>
      </c>
      <c r="B33" s="47" t="s">
        <v>856</v>
      </c>
      <c r="C33" s="476">
        <v>250000</v>
      </c>
      <c r="D33" s="48">
        <v>661505.77</v>
      </c>
      <c r="E33" s="48">
        <v>0</v>
      </c>
      <c r="F33" s="49">
        <v>911505.77</v>
      </c>
      <c r="G33" s="477">
        <v>0</v>
      </c>
      <c r="H33" s="50">
        <v>0</v>
      </c>
      <c r="I33" s="51">
        <v>0</v>
      </c>
      <c r="J33" s="52">
        <v>0</v>
      </c>
      <c r="K33" s="50">
        <v>911505.77</v>
      </c>
    </row>
    <row r="34" ht="18" customHeight="1" hidden="1" spans="1:11" x14ac:dyDescent="0.25" outlineLevel="1" collapsed="1">
      <c r="A34" s="475">
        <v>11630</v>
      </c>
      <c r="B34" s="47" t="s">
        <v>857</v>
      </c>
      <c r="C34" s="476">
        <v>0</v>
      </c>
      <c r="D34" s="48">
        <v>0</v>
      </c>
      <c r="E34" s="48">
        <v>0</v>
      </c>
      <c r="F34" s="49">
        <v>0</v>
      </c>
      <c r="G34" s="477">
        <v>0</v>
      </c>
      <c r="H34" s="50">
        <v>0</v>
      </c>
      <c r="I34" s="51">
        <v>0</v>
      </c>
      <c r="J34" s="52" t="e">
        <v>#DIV/0!</v>
      </c>
      <c r="K34" s="50">
        <v>0</v>
      </c>
    </row>
    <row r="35" ht="18" customHeight="1" hidden="1" spans="1:11" x14ac:dyDescent="0.25" outlineLevel="1" collapsed="1">
      <c r="A35" s="475">
        <v>11631</v>
      </c>
      <c r="B35" s="47" t="s">
        <v>858</v>
      </c>
      <c r="C35" s="476">
        <v>0</v>
      </c>
      <c r="D35" s="48">
        <v>0</v>
      </c>
      <c r="E35" s="48">
        <v>0</v>
      </c>
      <c r="F35" s="49">
        <v>0</v>
      </c>
      <c r="G35" s="477">
        <v>0</v>
      </c>
      <c r="H35" s="50">
        <v>0</v>
      </c>
      <c r="I35" s="51">
        <v>0</v>
      </c>
      <c r="J35" s="52" t="e">
        <v>#DIV/0!</v>
      </c>
      <c r="K35" s="50">
        <v>0</v>
      </c>
    </row>
    <row r="36" spans="1:11" x14ac:dyDescent="0.25">
      <c r="A36" s="475">
        <v>11640</v>
      </c>
      <c r="B36" s="47" t="s">
        <v>859</v>
      </c>
      <c r="C36" s="476">
        <v>105000</v>
      </c>
      <c r="D36" s="48">
        <v>-39000</v>
      </c>
      <c r="E36" s="48">
        <v>0</v>
      </c>
      <c r="F36" s="49">
        <v>66000</v>
      </c>
      <c r="G36" s="477">
        <v>32330.93</v>
      </c>
      <c r="H36" s="50">
        <v>0</v>
      </c>
      <c r="I36" s="51">
        <v>32330.93</v>
      </c>
      <c r="J36" s="52">
        <v>0.48986257575757575</v>
      </c>
      <c r="K36" s="50">
        <v>33669.07</v>
      </c>
    </row>
    <row r="37" ht="18" customHeight="1" spans="1:11" x14ac:dyDescent="0.25">
      <c r="A37" s="475">
        <v>11650</v>
      </c>
      <c r="B37" s="47" t="s">
        <v>860</v>
      </c>
      <c r="C37" s="476">
        <v>125000</v>
      </c>
      <c r="D37" s="476">
        <v>-125000</v>
      </c>
      <c r="E37" s="48">
        <v>0</v>
      </c>
      <c r="F37" s="49">
        <v>0</v>
      </c>
      <c r="G37" s="477">
        <v>0</v>
      </c>
      <c r="H37" s="50">
        <v>0</v>
      </c>
      <c r="I37" s="51">
        <v>0</v>
      </c>
      <c r="J37" s="52">
        <v>0</v>
      </c>
      <c r="K37" s="50">
        <v>0</v>
      </c>
    </row>
    <row r="38" ht="18" customHeight="1" spans="1:11" x14ac:dyDescent="0.25">
      <c r="A38" s="475">
        <v>11660</v>
      </c>
      <c r="B38" s="47" t="s">
        <v>861</v>
      </c>
      <c r="C38" s="476">
        <v>110000</v>
      </c>
      <c r="D38" s="48">
        <v>-59809</v>
      </c>
      <c r="E38" s="48">
        <v>0</v>
      </c>
      <c r="F38" s="49">
        <v>50191</v>
      </c>
      <c r="G38" s="477">
        <v>0</v>
      </c>
      <c r="H38" s="50">
        <v>0</v>
      </c>
      <c r="I38" s="51">
        <v>0</v>
      </c>
      <c r="J38" s="52">
        <v>0</v>
      </c>
      <c r="K38" s="50">
        <v>50191</v>
      </c>
    </row>
    <row r="39" ht="18" customHeight="1" spans="1:11" x14ac:dyDescent="0.25">
      <c r="A39" s="475">
        <v>11670</v>
      </c>
      <c r="B39" s="47" t="s">
        <v>862</v>
      </c>
      <c r="C39" s="476">
        <v>42500</v>
      </c>
      <c r="D39" s="48">
        <v>-1300</v>
      </c>
      <c r="E39" s="48">
        <v>0</v>
      </c>
      <c r="F39" s="49">
        <v>41200</v>
      </c>
      <c r="G39" s="477">
        <v>0</v>
      </c>
      <c r="H39" s="50">
        <v>0</v>
      </c>
      <c r="I39" s="51">
        <v>0</v>
      </c>
      <c r="J39" s="52">
        <v>0</v>
      </c>
      <c r="K39" s="50">
        <v>41200</v>
      </c>
    </row>
    <row r="40" ht="18" customHeight="1" hidden="1" spans="1:11" x14ac:dyDescent="0.25" outlineLevel="1" collapsed="1">
      <c r="A40" s="475">
        <v>11680</v>
      </c>
      <c r="B40" s="47" t="s">
        <v>863</v>
      </c>
      <c r="C40" s="476">
        <v>0</v>
      </c>
      <c r="D40" s="48">
        <v>0</v>
      </c>
      <c r="E40" s="48">
        <v>0</v>
      </c>
      <c r="F40" s="49">
        <v>0</v>
      </c>
      <c r="G40" s="477">
        <v>0</v>
      </c>
      <c r="H40" s="50">
        <v>0</v>
      </c>
      <c r="I40" s="51">
        <v>0</v>
      </c>
      <c r="J40" s="52" t="e">
        <v>#DIV/0!</v>
      </c>
      <c r="K40" s="50">
        <v>0</v>
      </c>
    </row>
    <row r="41" ht="18" customHeight="1" hidden="1" spans="1:11" x14ac:dyDescent="0.25" outlineLevel="1" collapsed="1">
      <c r="A41" s="475">
        <v>11690</v>
      </c>
      <c r="B41" s="47" t="s">
        <v>864</v>
      </c>
      <c r="C41" s="476">
        <v>0</v>
      </c>
      <c r="D41" s="48">
        <v>0</v>
      </c>
      <c r="E41" s="48">
        <v>0</v>
      </c>
      <c r="F41" s="49">
        <v>0</v>
      </c>
      <c r="G41" s="477">
        <v>0</v>
      </c>
      <c r="H41" s="50">
        <v>0</v>
      </c>
      <c r="I41" s="51">
        <v>0</v>
      </c>
      <c r="J41" s="52" t="e">
        <v>#DIV/0!</v>
      </c>
      <c r="K41" s="50">
        <v>0</v>
      </c>
    </row>
    <row r="42" ht="18" customHeight="1" spans="1:11" x14ac:dyDescent="0.25">
      <c r="A42" s="475">
        <v>13010</v>
      </c>
      <c r="B42" s="47" t="s">
        <v>865</v>
      </c>
      <c r="C42" s="476">
        <v>1914611.1</v>
      </c>
      <c r="D42" s="48">
        <v>335208.48</v>
      </c>
      <c r="E42" s="48">
        <v>0</v>
      </c>
      <c r="F42" s="49">
        <v>2249819.58</v>
      </c>
      <c r="G42" s="477">
        <v>0</v>
      </c>
      <c r="H42" s="50">
        <v>0</v>
      </c>
      <c r="I42" s="51">
        <v>0</v>
      </c>
      <c r="J42" s="52">
        <v>0</v>
      </c>
      <c r="K42" s="50">
        <v>2249819.58</v>
      </c>
    </row>
    <row r="43" ht="18" customHeight="1" spans="1:11" x14ac:dyDescent="0.25">
      <c r="A43" s="475">
        <v>13020</v>
      </c>
      <c r="B43" s="65" t="s">
        <v>65</v>
      </c>
      <c r="C43" s="476">
        <v>282434.29</v>
      </c>
      <c r="D43" s="476">
        <v>-121013.01999999999</v>
      </c>
      <c r="E43" s="476">
        <v>-2438.18</v>
      </c>
      <c r="F43" s="49">
        <v>158983.09</v>
      </c>
      <c r="G43" s="477">
        <v>0</v>
      </c>
      <c r="H43" s="50">
        <v>0</v>
      </c>
      <c r="I43" s="51">
        <v>0</v>
      </c>
      <c r="J43" s="52">
        <v>0</v>
      </c>
      <c r="K43" s="50">
        <v>158983.09</v>
      </c>
    </row>
    <row r="44" ht="18" customHeight="1" spans="1:11" x14ac:dyDescent="0.25">
      <c r="A44" s="481"/>
      <c r="B44" s="65" t="s">
        <v>250</v>
      </c>
      <c r="C44" s="476">
        <v>0</v>
      </c>
      <c r="D44" s="476">
        <v>150000</v>
      </c>
      <c r="E44" s="476">
        <v>0</v>
      </c>
      <c r="F44" s="49">
        <v>150000</v>
      </c>
      <c r="G44" s="477">
        <v>150000</v>
      </c>
      <c r="H44" s="50">
        <v>0</v>
      </c>
      <c r="I44" s="51">
        <v>150000</v>
      </c>
      <c r="J44" s="52">
        <v>1</v>
      </c>
      <c r="K44" s="50">
        <v>0</v>
      </c>
    </row>
    <row r="45" ht="18" customHeight="1" hidden="1" spans="1:11" x14ac:dyDescent="0.25">
      <c r="A45" s="482"/>
      <c r="B45" s="73" t="s">
        <v>66</v>
      </c>
      <c r="C45" s="58">
        <v>41967566.44</v>
      </c>
      <c r="D45" s="58">
        <v>9905459.6</v>
      </c>
      <c r="E45" s="58">
        <v>-2438.18</v>
      </c>
      <c r="F45" s="58">
        <v>51870587.86</v>
      </c>
      <c r="G45" s="58">
        <v>6996502.19</v>
      </c>
      <c r="H45" s="58">
        <v>505411.87</v>
      </c>
      <c r="I45" s="58">
        <v>7501914.0600000005</v>
      </c>
      <c r="J45" s="59">
        <v>0.14462751184250797</v>
      </c>
      <c r="K45" s="58">
        <v>44368673.8</v>
      </c>
    </row>
    <row r="46" ht="18" customHeight="1" hidden="1" spans="1:11" x14ac:dyDescent="0.25" outlineLevel="1" collapsed="1">
      <c r="A46" s="475">
        <v>11810</v>
      </c>
      <c r="B46" s="47" t="s">
        <v>67</v>
      </c>
      <c r="C46" s="476">
        <v>0</v>
      </c>
      <c r="D46" s="48">
        <v>0</v>
      </c>
      <c r="E46" s="48">
        <v>0</v>
      </c>
      <c r="F46" s="49">
        <v>0</v>
      </c>
      <c r="G46" s="477">
        <v>0</v>
      </c>
      <c r="H46" s="50">
        <v>0</v>
      </c>
      <c r="I46" s="51">
        <v>0</v>
      </c>
      <c r="J46" s="50"/>
      <c r="K46" s="50">
        <v>0</v>
      </c>
    </row>
    <row r="47" ht="18" customHeight="1" hidden="1" spans="1:11" x14ac:dyDescent="0.25" outlineLevel="1" collapsed="1">
      <c r="A47" s="475">
        <v>11815</v>
      </c>
      <c r="B47" s="47" t="s">
        <v>68</v>
      </c>
      <c r="C47" s="476">
        <v>0</v>
      </c>
      <c r="D47" s="48">
        <v>0</v>
      </c>
      <c r="E47" s="48">
        <v>0</v>
      </c>
      <c r="F47" s="49">
        <v>0</v>
      </c>
      <c r="G47" s="477">
        <v>0</v>
      </c>
      <c r="H47" s="50">
        <v>0</v>
      </c>
      <c r="I47" s="51">
        <v>0</v>
      </c>
      <c r="J47" s="50"/>
      <c r="K47" s="50">
        <v>0</v>
      </c>
    </row>
    <row r="48" ht="18" customHeight="1" hidden="1" spans="1:11" x14ac:dyDescent="0.25">
      <c r="A48" s="475">
        <v>11820</v>
      </c>
      <c r="B48" s="47" t="s">
        <v>69</v>
      </c>
      <c r="C48" s="476">
        <v>150000</v>
      </c>
      <c r="D48" s="48">
        <v>0</v>
      </c>
      <c r="E48" s="48">
        <v>0</v>
      </c>
      <c r="F48" s="49">
        <v>150000</v>
      </c>
      <c r="G48" s="477">
        <v>134442.37</v>
      </c>
      <c r="H48" s="50">
        <v>0</v>
      </c>
      <c r="I48" s="51">
        <v>134442.37</v>
      </c>
      <c r="J48" s="52">
        <v>0.8962824666666667</v>
      </c>
      <c r="K48" s="50">
        <v>15557.630000000005</v>
      </c>
    </row>
    <row r="49" ht="18" customHeight="1" hidden="1" spans="1:11" x14ac:dyDescent="0.25" outlineLevel="1" collapsed="1">
      <c r="A49" s="475">
        <v>11830</v>
      </c>
      <c r="B49" s="47" t="s">
        <v>70</v>
      </c>
      <c r="C49" s="476">
        <v>0</v>
      </c>
      <c r="D49" s="48">
        <v>0</v>
      </c>
      <c r="E49" s="48">
        <v>0</v>
      </c>
      <c r="F49" s="49">
        <v>0</v>
      </c>
      <c r="G49" s="477">
        <v>0</v>
      </c>
      <c r="H49" s="50">
        <v>0</v>
      </c>
      <c r="I49" s="51">
        <v>0</v>
      </c>
      <c r="J49" s="50"/>
      <c r="K49" s="50">
        <v>0</v>
      </c>
    </row>
    <row r="50" ht="18" customHeight="1" hidden="1" spans="1:11" x14ac:dyDescent="0.25" outlineLevel="1" collapsed="1">
      <c r="A50" s="475">
        <v>11840</v>
      </c>
      <c r="B50" s="47" t="s">
        <v>71</v>
      </c>
      <c r="C50" s="476">
        <v>0</v>
      </c>
      <c r="D50" s="48">
        <v>0</v>
      </c>
      <c r="E50" s="48">
        <v>0</v>
      </c>
      <c r="F50" s="49">
        <v>0</v>
      </c>
      <c r="G50" s="477">
        <v>0</v>
      </c>
      <c r="H50" s="50">
        <v>0</v>
      </c>
      <c r="I50" s="51">
        <v>0</v>
      </c>
      <c r="J50" s="50"/>
      <c r="K50" s="50">
        <v>0</v>
      </c>
    </row>
    <row r="51" ht="18" customHeight="1" hidden="1" spans="1:11" x14ac:dyDescent="0.25" outlineLevel="1" collapsed="1">
      <c r="A51" s="475">
        <v>11850</v>
      </c>
      <c r="B51" s="47" t="s">
        <v>72</v>
      </c>
      <c r="C51" s="476">
        <v>0</v>
      </c>
      <c r="D51" s="48">
        <v>0</v>
      </c>
      <c r="E51" s="48">
        <v>0</v>
      </c>
      <c r="F51" s="49">
        <v>0</v>
      </c>
      <c r="G51" s="477">
        <v>0</v>
      </c>
      <c r="H51" s="50">
        <v>0</v>
      </c>
      <c r="I51" s="51">
        <v>0</v>
      </c>
      <c r="J51" s="50"/>
      <c r="K51" s="50">
        <v>0</v>
      </c>
    </row>
    <row r="52" ht="18" customHeight="1" hidden="1" spans="1:11" x14ac:dyDescent="0.25" outlineLevel="1" collapsed="1">
      <c r="A52" s="475">
        <v>11860</v>
      </c>
      <c r="B52" s="47" t="s">
        <v>73</v>
      </c>
      <c r="C52" s="476">
        <v>0</v>
      </c>
      <c r="D52" s="48">
        <v>0</v>
      </c>
      <c r="E52" s="48">
        <v>0</v>
      </c>
      <c r="F52" s="49">
        <v>0</v>
      </c>
      <c r="G52" s="477">
        <v>0</v>
      </c>
      <c r="H52" s="50">
        <v>0</v>
      </c>
      <c r="I52" s="51">
        <v>0</v>
      </c>
      <c r="J52" s="50"/>
      <c r="K52" s="50">
        <v>0</v>
      </c>
    </row>
    <row r="53" ht="18" customHeight="1" hidden="1" spans="1:11" x14ac:dyDescent="0.25" outlineLevel="1" collapsed="1">
      <c r="A53" s="475">
        <v>11870</v>
      </c>
      <c r="B53" s="47" t="s">
        <v>74</v>
      </c>
      <c r="C53" s="476">
        <v>0</v>
      </c>
      <c r="D53" s="48">
        <v>0</v>
      </c>
      <c r="E53" s="48">
        <v>0</v>
      </c>
      <c r="F53" s="49">
        <v>0</v>
      </c>
      <c r="G53" s="477">
        <v>0</v>
      </c>
      <c r="H53" s="50">
        <v>0</v>
      </c>
      <c r="I53" s="51">
        <v>0</v>
      </c>
      <c r="J53" s="50"/>
      <c r="K53" s="50">
        <v>0</v>
      </c>
    </row>
    <row r="54" ht="18" customHeight="1" hidden="1" spans="1:11" x14ac:dyDescent="0.25" outlineLevel="1" collapsed="1">
      <c r="A54" s="475">
        <v>11880</v>
      </c>
      <c r="B54" s="47" t="s">
        <v>75</v>
      </c>
      <c r="C54" s="476">
        <v>0</v>
      </c>
      <c r="D54" s="48">
        <v>0</v>
      </c>
      <c r="E54" s="48">
        <v>0</v>
      </c>
      <c r="F54" s="49">
        <v>0</v>
      </c>
      <c r="G54" s="477">
        <v>0</v>
      </c>
      <c r="H54" s="50">
        <v>0</v>
      </c>
      <c r="I54" s="51">
        <v>0</v>
      </c>
      <c r="J54" s="50"/>
      <c r="K54" s="50">
        <v>0</v>
      </c>
    </row>
    <row r="55" ht="18" customHeight="1" hidden="1" spans="1:11" x14ac:dyDescent="0.25" outlineLevel="1" collapsed="1">
      <c r="A55" s="475">
        <v>11881</v>
      </c>
      <c r="B55" s="47" t="s">
        <v>76</v>
      </c>
      <c r="C55" s="476">
        <v>0</v>
      </c>
      <c r="D55" s="48">
        <v>0</v>
      </c>
      <c r="E55" s="48">
        <v>0</v>
      </c>
      <c r="F55" s="49">
        <v>0</v>
      </c>
      <c r="G55" s="477">
        <v>0</v>
      </c>
      <c r="H55" s="50">
        <v>0</v>
      </c>
      <c r="I55" s="51">
        <v>0</v>
      </c>
      <c r="J55" s="50"/>
      <c r="K55" s="50">
        <v>0</v>
      </c>
    </row>
    <row r="56" ht="18" customHeight="1" hidden="1" spans="1:11" x14ac:dyDescent="0.25" outlineLevel="1" collapsed="1">
      <c r="A56" s="475">
        <v>11882</v>
      </c>
      <c r="B56" s="47" t="s">
        <v>77</v>
      </c>
      <c r="C56" s="476">
        <v>0</v>
      </c>
      <c r="D56" s="48">
        <v>0</v>
      </c>
      <c r="E56" s="48">
        <v>0</v>
      </c>
      <c r="F56" s="49">
        <v>0</v>
      </c>
      <c r="G56" s="477">
        <v>0</v>
      </c>
      <c r="H56" s="50">
        <v>0</v>
      </c>
      <c r="I56" s="51">
        <v>0</v>
      </c>
      <c r="J56" s="50"/>
      <c r="K56" s="50">
        <v>0</v>
      </c>
    </row>
    <row r="57" ht="18" customHeight="1" hidden="1" spans="1:11" x14ac:dyDescent="0.25" outlineLevel="1" collapsed="1">
      <c r="A57" s="475">
        <v>11883</v>
      </c>
      <c r="B57" s="47" t="s">
        <v>78</v>
      </c>
      <c r="C57" s="476">
        <v>0</v>
      </c>
      <c r="D57" s="48">
        <v>0</v>
      </c>
      <c r="E57" s="48">
        <v>0</v>
      </c>
      <c r="F57" s="49">
        <v>0</v>
      </c>
      <c r="G57" s="477">
        <v>0</v>
      </c>
      <c r="H57" s="50">
        <v>0</v>
      </c>
      <c r="I57" s="51">
        <v>0</v>
      </c>
      <c r="J57" s="50"/>
      <c r="K57" s="50">
        <v>0</v>
      </c>
    </row>
    <row r="58" ht="18" customHeight="1" hidden="1" spans="1:11" x14ac:dyDescent="0.25" outlineLevel="1" collapsed="1">
      <c r="A58" s="475">
        <v>11884</v>
      </c>
      <c r="B58" s="47" t="s">
        <v>79</v>
      </c>
      <c r="C58" s="476">
        <v>0</v>
      </c>
      <c r="D58" s="48">
        <v>0</v>
      </c>
      <c r="E58" s="48">
        <v>0</v>
      </c>
      <c r="F58" s="49">
        <v>0</v>
      </c>
      <c r="G58" s="477">
        <v>0</v>
      </c>
      <c r="H58" s="50">
        <v>0</v>
      </c>
      <c r="I58" s="51">
        <v>0</v>
      </c>
      <c r="J58" s="50"/>
      <c r="K58" s="50">
        <v>0</v>
      </c>
    </row>
    <row r="59" ht="18" customHeight="1" hidden="1" spans="1:11" x14ac:dyDescent="0.25" outlineLevel="1" collapsed="1">
      <c r="A59" s="475">
        <v>11885</v>
      </c>
      <c r="B59" s="47" t="s">
        <v>80</v>
      </c>
      <c r="C59" s="476">
        <v>0</v>
      </c>
      <c r="D59" s="48">
        <v>0</v>
      </c>
      <c r="E59" s="48">
        <v>0</v>
      </c>
      <c r="F59" s="49">
        <v>0</v>
      </c>
      <c r="G59" s="477">
        <v>0</v>
      </c>
      <c r="H59" s="50">
        <v>0</v>
      </c>
      <c r="I59" s="51">
        <v>0</v>
      </c>
      <c r="J59" s="50"/>
      <c r="K59" s="50">
        <v>0</v>
      </c>
    </row>
    <row r="60" ht="18" customHeight="1" hidden="1" spans="1:11" x14ac:dyDescent="0.25" outlineLevel="1" collapsed="1">
      <c r="A60" s="475">
        <v>11886</v>
      </c>
      <c r="B60" s="47" t="s">
        <v>81</v>
      </c>
      <c r="C60" s="476">
        <v>0</v>
      </c>
      <c r="D60" s="48">
        <v>0</v>
      </c>
      <c r="E60" s="48">
        <v>0</v>
      </c>
      <c r="F60" s="49">
        <v>0</v>
      </c>
      <c r="G60" s="477">
        <v>0</v>
      </c>
      <c r="H60" s="50">
        <v>0</v>
      </c>
      <c r="I60" s="51">
        <v>0</v>
      </c>
      <c r="J60" s="50"/>
      <c r="K60" s="50">
        <v>0</v>
      </c>
    </row>
    <row r="61" ht="18" customHeight="1" hidden="1" spans="1:11" x14ac:dyDescent="0.25">
      <c r="A61" s="482"/>
      <c r="B61" s="73" t="s">
        <v>82</v>
      </c>
      <c r="C61" s="58">
        <v>150000</v>
      </c>
      <c r="D61" s="58">
        <v>0</v>
      </c>
      <c r="E61" s="58">
        <v>0</v>
      </c>
      <c r="F61" s="58">
        <v>150000</v>
      </c>
      <c r="G61" s="58">
        <v>134442.37</v>
      </c>
      <c r="H61" s="58">
        <v>0</v>
      </c>
      <c r="I61" s="58">
        <v>134442.37</v>
      </c>
      <c r="J61" s="59">
        <v>0.8962824666666667</v>
      </c>
      <c r="K61" s="479">
        <v>15557.630000000005</v>
      </c>
    </row>
    <row r="62" ht="18" customHeight="1" hidden="1" spans="1:11" x14ac:dyDescent="0.25" outlineLevel="1" collapsed="1">
      <c r="A62" s="475">
        <v>11510</v>
      </c>
      <c r="B62" s="65" t="s">
        <v>866</v>
      </c>
      <c r="C62" s="476">
        <v>0</v>
      </c>
      <c r="D62" s="48">
        <v>0</v>
      </c>
      <c r="E62" s="48">
        <v>0</v>
      </c>
      <c r="F62" s="49">
        <v>0</v>
      </c>
      <c r="G62" s="477">
        <v>0</v>
      </c>
      <c r="H62" s="50">
        <v>0</v>
      </c>
      <c r="I62" s="51">
        <v>0</v>
      </c>
      <c r="J62" s="50"/>
      <c r="K62" s="50">
        <v>0</v>
      </c>
    </row>
    <row r="63" ht="18" customHeight="1" hidden="1" spans="1:11" x14ac:dyDescent="0.25" outlineLevel="1" collapsed="1">
      <c r="A63" s="475">
        <v>11511</v>
      </c>
      <c r="B63" s="47" t="s">
        <v>867</v>
      </c>
      <c r="C63" s="476">
        <v>0</v>
      </c>
      <c r="D63" s="48">
        <v>0</v>
      </c>
      <c r="E63" s="48">
        <v>0</v>
      </c>
      <c r="F63" s="49">
        <v>0</v>
      </c>
      <c r="G63" s="477">
        <v>0</v>
      </c>
      <c r="H63" s="50">
        <v>0</v>
      </c>
      <c r="I63" s="51">
        <v>0</v>
      </c>
      <c r="J63" s="50"/>
      <c r="K63" s="50">
        <v>0</v>
      </c>
    </row>
    <row r="64" ht="18" customHeight="1" hidden="1" spans="1:11" x14ac:dyDescent="0.25" outlineLevel="1" collapsed="1">
      <c r="A64" s="475">
        <v>11512</v>
      </c>
      <c r="B64" s="47" t="s">
        <v>868</v>
      </c>
      <c r="C64" s="476">
        <v>0</v>
      </c>
      <c r="D64" s="48">
        <v>0</v>
      </c>
      <c r="E64" s="48">
        <v>0</v>
      </c>
      <c r="F64" s="49">
        <v>0</v>
      </c>
      <c r="G64" s="477">
        <v>0</v>
      </c>
      <c r="H64" s="50">
        <v>0</v>
      </c>
      <c r="I64" s="51">
        <v>0</v>
      </c>
      <c r="J64" s="50"/>
      <c r="K64" s="50">
        <v>0</v>
      </c>
    </row>
    <row r="65" ht="18" customHeight="1" hidden="1" spans="1:11" x14ac:dyDescent="0.25" outlineLevel="1" collapsed="1">
      <c r="A65" s="475">
        <v>11513</v>
      </c>
      <c r="B65" s="47" t="s">
        <v>869</v>
      </c>
      <c r="C65" s="476">
        <v>0</v>
      </c>
      <c r="D65" s="48">
        <v>0</v>
      </c>
      <c r="E65" s="48">
        <v>0</v>
      </c>
      <c r="F65" s="49">
        <v>0</v>
      </c>
      <c r="G65" s="477">
        <v>0</v>
      </c>
      <c r="H65" s="50">
        <v>0</v>
      </c>
      <c r="I65" s="51">
        <v>0</v>
      </c>
      <c r="J65" s="50"/>
      <c r="K65" s="50">
        <v>0</v>
      </c>
    </row>
    <row r="66" ht="18" customHeight="1" hidden="1" spans="1:11" x14ac:dyDescent="0.25" outlineLevel="1" collapsed="1">
      <c r="A66" s="475">
        <v>11514</v>
      </c>
      <c r="B66" s="47" t="s">
        <v>870</v>
      </c>
      <c r="C66" s="476">
        <v>0</v>
      </c>
      <c r="D66" s="48">
        <v>0</v>
      </c>
      <c r="E66" s="48">
        <v>0</v>
      </c>
      <c r="F66" s="49">
        <v>0</v>
      </c>
      <c r="G66" s="477">
        <v>0</v>
      </c>
      <c r="H66" s="50">
        <v>0</v>
      </c>
      <c r="I66" s="51">
        <v>0</v>
      </c>
      <c r="J66" s="50"/>
      <c r="K66" s="50">
        <v>0</v>
      </c>
    </row>
    <row r="67" ht="18" customHeight="1" hidden="1" spans="1:11" x14ac:dyDescent="0.25" outlineLevel="1" collapsed="1">
      <c r="A67" s="475">
        <v>11520</v>
      </c>
      <c r="B67" s="47" t="s">
        <v>871</v>
      </c>
      <c r="C67" s="476">
        <v>0</v>
      </c>
      <c r="D67" s="48">
        <v>0</v>
      </c>
      <c r="E67" s="48">
        <v>0</v>
      </c>
      <c r="F67" s="49">
        <v>0</v>
      </c>
      <c r="G67" s="477">
        <v>0</v>
      </c>
      <c r="H67" s="50">
        <v>0</v>
      </c>
      <c r="I67" s="51">
        <v>0</v>
      </c>
      <c r="J67" s="50"/>
      <c r="K67" s="50">
        <v>0</v>
      </c>
    </row>
    <row r="68" ht="18" customHeight="1" hidden="1" spans="1:11" x14ac:dyDescent="0.25" outlineLevel="1" collapsed="1">
      <c r="A68" s="475">
        <v>11530</v>
      </c>
      <c r="B68" s="47" t="s">
        <v>872</v>
      </c>
      <c r="C68" s="476">
        <v>0</v>
      </c>
      <c r="D68" s="48">
        <v>0</v>
      </c>
      <c r="E68" s="48">
        <v>0</v>
      </c>
      <c r="F68" s="49">
        <v>0</v>
      </c>
      <c r="G68" s="477">
        <v>0</v>
      </c>
      <c r="H68" s="50">
        <v>0</v>
      </c>
      <c r="I68" s="51">
        <v>0</v>
      </c>
      <c r="J68" s="50"/>
      <c r="K68" s="50">
        <v>0</v>
      </c>
    </row>
    <row r="69" ht="18" customHeight="1" hidden="1" spans="1:11" x14ac:dyDescent="0.25" outlineLevel="1" collapsed="1">
      <c r="A69" s="475">
        <v>11540</v>
      </c>
      <c r="B69" s="47" t="s">
        <v>482</v>
      </c>
      <c r="C69" s="476">
        <v>0</v>
      </c>
      <c r="D69" s="48">
        <v>0</v>
      </c>
      <c r="E69" s="48">
        <v>0</v>
      </c>
      <c r="F69" s="49">
        <v>0</v>
      </c>
      <c r="G69" s="477">
        <v>0</v>
      </c>
      <c r="H69" s="50">
        <v>0</v>
      </c>
      <c r="I69" s="51">
        <v>0</v>
      </c>
      <c r="J69" s="50"/>
      <c r="K69" s="50">
        <v>0</v>
      </c>
    </row>
    <row r="70" ht="18" customHeight="1" hidden="1" spans="1:11" x14ac:dyDescent="0.25" outlineLevel="1" collapsed="1">
      <c r="A70" s="475">
        <v>11505</v>
      </c>
      <c r="B70" s="47" t="s">
        <v>873</v>
      </c>
      <c r="C70" s="476">
        <v>0</v>
      </c>
      <c r="D70" s="48">
        <v>0</v>
      </c>
      <c r="E70" s="48">
        <v>0</v>
      </c>
      <c r="F70" s="49">
        <v>0</v>
      </c>
      <c r="G70" s="477">
        <v>0</v>
      </c>
      <c r="H70" s="50">
        <v>0</v>
      </c>
      <c r="I70" s="51">
        <v>0</v>
      </c>
      <c r="J70" s="50"/>
      <c r="K70" s="50">
        <v>0</v>
      </c>
    </row>
    <row r="71" ht="18" customHeight="1" hidden="1" spans="1:11" x14ac:dyDescent="0.25">
      <c r="A71" s="475">
        <v>11506</v>
      </c>
      <c r="B71" s="47" t="s">
        <v>874</v>
      </c>
      <c r="C71" s="476">
        <v>540000</v>
      </c>
      <c r="D71" s="48">
        <v>94000</v>
      </c>
      <c r="E71" s="48">
        <v>0</v>
      </c>
      <c r="F71" s="49">
        <v>634000</v>
      </c>
      <c r="G71" s="477">
        <v>260000</v>
      </c>
      <c r="H71" s="50">
        <v>20000</v>
      </c>
      <c r="I71" s="51">
        <v>280000</v>
      </c>
      <c r="J71" s="52">
        <v>0.4416403785488959</v>
      </c>
      <c r="K71" s="50">
        <v>354000</v>
      </c>
    </row>
    <row r="72" ht="18" customHeight="1" hidden="1" spans="1:11" x14ac:dyDescent="0.25" outlineLevel="1" collapsed="1">
      <c r="A72" s="475">
        <v>11710</v>
      </c>
      <c r="B72" s="47" t="s">
        <v>875</v>
      </c>
      <c r="C72" s="476">
        <v>0</v>
      </c>
      <c r="D72" s="48">
        <v>0</v>
      </c>
      <c r="E72" s="48">
        <v>0</v>
      </c>
      <c r="F72" s="49">
        <v>0</v>
      </c>
      <c r="G72" s="477">
        <v>0</v>
      </c>
      <c r="H72" s="50">
        <v>0</v>
      </c>
      <c r="I72" s="51">
        <v>0</v>
      </c>
      <c r="J72" s="52" t="e">
        <v>#DIV/0!</v>
      </c>
      <c r="K72" s="50">
        <v>0</v>
      </c>
    </row>
    <row r="73" ht="18" customHeight="1" hidden="1" spans="1:11" x14ac:dyDescent="0.25" outlineLevel="1" collapsed="1">
      <c r="A73" s="475">
        <v>11711</v>
      </c>
      <c r="B73" s="47" t="s">
        <v>876</v>
      </c>
      <c r="C73" s="476">
        <v>0</v>
      </c>
      <c r="D73" s="48">
        <v>0</v>
      </c>
      <c r="E73" s="48">
        <v>0</v>
      </c>
      <c r="F73" s="49">
        <v>0</v>
      </c>
      <c r="G73" s="477">
        <v>0</v>
      </c>
      <c r="H73" s="50">
        <v>0</v>
      </c>
      <c r="I73" s="51">
        <v>0</v>
      </c>
      <c r="J73" s="52" t="e">
        <v>#DIV/0!</v>
      </c>
      <c r="K73" s="50">
        <v>0</v>
      </c>
    </row>
    <row r="74" ht="18" customHeight="1" hidden="1" spans="1:11" x14ac:dyDescent="0.25" outlineLevel="1" collapsed="1">
      <c r="A74" s="475">
        <v>11712</v>
      </c>
      <c r="B74" s="47" t="s">
        <v>877</v>
      </c>
      <c r="C74" s="476">
        <v>0</v>
      </c>
      <c r="D74" s="48">
        <v>0</v>
      </c>
      <c r="E74" s="48">
        <v>0</v>
      </c>
      <c r="F74" s="49">
        <v>0</v>
      </c>
      <c r="G74" s="477">
        <v>0</v>
      </c>
      <c r="H74" s="50">
        <v>0</v>
      </c>
      <c r="I74" s="51">
        <v>0</v>
      </c>
      <c r="J74" s="52" t="e">
        <v>#DIV/0!</v>
      </c>
      <c r="K74" s="50">
        <v>0</v>
      </c>
    </row>
    <row r="75" ht="18" customHeight="1" hidden="1" spans="1:11" x14ac:dyDescent="0.25" outlineLevel="1" collapsed="1">
      <c r="A75" s="475">
        <v>11713</v>
      </c>
      <c r="B75" s="47" t="s">
        <v>878</v>
      </c>
      <c r="C75" s="476">
        <v>0</v>
      </c>
      <c r="D75" s="48">
        <v>0</v>
      </c>
      <c r="E75" s="48">
        <v>0</v>
      </c>
      <c r="F75" s="49">
        <v>0</v>
      </c>
      <c r="G75" s="477">
        <v>0</v>
      </c>
      <c r="H75" s="50">
        <v>0</v>
      </c>
      <c r="I75" s="51">
        <v>0</v>
      </c>
      <c r="J75" s="52" t="e">
        <v>#DIV/0!</v>
      </c>
      <c r="K75" s="50">
        <v>0</v>
      </c>
    </row>
    <row r="76" ht="18" customHeight="1" hidden="1" spans="1:11" x14ac:dyDescent="0.25" outlineLevel="1" collapsed="1">
      <c r="A76" s="475">
        <v>11720</v>
      </c>
      <c r="B76" s="47" t="s">
        <v>879</v>
      </c>
      <c r="C76" s="476">
        <v>0</v>
      </c>
      <c r="D76" s="48">
        <v>0</v>
      </c>
      <c r="E76" s="48">
        <v>0</v>
      </c>
      <c r="F76" s="49">
        <v>0</v>
      </c>
      <c r="G76" s="477">
        <v>0</v>
      </c>
      <c r="H76" s="50">
        <v>0</v>
      </c>
      <c r="I76" s="51">
        <v>0</v>
      </c>
      <c r="J76" s="52" t="e">
        <v>#DIV/0!</v>
      </c>
      <c r="K76" s="50">
        <v>0</v>
      </c>
    </row>
    <row r="77" ht="18" customHeight="1" hidden="1" spans="1:11" x14ac:dyDescent="0.25" outlineLevel="1" collapsed="1">
      <c r="A77" s="475">
        <v>11721</v>
      </c>
      <c r="B77" s="47" t="s">
        <v>880</v>
      </c>
      <c r="C77" s="476">
        <v>0</v>
      </c>
      <c r="D77" s="48">
        <v>0</v>
      </c>
      <c r="E77" s="48">
        <v>0</v>
      </c>
      <c r="F77" s="49">
        <v>0</v>
      </c>
      <c r="G77" s="477">
        <v>0</v>
      </c>
      <c r="H77" s="50">
        <v>0</v>
      </c>
      <c r="I77" s="51">
        <v>0</v>
      </c>
      <c r="J77" s="52" t="e">
        <v>#DIV/0!</v>
      </c>
      <c r="K77" s="50">
        <v>0</v>
      </c>
    </row>
    <row r="78" ht="18" customHeight="1" hidden="1" spans="1:11" x14ac:dyDescent="0.25">
      <c r="A78" s="475">
        <v>11730</v>
      </c>
      <c r="B78" s="47" t="s">
        <v>882</v>
      </c>
      <c r="C78" s="476">
        <v>110000</v>
      </c>
      <c r="D78" s="48">
        <v>0</v>
      </c>
      <c r="E78" s="48">
        <v>0</v>
      </c>
      <c r="F78" s="49">
        <v>110000</v>
      </c>
      <c r="G78" s="477">
        <v>29050</v>
      </c>
      <c r="H78" s="50">
        <v>0</v>
      </c>
      <c r="I78" s="51">
        <v>29050</v>
      </c>
      <c r="J78" s="52">
        <v>0.2640909090909091</v>
      </c>
      <c r="K78" s="50">
        <v>80950</v>
      </c>
    </row>
    <row r="79" ht="18" customHeight="1" hidden="1" spans="1:11" x14ac:dyDescent="0.25" outlineLevel="1" collapsed="1">
      <c r="A79" s="475">
        <v>11740</v>
      </c>
      <c r="B79" s="47" t="s">
        <v>482</v>
      </c>
      <c r="C79" s="476">
        <v>0</v>
      </c>
      <c r="D79" s="48">
        <v>0</v>
      </c>
      <c r="E79" s="48">
        <v>0</v>
      </c>
      <c r="F79" s="49">
        <v>0</v>
      </c>
      <c r="G79" s="477">
        <v>0</v>
      </c>
      <c r="H79" s="50">
        <v>0</v>
      </c>
      <c r="I79" s="51">
        <v>0</v>
      </c>
      <c r="J79" s="52" t="e">
        <v>#DIV/0!</v>
      </c>
      <c r="K79" s="50">
        <v>0</v>
      </c>
    </row>
    <row r="80" ht="18" customHeight="1" hidden="1" spans="1:11" x14ac:dyDescent="0.25" outlineLevel="1" collapsed="1">
      <c r="A80" s="475">
        <v>11750</v>
      </c>
      <c r="B80" s="47" t="s">
        <v>883</v>
      </c>
      <c r="C80" s="476">
        <v>0</v>
      </c>
      <c r="D80" s="48">
        <v>0</v>
      </c>
      <c r="E80" s="48">
        <v>0</v>
      </c>
      <c r="F80" s="49">
        <v>0</v>
      </c>
      <c r="G80" s="477">
        <v>0</v>
      </c>
      <c r="H80" s="50">
        <v>0</v>
      </c>
      <c r="I80" s="51">
        <v>0</v>
      </c>
      <c r="J80" s="52" t="e">
        <v>#DIV/0!</v>
      </c>
      <c r="K80" s="50">
        <v>0</v>
      </c>
    </row>
    <row r="81" ht="18" customHeight="1" hidden="1" spans="1:11" x14ac:dyDescent="0.25">
      <c r="A81" s="475">
        <v>11760</v>
      </c>
      <c r="B81" s="47" t="s">
        <v>86</v>
      </c>
      <c r="C81" s="476">
        <v>168137.73</v>
      </c>
      <c r="D81" s="48">
        <v>126797.26999999999</v>
      </c>
      <c r="E81" s="48">
        <v>0</v>
      </c>
      <c r="F81" s="49">
        <v>294935</v>
      </c>
      <c r="G81" s="477">
        <v>117436.63</v>
      </c>
      <c r="H81" s="50">
        <v>4620.63</v>
      </c>
      <c r="I81" s="51">
        <v>122057.26000000001</v>
      </c>
      <c r="J81" s="52">
        <v>0.41384460982928445</v>
      </c>
      <c r="K81" s="50">
        <v>172877.74</v>
      </c>
    </row>
    <row r="82" ht="18" customHeight="1" hidden="1" spans="1:11" x14ac:dyDescent="0.25" outlineLevel="1" collapsed="1">
      <c r="A82" s="475">
        <v>11910</v>
      </c>
      <c r="B82" s="47" t="s">
        <v>884</v>
      </c>
      <c r="C82" s="476">
        <v>0</v>
      </c>
      <c r="D82" s="48">
        <v>0</v>
      </c>
      <c r="E82" s="48">
        <v>0</v>
      </c>
      <c r="F82" s="49">
        <v>0</v>
      </c>
      <c r="G82" s="477">
        <v>0</v>
      </c>
      <c r="H82" s="50">
        <v>0</v>
      </c>
      <c r="I82" s="51">
        <v>0</v>
      </c>
      <c r="J82" s="52" t="e">
        <v>#DIV/0!</v>
      </c>
      <c r="K82" s="50">
        <v>0</v>
      </c>
    </row>
    <row r="83" ht="18" customHeight="1" hidden="1" spans="1:11" x14ac:dyDescent="0.25" outlineLevel="1" collapsed="1">
      <c r="A83" s="475">
        <v>11911</v>
      </c>
      <c r="B83" s="47" t="s">
        <v>885</v>
      </c>
      <c r="C83" s="476">
        <v>0</v>
      </c>
      <c r="D83" s="48">
        <v>0</v>
      </c>
      <c r="E83" s="48">
        <v>0</v>
      </c>
      <c r="F83" s="49">
        <v>0</v>
      </c>
      <c r="G83" s="477">
        <v>0</v>
      </c>
      <c r="H83" s="50">
        <v>0</v>
      </c>
      <c r="I83" s="51">
        <v>0</v>
      </c>
      <c r="J83" s="52" t="e">
        <v>#DIV/0!</v>
      </c>
      <c r="K83" s="50">
        <v>0</v>
      </c>
    </row>
    <row r="84" ht="18" customHeight="1" hidden="1" spans="1:11" x14ac:dyDescent="0.25" outlineLevel="1" collapsed="1">
      <c r="A84" s="475">
        <v>11912</v>
      </c>
      <c r="B84" s="47" t="s">
        <v>886</v>
      </c>
      <c r="C84" s="476">
        <v>0</v>
      </c>
      <c r="D84" s="48">
        <v>0</v>
      </c>
      <c r="E84" s="48">
        <v>0</v>
      </c>
      <c r="F84" s="49">
        <v>0</v>
      </c>
      <c r="G84" s="477">
        <v>0</v>
      </c>
      <c r="H84" s="50">
        <v>0</v>
      </c>
      <c r="I84" s="51">
        <v>0</v>
      </c>
      <c r="J84" s="52" t="e">
        <v>#DIV/0!</v>
      </c>
      <c r="K84" s="50">
        <v>0</v>
      </c>
    </row>
    <row r="85" ht="18" customHeight="1" hidden="1" spans="1:11" x14ac:dyDescent="0.25" outlineLevel="1" collapsed="1">
      <c r="A85" s="475">
        <v>11913</v>
      </c>
      <c r="B85" s="47" t="s">
        <v>887</v>
      </c>
      <c r="C85" s="476">
        <v>0</v>
      </c>
      <c r="D85" s="48">
        <v>0</v>
      </c>
      <c r="E85" s="48">
        <v>0</v>
      </c>
      <c r="F85" s="49">
        <v>0</v>
      </c>
      <c r="G85" s="477">
        <v>0</v>
      </c>
      <c r="H85" s="50">
        <v>0</v>
      </c>
      <c r="I85" s="51">
        <v>0</v>
      </c>
      <c r="J85" s="52" t="e">
        <v>#DIV/0!</v>
      </c>
      <c r="K85" s="50">
        <v>0</v>
      </c>
    </row>
    <row r="86" ht="18" customHeight="1" hidden="1" spans="1:11" x14ac:dyDescent="0.25" outlineLevel="1" collapsed="1">
      <c r="A86" s="475">
        <v>11914</v>
      </c>
      <c r="B86" s="47" t="s">
        <v>888</v>
      </c>
      <c r="C86" s="476">
        <v>0</v>
      </c>
      <c r="D86" s="48">
        <v>0</v>
      </c>
      <c r="E86" s="48">
        <v>0</v>
      </c>
      <c r="F86" s="49">
        <v>0</v>
      </c>
      <c r="G86" s="477">
        <v>0</v>
      </c>
      <c r="H86" s="50">
        <v>0</v>
      </c>
      <c r="I86" s="51">
        <v>0</v>
      </c>
      <c r="J86" s="52" t="e">
        <v>#DIV/0!</v>
      </c>
      <c r="K86" s="50">
        <v>0</v>
      </c>
    </row>
    <row r="87" ht="18" customHeight="1" hidden="1" spans="1:11" x14ac:dyDescent="0.25" outlineLevel="1" collapsed="1">
      <c r="A87" s="475">
        <v>11915</v>
      </c>
      <c r="B87" s="47" t="s">
        <v>889</v>
      </c>
      <c r="C87" s="476">
        <v>0</v>
      </c>
      <c r="D87" s="48">
        <v>0</v>
      </c>
      <c r="E87" s="48">
        <v>0</v>
      </c>
      <c r="F87" s="49">
        <v>0</v>
      </c>
      <c r="G87" s="477">
        <v>0</v>
      </c>
      <c r="H87" s="50">
        <v>0</v>
      </c>
      <c r="I87" s="51">
        <v>0</v>
      </c>
      <c r="J87" s="52" t="e">
        <v>#DIV/0!</v>
      </c>
      <c r="K87" s="50">
        <v>0</v>
      </c>
    </row>
    <row r="88" ht="18" customHeight="1" hidden="1" spans="1:11" x14ac:dyDescent="0.25" outlineLevel="1" collapsed="1">
      <c r="A88" s="475">
        <v>11920</v>
      </c>
      <c r="B88" s="47" t="s">
        <v>890</v>
      </c>
      <c r="C88" s="476">
        <v>0</v>
      </c>
      <c r="D88" s="48">
        <v>0</v>
      </c>
      <c r="E88" s="48">
        <v>0</v>
      </c>
      <c r="F88" s="49">
        <v>0</v>
      </c>
      <c r="G88" s="477">
        <v>0</v>
      </c>
      <c r="H88" s="50">
        <v>0</v>
      </c>
      <c r="I88" s="51">
        <v>0</v>
      </c>
      <c r="J88" s="52" t="e">
        <v>#DIV/0!</v>
      </c>
      <c r="K88" s="50">
        <v>0</v>
      </c>
    </row>
    <row r="89" ht="18" customHeight="1" hidden="1" spans="1:11" x14ac:dyDescent="0.25" outlineLevel="1" collapsed="1">
      <c r="A89" s="475">
        <v>11930</v>
      </c>
      <c r="B89" s="47" t="s">
        <v>891</v>
      </c>
      <c r="C89" s="476">
        <v>0</v>
      </c>
      <c r="D89" s="48">
        <v>0</v>
      </c>
      <c r="E89" s="48">
        <v>0</v>
      </c>
      <c r="F89" s="49">
        <v>0</v>
      </c>
      <c r="G89" s="477">
        <v>0</v>
      </c>
      <c r="H89" s="50">
        <v>0</v>
      </c>
      <c r="I89" s="51">
        <v>0</v>
      </c>
      <c r="J89" s="52" t="e">
        <v>#DIV/0!</v>
      </c>
      <c r="K89" s="50">
        <v>0</v>
      </c>
    </row>
    <row r="90" ht="18" customHeight="1" hidden="1" spans="1:11" x14ac:dyDescent="0.25" outlineLevel="1" collapsed="1">
      <c r="A90" s="475">
        <v>11940</v>
      </c>
      <c r="B90" s="47" t="s">
        <v>892</v>
      </c>
      <c r="C90" s="476">
        <v>0</v>
      </c>
      <c r="D90" s="48">
        <v>0</v>
      </c>
      <c r="E90" s="48">
        <v>0</v>
      </c>
      <c r="F90" s="49">
        <v>0</v>
      </c>
      <c r="G90" s="477">
        <v>0</v>
      </c>
      <c r="H90" s="50">
        <v>0</v>
      </c>
      <c r="I90" s="51">
        <v>0</v>
      </c>
      <c r="J90" s="52" t="e">
        <v>#DIV/0!</v>
      </c>
      <c r="K90" s="50">
        <v>0</v>
      </c>
    </row>
    <row r="91" ht="18" customHeight="1" hidden="1" spans="1:11" x14ac:dyDescent="0.25" outlineLevel="1" collapsed="1">
      <c r="A91" s="475">
        <v>11945</v>
      </c>
      <c r="B91" s="47" t="s">
        <v>893</v>
      </c>
      <c r="C91" s="476">
        <v>0</v>
      </c>
      <c r="D91" s="48">
        <v>0</v>
      </c>
      <c r="E91" s="48">
        <v>0</v>
      </c>
      <c r="F91" s="49">
        <v>0</v>
      </c>
      <c r="G91" s="477">
        <v>0</v>
      </c>
      <c r="H91" s="50">
        <v>0</v>
      </c>
      <c r="I91" s="51">
        <v>0</v>
      </c>
      <c r="J91" s="52" t="e">
        <v>#DIV/0!</v>
      </c>
      <c r="K91" s="50">
        <v>0</v>
      </c>
    </row>
    <row r="92" ht="18" customHeight="1" hidden="1" spans="1:11" x14ac:dyDescent="0.25" outlineLevel="1" collapsed="1">
      <c r="A92" s="475">
        <v>11946</v>
      </c>
      <c r="B92" s="47" t="s">
        <v>894</v>
      </c>
      <c r="C92" s="476">
        <v>0</v>
      </c>
      <c r="D92" s="48">
        <v>0</v>
      </c>
      <c r="E92" s="48">
        <v>0</v>
      </c>
      <c r="F92" s="49">
        <v>0</v>
      </c>
      <c r="G92" s="477">
        <v>0</v>
      </c>
      <c r="H92" s="50">
        <v>0</v>
      </c>
      <c r="I92" s="51">
        <v>0</v>
      </c>
      <c r="J92" s="52" t="e">
        <v>#DIV/0!</v>
      </c>
      <c r="K92" s="50">
        <v>0</v>
      </c>
    </row>
    <row r="93" ht="18" customHeight="1" hidden="1" spans="1:11" x14ac:dyDescent="0.25" outlineLevel="1" collapsed="1">
      <c r="A93" s="475">
        <v>11947</v>
      </c>
      <c r="B93" s="47" t="s">
        <v>895</v>
      </c>
      <c r="C93" s="476">
        <v>0</v>
      </c>
      <c r="D93" s="48">
        <v>0</v>
      </c>
      <c r="E93" s="48">
        <v>0</v>
      </c>
      <c r="F93" s="49">
        <v>0</v>
      </c>
      <c r="G93" s="477">
        <v>0</v>
      </c>
      <c r="H93" s="50">
        <v>0</v>
      </c>
      <c r="I93" s="51">
        <v>0</v>
      </c>
      <c r="J93" s="52" t="e">
        <v>#DIV/0!</v>
      </c>
      <c r="K93" s="50">
        <v>0</v>
      </c>
    </row>
    <row r="94" ht="18" customHeight="1" hidden="1" spans="1:11" x14ac:dyDescent="0.25" outlineLevel="1" collapsed="1">
      <c r="A94" s="475">
        <v>11950</v>
      </c>
      <c r="B94" s="47" t="s">
        <v>896</v>
      </c>
      <c r="C94" s="476">
        <v>0</v>
      </c>
      <c r="D94" s="48">
        <v>0</v>
      </c>
      <c r="E94" s="48">
        <v>0</v>
      </c>
      <c r="F94" s="49">
        <v>0</v>
      </c>
      <c r="G94" s="477">
        <v>0</v>
      </c>
      <c r="H94" s="50">
        <v>0</v>
      </c>
      <c r="I94" s="51">
        <v>0</v>
      </c>
      <c r="J94" s="52" t="e">
        <v>#DIV/0!</v>
      </c>
      <c r="K94" s="50">
        <v>0</v>
      </c>
    </row>
    <row r="95" ht="18" customHeight="1" hidden="1" spans="1:11" x14ac:dyDescent="0.25" outlineLevel="1" collapsed="1">
      <c r="A95" s="475">
        <v>11951</v>
      </c>
      <c r="B95" s="47" t="s">
        <v>897</v>
      </c>
      <c r="C95" s="476">
        <v>0</v>
      </c>
      <c r="D95" s="48">
        <v>0</v>
      </c>
      <c r="E95" s="48">
        <v>0</v>
      </c>
      <c r="F95" s="49">
        <v>0</v>
      </c>
      <c r="G95" s="477">
        <v>0</v>
      </c>
      <c r="H95" s="50">
        <v>0</v>
      </c>
      <c r="I95" s="51">
        <v>0</v>
      </c>
      <c r="J95" s="52" t="e">
        <v>#DIV/0!</v>
      </c>
      <c r="K95" s="50">
        <v>0</v>
      </c>
    </row>
    <row r="96" ht="18" customHeight="1" hidden="1" spans="1:11" x14ac:dyDescent="0.25" outlineLevel="1" collapsed="1">
      <c r="A96" s="475">
        <v>11952</v>
      </c>
      <c r="B96" s="47" t="s">
        <v>898</v>
      </c>
      <c r="C96" s="476">
        <v>0</v>
      </c>
      <c r="D96" s="48">
        <v>0</v>
      </c>
      <c r="E96" s="48">
        <v>0</v>
      </c>
      <c r="F96" s="49">
        <v>0</v>
      </c>
      <c r="G96" s="477">
        <v>0</v>
      </c>
      <c r="H96" s="50">
        <v>0</v>
      </c>
      <c r="I96" s="51">
        <v>0</v>
      </c>
      <c r="J96" s="52" t="e">
        <v>#DIV/0!</v>
      </c>
      <c r="K96" s="50">
        <v>0</v>
      </c>
    </row>
    <row r="97" ht="18" customHeight="1" hidden="1" spans="1:11" x14ac:dyDescent="0.25" outlineLevel="1" collapsed="1">
      <c r="A97" s="475">
        <v>11953</v>
      </c>
      <c r="B97" s="47" t="s">
        <v>899</v>
      </c>
      <c r="C97" s="476">
        <v>0</v>
      </c>
      <c r="D97" s="48">
        <v>0</v>
      </c>
      <c r="E97" s="48">
        <v>0</v>
      </c>
      <c r="F97" s="49">
        <v>0</v>
      </c>
      <c r="G97" s="477">
        <v>0</v>
      </c>
      <c r="H97" s="50">
        <v>0</v>
      </c>
      <c r="I97" s="51">
        <v>0</v>
      </c>
      <c r="J97" s="52" t="e">
        <v>#DIV/0!</v>
      </c>
      <c r="K97" s="50">
        <v>0</v>
      </c>
    </row>
    <row r="98" ht="18" customHeight="1" hidden="1" spans="1:11" x14ac:dyDescent="0.25" outlineLevel="1" collapsed="1">
      <c r="A98" s="475">
        <v>11955</v>
      </c>
      <c r="B98" s="47" t="s">
        <v>900</v>
      </c>
      <c r="C98" s="476">
        <v>0</v>
      </c>
      <c r="D98" s="48">
        <v>0</v>
      </c>
      <c r="E98" s="48">
        <v>0</v>
      </c>
      <c r="F98" s="49">
        <v>0</v>
      </c>
      <c r="G98" s="477">
        <v>0</v>
      </c>
      <c r="H98" s="50">
        <v>0</v>
      </c>
      <c r="I98" s="51">
        <v>0</v>
      </c>
      <c r="J98" s="52" t="e">
        <v>#DIV/0!</v>
      </c>
      <c r="K98" s="50">
        <v>0</v>
      </c>
    </row>
    <row r="99" ht="18" customHeight="1" hidden="1" spans="1:11" x14ac:dyDescent="0.25" outlineLevel="1" collapsed="1">
      <c r="A99" s="475">
        <v>11960</v>
      </c>
      <c r="B99" s="47" t="s">
        <v>901</v>
      </c>
      <c r="C99" s="476">
        <v>0</v>
      </c>
      <c r="D99" s="48">
        <v>0</v>
      </c>
      <c r="E99" s="48">
        <v>0</v>
      </c>
      <c r="F99" s="49">
        <v>0</v>
      </c>
      <c r="G99" s="477">
        <v>0</v>
      </c>
      <c r="H99" s="50">
        <v>0</v>
      </c>
      <c r="I99" s="51">
        <v>0</v>
      </c>
      <c r="J99" s="52" t="e">
        <v>#DIV/0!</v>
      </c>
      <c r="K99" s="50">
        <v>0</v>
      </c>
    </row>
    <row r="100" ht="18" customHeight="1" hidden="1" spans="1:11" x14ac:dyDescent="0.25">
      <c r="A100" s="475">
        <v>11970</v>
      </c>
      <c r="B100" s="47" t="s">
        <v>902</v>
      </c>
      <c r="C100" s="476">
        <v>150000</v>
      </c>
      <c r="D100" s="48">
        <v>119999</v>
      </c>
      <c r="E100" s="48">
        <v>0</v>
      </c>
      <c r="F100" s="49">
        <v>269999</v>
      </c>
      <c r="G100" s="477">
        <v>245310.03</v>
      </c>
      <c r="H100" s="50">
        <v>3463.5</v>
      </c>
      <c r="I100" s="51">
        <v>248773.53</v>
      </c>
      <c r="J100" s="52">
        <v>0.9213868569883592</v>
      </c>
      <c r="K100" s="50">
        <v>21225.47</v>
      </c>
    </row>
    <row r="101" ht="18" customHeight="1" hidden="1" spans="1:11" x14ac:dyDescent="0.25" outlineLevel="1" collapsed="1">
      <c r="A101" s="475">
        <v>12010</v>
      </c>
      <c r="B101" s="47" t="s">
        <v>903</v>
      </c>
      <c r="C101" s="476">
        <v>0</v>
      </c>
      <c r="D101" s="48">
        <v>0</v>
      </c>
      <c r="E101" s="48">
        <v>0</v>
      </c>
      <c r="F101" s="49">
        <v>0</v>
      </c>
      <c r="G101" s="477">
        <v>0</v>
      </c>
      <c r="H101" s="50">
        <v>0</v>
      </c>
      <c r="I101" s="51">
        <v>0</v>
      </c>
      <c r="J101" s="52" t="e">
        <v>#DIV/0!</v>
      </c>
      <c r="K101" s="50">
        <v>0</v>
      </c>
    </row>
    <row r="102" ht="18" customHeight="1" hidden="1" spans="1:11" x14ac:dyDescent="0.25" outlineLevel="1" collapsed="1">
      <c r="A102" s="475">
        <v>12011</v>
      </c>
      <c r="B102" s="47" t="s">
        <v>904</v>
      </c>
      <c r="C102" s="476">
        <v>0</v>
      </c>
      <c r="D102" s="48">
        <v>0</v>
      </c>
      <c r="E102" s="48">
        <v>0</v>
      </c>
      <c r="F102" s="49">
        <v>0</v>
      </c>
      <c r="G102" s="477">
        <v>0</v>
      </c>
      <c r="H102" s="50">
        <v>0</v>
      </c>
      <c r="I102" s="51">
        <v>0</v>
      </c>
      <c r="J102" s="52" t="e">
        <v>#DIV/0!</v>
      </c>
      <c r="K102" s="50">
        <v>0</v>
      </c>
    </row>
    <row r="103" ht="18" customHeight="1" hidden="1" spans="1:11" x14ac:dyDescent="0.25" outlineLevel="1" collapsed="1">
      <c r="A103" s="475">
        <v>12012</v>
      </c>
      <c r="B103" s="47" t="s">
        <v>905</v>
      </c>
      <c r="C103" s="476">
        <v>0</v>
      </c>
      <c r="D103" s="48">
        <v>0</v>
      </c>
      <c r="E103" s="48">
        <v>0</v>
      </c>
      <c r="F103" s="49">
        <v>0</v>
      </c>
      <c r="G103" s="477">
        <v>0</v>
      </c>
      <c r="H103" s="50">
        <v>0</v>
      </c>
      <c r="I103" s="51">
        <v>0</v>
      </c>
      <c r="J103" s="52" t="e">
        <v>#DIV/0!</v>
      </c>
      <c r="K103" s="50">
        <v>0</v>
      </c>
    </row>
    <row r="104" ht="18" customHeight="1" hidden="1" spans="1:11" x14ac:dyDescent="0.25">
      <c r="A104" s="475">
        <v>12013</v>
      </c>
      <c r="B104" s="47" t="s">
        <v>87</v>
      </c>
      <c r="C104" s="476">
        <v>287506.73</v>
      </c>
      <c r="D104" s="48">
        <v>257537.75999999995</v>
      </c>
      <c r="E104" s="476">
        <v>2438.18</v>
      </c>
      <c r="F104" s="49">
        <v>547482.67</v>
      </c>
      <c r="G104" s="477">
        <v>545044.49</v>
      </c>
      <c r="H104" s="50">
        <v>2438.18</v>
      </c>
      <c r="I104" s="51">
        <v>547482.67</v>
      </c>
      <c r="J104" s="52">
        <v>1</v>
      </c>
      <c r="K104" s="50">
        <v>0</v>
      </c>
    </row>
    <row r="105" ht="18" customHeight="1" hidden="1" spans="1:11" x14ac:dyDescent="0.25" outlineLevel="1" collapsed="1">
      <c r="A105" s="475">
        <v>12014</v>
      </c>
      <c r="B105" s="47" t="s">
        <v>907</v>
      </c>
      <c r="C105" s="476">
        <v>0</v>
      </c>
      <c r="D105" s="48">
        <v>0</v>
      </c>
      <c r="E105" s="48">
        <v>0</v>
      </c>
      <c r="F105" s="49">
        <v>0</v>
      </c>
      <c r="G105" s="477">
        <v>0</v>
      </c>
      <c r="H105" s="50">
        <v>0</v>
      </c>
      <c r="I105" s="51">
        <v>0</v>
      </c>
      <c r="J105" s="52" t="e">
        <v>#DIV/0!</v>
      </c>
      <c r="K105" s="50">
        <v>0</v>
      </c>
    </row>
    <row r="106" ht="18" customHeight="1" hidden="1" spans="1:11" x14ac:dyDescent="0.25" outlineLevel="1" collapsed="1">
      <c r="A106" s="475">
        <v>12015</v>
      </c>
      <c r="B106" s="47" t="s">
        <v>908</v>
      </c>
      <c r="C106" s="476">
        <v>0</v>
      </c>
      <c r="D106" s="48">
        <v>0</v>
      </c>
      <c r="E106" s="48">
        <v>0</v>
      </c>
      <c r="F106" s="49">
        <v>0</v>
      </c>
      <c r="G106" s="477">
        <v>0</v>
      </c>
      <c r="H106" s="50">
        <v>0</v>
      </c>
      <c r="I106" s="51">
        <v>0</v>
      </c>
      <c r="J106" s="52" t="e">
        <v>#DIV/0!</v>
      </c>
      <c r="K106" s="50">
        <v>0</v>
      </c>
    </row>
    <row r="107" ht="18" customHeight="1" hidden="1" spans="1:11" x14ac:dyDescent="0.25" outlineLevel="1" collapsed="1">
      <c r="A107" s="475">
        <v>12018</v>
      </c>
      <c r="B107" s="47" t="s">
        <v>909</v>
      </c>
      <c r="C107" s="476">
        <v>0</v>
      </c>
      <c r="D107" s="48">
        <v>0</v>
      </c>
      <c r="E107" s="48">
        <v>0</v>
      </c>
      <c r="F107" s="49">
        <v>0</v>
      </c>
      <c r="G107" s="477">
        <v>0</v>
      </c>
      <c r="H107" s="50">
        <v>0</v>
      </c>
      <c r="I107" s="51">
        <v>0</v>
      </c>
      <c r="J107" s="52" t="e">
        <v>#DIV/0!</v>
      </c>
      <c r="K107" s="50">
        <v>0</v>
      </c>
    </row>
    <row r="108" ht="18" customHeight="1" hidden="1" spans="1:11" x14ac:dyDescent="0.25" outlineLevel="1" collapsed="1">
      <c r="A108" s="475">
        <v>12020</v>
      </c>
      <c r="B108" s="47" t="s">
        <v>910</v>
      </c>
      <c r="C108" s="476">
        <v>0</v>
      </c>
      <c r="D108" s="48">
        <v>0</v>
      </c>
      <c r="E108" s="48">
        <v>0</v>
      </c>
      <c r="F108" s="49">
        <v>0</v>
      </c>
      <c r="G108" s="477">
        <v>0</v>
      </c>
      <c r="H108" s="50">
        <v>0</v>
      </c>
      <c r="I108" s="51">
        <v>0</v>
      </c>
      <c r="J108" s="52" t="e">
        <v>#DIV/0!</v>
      </c>
      <c r="K108" s="50">
        <v>0</v>
      </c>
    </row>
    <row r="109" ht="18" customHeight="1" hidden="1" spans="1:11" x14ac:dyDescent="0.25" outlineLevel="1" collapsed="1">
      <c r="A109" s="475">
        <v>12030</v>
      </c>
      <c r="B109" s="47" t="s">
        <v>911</v>
      </c>
      <c r="C109" s="476">
        <v>0</v>
      </c>
      <c r="D109" s="48">
        <v>0</v>
      </c>
      <c r="E109" s="48">
        <v>0</v>
      </c>
      <c r="F109" s="49">
        <v>0</v>
      </c>
      <c r="G109" s="477">
        <v>0</v>
      </c>
      <c r="H109" s="50">
        <v>0</v>
      </c>
      <c r="I109" s="51">
        <v>0</v>
      </c>
      <c r="J109" s="52" t="e">
        <v>#DIV/0!</v>
      </c>
      <c r="K109" s="50">
        <v>0</v>
      </c>
    </row>
    <row r="110" ht="18" customHeight="1" hidden="1" spans="1:11" x14ac:dyDescent="0.25" outlineLevel="1" collapsed="1">
      <c r="A110" s="475">
        <v>12031</v>
      </c>
      <c r="B110" s="47" t="s">
        <v>912</v>
      </c>
      <c r="C110" s="476">
        <v>0</v>
      </c>
      <c r="D110" s="48">
        <v>0</v>
      </c>
      <c r="E110" s="48">
        <v>0</v>
      </c>
      <c r="F110" s="49">
        <v>0</v>
      </c>
      <c r="G110" s="477">
        <v>0</v>
      </c>
      <c r="H110" s="50">
        <v>0</v>
      </c>
      <c r="I110" s="51">
        <v>0</v>
      </c>
      <c r="J110" s="52" t="e">
        <v>#DIV/0!</v>
      </c>
      <c r="K110" s="50">
        <v>0</v>
      </c>
    </row>
    <row r="111" ht="18" customHeight="1" hidden="1" spans="1:11" x14ac:dyDescent="0.25" outlineLevel="1" collapsed="1">
      <c r="A111" s="475">
        <v>12040</v>
      </c>
      <c r="B111" s="47" t="s">
        <v>95</v>
      </c>
      <c r="C111" s="476">
        <v>0</v>
      </c>
      <c r="D111" s="48">
        <v>0</v>
      </c>
      <c r="E111" s="48">
        <v>0</v>
      </c>
      <c r="F111" s="49">
        <v>0</v>
      </c>
      <c r="G111" s="477">
        <v>0</v>
      </c>
      <c r="H111" s="50">
        <v>0</v>
      </c>
      <c r="I111" s="51">
        <v>0</v>
      </c>
      <c r="J111" s="52" t="e">
        <v>#DIV/0!</v>
      </c>
      <c r="K111" s="50">
        <v>0</v>
      </c>
    </row>
    <row r="112" ht="18" customHeight="1" hidden="1" spans="1:11" x14ac:dyDescent="0.25" outlineLevel="1" collapsed="1">
      <c r="A112" s="475">
        <v>12050</v>
      </c>
      <c r="B112" s="47" t="s">
        <v>913</v>
      </c>
      <c r="C112" s="476">
        <v>0</v>
      </c>
      <c r="D112" s="48">
        <v>0</v>
      </c>
      <c r="E112" s="48">
        <v>0</v>
      </c>
      <c r="F112" s="49">
        <v>0</v>
      </c>
      <c r="G112" s="477">
        <v>0</v>
      </c>
      <c r="H112" s="50">
        <v>0</v>
      </c>
      <c r="I112" s="51">
        <v>0</v>
      </c>
      <c r="J112" s="52" t="e">
        <v>#DIV/0!</v>
      </c>
      <c r="K112" s="50">
        <v>0</v>
      </c>
    </row>
    <row r="113" ht="18" customHeight="1" hidden="1" spans="1:11" x14ac:dyDescent="0.25" outlineLevel="1" collapsed="1">
      <c r="A113" s="475">
        <v>12060</v>
      </c>
      <c r="B113" s="47" t="s">
        <v>914</v>
      </c>
      <c r="C113" s="476">
        <v>0</v>
      </c>
      <c r="D113" s="48">
        <v>0</v>
      </c>
      <c r="E113" s="48">
        <v>0</v>
      </c>
      <c r="F113" s="49">
        <v>0</v>
      </c>
      <c r="G113" s="477">
        <v>0</v>
      </c>
      <c r="H113" s="50">
        <v>0</v>
      </c>
      <c r="I113" s="51">
        <v>0</v>
      </c>
      <c r="J113" s="52" t="e">
        <v>#DIV/0!</v>
      </c>
      <c r="K113" s="50">
        <v>0</v>
      </c>
    </row>
    <row r="114" ht="18" customHeight="1" hidden="1" spans="1:11" x14ac:dyDescent="0.25" outlineLevel="1" collapsed="1">
      <c r="A114" s="475">
        <v>12070</v>
      </c>
      <c r="B114" s="47" t="s">
        <v>915</v>
      </c>
      <c r="C114" s="476">
        <v>0</v>
      </c>
      <c r="D114" s="48">
        <v>0</v>
      </c>
      <c r="E114" s="48">
        <v>0</v>
      </c>
      <c r="F114" s="49">
        <v>0</v>
      </c>
      <c r="G114" s="477">
        <v>0</v>
      </c>
      <c r="H114" s="50">
        <v>0</v>
      </c>
      <c r="I114" s="51">
        <v>0</v>
      </c>
      <c r="J114" s="52" t="e">
        <v>#DIV/0!</v>
      </c>
      <c r="K114" s="50">
        <v>0</v>
      </c>
    </row>
    <row r="115" ht="18" customHeight="1" hidden="1" spans="1:11" x14ac:dyDescent="0.25" outlineLevel="1" collapsed="1">
      <c r="A115" s="475">
        <v>12110</v>
      </c>
      <c r="B115" s="47" t="s">
        <v>903</v>
      </c>
      <c r="C115" s="476">
        <v>0</v>
      </c>
      <c r="D115" s="48">
        <v>0</v>
      </c>
      <c r="E115" s="48">
        <v>0</v>
      </c>
      <c r="F115" s="49">
        <v>0</v>
      </c>
      <c r="G115" s="477">
        <v>0</v>
      </c>
      <c r="H115" s="50">
        <v>0</v>
      </c>
      <c r="I115" s="51">
        <v>0</v>
      </c>
      <c r="J115" s="52" t="e">
        <v>#DIV/0!</v>
      </c>
      <c r="K115" s="50">
        <v>0</v>
      </c>
    </row>
    <row r="116" ht="18" customHeight="1" hidden="1" spans="1:11" x14ac:dyDescent="0.25" outlineLevel="1" collapsed="1">
      <c r="A116" s="475">
        <v>12111</v>
      </c>
      <c r="B116" s="47" t="s">
        <v>904</v>
      </c>
      <c r="C116" s="476">
        <v>0</v>
      </c>
      <c r="D116" s="48">
        <v>0</v>
      </c>
      <c r="E116" s="48">
        <v>0</v>
      </c>
      <c r="F116" s="49">
        <v>0</v>
      </c>
      <c r="G116" s="477">
        <v>0</v>
      </c>
      <c r="H116" s="50">
        <v>0</v>
      </c>
      <c r="I116" s="51">
        <v>0</v>
      </c>
      <c r="J116" s="52" t="e">
        <v>#DIV/0!</v>
      </c>
      <c r="K116" s="50">
        <v>0</v>
      </c>
    </row>
    <row r="117" ht="18" customHeight="1" hidden="1" spans="1:11" x14ac:dyDescent="0.25" outlineLevel="1" collapsed="1">
      <c r="A117" s="475">
        <v>12112</v>
      </c>
      <c r="B117" s="47" t="s">
        <v>905</v>
      </c>
      <c r="C117" s="476">
        <v>0</v>
      </c>
      <c r="D117" s="48">
        <v>0</v>
      </c>
      <c r="E117" s="48">
        <v>0</v>
      </c>
      <c r="F117" s="49">
        <v>0</v>
      </c>
      <c r="G117" s="477">
        <v>0</v>
      </c>
      <c r="H117" s="50">
        <v>0</v>
      </c>
      <c r="I117" s="51">
        <v>0</v>
      </c>
      <c r="J117" s="52" t="e">
        <v>#DIV/0!</v>
      </c>
      <c r="K117" s="50">
        <v>0</v>
      </c>
    </row>
    <row r="118" ht="18" customHeight="1" hidden="1" spans="1:11" x14ac:dyDescent="0.25" outlineLevel="1" collapsed="1">
      <c r="A118" s="475">
        <v>12113</v>
      </c>
      <c r="B118" s="47" t="s">
        <v>916</v>
      </c>
      <c r="C118" s="476">
        <v>0</v>
      </c>
      <c r="D118" s="48">
        <v>0</v>
      </c>
      <c r="E118" s="48">
        <v>0</v>
      </c>
      <c r="F118" s="49">
        <v>0</v>
      </c>
      <c r="G118" s="477">
        <v>0</v>
      </c>
      <c r="H118" s="50">
        <v>0</v>
      </c>
      <c r="I118" s="51">
        <v>0</v>
      </c>
      <c r="J118" s="52" t="e">
        <v>#DIV/0!</v>
      </c>
      <c r="K118" s="50">
        <v>0</v>
      </c>
    </row>
    <row r="119" ht="18" customHeight="1" hidden="1" spans="1:11" x14ac:dyDescent="0.25" outlineLevel="1" collapsed="1">
      <c r="A119" s="475">
        <v>12114</v>
      </c>
      <c r="B119" s="47" t="s">
        <v>917</v>
      </c>
      <c r="C119" s="476">
        <v>0</v>
      </c>
      <c r="D119" s="48">
        <v>0</v>
      </c>
      <c r="E119" s="48">
        <v>0</v>
      </c>
      <c r="F119" s="49">
        <v>0</v>
      </c>
      <c r="G119" s="477">
        <v>0</v>
      </c>
      <c r="H119" s="50">
        <v>0</v>
      </c>
      <c r="I119" s="51">
        <v>0</v>
      </c>
      <c r="J119" s="52" t="e">
        <v>#DIV/0!</v>
      </c>
      <c r="K119" s="50">
        <v>0</v>
      </c>
    </row>
    <row r="120" ht="18" customHeight="1" hidden="1" spans="1:11" x14ac:dyDescent="0.25">
      <c r="A120" s="475">
        <v>12115</v>
      </c>
      <c r="B120" s="47" t="s">
        <v>918</v>
      </c>
      <c r="C120" s="476">
        <v>1087650</v>
      </c>
      <c r="D120" s="48">
        <v>-92000</v>
      </c>
      <c r="E120" s="48">
        <v>0</v>
      </c>
      <c r="F120" s="49">
        <v>995650</v>
      </c>
      <c r="G120" s="477">
        <v>838208.5</v>
      </c>
      <c r="H120" s="50">
        <v>5775</v>
      </c>
      <c r="I120" s="51">
        <v>843983.5</v>
      </c>
      <c r="J120" s="52">
        <v>0.847670868277005</v>
      </c>
      <c r="K120" s="50">
        <v>151666.5</v>
      </c>
    </row>
    <row r="121" ht="18" customHeight="1" hidden="1" spans="1:11" x14ac:dyDescent="0.25" outlineLevel="1" collapsed="1">
      <c r="A121" s="475">
        <v>12116</v>
      </c>
      <c r="B121" s="47" t="s">
        <v>919</v>
      </c>
      <c r="C121" s="476">
        <v>0</v>
      </c>
      <c r="D121" s="48">
        <v>0</v>
      </c>
      <c r="E121" s="48">
        <v>0</v>
      </c>
      <c r="F121" s="49">
        <v>0</v>
      </c>
      <c r="G121" s="477">
        <v>0</v>
      </c>
      <c r="H121" s="50">
        <v>0</v>
      </c>
      <c r="I121" s="51">
        <v>0</v>
      </c>
      <c r="J121" s="52" t="e">
        <v>#DIV/0!</v>
      </c>
      <c r="K121" s="50">
        <v>0</v>
      </c>
    </row>
    <row r="122" ht="18" customHeight="1" hidden="1" spans="1:11" x14ac:dyDescent="0.25" outlineLevel="1" collapsed="1">
      <c r="A122" s="475">
        <v>12117</v>
      </c>
      <c r="B122" s="47" t="s">
        <v>920</v>
      </c>
      <c r="C122" s="476">
        <v>0</v>
      </c>
      <c r="D122" s="48">
        <v>0</v>
      </c>
      <c r="E122" s="48">
        <v>0</v>
      </c>
      <c r="F122" s="49">
        <v>0</v>
      </c>
      <c r="G122" s="477">
        <v>0</v>
      </c>
      <c r="H122" s="50">
        <v>0</v>
      </c>
      <c r="I122" s="51">
        <v>0</v>
      </c>
      <c r="J122" s="52" t="e">
        <v>#DIV/0!</v>
      </c>
      <c r="K122" s="50">
        <v>0</v>
      </c>
    </row>
    <row r="123" ht="18" customHeight="1" hidden="1" spans="1:11" x14ac:dyDescent="0.25" outlineLevel="1" collapsed="1">
      <c r="A123" s="475">
        <v>12120</v>
      </c>
      <c r="B123" s="47" t="s">
        <v>921</v>
      </c>
      <c r="C123" s="476">
        <v>0</v>
      </c>
      <c r="D123" s="48">
        <v>0</v>
      </c>
      <c r="E123" s="48">
        <v>0</v>
      </c>
      <c r="F123" s="49">
        <v>0</v>
      </c>
      <c r="G123" s="477">
        <v>0</v>
      </c>
      <c r="H123" s="50">
        <v>0</v>
      </c>
      <c r="I123" s="51">
        <v>0</v>
      </c>
      <c r="J123" s="52" t="e">
        <v>#DIV/0!</v>
      </c>
      <c r="K123" s="50">
        <v>0</v>
      </c>
    </row>
    <row r="124" ht="18" customHeight="1" hidden="1" spans="1:11" x14ac:dyDescent="0.25" outlineLevel="1" collapsed="1">
      <c r="A124" s="475">
        <v>12121</v>
      </c>
      <c r="B124" s="47" t="s">
        <v>922</v>
      </c>
      <c r="C124" s="476">
        <v>0</v>
      </c>
      <c r="D124" s="48">
        <v>0</v>
      </c>
      <c r="E124" s="48">
        <v>0</v>
      </c>
      <c r="F124" s="49">
        <v>0</v>
      </c>
      <c r="G124" s="477">
        <v>0</v>
      </c>
      <c r="H124" s="50">
        <v>0</v>
      </c>
      <c r="I124" s="51">
        <v>0</v>
      </c>
      <c r="J124" s="52" t="e">
        <v>#DIV/0!</v>
      </c>
      <c r="K124" s="50">
        <v>0</v>
      </c>
    </row>
    <row r="125" ht="18" customHeight="1" hidden="1" spans="1:11" x14ac:dyDescent="0.25" outlineLevel="1" collapsed="1">
      <c r="A125" s="475">
        <v>12122</v>
      </c>
      <c r="B125" s="47" t="s">
        <v>923</v>
      </c>
      <c r="C125" s="476">
        <v>0</v>
      </c>
      <c r="D125" s="48">
        <v>0</v>
      </c>
      <c r="E125" s="48">
        <v>0</v>
      </c>
      <c r="F125" s="49">
        <v>0</v>
      </c>
      <c r="G125" s="477">
        <v>0</v>
      </c>
      <c r="H125" s="50">
        <v>0</v>
      </c>
      <c r="I125" s="51">
        <v>0</v>
      </c>
      <c r="J125" s="52" t="e">
        <v>#DIV/0!</v>
      </c>
      <c r="K125" s="50">
        <v>0</v>
      </c>
    </row>
    <row r="126" ht="18" customHeight="1" hidden="1" spans="1:11" x14ac:dyDescent="0.25" outlineLevel="1" collapsed="1">
      <c r="A126" s="475">
        <v>12123</v>
      </c>
      <c r="B126" s="47" t="s">
        <v>924</v>
      </c>
      <c r="C126" s="476">
        <v>0</v>
      </c>
      <c r="D126" s="48">
        <v>0</v>
      </c>
      <c r="E126" s="48">
        <v>0</v>
      </c>
      <c r="F126" s="49">
        <v>0</v>
      </c>
      <c r="G126" s="477">
        <v>0</v>
      </c>
      <c r="H126" s="50">
        <v>0</v>
      </c>
      <c r="I126" s="51">
        <v>0</v>
      </c>
      <c r="J126" s="52" t="e">
        <v>#DIV/0!</v>
      </c>
      <c r="K126" s="50">
        <v>0</v>
      </c>
    </row>
    <row r="127" ht="18" customHeight="1" hidden="1" spans="1:11" x14ac:dyDescent="0.25" outlineLevel="1" collapsed="1">
      <c r="A127" s="475">
        <v>12124</v>
      </c>
      <c r="B127" s="47" t="s">
        <v>925</v>
      </c>
      <c r="C127" s="476">
        <v>0</v>
      </c>
      <c r="D127" s="48">
        <v>0</v>
      </c>
      <c r="E127" s="48">
        <v>0</v>
      </c>
      <c r="F127" s="49">
        <v>0</v>
      </c>
      <c r="G127" s="477">
        <v>0</v>
      </c>
      <c r="H127" s="50">
        <v>0</v>
      </c>
      <c r="I127" s="51">
        <v>0</v>
      </c>
      <c r="J127" s="52" t="e">
        <v>#DIV/0!</v>
      </c>
      <c r="K127" s="50">
        <v>0</v>
      </c>
    </row>
    <row r="128" ht="18" customHeight="1" hidden="1" spans="1:11" x14ac:dyDescent="0.25" outlineLevel="1" collapsed="1">
      <c r="A128" s="475">
        <v>12125</v>
      </c>
      <c r="B128" s="47" t="s">
        <v>926</v>
      </c>
      <c r="C128" s="476">
        <v>0</v>
      </c>
      <c r="D128" s="48">
        <v>0</v>
      </c>
      <c r="E128" s="48">
        <v>0</v>
      </c>
      <c r="F128" s="49">
        <v>0</v>
      </c>
      <c r="G128" s="477">
        <v>0</v>
      </c>
      <c r="H128" s="50">
        <v>0</v>
      </c>
      <c r="I128" s="51">
        <v>0</v>
      </c>
      <c r="J128" s="52" t="e">
        <v>#DIV/0!</v>
      </c>
      <c r="K128" s="50">
        <v>0</v>
      </c>
    </row>
    <row r="129" ht="18" customHeight="1" hidden="1" spans="1:11" x14ac:dyDescent="0.25" outlineLevel="1" collapsed="1">
      <c r="A129" s="475">
        <v>12126</v>
      </c>
      <c r="B129" s="47" t="s">
        <v>927</v>
      </c>
      <c r="C129" s="476">
        <v>0</v>
      </c>
      <c r="D129" s="48">
        <v>0</v>
      </c>
      <c r="E129" s="48">
        <v>0</v>
      </c>
      <c r="F129" s="49">
        <v>0</v>
      </c>
      <c r="G129" s="477">
        <v>0</v>
      </c>
      <c r="H129" s="50">
        <v>0</v>
      </c>
      <c r="I129" s="51">
        <v>0</v>
      </c>
      <c r="J129" s="52" t="e">
        <v>#DIV/0!</v>
      </c>
      <c r="K129" s="50">
        <v>0</v>
      </c>
    </row>
    <row r="130" ht="18" customHeight="1" hidden="1" spans="1:11" x14ac:dyDescent="0.25">
      <c r="A130" s="475">
        <v>12127</v>
      </c>
      <c r="B130" s="47" t="s">
        <v>88</v>
      </c>
      <c r="C130" s="476">
        <v>150000</v>
      </c>
      <c r="D130" s="48">
        <v>441200</v>
      </c>
      <c r="E130" s="48">
        <v>0</v>
      </c>
      <c r="F130" s="49">
        <v>591200</v>
      </c>
      <c r="G130" s="477">
        <v>30975</v>
      </c>
      <c r="H130" s="50">
        <v>0</v>
      </c>
      <c r="I130" s="51">
        <v>30975</v>
      </c>
      <c r="J130" s="52">
        <v>0.05239343707713126</v>
      </c>
      <c r="K130" s="50">
        <v>560225</v>
      </c>
    </row>
    <row r="131" ht="18" customHeight="1" hidden="1" spans="1:11" x14ac:dyDescent="0.25" outlineLevel="1" collapsed="1">
      <c r="A131" s="475">
        <v>12128</v>
      </c>
      <c r="B131" s="47" t="s">
        <v>89</v>
      </c>
      <c r="C131" s="476">
        <v>0</v>
      </c>
      <c r="D131" s="48">
        <v>0</v>
      </c>
      <c r="E131" s="48">
        <v>0</v>
      </c>
      <c r="F131" s="49">
        <v>0</v>
      </c>
      <c r="G131" s="477">
        <v>0</v>
      </c>
      <c r="H131" s="50">
        <v>0</v>
      </c>
      <c r="I131" s="51">
        <v>0</v>
      </c>
      <c r="J131" s="52" t="e">
        <v>#DIV/0!</v>
      </c>
      <c r="K131" s="50">
        <v>0</v>
      </c>
    </row>
    <row r="132" ht="18" customHeight="1" hidden="1" spans="1:11" x14ac:dyDescent="0.25" outlineLevel="1" collapsed="1">
      <c r="A132" s="475">
        <v>12129</v>
      </c>
      <c r="B132" s="47" t="s">
        <v>90</v>
      </c>
      <c r="C132" s="476">
        <v>0</v>
      </c>
      <c r="D132" s="48">
        <v>0</v>
      </c>
      <c r="E132" s="48">
        <v>0</v>
      </c>
      <c r="F132" s="49">
        <v>0</v>
      </c>
      <c r="G132" s="477">
        <v>0</v>
      </c>
      <c r="H132" s="50">
        <v>0</v>
      </c>
      <c r="I132" s="51">
        <v>0</v>
      </c>
      <c r="J132" s="52" t="e">
        <v>#DIV/0!</v>
      </c>
      <c r="K132" s="50">
        <v>0</v>
      </c>
    </row>
    <row r="133" ht="18" customHeight="1" hidden="1" spans="1:11" x14ac:dyDescent="0.25" outlineLevel="1" collapsed="1">
      <c r="A133" s="475">
        <v>12131</v>
      </c>
      <c r="B133" s="47" t="s">
        <v>91</v>
      </c>
      <c r="C133" s="476">
        <v>0</v>
      </c>
      <c r="D133" s="48">
        <v>0</v>
      </c>
      <c r="E133" s="48">
        <v>0</v>
      </c>
      <c r="F133" s="49">
        <v>0</v>
      </c>
      <c r="G133" s="477">
        <v>0</v>
      </c>
      <c r="H133" s="50">
        <v>0</v>
      </c>
      <c r="I133" s="51">
        <v>0</v>
      </c>
      <c r="J133" s="52" t="e">
        <v>#DIV/0!</v>
      </c>
      <c r="K133" s="50">
        <v>0</v>
      </c>
    </row>
    <row r="134" ht="18" customHeight="1" hidden="1" spans="1:11" x14ac:dyDescent="0.25" outlineLevel="1" collapsed="1">
      <c r="A134" s="475">
        <v>12140</v>
      </c>
      <c r="B134" s="47" t="s">
        <v>92</v>
      </c>
      <c r="C134" s="476">
        <v>0</v>
      </c>
      <c r="D134" s="48">
        <v>0</v>
      </c>
      <c r="E134" s="48">
        <v>0</v>
      </c>
      <c r="F134" s="49">
        <v>0</v>
      </c>
      <c r="G134" s="477">
        <v>0</v>
      </c>
      <c r="H134" s="50">
        <v>0</v>
      </c>
      <c r="I134" s="51">
        <v>0</v>
      </c>
      <c r="J134" s="52" t="e">
        <v>#DIV/0!</v>
      </c>
      <c r="K134" s="50">
        <v>0</v>
      </c>
    </row>
    <row r="135" ht="18" customHeight="1" hidden="1" spans="1:11" x14ac:dyDescent="0.25" outlineLevel="1" collapsed="1">
      <c r="A135" s="475">
        <v>12141</v>
      </c>
      <c r="B135" s="47" t="s">
        <v>93</v>
      </c>
      <c r="C135" s="476">
        <v>0</v>
      </c>
      <c r="D135" s="48">
        <v>0</v>
      </c>
      <c r="E135" s="48">
        <v>0</v>
      </c>
      <c r="F135" s="49">
        <v>0</v>
      </c>
      <c r="G135" s="477">
        <v>0</v>
      </c>
      <c r="H135" s="50">
        <v>0</v>
      </c>
      <c r="I135" s="51">
        <v>0</v>
      </c>
      <c r="J135" s="52" t="e">
        <v>#DIV/0!</v>
      </c>
      <c r="K135" s="50">
        <v>0</v>
      </c>
    </row>
    <row r="136" ht="18" customHeight="1" hidden="1" spans="1:11" x14ac:dyDescent="0.25">
      <c r="A136" s="475">
        <v>12142</v>
      </c>
      <c r="B136" s="47" t="s">
        <v>94</v>
      </c>
      <c r="C136" s="476">
        <v>25000</v>
      </c>
      <c r="D136" s="48">
        <v>0</v>
      </c>
      <c r="E136" s="48">
        <v>0</v>
      </c>
      <c r="F136" s="49">
        <v>25000</v>
      </c>
      <c r="G136" s="477">
        <v>3356.2200000000003</v>
      </c>
      <c r="H136" s="50">
        <v>0</v>
      </c>
      <c r="I136" s="51">
        <v>3356.2200000000003</v>
      </c>
      <c r="J136" s="52">
        <v>0.1342488</v>
      </c>
      <c r="K136" s="50">
        <v>21643.78</v>
      </c>
    </row>
    <row r="137" ht="18" customHeight="1" hidden="1" spans="1:11" x14ac:dyDescent="0.25" outlineLevel="1" collapsed="1">
      <c r="A137" s="475">
        <v>12150</v>
      </c>
      <c r="B137" s="47" t="s">
        <v>95</v>
      </c>
      <c r="C137" s="476">
        <v>0</v>
      </c>
      <c r="D137" s="48">
        <v>0</v>
      </c>
      <c r="E137" s="48">
        <v>0</v>
      </c>
      <c r="F137" s="49">
        <v>0</v>
      </c>
      <c r="G137" s="477">
        <v>0</v>
      </c>
      <c r="H137" s="50">
        <v>0</v>
      </c>
      <c r="I137" s="51">
        <v>0</v>
      </c>
      <c r="J137" s="52" t="e">
        <v>#DIV/0!</v>
      </c>
      <c r="K137" s="50">
        <v>0</v>
      </c>
    </row>
    <row r="138" ht="18" customHeight="1" hidden="1" spans="1:11" x14ac:dyDescent="0.25" outlineLevel="1" collapsed="1">
      <c r="A138" s="475">
        <v>12160</v>
      </c>
      <c r="B138" s="47" t="s">
        <v>96</v>
      </c>
      <c r="C138" s="476">
        <v>0</v>
      </c>
      <c r="D138" s="48">
        <v>0</v>
      </c>
      <c r="E138" s="48">
        <v>0</v>
      </c>
      <c r="F138" s="49">
        <v>0</v>
      </c>
      <c r="G138" s="477">
        <v>0</v>
      </c>
      <c r="H138" s="50">
        <v>0</v>
      </c>
      <c r="I138" s="51">
        <v>0</v>
      </c>
      <c r="J138" s="52" t="e">
        <v>#DIV/0!</v>
      </c>
      <c r="K138" s="50">
        <v>0</v>
      </c>
    </row>
    <row r="139" ht="18" customHeight="1" hidden="1" spans="1:11" x14ac:dyDescent="0.25" outlineLevel="1" collapsed="1">
      <c r="A139" s="475">
        <v>12170</v>
      </c>
      <c r="B139" s="47" t="s">
        <v>97</v>
      </c>
      <c r="C139" s="476">
        <v>0</v>
      </c>
      <c r="D139" s="48">
        <v>0</v>
      </c>
      <c r="E139" s="48">
        <v>0</v>
      </c>
      <c r="F139" s="49">
        <v>0</v>
      </c>
      <c r="G139" s="477">
        <v>0</v>
      </c>
      <c r="H139" s="50">
        <v>0</v>
      </c>
      <c r="I139" s="51">
        <v>0</v>
      </c>
      <c r="J139" s="52" t="e">
        <v>#DIV/0!</v>
      </c>
      <c r="K139" s="50">
        <v>0</v>
      </c>
    </row>
    <row r="140" ht="18" customHeight="1" hidden="1" spans="1:11" x14ac:dyDescent="0.25" outlineLevel="1" collapsed="1">
      <c r="A140" s="475">
        <v>12180</v>
      </c>
      <c r="B140" s="47" t="s">
        <v>98</v>
      </c>
      <c r="C140" s="476">
        <v>0</v>
      </c>
      <c r="D140" s="48">
        <v>0</v>
      </c>
      <c r="E140" s="48">
        <v>0</v>
      </c>
      <c r="F140" s="49">
        <v>0</v>
      </c>
      <c r="G140" s="477">
        <v>0</v>
      </c>
      <c r="H140" s="50">
        <v>0</v>
      </c>
      <c r="I140" s="51">
        <v>0</v>
      </c>
      <c r="J140" s="52">
        <v>0</v>
      </c>
      <c r="K140" s="50">
        <v>0</v>
      </c>
    </row>
    <row r="141" ht="18" customHeight="1" hidden="1" spans="1:11" x14ac:dyDescent="0.25" outlineLevel="1" collapsed="1">
      <c r="A141" s="475">
        <v>12190</v>
      </c>
      <c r="B141" s="47" t="s">
        <v>99</v>
      </c>
      <c r="C141" s="476">
        <v>0</v>
      </c>
      <c r="D141" s="48">
        <v>0</v>
      </c>
      <c r="E141" s="48">
        <v>0</v>
      </c>
      <c r="F141" s="49">
        <v>0</v>
      </c>
      <c r="G141" s="477">
        <v>0</v>
      </c>
      <c r="H141" s="50">
        <v>0</v>
      </c>
      <c r="I141" s="51">
        <v>0</v>
      </c>
      <c r="J141" s="52" t="e">
        <v>#DIV/0!</v>
      </c>
      <c r="K141" s="50">
        <v>0</v>
      </c>
    </row>
    <row r="142" ht="18" customHeight="1" hidden="1" spans="1:11" x14ac:dyDescent="0.25" outlineLevel="1" collapsed="1">
      <c r="A142" s="475">
        <v>12195</v>
      </c>
      <c r="B142" s="47" t="s">
        <v>100</v>
      </c>
      <c r="C142" s="476">
        <v>0</v>
      </c>
      <c r="D142" s="48">
        <v>0</v>
      </c>
      <c r="E142" s="48">
        <v>0</v>
      </c>
      <c r="F142" s="49">
        <v>0</v>
      </c>
      <c r="G142" s="477">
        <v>0</v>
      </c>
      <c r="H142" s="50">
        <v>0</v>
      </c>
      <c r="I142" s="51">
        <v>0</v>
      </c>
      <c r="J142" s="52" t="e">
        <v>#DIV/0!</v>
      </c>
      <c r="K142" s="50">
        <v>0</v>
      </c>
    </row>
    <row r="143" ht="18" customHeight="1" hidden="1" spans="1:11" x14ac:dyDescent="0.25" outlineLevel="1" collapsed="1">
      <c r="A143" s="475">
        <v>12210</v>
      </c>
      <c r="B143" s="47" t="s">
        <v>101</v>
      </c>
      <c r="C143" s="476">
        <v>0</v>
      </c>
      <c r="D143" s="48">
        <v>0</v>
      </c>
      <c r="E143" s="48">
        <v>0</v>
      </c>
      <c r="F143" s="49">
        <v>0</v>
      </c>
      <c r="G143" s="477">
        <v>0</v>
      </c>
      <c r="H143" s="50">
        <v>0</v>
      </c>
      <c r="I143" s="51">
        <v>0</v>
      </c>
      <c r="J143" s="52" t="e">
        <v>#DIV/0!</v>
      </c>
      <c r="K143" s="50">
        <v>0</v>
      </c>
    </row>
    <row r="144" ht="18" customHeight="1" hidden="1" spans="1:11" x14ac:dyDescent="0.25" outlineLevel="1" collapsed="1">
      <c r="A144" s="475">
        <v>12220</v>
      </c>
      <c r="B144" s="47" t="s">
        <v>102</v>
      </c>
      <c r="C144" s="476">
        <v>0</v>
      </c>
      <c r="D144" s="48">
        <v>0</v>
      </c>
      <c r="E144" s="48">
        <v>0</v>
      </c>
      <c r="F144" s="49">
        <v>0</v>
      </c>
      <c r="G144" s="477">
        <v>0</v>
      </c>
      <c r="H144" s="50">
        <v>0</v>
      </c>
      <c r="I144" s="51">
        <v>0</v>
      </c>
      <c r="J144" s="52" t="e">
        <v>#DIV/0!</v>
      </c>
      <c r="K144" s="50">
        <v>0</v>
      </c>
    </row>
    <row r="145" ht="18" customHeight="1" hidden="1" spans="1:11" x14ac:dyDescent="0.25">
      <c r="A145" s="475">
        <v>12230</v>
      </c>
      <c r="B145" s="47" t="s">
        <v>372</v>
      </c>
      <c r="C145" s="476">
        <v>160100</v>
      </c>
      <c r="D145" s="48">
        <v>31339</v>
      </c>
      <c r="E145" s="48">
        <v>0</v>
      </c>
      <c r="F145" s="49">
        <v>191439</v>
      </c>
      <c r="G145" s="477">
        <v>118838.5</v>
      </c>
      <c r="H145" s="50">
        <v>4725</v>
      </c>
      <c r="I145" s="51">
        <v>123563.5</v>
      </c>
      <c r="J145" s="52">
        <v>0.6454458078030078</v>
      </c>
      <c r="K145" s="50">
        <v>67875.5</v>
      </c>
    </row>
    <row r="146" ht="18" customHeight="1" hidden="1" spans="1:11" x14ac:dyDescent="0.25" outlineLevel="1" collapsed="1">
      <c r="A146" s="475">
        <v>12231</v>
      </c>
      <c r="B146" s="47" t="s">
        <v>104</v>
      </c>
      <c r="C146" s="476">
        <v>0</v>
      </c>
      <c r="D146" s="48">
        <v>0</v>
      </c>
      <c r="E146" s="48">
        <v>0</v>
      </c>
      <c r="F146" s="49">
        <v>0</v>
      </c>
      <c r="G146" s="477">
        <v>0</v>
      </c>
      <c r="H146" s="50">
        <v>0</v>
      </c>
      <c r="I146" s="51">
        <v>0</v>
      </c>
      <c r="J146" s="50"/>
      <c r="K146" s="50">
        <v>0</v>
      </c>
    </row>
    <row r="147" ht="18" customHeight="1" hidden="1" spans="1:11" x14ac:dyDescent="0.25">
      <c r="A147" s="482"/>
      <c r="B147" s="73" t="s">
        <v>105</v>
      </c>
      <c r="C147" s="58">
        <v>2678394.46</v>
      </c>
      <c r="D147" s="58">
        <v>978873.03</v>
      </c>
      <c r="E147" s="58">
        <v>2438.18</v>
      </c>
      <c r="F147" s="58">
        <v>3659705.67</v>
      </c>
      <c r="G147" s="58">
        <v>2188219.37</v>
      </c>
      <c r="H147" s="58">
        <v>41022.31</v>
      </c>
      <c r="I147" s="58">
        <v>2229241.68</v>
      </c>
      <c r="J147" s="59">
        <v>0.60913141137932</v>
      </c>
      <c r="K147" s="479">
        <v>1430463.99</v>
      </c>
    </row>
    <row r="148" ht="18" customHeight="1" hidden="1" spans="1:11" x14ac:dyDescent="0.25" outlineLevel="1" collapsed="1">
      <c r="A148" s="475">
        <v>12310</v>
      </c>
      <c r="B148" s="47" t="s">
        <v>110</v>
      </c>
      <c r="C148" s="476">
        <v>0</v>
      </c>
      <c r="D148" s="48">
        <v>0</v>
      </c>
      <c r="E148" s="48">
        <v>0</v>
      </c>
      <c r="F148" s="49">
        <v>0</v>
      </c>
      <c r="G148" s="477">
        <v>0</v>
      </c>
      <c r="H148" s="50">
        <v>0</v>
      </c>
      <c r="I148" s="51">
        <v>0</v>
      </c>
      <c r="J148" s="50"/>
      <c r="K148" s="50">
        <v>0</v>
      </c>
    </row>
    <row r="149" ht="18" customHeight="1" hidden="1" spans="1:11" x14ac:dyDescent="0.25" outlineLevel="1" collapsed="1">
      <c r="A149" s="475">
        <v>12311</v>
      </c>
      <c r="B149" s="47" t="s">
        <v>111</v>
      </c>
      <c r="C149" s="476">
        <v>0</v>
      </c>
      <c r="D149" s="48">
        <v>0</v>
      </c>
      <c r="E149" s="48">
        <v>0</v>
      </c>
      <c r="F149" s="49">
        <v>0</v>
      </c>
      <c r="G149" s="477">
        <v>0</v>
      </c>
      <c r="H149" s="50">
        <v>0</v>
      </c>
      <c r="I149" s="51">
        <v>0</v>
      </c>
      <c r="J149" s="50"/>
      <c r="K149" s="50">
        <v>0</v>
      </c>
    </row>
    <row r="150" ht="18" customHeight="1" hidden="1" spans="1:11" x14ac:dyDescent="0.25" outlineLevel="1" collapsed="1">
      <c r="A150" s="475">
        <v>12320</v>
      </c>
      <c r="B150" s="47" t="s">
        <v>112</v>
      </c>
      <c r="C150" s="476">
        <v>0</v>
      </c>
      <c r="D150" s="48">
        <v>0</v>
      </c>
      <c r="E150" s="48">
        <v>0</v>
      </c>
      <c r="F150" s="49">
        <v>0</v>
      </c>
      <c r="G150" s="477">
        <v>0</v>
      </c>
      <c r="H150" s="50">
        <v>0</v>
      </c>
      <c r="I150" s="51">
        <v>0</v>
      </c>
      <c r="J150" s="50"/>
      <c r="K150" s="50">
        <v>0</v>
      </c>
    </row>
    <row r="151" ht="18" customHeight="1" hidden="1" spans="1:11" x14ac:dyDescent="0.25" outlineLevel="1" collapsed="1">
      <c r="A151" s="475">
        <v>12322</v>
      </c>
      <c r="B151" s="47" t="s">
        <v>113</v>
      </c>
      <c r="C151" s="476">
        <v>0</v>
      </c>
      <c r="D151" s="48">
        <v>0</v>
      </c>
      <c r="E151" s="48">
        <v>0</v>
      </c>
      <c r="F151" s="49">
        <v>0</v>
      </c>
      <c r="G151" s="477">
        <v>0</v>
      </c>
      <c r="H151" s="50">
        <v>0</v>
      </c>
      <c r="I151" s="51">
        <v>0</v>
      </c>
      <c r="J151" s="50"/>
      <c r="K151" s="50">
        <v>0</v>
      </c>
    </row>
    <row r="152" ht="18" customHeight="1" hidden="1" spans="1:11" x14ac:dyDescent="0.25" outlineLevel="1" collapsed="1">
      <c r="A152" s="475">
        <v>12330</v>
      </c>
      <c r="B152" s="47" t="s">
        <v>932</v>
      </c>
      <c r="C152" s="476">
        <v>0</v>
      </c>
      <c r="D152" s="48">
        <v>0</v>
      </c>
      <c r="E152" s="48">
        <v>0</v>
      </c>
      <c r="F152" s="49">
        <v>0</v>
      </c>
      <c r="G152" s="477">
        <v>0</v>
      </c>
      <c r="H152" s="50">
        <v>0</v>
      </c>
      <c r="I152" s="51">
        <v>0</v>
      </c>
      <c r="J152" s="50"/>
      <c r="K152" s="50">
        <v>0</v>
      </c>
    </row>
    <row r="153" ht="18" customHeight="1" hidden="1" spans="1:11" x14ac:dyDescent="0.25" outlineLevel="1" collapsed="1">
      <c r="A153" s="475">
        <v>12331</v>
      </c>
      <c r="B153" s="47" t="s">
        <v>114</v>
      </c>
      <c r="C153" s="476">
        <v>0</v>
      </c>
      <c r="D153" s="48">
        <v>0</v>
      </c>
      <c r="E153" s="48">
        <v>0</v>
      </c>
      <c r="F153" s="49">
        <v>0</v>
      </c>
      <c r="G153" s="477">
        <v>0</v>
      </c>
      <c r="H153" s="50">
        <v>0</v>
      </c>
      <c r="I153" s="51">
        <v>0</v>
      </c>
      <c r="J153" s="50"/>
      <c r="K153" s="50">
        <v>0</v>
      </c>
    </row>
    <row r="154" ht="18" customHeight="1" hidden="1" spans="1:11" x14ac:dyDescent="0.25">
      <c r="A154" s="475">
        <v>12332</v>
      </c>
      <c r="B154" s="47" t="s">
        <v>115</v>
      </c>
      <c r="C154" s="476">
        <v>565259.37</v>
      </c>
      <c r="D154" s="48">
        <v>-75259.3695180451</v>
      </c>
      <c r="E154" s="48">
        <v>0</v>
      </c>
      <c r="F154" s="49">
        <v>490000.0004819549</v>
      </c>
      <c r="G154" s="477">
        <v>490000</v>
      </c>
      <c r="H154" s="50">
        <v>0</v>
      </c>
      <c r="I154" s="51">
        <v>490000</v>
      </c>
      <c r="J154" s="52">
        <v>0.9999999990164186</v>
      </c>
      <c r="K154" s="50">
        <v>0.0004819548921659589</v>
      </c>
    </row>
    <row r="155" ht="18" customHeight="1" hidden="1" spans="1:11" x14ac:dyDescent="0.25" outlineLevel="1" collapsed="1">
      <c r="A155" s="475">
        <v>12333</v>
      </c>
      <c r="B155" s="47" t="s">
        <v>116</v>
      </c>
      <c r="C155" s="476">
        <v>0</v>
      </c>
      <c r="D155" s="48">
        <v>0</v>
      </c>
      <c r="E155" s="48">
        <v>0</v>
      </c>
      <c r="F155" s="49">
        <v>0</v>
      </c>
      <c r="G155" s="477">
        <v>0</v>
      </c>
      <c r="H155" s="50">
        <v>0</v>
      </c>
      <c r="I155" s="51">
        <v>0</v>
      </c>
      <c r="J155" s="52" t="e">
        <v>#DIV/0!</v>
      </c>
      <c r="K155" s="50">
        <v>0</v>
      </c>
    </row>
    <row r="156" ht="18" customHeight="1" hidden="1" spans="1:11" x14ac:dyDescent="0.25">
      <c r="A156" s="475">
        <v>12340</v>
      </c>
      <c r="B156" s="47" t="s">
        <v>117</v>
      </c>
      <c r="C156" s="476">
        <v>188419.79</v>
      </c>
      <c r="D156" s="48">
        <v>-33099.740000000005</v>
      </c>
      <c r="E156" s="48">
        <v>0</v>
      </c>
      <c r="F156" s="49">
        <v>155320.05</v>
      </c>
      <c r="G156" s="477">
        <v>155320.05</v>
      </c>
      <c r="H156" s="50">
        <v>0</v>
      </c>
      <c r="I156" s="51">
        <v>155320.05</v>
      </c>
      <c r="J156" s="52">
        <v>1</v>
      </c>
      <c r="K156" s="50">
        <v>0</v>
      </c>
    </row>
    <row r="157" ht="18" customHeight="1" hidden="1" spans="1:11" x14ac:dyDescent="0.25" outlineLevel="1" collapsed="1">
      <c r="A157" s="475">
        <v>12350</v>
      </c>
      <c r="B157" s="47" t="s">
        <v>118</v>
      </c>
      <c r="C157" s="476">
        <v>0</v>
      </c>
      <c r="D157" s="48">
        <v>0</v>
      </c>
      <c r="E157" s="48">
        <v>0</v>
      </c>
      <c r="F157" s="49">
        <v>0</v>
      </c>
      <c r="G157" s="477">
        <v>0</v>
      </c>
      <c r="H157" s="50">
        <v>0</v>
      </c>
      <c r="I157" s="51">
        <v>0</v>
      </c>
      <c r="J157" s="52" t="e">
        <v>#DIV/0!</v>
      </c>
      <c r="K157" s="50">
        <v>0</v>
      </c>
    </row>
    <row r="158" ht="18" customHeight="1" hidden="1" spans="1:11" x14ac:dyDescent="0.25" outlineLevel="1" collapsed="1">
      <c r="A158" s="475">
        <v>12360</v>
      </c>
      <c r="B158" s="47" t="s">
        <v>119</v>
      </c>
      <c r="C158" s="476">
        <v>0</v>
      </c>
      <c r="D158" s="48">
        <v>0</v>
      </c>
      <c r="E158" s="48">
        <v>0</v>
      </c>
      <c r="F158" s="49">
        <v>0</v>
      </c>
      <c r="G158" s="477">
        <v>0</v>
      </c>
      <c r="H158" s="50">
        <v>0</v>
      </c>
      <c r="I158" s="51">
        <v>0</v>
      </c>
      <c r="J158" s="52" t="e">
        <v>#DIV/0!</v>
      </c>
      <c r="K158" s="50">
        <v>0</v>
      </c>
    </row>
    <row r="159" ht="18" customHeight="1" hidden="1" spans="1:11" x14ac:dyDescent="0.25" outlineLevel="1" collapsed="1">
      <c r="A159" s="475">
        <v>12361</v>
      </c>
      <c r="B159" s="47" t="s">
        <v>120</v>
      </c>
      <c r="C159" s="476">
        <v>0</v>
      </c>
      <c r="D159" s="48">
        <v>0</v>
      </c>
      <c r="E159" s="48">
        <v>0</v>
      </c>
      <c r="F159" s="49">
        <v>0</v>
      </c>
      <c r="G159" s="477">
        <v>0</v>
      </c>
      <c r="H159" s="50">
        <v>0</v>
      </c>
      <c r="I159" s="51">
        <v>0</v>
      </c>
      <c r="J159" s="52" t="e">
        <v>#DIV/0!</v>
      </c>
      <c r="K159" s="50">
        <v>0</v>
      </c>
    </row>
    <row r="160" ht="18" customHeight="1" hidden="1" spans="1:11" x14ac:dyDescent="0.25" outlineLevel="1" collapsed="1">
      <c r="A160" s="475">
        <v>12362</v>
      </c>
      <c r="B160" s="47" t="s">
        <v>121</v>
      </c>
      <c r="C160" s="476">
        <v>0</v>
      </c>
      <c r="D160" s="48">
        <v>0</v>
      </c>
      <c r="E160" s="48">
        <v>0</v>
      </c>
      <c r="F160" s="49">
        <v>0</v>
      </c>
      <c r="G160" s="477">
        <v>0</v>
      </c>
      <c r="H160" s="50">
        <v>0</v>
      </c>
      <c r="I160" s="51">
        <v>0</v>
      </c>
      <c r="J160" s="52" t="e">
        <v>#DIV/0!</v>
      </c>
      <c r="K160" s="50">
        <v>0</v>
      </c>
    </row>
    <row r="161" ht="18" customHeight="1" hidden="1" spans="1:11" x14ac:dyDescent="0.25" outlineLevel="1" collapsed="1">
      <c r="A161" s="475">
        <v>12370</v>
      </c>
      <c r="B161" s="47" t="s">
        <v>122</v>
      </c>
      <c r="C161" s="476">
        <v>0</v>
      </c>
      <c r="D161" s="48">
        <v>0</v>
      </c>
      <c r="E161" s="48">
        <v>0</v>
      </c>
      <c r="F161" s="49">
        <v>0</v>
      </c>
      <c r="G161" s="477">
        <v>0</v>
      </c>
      <c r="H161" s="50">
        <v>0</v>
      </c>
      <c r="I161" s="51">
        <v>0</v>
      </c>
      <c r="J161" s="52" t="e">
        <v>#DIV/0!</v>
      </c>
      <c r="K161" s="50">
        <v>0</v>
      </c>
    </row>
    <row r="162" ht="18" customHeight="1" hidden="1" spans="1:11" x14ac:dyDescent="0.25" outlineLevel="1" collapsed="1">
      <c r="A162" s="475">
        <v>12380</v>
      </c>
      <c r="B162" s="47" t="s">
        <v>123</v>
      </c>
      <c r="C162" s="476">
        <v>0</v>
      </c>
      <c r="D162" s="48">
        <v>0</v>
      </c>
      <c r="E162" s="48">
        <v>0</v>
      </c>
      <c r="F162" s="49">
        <v>0</v>
      </c>
      <c r="G162" s="477">
        <v>0</v>
      </c>
      <c r="H162" s="50">
        <v>0</v>
      </c>
      <c r="I162" s="51">
        <v>0</v>
      </c>
      <c r="J162" s="52" t="e">
        <v>#DIV/0!</v>
      </c>
      <c r="K162" s="50">
        <v>0</v>
      </c>
    </row>
    <row r="163" ht="18" customHeight="1" hidden="1" spans="1:11" x14ac:dyDescent="0.25" outlineLevel="1" collapsed="1">
      <c r="A163" s="475">
        <v>12385</v>
      </c>
      <c r="B163" s="47" t="s">
        <v>935</v>
      </c>
      <c r="C163" s="476">
        <v>0</v>
      </c>
      <c r="D163" s="48">
        <v>0</v>
      </c>
      <c r="E163" s="48">
        <v>0</v>
      </c>
      <c r="F163" s="49">
        <v>0</v>
      </c>
      <c r="G163" s="477">
        <v>0</v>
      </c>
      <c r="H163" s="50">
        <v>0</v>
      </c>
      <c r="I163" s="51">
        <v>0</v>
      </c>
      <c r="J163" s="52" t="e">
        <v>#DIV/0!</v>
      </c>
      <c r="K163" s="50">
        <v>0</v>
      </c>
    </row>
    <row r="164" ht="18" customHeight="1" spans="1:11" x14ac:dyDescent="0.25">
      <c r="A164" s="475">
        <v>12410</v>
      </c>
      <c r="B164" s="47" t="s">
        <v>125</v>
      </c>
      <c r="C164" s="476">
        <v>1102519.52</v>
      </c>
      <c r="D164" s="48">
        <v>253862.47999999998</v>
      </c>
      <c r="E164" s="48">
        <v>0</v>
      </c>
      <c r="F164" s="49">
        <v>1356382</v>
      </c>
      <c r="G164" s="477">
        <v>159159.25</v>
      </c>
      <c r="H164" s="50">
        <v>0</v>
      </c>
      <c r="I164" s="51">
        <v>159159.25</v>
      </c>
      <c r="J164" s="52">
        <v>0.11734102192450209</v>
      </c>
      <c r="K164" s="50">
        <v>1197222.75</v>
      </c>
    </row>
    <row r="165" ht="18" customHeight="1" spans="1:11" x14ac:dyDescent="0.25">
      <c r="A165" s="475">
        <v>12334</v>
      </c>
      <c r="B165" s="47" t="s">
        <v>127</v>
      </c>
      <c r="C165" s="476">
        <v>0</v>
      </c>
      <c r="D165" s="48">
        <v>400000.00134723174</v>
      </c>
      <c r="E165" s="48">
        <v>0</v>
      </c>
      <c r="F165" s="49">
        <v>400000.00134723174</v>
      </c>
      <c r="G165" s="477">
        <v>0</v>
      </c>
      <c r="H165" s="50">
        <v>0</v>
      </c>
      <c r="I165" s="51">
        <v>0</v>
      </c>
      <c r="J165" s="52">
        <v>0</v>
      </c>
      <c r="K165" s="50">
        <v>400000.00134723174</v>
      </c>
    </row>
    <row r="166" ht="18" customHeight="1" spans="1:11" x14ac:dyDescent="0.25">
      <c r="A166" s="475">
        <v>12390</v>
      </c>
      <c r="B166" s="47" t="s">
        <v>128</v>
      </c>
      <c r="C166" s="476">
        <v>379456.78</v>
      </c>
      <c r="D166" s="48">
        <v>-95079.95000000001</v>
      </c>
      <c r="E166" s="48">
        <v>0</v>
      </c>
      <c r="F166" s="49">
        <v>284376.83</v>
      </c>
      <c r="G166" s="477">
        <v>0</v>
      </c>
      <c r="H166" s="50">
        <v>0</v>
      </c>
      <c r="I166" s="51">
        <v>0</v>
      </c>
      <c r="J166" s="52">
        <v>0</v>
      </c>
      <c r="K166" s="50">
        <v>284376.83</v>
      </c>
    </row>
    <row r="167" ht="18" customHeight="1" hidden="1" spans="1:11" x14ac:dyDescent="0.25">
      <c r="A167" s="475">
        <v>12321</v>
      </c>
      <c r="B167" s="47" t="s">
        <v>129</v>
      </c>
      <c r="C167" s="476">
        <v>1241258.41</v>
      </c>
      <c r="D167" s="48">
        <v>-259417.40999999992</v>
      </c>
      <c r="E167" s="48">
        <v>0</v>
      </c>
      <c r="F167" s="49">
        <v>981841</v>
      </c>
      <c r="G167" s="477">
        <v>0</v>
      </c>
      <c r="H167" s="50">
        <v>0</v>
      </c>
      <c r="I167" s="51">
        <v>0</v>
      </c>
      <c r="J167" s="52">
        <v>0</v>
      </c>
      <c r="K167" s="50">
        <v>981841</v>
      </c>
    </row>
    <row r="168" ht="18" customHeight="1" hidden="1" spans="1:11" x14ac:dyDescent="0.25">
      <c r="A168" s="482"/>
      <c r="B168" s="73" t="s">
        <v>130</v>
      </c>
      <c r="C168" s="58">
        <v>3476913.87</v>
      </c>
      <c r="D168" s="58">
        <v>191006.01182918664</v>
      </c>
      <c r="E168" s="58">
        <v>0</v>
      </c>
      <c r="F168" s="58">
        <v>3667919.881829187</v>
      </c>
      <c r="G168" s="58">
        <v>804479.3</v>
      </c>
      <c r="H168" s="58">
        <v>0</v>
      </c>
      <c r="I168" s="58">
        <v>804479.3</v>
      </c>
      <c r="J168" s="59">
        <v>0.21932848206019356</v>
      </c>
      <c r="K168" s="479">
        <v>2863440.5818291865</v>
      </c>
    </row>
    <row r="169" ht="18" customHeight="1" hidden="1" spans="1:11" x14ac:dyDescent="0.25" outlineLevel="1" collapsed="1">
      <c r="A169" s="475">
        <v>12710</v>
      </c>
      <c r="B169" s="47" t="s">
        <v>133</v>
      </c>
      <c r="C169" s="476">
        <v>0</v>
      </c>
      <c r="D169" s="48">
        <v>0</v>
      </c>
      <c r="E169" s="48">
        <v>0</v>
      </c>
      <c r="F169" s="49">
        <v>0</v>
      </c>
      <c r="G169" s="477">
        <v>0</v>
      </c>
      <c r="H169" s="50">
        <v>0</v>
      </c>
      <c r="I169" s="51">
        <v>0</v>
      </c>
      <c r="J169" s="50"/>
      <c r="K169" s="50">
        <v>0</v>
      </c>
    </row>
    <row r="170" ht="18" customHeight="1" hidden="1" spans="1:11" x14ac:dyDescent="0.25" outlineLevel="1" collapsed="1">
      <c r="A170" s="475">
        <v>12711</v>
      </c>
      <c r="B170" s="47" t="s">
        <v>99</v>
      </c>
      <c r="C170" s="476">
        <v>0</v>
      </c>
      <c r="D170" s="48">
        <v>0</v>
      </c>
      <c r="E170" s="48">
        <v>0</v>
      </c>
      <c r="F170" s="49">
        <v>0</v>
      </c>
      <c r="G170" s="477">
        <v>0</v>
      </c>
      <c r="H170" s="50">
        <v>0</v>
      </c>
      <c r="I170" s="51">
        <v>0</v>
      </c>
      <c r="J170" s="50"/>
      <c r="K170" s="50">
        <v>0</v>
      </c>
    </row>
    <row r="171" ht="18" customHeight="1" hidden="1" spans="1:11" x14ac:dyDescent="0.25">
      <c r="A171" s="475">
        <v>12720</v>
      </c>
      <c r="B171" s="47" t="s">
        <v>482</v>
      </c>
      <c r="C171" s="476">
        <v>10000</v>
      </c>
      <c r="D171" s="48">
        <v>22000</v>
      </c>
      <c r="E171" s="48">
        <v>0</v>
      </c>
      <c r="F171" s="49">
        <v>32000</v>
      </c>
      <c r="G171" s="477">
        <v>24093.930000000004</v>
      </c>
      <c r="H171" s="50">
        <v>1364.18</v>
      </c>
      <c r="I171" s="51">
        <v>25458.110000000004</v>
      </c>
      <c r="J171" s="52">
        <v>0.7955659375000002</v>
      </c>
      <c r="K171" s="50">
        <v>6541.889999999996</v>
      </c>
    </row>
    <row r="172" ht="18" customHeight="1" hidden="1" spans="1:11" x14ac:dyDescent="0.25" outlineLevel="1" collapsed="1">
      <c r="A172" s="475">
        <v>12730</v>
      </c>
      <c r="B172" s="47" t="s">
        <v>883</v>
      </c>
      <c r="C172" s="476">
        <v>0</v>
      </c>
      <c r="D172" s="48">
        <v>0</v>
      </c>
      <c r="E172" s="48">
        <v>0</v>
      </c>
      <c r="F172" s="49">
        <v>0</v>
      </c>
      <c r="G172" s="477">
        <v>0</v>
      </c>
      <c r="H172" s="50">
        <v>0</v>
      </c>
      <c r="I172" s="51">
        <v>0</v>
      </c>
      <c r="J172" s="52" t="e">
        <v>#DIV/0!</v>
      </c>
      <c r="K172" s="50">
        <v>0</v>
      </c>
    </row>
    <row r="173" ht="18" customHeight="1" hidden="1" spans="1:11" x14ac:dyDescent="0.25" outlineLevel="1" collapsed="1">
      <c r="A173" s="475">
        <v>12740</v>
      </c>
      <c r="B173" s="47" t="s">
        <v>938</v>
      </c>
      <c r="C173" s="476">
        <v>0</v>
      </c>
      <c r="D173" s="48">
        <v>0</v>
      </c>
      <c r="E173" s="48">
        <v>0</v>
      </c>
      <c r="F173" s="49">
        <v>0</v>
      </c>
      <c r="G173" s="477">
        <v>0</v>
      </c>
      <c r="H173" s="50">
        <v>0</v>
      </c>
      <c r="I173" s="51">
        <v>0</v>
      </c>
      <c r="J173" s="52" t="e">
        <v>#DIV/0!</v>
      </c>
      <c r="K173" s="50">
        <v>0</v>
      </c>
    </row>
    <row r="174" ht="18" customHeight="1" hidden="1" spans="1:11" x14ac:dyDescent="0.25">
      <c r="A174" s="475">
        <v>12741</v>
      </c>
      <c r="B174" s="47" t="s">
        <v>940</v>
      </c>
      <c r="C174" s="476">
        <v>42500</v>
      </c>
      <c r="D174" s="48">
        <v>-34500</v>
      </c>
      <c r="E174" s="48">
        <v>0</v>
      </c>
      <c r="F174" s="49">
        <v>8000</v>
      </c>
      <c r="G174" s="477">
        <v>1000</v>
      </c>
      <c r="H174" s="50">
        <v>0</v>
      </c>
      <c r="I174" s="51">
        <v>1000</v>
      </c>
      <c r="J174" s="52">
        <v>0.125</v>
      </c>
      <c r="K174" s="50">
        <v>7000</v>
      </c>
    </row>
    <row r="175" ht="18" customHeight="1" hidden="1" spans="1:11" x14ac:dyDescent="0.25" outlineLevel="1" collapsed="1">
      <c r="A175" s="475">
        <v>12750</v>
      </c>
      <c r="B175" s="47" t="s">
        <v>941</v>
      </c>
      <c r="C175" s="476">
        <v>0</v>
      </c>
      <c r="D175" s="48">
        <v>0</v>
      </c>
      <c r="E175" s="48">
        <v>0</v>
      </c>
      <c r="F175" s="49">
        <v>0</v>
      </c>
      <c r="G175" s="477">
        <v>0</v>
      </c>
      <c r="H175" s="50">
        <v>0</v>
      </c>
      <c r="I175" s="51">
        <v>0</v>
      </c>
      <c r="J175" s="52" t="e">
        <v>#DIV/0!</v>
      </c>
      <c r="K175" s="50">
        <v>0</v>
      </c>
    </row>
    <row r="176" ht="18" customHeight="1" hidden="1" spans="1:11" x14ac:dyDescent="0.25" outlineLevel="1" collapsed="1">
      <c r="A176" s="475">
        <v>12760</v>
      </c>
      <c r="B176" s="47" t="s">
        <v>136</v>
      </c>
      <c r="C176" s="476">
        <v>0</v>
      </c>
      <c r="D176" s="48">
        <v>0</v>
      </c>
      <c r="E176" s="48">
        <v>0</v>
      </c>
      <c r="F176" s="49">
        <v>0</v>
      </c>
      <c r="G176" s="477">
        <v>0</v>
      </c>
      <c r="H176" s="50">
        <v>0</v>
      </c>
      <c r="I176" s="51">
        <v>0</v>
      </c>
      <c r="J176" s="52" t="e">
        <v>#DIV/0!</v>
      </c>
      <c r="K176" s="50">
        <v>0</v>
      </c>
    </row>
    <row r="177" ht="18" customHeight="1" hidden="1" spans="1:11" x14ac:dyDescent="0.25" outlineLevel="1" collapsed="1">
      <c r="A177" s="475">
        <v>12770</v>
      </c>
      <c r="B177" s="47" t="s">
        <v>137</v>
      </c>
      <c r="C177" s="476">
        <v>0</v>
      </c>
      <c r="D177" s="48">
        <v>0</v>
      </c>
      <c r="E177" s="48">
        <v>0</v>
      </c>
      <c r="F177" s="49">
        <v>0</v>
      </c>
      <c r="G177" s="477">
        <v>0</v>
      </c>
      <c r="H177" s="50">
        <v>0</v>
      </c>
      <c r="I177" s="51">
        <v>0</v>
      </c>
      <c r="J177" s="52" t="e">
        <v>#DIV/0!</v>
      </c>
      <c r="K177" s="50">
        <v>0</v>
      </c>
    </row>
    <row r="178" ht="18" customHeight="1" spans="1:11" x14ac:dyDescent="0.25">
      <c r="A178" s="475">
        <v>12420</v>
      </c>
      <c r="B178" s="47" t="s">
        <v>138</v>
      </c>
      <c r="C178" s="476">
        <v>329571.81</v>
      </c>
      <c r="D178" s="48">
        <v>414814.19</v>
      </c>
      <c r="E178" s="48">
        <v>0</v>
      </c>
      <c r="F178" s="49">
        <v>744386</v>
      </c>
      <c r="G178" s="477">
        <v>547819.47</v>
      </c>
      <c r="H178" s="50">
        <v>0</v>
      </c>
      <c r="I178" s="51">
        <v>547819.47</v>
      </c>
      <c r="J178" s="52">
        <v>0.7359346763641443</v>
      </c>
      <c r="K178" s="50">
        <v>196566.53000000003</v>
      </c>
    </row>
    <row r="179" ht="18" customHeight="1" hidden="1" spans="1:11" x14ac:dyDescent="0.25">
      <c r="A179" s="475">
        <v>12421</v>
      </c>
      <c r="B179" s="47" t="s">
        <v>126</v>
      </c>
      <c r="C179" s="476">
        <v>25000</v>
      </c>
      <c r="D179" s="48">
        <v>-24500</v>
      </c>
      <c r="E179" s="476">
        <v>0</v>
      </c>
      <c r="F179" s="49">
        <v>500</v>
      </c>
      <c r="G179" s="477">
        <v>256</v>
      </c>
      <c r="H179" s="50">
        <v>0</v>
      </c>
      <c r="I179" s="51">
        <v>256</v>
      </c>
      <c r="J179" s="52">
        <v>0.512</v>
      </c>
      <c r="K179" s="50">
        <v>244</v>
      </c>
    </row>
    <row r="180" ht="18" customHeight="1" hidden="1" spans="1:11" x14ac:dyDescent="0.25">
      <c r="A180" s="475">
        <v>12422</v>
      </c>
      <c r="B180" s="47" t="s">
        <v>139</v>
      </c>
      <c r="C180" s="476">
        <v>365000</v>
      </c>
      <c r="D180" s="48">
        <v>111247.24</v>
      </c>
      <c r="E180" s="476">
        <v>0</v>
      </c>
      <c r="F180" s="49">
        <v>476247.24</v>
      </c>
      <c r="G180" s="477">
        <v>476247.24</v>
      </c>
      <c r="H180" s="50">
        <v>0</v>
      </c>
      <c r="I180" s="51">
        <v>476247.24</v>
      </c>
      <c r="J180" s="52">
        <v>1</v>
      </c>
      <c r="K180" s="50">
        <v>0</v>
      </c>
    </row>
    <row r="181" ht="18" customHeight="1" hidden="1" spans="1:11" x14ac:dyDescent="0.25">
      <c r="A181" s="475">
        <v>12423</v>
      </c>
      <c r="B181" s="47" t="s">
        <v>140</v>
      </c>
      <c r="C181" s="476">
        <v>0</v>
      </c>
      <c r="D181" s="48">
        <v>0</v>
      </c>
      <c r="E181" s="476">
        <v>0</v>
      </c>
      <c r="F181" s="49">
        <v>0</v>
      </c>
      <c r="G181" s="477">
        <v>0</v>
      </c>
      <c r="H181" s="50">
        <v>0</v>
      </c>
      <c r="I181" s="51">
        <v>0</v>
      </c>
      <c r="J181" s="52" t="e">
        <v>#DIV/0!</v>
      </c>
      <c r="K181" s="50">
        <v>0</v>
      </c>
    </row>
    <row r="182" ht="18" customHeight="1" hidden="1" spans="1:11" x14ac:dyDescent="0.25" outlineLevel="1" collapsed="1">
      <c r="A182" s="475">
        <v>12424</v>
      </c>
      <c r="B182" s="47" t="s">
        <v>141</v>
      </c>
      <c r="C182" s="476">
        <v>0</v>
      </c>
      <c r="D182" s="48">
        <v>0</v>
      </c>
      <c r="E182" s="476">
        <v>0</v>
      </c>
      <c r="F182" s="49">
        <v>0</v>
      </c>
      <c r="G182" s="477">
        <v>0</v>
      </c>
      <c r="H182" s="50">
        <v>0</v>
      </c>
      <c r="I182" s="51">
        <v>0</v>
      </c>
      <c r="J182" s="52">
        <v>0</v>
      </c>
      <c r="K182" s="50">
        <v>0</v>
      </c>
    </row>
    <row r="183" ht="18" customHeight="1" hidden="1" spans="1:11" x14ac:dyDescent="0.25" outlineLevel="1" collapsed="1">
      <c r="A183" s="475">
        <v>12425</v>
      </c>
      <c r="B183" s="47" t="s">
        <v>142</v>
      </c>
      <c r="C183" s="476">
        <v>0</v>
      </c>
      <c r="D183" s="48">
        <v>0</v>
      </c>
      <c r="E183" s="476">
        <v>0</v>
      </c>
      <c r="F183" s="49">
        <v>0</v>
      </c>
      <c r="G183" s="477">
        <v>0</v>
      </c>
      <c r="H183" s="50">
        <v>0</v>
      </c>
      <c r="I183" s="51">
        <v>0</v>
      </c>
      <c r="J183" s="52" t="e">
        <v>#DIV/0!</v>
      </c>
      <c r="K183" s="50">
        <v>0</v>
      </c>
    </row>
    <row r="184" ht="18" customHeight="1" hidden="1" spans="1:11" x14ac:dyDescent="0.25" outlineLevel="1" collapsed="1">
      <c r="A184" s="475">
        <v>12426</v>
      </c>
      <c r="B184" s="47" t="s">
        <v>143</v>
      </c>
      <c r="C184" s="476">
        <v>0</v>
      </c>
      <c r="D184" s="48">
        <v>0</v>
      </c>
      <c r="E184" s="476">
        <v>0</v>
      </c>
      <c r="F184" s="49">
        <v>0</v>
      </c>
      <c r="G184" s="477">
        <v>0</v>
      </c>
      <c r="H184" s="50">
        <v>0</v>
      </c>
      <c r="I184" s="51">
        <v>0</v>
      </c>
      <c r="J184" s="52" t="e">
        <v>#DIV/0!</v>
      </c>
      <c r="K184" s="50">
        <v>0</v>
      </c>
    </row>
    <row r="185" ht="18" customHeight="1" hidden="1" spans="1:11" x14ac:dyDescent="0.25" outlineLevel="1" collapsed="1">
      <c r="A185" s="475">
        <v>12810</v>
      </c>
      <c r="B185" s="47" t="s">
        <v>144</v>
      </c>
      <c r="C185" s="476">
        <v>0</v>
      </c>
      <c r="D185" s="48">
        <v>0</v>
      </c>
      <c r="E185" s="476">
        <v>0</v>
      </c>
      <c r="F185" s="49">
        <v>0</v>
      </c>
      <c r="G185" s="477">
        <v>0</v>
      </c>
      <c r="H185" s="50">
        <v>0</v>
      </c>
      <c r="I185" s="51">
        <v>0</v>
      </c>
      <c r="J185" s="52" t="e">
        <v>#DIV/0!</v>
      </c>
      <c r="K185" s="50">
        <v>0</v>
      </c>
    </row>
    <row r="186" ht="18" customHeight="1" hidden="1" spans="1:11" x14ac:dyDescent="0.25" outlineLevel="1" collapsed="1">
      <c r="A186" s="475">
        <v>12830</v>
      </c>
      <c r="B186" s="47" t="s">
        <v>145</v>
      </c>
      <c r="C186" s="476">
        <v>0</v>
      </c>
      <c r="D186" s="48">
        <v>0</v>
      </c>
      <c r="E186" s="476">
        <v>0</v>
      </c>
      <c r="F186" s="49">
        <v>0</v>
      </c>
      <c r="G186" s="477">
        <v>0</v>
      </c>
      <c r="H186" s="50">
        <v>0</v>
      </c>
      <c r="I186" s="51">
        <v>0</v>
      </c>
      <c r="J186" s="52" t="e">
        <v>#DIV/0!</v>
      </c>
      <c r="K186" s="50">
        <v>0</v>
      </c>
    </row>
    <row r="187" ht="18" customHeight="1" hidden="1" spans="1:11" x14ac:dyDescent="0.25" outlineLevel="1" collapsed="1">
      <c r="A187" s="475">
        <v>12840</v>
      </c>
      <c r="B187" s="47" t="s">
        <v>146</v>
      </c>
      <c r="C187" s="476">
        <v>0</v>
      </c>
      <c r="D187" s="48">
        <v>0</v>
      </c>
      <c r="E187" s="476">
        <v>0</v>
      </c>
      <c r="F187" s="49">
        <v>0</v>
      </c>
      <c r="G187" s="477">
        <v>0</v>
      </c>
      <c r="H187" s="50">
        <v>0</v>
      </c>
      <c r="I187" s="51">
        <v>0</v>
      </c>
      <c r="J187" s="52" t="e">
        <v>#DIV/0!</v>
      </c>
      <c r="K187" s="50">
        <v>0</v>
      </c>
    </row>
    <row r="188" ht="18" customHeight="1" spans="1:11" x14ac:dyDescent="0.25">
      <c r="A188" s="475">
        <v>12914</v>
      </c>
      <c r="B188" s="47" t="s">
        <v>147</v>
      </c>
      <c r="C188" s="476">
        <v>1485567.04</v>
      </c>
      <c r="D188" s="48">
        <v>-108132.04000000004</v>
      </c>
      <c r="E188" s="476">
        <v>0</v>
      </c>
      <c r="F188" s="49">
        <v>1377435</v>
      </c>
      <c r="G188" s="477">
        <v>265062.89</v>
      </c>
      <c r="H188" s="50">
        <v>13153.13</v>
      </c>
      <c r="I188" s="51">
        <v>278216.02</v>
      </c>
      <c r="J188" s="52">
        <v>0.2019812332342361</v>
      </c>
      <c r="K188" s="50">
        <v>1099218.98</v>
      </c>
    </row>
    <row r="189" ht="18" customHeight="1" hidden="1" spans="1:11" x14ac:dyDescent="0.25" outlineLevel="1" collapsed="1">
      <c r="A189" s="475">
        <v>12912</v>
      </c>
      <c r="B189" s="47" t="s">
        <v>148</v>
      </c>
      <c r="C189" s="476">
        <v>0</v>
      </c>
      <c r="D189" s="48">
        <v>0</v>
      </c>
      <c r="E189" s="48">
        <v>0</v>
      </c>
      <c r="F189" s="49">
        <v>0</v>
      </c>
      <c r="G189" s="477">
        <v>0</v>
      </c>
      <c r="H189" s="50">
        <v>0</v>
      </c>
      <c r="I189" s="51">
        <v>0</v>
      </c>
      <c r="J189" s="50"/>
      <c r="K189" s="50">
        <v>0</v>
      </c>
    </row>
    <row r="190" ht="18" customHeight="1" hidden="1" spans="1:11" x14ac:dyDescent="0.25">
      <c r="A190" s="482"/>
      <c r="B190" s="73" t="s">
        <v>149</v>
      </c>
      <c r="C190" s="58">
        <v>2257638.85</v>
      </c>
      <c r="D190" s="58">
        <v>380929.38999999996</v>
      </c>
      <c r="E190" s="58">
        <v>0</v>
      </c>
      <c r="F190" s="58">
        <v>2638568.24</v>
      </c>
      <c r="G190" s="58">
        <v>1314479.5300000003</v>
      </c>
      <c r="H190" s="58">
        <v>14517.31</v>
      </c>
      <c r="I190" s="58">
        <v>1328996.8399999999</v>
      </c>
      <c r="J190" s="59">
        <v>0.503681056965955</v>
      </c>
      <c r="K190" s="58">
        <v>1309571.4</v>
      </c>
    </row>
    <row r="191" ht="18" customHeight="1" hidden="1" spans="1:11" x14ac:dyDescent="0.25" outlineLevel="1" collapsed="1">
      <c r="A191" s="475">
        <v>12502</v>
      </c>
      <c r="B191" s="47" t="s">
        <v>944</v>
      </c>
      <c r="C191" s="476">
        <v>0</v>
      </c>
      <c r="D191" s="48">
        <v>0</v>
      </c>
      <c r="E191" s="48">
        <v>0</v>
      </c>
      <c r="F191" s="49">
        <v>0</v>
      </c>
      <c r="G191" s="477">
        <v>0</v>
      </c>
      <c r="H191" s="50">
        <v>0</v>
      </c>
      <c r="I191" s="51">
        <v>0</v>
      </c>
      <c r="J191" s="50"/>
      <c r="K191" s="50">
        <v>0</v>
      </c>
    </row>
    <row r="192" ht="18" customHeight="1" hidden="1" spans="1:11" x14ac:dyDescent="0.25" outlineLevel="1" collapsed="1">
      <c r="A192" s="475">
        <v>12504</v>
      </c>
      <c r="B192" s="47" t="s">
        <v>945</v>
      </c>
      <c r="C192" s="476">
        <v>0</v>
      </c>
      <c r="D192" s="48">
        <v>0</v>
      </c>
      <c r="E192" s="48">
        <v>0</v>
      </c>
      <c r="F192" s="49">
        <v>0</v>
      </c>
      <c r="G192" s="477">
        <v>0</v>
      </c>
      <c r="H192" s="50">
        <v>0</v>
      </c>
      <c r="I192" s="51">
        <v>0</v>
      </c>
      <c r="J192" s="50"/>
      <c r="K192" s="50">
        <v>0</v>
      </c>
    </row>
    <row r="193" ht="18" customHeight="1" hidden="1" spans="1:11" x14ac:dyDescent="0.25" outlineLevel="1" collapsed="1">
      <c r="A193" s="475">
        <v>12506</v>
      </c>
      <c r="B193" s="47" t="s">
        <v>946</v>
      </c>
      <c r="C193" s="476">
        <v>0</v>
      </c>
      <c r="D193" s="48">
        <v>0</v>
      </c>
      <c r="E193" s="48">
        <v>0</v>
      </c>
      <c r="F193" s="49">
        <v>0</v>
      </c>
      <c r="G193" s="477">
        <v>0</v>
      </c>
      <c r="H193" s="50">
        <v>0</v>
      </c>
      <c r="I193" s="51">
        <v>0</v>
      </c>
      <c r="J193" s="50"/>
      <c r="K193" s="50">
        <v>0</v>
      </c>
    </row>
    <row r="194" ht="18" customHeight="1" hidden="1" spans="1:11" x14ac:dyDescent="0.25" outlineLevel="1" collapsed="1">
      <c r="A194" s="475">
        <v>12508</v>
      </c>
      <c r="B194" s="47" t="s">
        <v>947</v>
      </c>
      <c r="C194" s="476">
        <v>0</v>
      </c>
      <c r="D194" s="48">
        <v>0</v>
      </c>
      <c r="E194" s="48">
        <v>0</v>
      </c>
      <c r="F194" s="49">
        <v>0</v>
      </c>
      <c r="G194" s="477">
        <v>0</v>
      </c>
      <c r="H194" s="50">
        <v>0</v>
      </c>
      <c r="I194" s="51">
        <v>0</v>
      </c>
      <c r="J194" s="50"/>
      <c r="K194" s="50">
        <v>0</v>
      </c>
    </row>
    <row r="195" ht="18" customHeight="1" hidden="1" spans="1:11" x14ac:dyDescent="0.25" outlineLevel="1" collapsed="1">
      <c r="A195" s="475">
        <v>12512</v>
      </c>
      <c r="B195" s="47" t="s">
        <v>948</v>
      </c>
      <c r="C195" s="476">
        <v>0</v>
      </c>
      <c r="D195" s="48">
        <v>0</v>
      </c>
      <c r="E195" s="48">
        <v>0</v>
      </c>
      <c r="F195" s="49">
        <v>0</v>
      </c>
      <c r="G195" s="477">
        <v>0</v>
      </c>
      <c r="H195" s="50">
        <v>0</v>
      </c>
      <c r="I195" s="51">
        <v>0</v>
      </c>
      <c r="J195" s="50"/>
      <c r="K195" s="50">
        <v>0</v>
      </c>
    </row>
    <row r="196" ht="18" customHeight="1" hidden="1" spans="1:11" x14ac:dyDescent="0.25" outlineLevel="1" collapsed="1">
      <c r="A196" s="475">
        <v>12514</v>
      </c>
      <c r="B196" s="47" t="s">
        <v>949</v>
      </c>
      <c r="C196" s="476">
        <v>0</v>
      </c>
      <c r="D196" s="48">
        <v>0</v>
      </c>
      <c r="E196" s="48">
        <v>0</v>
      </c>
      <c r="F196" s="49">
        <v>0</v>
      </c>
      <c r="G196" s="477">
        <v>0</v>
      </c>
      <c r="H196" s="50">
        <v>0</v>
      </c>
      <c r="I196" s="51">
        <v>0</v>
      </c>
      <c r="J196" s="50"/>
      <c r="K196" s="50">
        <v>0</v>
      </c>
    </row>
    <row r="197" ht="18" customHeight="1" hidden="1" spans="1:11" x14ac:dyDescent="0.25" outlineLevel="1" collapsed="1">
      <c r="A197" s="475">
        <v>12516</v>
      </c>
      <c r="B197" s="47" t="s">
        <v>950</v>
      </c>
      <c r="C197" s="476">
        <v>0</v>
      </c>
      <c r="D197" s="48">
        <v>0</v>
      </c>
      <c r="E197" s="48">
        <v>0</v>
      </c>
      <c r="F197" s="49">
        <v>0</v>
      </c>
      <c r="G197" s="477">
        <v>0</v>
      </c>
      <c r="H197" s="50">
        <v>0</v>
      </c>
      <c r="I197" s="51">
        <v>0</v>
      </c>
      <c r="J197" s="50"/>
      <c r="K197" s="50">
        <v>0</v>
      </c>
    </row>
    <row r="198" ht="18" customHeight="1" hidden="1" spans="1:11" x14ac:dyDescent="0.25" outlineLevel="1" collapsed="1">
      <c r="A198" s="475">
        <v>12518</v>
      </c>
      <c r="B198" s="47" t="s">
        <v>951</v>
      </c>
      <c r="C198" s="476">
        <v>0</v>
      </c>
      <c r="D198" s="48">
        <v>0</v>
      </c>
      <c r="E198" s="48">
        <v>0</v>
      </c>
      <c r="F198" s="49">
        <v>0</v>
      </c>
      <c r="G198" s="477">
        <v>0</v>
      </c>
      <c r="H198" s="50">
        <v>0</v>
      </c>
      <c r="I198" s="51">
        <v>0</v>
      </c>
      <c r="J198" s="50"/>
      <c r="K198" s="50">
        <v>0</v>
      </c>
    </row>
    <row r="199" ht="18" customHeight="1" hidden="1" spans="1:11" x14ac:dyDescent="0.25" outlineLevel="1" collapsed="1">
      <c r="A199" s="475">
        <v>12519</v>
      </c>
      <c r="B199" s="47" t="s">
        <v>952</v>
      </c>
      <c r="C199" s="476">
        <v>0</v>
      </c>
      <c r="D199" s="48">
        <v>0</v>
      </c>
      <c r="E199" s="48">
        <v>0</v>
      </c>
      <c r="F199" s="49">
        <v>0</v>
      </c>
      <c r="G199" s="477">
        <v>0</v>
      </c>
      <c r="H199" s="50">
        <v>0</v>
      </c>
      <c r="I199" s="51">
        <v>0</v>
      </c>
      <c r="J199" s="50"/>
      <c r="K199" s="50">
        <v>0</v>
      </c>
    </row>
    <row r="200" ht="18" customHeight="1" hidden="1" spans="1:11" x14ac:dyDescent="0.25" outlineLevel="1" collapsed="1">
      <c r="A200" s="475">
        <v>12521</v>
      </c>
      <c r="B200" s="47" t="s">
        <v>953</v>
      </c>
      <c r="C200" s="476">
        <v>0</v>
      </c>
      <c r="D200" s="48">
        <v>0</v>
      </c>
      <c r="E200" s="48">
        <v>0</v>
      </c>
      <c r="F200" s="49">
        <v>0</v>
      </c>
      <c r="G200" s="477">
        <v>0</v>
      </c>
      <c r="H200" s="50">
        <v>0</v>
      </c>
      <c r="I200" s="51">
        <v>0</v>
      </c>
      <c r="J200" s="50"/>
      <c r="K200" s="50">
        <v>0</v>
      </c>
    </row>
    <row r="201" ht="18" customHeight="1" hidden="1" spans="1:11" x14ac:dyDescent="0.25" outlineLevel="1" collapsed="1">
      <c r="A201" s="475">
        <v>12522</v>
      </c>
      <c r="B201" s="47" t="s">
        <v>954</v>
      </c>
      <c r="C201" s="476">
        <v>0</v>
      </c>
      <c r="D201" s="48">
        <v>0</v>
      </c>
      <c r="E201" s="48">
        <v>0</v>
      </c>
      <c r="F201" s="49">
        <v>0</v>
      </c>
      <c r="G201" s="477">
        <v>0</v>
      </c>
      <c r="H201" s="50">
        <v>0</v>
      </c>
      <c r="I201" s="51">
        <v>0</v>
      </c>
      <c r="J201" s="50"/>
      <c r="K201" s="50">
        <v>0</v>
      </c>
    </row>
    <row r="202" ht="18" customHeight="1" hidden="1" spans="1:11" x14ac:dyDescent="0.25" outlineLevel="1" collapsed="1">
      <c r="A202" s="475">
        <v>12525</v>
      </c>
      <c r="B202" s="47" t="s">
        <v>955</v>
      </c>
      <c r="C202" s="476">
        <v>0</v>
      </c>
      <c r="D202" s="48">
        <v>0</v>
      </c>
      <c r="E202" s="48">
        <v>0</v>
      </c>
      <c r="F202" s="49">
        <v>0</v>
      </c>
      <c r="G202" s="477">
        <v>0</v>
      </c>
      <c r="H202" s="50">
        <v>0</v>
      </c>
      <c r="I202" s="51">
        <v>0</v>
      </c>
      <c r="J202" s="50"/>
      <c r="K202" s="50">
        <v>0</v>
      </c>
    </row>
    <row r="203" ht="18" customHeight="1" hidden="1" spans="1:11" x14ac:dyDescent="0.25" outlineLevel="1" collapsed="1">
      <c r="A203" s="475">
        <v>12526</v>
      </c>
      <c r="B203" s="47" t="s">
        <v>956</v>
      </c>
      <c r="C203" s="476">
        <v>0</v>
      </c>
      <c r="D203" s="48">
        <v>0</v>
      </c>
      <c r="E203" s="48">
        <v>0</v>
      </c>
      <c r="F203" s="49">
        <v>0</v>
      </c>
      <c r="G203" s="477">
        <v>0</v>
      </c>
      <c r="H203" s="50">
        <v>0</v>
      </c>
      <c r="I203" s="51">
        <v>0</v>
      </c>
      <c r="J203" s="50"/>
      <c r="K203" s="50">
        <v>0</v>
      </c>
    </row>
    <row r="204" ht="18" customHeight="1" hidden="1" spans="1:11" x14ac:dyDescent="0.25" outlineLevel="1" collapsed="1">
      <c r="A204" s="475">
        <v>12528</v>
      </c>
      <c r="B204" s="47" t="s">
        <v>957</v>
      </c>
      <c r="C204" s="476">
        <v>0</v>
      </c>
      <c r="D204" s="48">
        <v>0</v>
      </c>
      <c r="E204" s="48">
        <v>0</v>
      </c>
      <c r="F204" s="49">
        <v>0</v>
      </c>
      <c r="G204" s="477">
        <v>0</v>
      </c>
      <c r="H204" s="50">
        <v>0</v>
      </c>
      <c r="I204" s="51">
        <v>0</v>
      </c>
      <c r="J204" s="50"/>
      <c r="K204" s="50">
        <v>0</v>
      </c>
    </row>
    <row r="205" ht="18" customHeight="1" hidden="1" spans="1:11" x14ac:dyDescent="0.25" outlineLevel="1" collapsed="1">
      <c r="A205" s="475">
        <v>12531</v>
      </c>
      <c r="B205" s="47" t="s">
        <v>958</v>
      </c>
      <c r="C205" s="476">
        <v>0</v>
      </c>
      <c r="D205" s="48">
        <v>0</v>
      </c>
      <c r="E205" s="48">
        <v>0</v>
      </c>
      <c r="F205" s="49">
        <v>0</v>
      </c>
      <c r="G205" s="477">
        <v>0</v>
      </c>
      <c r="H205" s="50">
        <v>0</v>
      </c>
      <c r="I205" s="51">
        <v>0</v>
      </c>
      <c r="J205" s="50"/>
      <c r="K205" s="50">
        <v>0</v>
      </c>
    </row>
    <row r="206" ht="18" customHeight="1" hidden="1" spans="1:11" x14ac:dyDescent="0.25" outlineLevel="1" collapsed="1">
      <c r="A206" s="475">
        <v>12532</v>
      </c>
      <c r="B206" s="47" t="s">
        <v>959</v>
      </c>
      <c r="C206" s="476">
        <v>0</v>
      </c>
      <c r="D206" s="48">
        <v>0</v>
      </c>
      <c r="E206" s="48">
        <v>0</v>
      </c>
      <c r="F206" s="49">
        <v>0</v>
      </c>
      <c r="G206" s="477">
        <v>0</v>
      </c>
      <c r="H206" s="50">
        <v>0</v>
      </c>
      <c r="I206" s="51">
        <v>0</v>
      </c>
      <c r="J206" s="50"/>
      <c r="K206" s="50">
        <v>0</v>
      </c>
    </row>
    <row r="207" ht="18" customHeight="1" hidden="1" spans="1:11" x14ac:dyDescent="0.25" outlineLevel="1" collapsed="1">
      <c r="A207" s="475">
        <v>12534</v>
      </c>
      <c r="B207" s="47" t="s">
        <v>960</v>
      </c>
      <c r="C207" s="476">
        <v>0</v>
      </c>
      <c r="D207" s="48">
        <v>0</v>
      </c>
      <c r="E207" s="48">
        <v>0</v>
      </c>
      <c r="F207" s="49">
        <v>0</v>
      </c>
      <c r="G207" s="477">
        <v>0</v>
      </c>
      <c r="H207" s="50">
        <v>0</v>
      </c>
      <c r="I207" s="51">
        <v>0</v>
      </c>
      <c r="J207" s="50"/>
      <c r="K207" s="50">
        <v>0</v>
      </c>
    </row>
    <row r="208" ht="18" customHeight="1" hidden="1" spans="1:11" x14ac:dyDescent="0.25" outlineLevel="1" collapsed="1">
      <c r="A208" s="475">
        <v>12536</v>
      </c>
      <c r="B208" s="47" t="s">
        <v>961</v>
      </c>
      <c r="C208" s="476">
        <v>0</v>
      </c>
      <c r="D208" s="48">
        <v>0</v>
      </c>
      <c r="E208" s="48">
        <v>0</v>
      </c>
      <c r="F208" s="49">
        <v>0</v>
      </c>
      <c r="G208" s="477">
        <v>0</v>
      </c>
      <c r="H208" s="50">
        <v>0</v>
      </c>
      <c r="I208" s="51">
        <v>0</v>
      </c>
      <c r="J208" s="50"/>
      <c r="K208" s="50">
        <v>0</v>
      </c>
    </row>
    <row r="209" ht="18" customHeight="1" hidden="1" spans="1:11" x14ac:dyDescent="0.25" outlineLevel="1" collapsed="1">
      <c r="A209" s="475">
        <v>12538</v>
      </c>
      <c r="B209" s="47" t="s">
        <v>962</v>
      </c>
      <c r="C209" s="476">
        <v>0</v>
      </c>
      <c r="D209" s="48">
        <v>0</v>
      </c>
      <c r="E209" s="48">
        <v>0</v>
      </c>
      <c r="F209" s="49">
        <v>0</v>
      </c>
      <c r="G209" s="477">
        <v>0</v>
      </c>
      <c r="H209" s="50">
        <v>0</v>
      </c>
      <c r="I209" s="51">
        <v>0</v>
      </c>
      <c r="J209" s="50"/>
      <c r="K209" s="50">
        <v>0</v>
      </c>
    </row>
    <row r="210" ht="18" customHeight="1" hidden="1" spans="1:11" x14ac:dyDescent="0.25" outlineLevel="1" collapsed="1">
      <c r="A210" s="475">
        <v>12542</v>
      </c>
      <c r="B210" s="47" t="s">
        <v>963</v>
      </c>
      <c r="C210" s="476">
        <v>0</v>
      </c>
      <c r="D210" s="48">
        <v>0</v>
      </c>
      <c r="E210" s="48">
        <v>0</v>
      </c>
      <c r="F210" s="49">
        <v>0</v>
      </c>
      <c r="G210" s="477">
        <v>0</v>
      </c>
      <c r="H210" s="50">
        <v>0</v>
      </c>
      <c r="I210" s="51">
        <v>0</v>
      </c>
      <c r="J210" s="50"/>
      <c r="K210" s="50">
        <v>0</v>
      </c>
    </row>
    <row r="211" ht="18" customHeight="1" hidden="1" spans="1:11" x14ac:dyDescent="0.25" outlineLevel="1" collapsed="1">
      <c r="A211" s="475">
        <v>12544</v>
      </c>
      <c r="B211" s="47" t="s">
        <v>964</v>
      </c>
      <c r="C211" s="476">
        <v>0</v>
      </c>
      <c r="D211" s="48">
        <v>0</v>
      </c>
      <c r="E211" s="48">
        <v>0</v>
      </c>
      <c r="F211" s="49">
        <v>0</v>
      </c>
      <c r="G211" s="477">
        <v>0</v>
      </c>
      <c r="H211" s="50">
        <v>0</v>
      </c>
      <c r="I211" s="51">
        <v>0</v>
      </c>
      <c r="J211" s="50"/>
      <c r="K211" s="50">
        <v>0</v>
      </c>
    </row>
    <row r="212" ht="18" customHeight="1" hidden="1" spans="1:11" x14ac:dyDescent="0.25" outlineLevel="1" collapsed="1">
      <c r="A212" s="475">
        <v>12545</v>
      </c>
      <c r="B212" s="47" t="s">
        <v>965</v>
      </c>
      <c r="C212" s="476">
        <v>0</v>
      </c>
      <c r="D212" s="48">
        <v>0</v>
      </c>
      <c r="E212" s="48">
        <v>0</v>
      </c>
      <c r="F212" s="49">
        <v>0</v>
      </c>
      <c r="G212" s="477">
        <v>0</v>
      </c>
      <c r="H212" s="50">
        <v>0</v>
      </c>
      <c r="I212" s="51">
        <v>0</v>
      </c>
      <c r="J212" s="50"/>
      <c r="K212" s="50">
        <v>0</v>
      </c>
    </row>
    <row r="213" ht="18" customHeight="1" hidden="1" spans="1:11" x14ac:dyDescent="0.25" outlineLevel="1" collapsed="1">
      <c r="A213" s="475">
        <v>12546</v>
      </c>
      <c r="B213" s="47" t="s">
        <v>966</v>
      </c>
      <c r="C213" s="476">
        <v>0</v>
      </c>
      <c r="D213" s="48">
        <v>0</v>
      </c>
      <c r="E213" s="48">
        <v>0</v>
      </c>
      <c r="F213" s="49">
        <v>0</v>
      </c>
      <c r="G213" s="477">
        <v>0</v>
      </c>
      <c r="H213" s="50">
        <v>0</v>
      </c>
      <c r="I213" s="51">
        <v>0</v>
      </c>
      <c r="J213" s="50"/>
      <c r="K213" s="50">
        <v>0</v>
      </c>
    </row>
    <row r="214" ht="18" customHeight="1" hidden="1" spans="1:11" x14ac:dyDescent="0.25" outlineLevel="1" collapsed="1">
      <c r="A214" s="475">
        <v>12548</v>
      </c>
      <c r="B214" s="47" t="s">
        <v>967</v>
      </c>
      <c r="C214" s="476">
        <v>0</v>
      </c>
      <c r="D214" s="48">
        <v>0</v>
      </c>
      <c r="E214" s="48">
        <v>0</v>
      </c>
      <c r="F214" s="49">
        <v>0</v>
      </c>
      <c r="G214" s="477">
        <v>0</v>
      </c>
      <c r="H214" s="50">
        <v>0</v>
      </c>
      <c r="I214" s="51">
        <v>0</v>
      </c>
      <c r="J214" s="50"/>
      <c r="K214" s="50">
        <v>0</v>
      </c>
    </row>
    <row r="215" ht="18" customHeight="1" hidden="1" spans="1:11" x14ac:dyDescent="0.25" outlineLevel="1" collapsed="1">
      <c r="A215" s="475">
        <v>12552</v>
      </c>
      <c r="B215" s="47" t="s">
        <v>968</v>
      </c>
      <c r="C215" s="476">
        <v>0</v>
      </c>
      <c r="D215" s="48">
        <v>0</v>
      </c>
      <c r="E215" s="48">
        <v>0</v>
      </c>
      <c r="F215" s="49">
        <v>0</v>
      </c>
      <c r="G215" s="477">
        <v>0</v>
      </c>
      <c r="H215" s="50">
        <v>0</v>
      </c>
      <c r="I215" s="51">
        <v>0</v>
      </c>
      <c r="J215" s="50"/>
      <c r="K215" s="50">
        <v>0</v>
      </c>
    </row>
    <row r="216" ht="18" customHeight="1" hidden="1" spans="1:11" x14ac:dyDescent="0.25" outlineLevel="1" collapsed="1">
      <c r="A216" s="475">
        <v>12554</v>
      </c>
      <c r="B216" s="47" t="s">
        <v>969</v>
      </c>
      <c r="C216" s="476">
        <v>0</v>
      </c>
      <c r="D216" s="48">
        <v>0</v>
      </c>
      <c r="E216" s="48">
        <v>0</v>
      </c>
      <c r="F216" s="49">
        <v>0</v>
      </c>
      <c r="G216" s="477">
        <v>0</v>
      </c>
      <c r="H216" s="50">
        <v>0</v>
      </c>
      <c r="I216" s="51">
        <v>0</v>
      </c>
      <c r="J216" s="50"/>
      <c r="K216" s="50">
        <v>0</v>
      </c>
    </row>
    <row r="217" ht="18" customHeight="1" hidden="1" spans="1:11" x14ac:dyDescent="0.25" outlineLevel="1" collapsed="1">
      <c r="A217" s="475">
        <v>12555</v>
      </c>
      <c r="B217" s="47" t="s">
        <v>507</v>
      </c>
      <c r="C217" s="476">
        <v>0</v>
      </c>
      <c r="D217" s="48">
        <v>0</v>
      </c>
      <c r="E217" s="48">
        <v>0</v>
      </c>
      <c r="F217" s="49">
        <v>0</v>
      </c>
      <c r="G217" s="477">
        <v>0</v>
      </c>
      <c r="H217" s="50">
        <v>0</v>
      </c>
      <c r="I217" s="51">
        <v>0</v>
      </c>
      <c r="J217" s="50"/>
      <c r="K217" s="50">
        <v>0</v>
      </c>
    </row>
    <row r="218" ht="18" customHeight="1" hidden="1" spans="1:11" x14ac:dyDescent="0.25" outlineLevel="1" collapsed="1">
      <c r="A218" s="475">
        <v>12556</v>
      </c>
      <c r="B218" s="47" t="s">
        <v>970</v>
      </c>
      <c r="C218" s="476">
        <v>0</v>
      </c>
      <c r="D218" s="48">
        <v>0</v>
      </c>
      <c r="E218" s="48">
        <v>0</v>
      </c>
      <c r="F218" s="49">
        <v>0</v>
      </c>
      <c r="G218" s="477">
        <v>0</v>
      </c>
      <c r="H218" s="50">
        <v>0</v>
      </c>
      <c r="I218" s="51">
        <v>0</v>
      </c>
      <c r="J218" s="50"/>
      <c r="K218" s="50">
        <v>0</v>
      </c>
    </row>
    <row r="219" ht="18" customHeight="1" hidden="1" spans="1:11" x14ac:dyDescent="0.25" outlineLevel="1" collapsed="1">
      <c r="A219" s="475">
        <v>12558</v>
      </c>
      <c r="B219" s="47" t="s">
        <v>971</v>
      </c>
      <c r="C219" s="476">
        <v>0</v>
      </c>
      <c r="D219" s="48">
        <v>0</v>
      </c>
      <c r="E219" s="48">
        <v>0</v>
      </c>
      <c r="F219" s="49">
        <v>0</v>
      </c>
      <c r="G219" s="477">
        <v>0</v>
      </c>
      <c r="H219" s="50">
        <v>0</v>
      </c>
      <c r="I219" s="51">
        <v>0</v>
      </c>
      <c r="J219" s="50"/>
      <c r="K219" s="50">
        <v>0</v>
      </c>
    </row>
    <row r="220" ht="18" customHeight="1" hidden="1" spans="1:11" x14ac:dyDescent="0.25" outlineLevel="1" collapsed="1">
      <c r="A220" s="475">
        <v>12562</v>
      </c>
      <c r="B220" s="47" t="s">
        <v>972</v>
      </c>
      <c r="C220" s="476">
        <v>0</v>
      </c>
      <c r="D220" s="48">
        <v>0</v>
      </c>
      <c r="E220" s="48">
        <v>0</v>
      </c>
      <c r="F220" s="49">
        <v>0</v>
      </c>
      <c r="G220" s="477">
        <v>0</v>
      </c>
      <c r="H220" s="50">
        <v>0</v>
      </c>
      <c r="I220" s="51">
        <v>0</v>
      </c>
      <c r="J220" s="50"/>
      <c r="K220" s="50">
        <v>0</v>
      </c>
    </row>
    <row r="221" ht="18" customHeight="1" hidden="1" spans="1:11" x14ac:dyDescent="0.25" outlineLevel="1" collapsed="1">
      <c r="A221" s="475">
        <v>12564</v>
      </c>
      <c r="B221" s="47" t="s">
        <v>973</v>
      </c>
      <c r="C221" s="476">
        <v>0</v>
      </c>
      <c r="D221" s="48">
        <v>0</v>
      </c>
      <c r="E221" s="48">
        <v>0</v>
      </c>
      <c r="F221" s="49">
        <v>0</v>
      </c>
      <c r="G221" s="477">
        <v>0</v>
      </c>
      <c r="H221" s="50">
        <v>0</v>
      </c>
      <c r="I221" s="51">
        <v>0</v>
      </c>
      <c r="J221" s="50"/>
      <c r="K221" s="50">
        <v>0</v>
      </c>
    </row>
    <row r="222" ht="18" customHeight="1" hidden="1" spans="1:11" x14ac:dyDescent="0.25" outlineLevel="1" collapsed="1">
      <c r="A222" s="475">
        <v>12565</v>
      </c>
      <c r="B222" s="47" t="s">
        <v>974</v>
      </c>
      <c r="C222" s="476">
        <v>0</v>
      </c>
      <c r="D222" s="48">
        <v>0</v>
      </c>
      <c r="E222" s="48">
        <v>0</v>
      </c>
      <c r="F222" s="49">
        <v>0</v>
      </c>
      <c r="G222" s="477">
        <v>0</v>
      </c>
      <c r="H222" s="50">
        <v>0</v>
      </c>
      <c r="I222" s="51">
        <v>0</v>
      </c>
      <c r="J222" s="50"/>
      <c r="K222" s="50">
        <v>0</v>
      </c>
    </row>
    <row r="223" ht="18" customHeight="1" hidden="1" spans="1:11" x14ac:dyDescent="0.25" outlineLevel="1" collapsed="1">
      <c r="A223" s="475">
        <v>12566</v>
      </c>
      <c r="B223" s="47" t="s">
        <v>975</v>
      </c>
      <c r="C223" s="476">
        <v>0</v>
      </c>
      <c r="D223" s="48">
        <v>0</v>
      </c>
      <c r="E223" s="48">
        <v>0</v>
      </c>
      <c r="F223" s="49">
        <v>0</v>
      </c>
      <c r="G223" s="477">
        <v>0</v>
      </c>
      <c r="H223" s="50">
        <v>0</v>
      </c>
      <c r="I223" s="51">
        <v>0</v>
      </c>
      <c r="J223" s="50"/>
      <c r="K223" s="50">
        <v>0</v>
      </c>
    </row>
    <row r="224" ht="18" customHeight="1" hidden="1" spans="1:11" x14ac:dyDescent="0.25" outlineLevel="1" collapsed="1">
      <c r="A224" s="475">
        <v>12568</v>
      </c>
      <c r="B224" s="47" t="s">
        <v>976</v>
      </c>
      <c r="C224" s="476">
        <v>0</v>
      </c>
      <c r="D224" s="48">
        <v>0</v>
      </c>
      <c r="E224" s="48">
        <v>0</v>
      </c>
      <c r="F224" s="49">
        <v>0</v>
      </c>
      <c r="G224" s="477">
        <v>0</v>
      </c>
      <c r="H224" s="50">
        <v>0</v>
      </c>
      <c r="I224" s="51">
        <v>0</v>
      </c>
      <c r="J224" s="50"/>
      <c r="K224" s="50">
        <v>0</v>
      </c>
    </row>
    <row r="225" ht="18" customHeight="1" hidden="1" spans="1:11" x14ac:dyDescent="0.25" outlineLevel="1" collapsed="1">
      <c r="A225" s="475">
        <v>12572</v>
      </c>
      <c r="B225" s="47" t="s">
        <v>977</v>
      </c>
      <c r="C225" s="476">
        <v>0</v>
      </c>
      <c r="D225" s="48">
        <v>0</v>
      </c>
      <c r="E225" s="48">
        <v>0</v>
      </c>
      <c r="F225" s="49">
        <v>0</v>
      </c>
      <c r="G225" s="477">
        <v>0</v>
      </c>
      <c r="H225" s="50">
        <v>0</v>
      </c>
      <c r="I225" s="51">
        <v>0</v>
      </c>
      <c r="J225" s="50"/>
      <c r="K225" s="50">
        <v>0</v>
      </c>
    </row>
    <row r="226" ht="18" customHeight="1" hidden="1" spans="1:11" x14ac:dyDescent="0.25" outlineLevel="1" collapsed="1">
      <c r="A226" s="475">
        <v>12574</v>
      </c>
      <c r="B226" s="47" t="s">
        <v>482</v>
      </c>
      <c r="C226" s="476">
        <v>0</v>
      </c>
      <c r="D226" s="48">
        <v>0</v>
      </c>
      <c r="E226" s="48">
        <v>0</v>
      </c>
      <c r="F226" s="49">
        <v>0</v>
      </c>
      <c r="G226" s="477">
        <v>0</v>
      </c>
      <c r="H226" s="50">
        <v>0</v>
      </c>
      <c r="I226" s="51">
        <v>0</v>
      </c>
      <c r="J226" s="50"/>
      <c r="K226" s="50">
        <v>0</v>
      </c>
    </row>
    <row r="227" ht="18" customHeight="1" hidden="1" spans="1:11" x14ac:dyDescent="0.25" outlineLevel="1" collapsed="1">
      <c r="A227" s="475">
        <v>12576</v>
      </c>
      <c r="B227" s="47" t="s">
        <v>978</v>
      </c>
      <c r="C227" s="476">
        <v>0</v>
      </c>
      <c r="D227" s="48">
        <v>0</v>
      </c>
      <c r="E227" s="48">
        <v>0</v>
      </c>
      <c r="F227" s="49">
        <v>0</v>
      </c>
      <c r="G227" s="477">
        <v>0</v>
      </c>
      <c r="H227" s="50">
        <v>0</v>
      </c>
      <c r="I227" s="51">
        <v>0</v>
      </c>
      <c r="J227" s="50"/>
      <c r="K227" s="50">
        <v>0</v>
      </c>
    </row>
    <row r="228" ht="18" customHeight="1" hidden="1" spans="1:11" x14ac:dyDescent="0.25" outlineLevel="1" collapsed="1">
      <c r="A228" s="475">
        <v>12578</v>
      </c>
      <c r="B228" s="47" t="s">
        <v>137</v>
      </c>
      <c r="C228" s="476">
        <v>0</v>
      </c>
      <c r="D228" s="48">
        <v>0</v>
      </c>
      <c r="E228" s="48">
        <v>0</v>
      </c>
      <c r="F228" s="49">
        <v>0</v>
      </c>
      <c r="G228" s="477">
        <v>0</v>
      </c>
      <c r="H228" s="50">
        <v>0</v>
      </c>
      <c r="I228" s="51">
        <v>0</v>
      </c>
      <c r="J228" s="50"/>
      <c r="K228" s="50">
        <v>0</v>
      </c>
    </row>
    <row r="229" ht="18" customHeight="1" hidden="1" spans="1:11" x14ac:dyDescent="0.25" outlineLevel="1" collapsed="1">
      <c r="A229" s="475">
        <v>12592</v>
      </c>
      <c r="B229" s="47" t="s">
        <v>979</v>
      </c>
      <c r="C229" s="476">
        <v>0</v>
      </c>
      <c r="D229" s="48">
        <v>0</v>
      </c>
      <c r="E229" s="48">
        <v>0</v>
      </c>
      <c r="F229" s="49">
        <v>0</v>
      </c>
      <c r="G229" s="477">
        <v>0</v>
      </c>
      <c r="H229" s="50">
        <v>0</v>
      </c>
      <c r="I229" s="51">
        <v>0</v>
      </c>
      <c r="J229" s="50"/>
      <c r="K229" s="50">
        <v>0</v>
      </c>
    </row>
    <row r="230" ht="18" customHeight="1" hidden="1" spans="1:11" x14ac:dyDescent="0.25" outlineLevel="1" collapsed="1">
      <c r="A230" s="475">
        <v>12594</v>
      </c>
      <c r="B230" s="47" t="s">
        <v>151</v>
      </c>
      <c r="C230" s="476">
        <v>0</v>
      </c>
      <c r="D230" s="48">
        <v>0</v>
      </c>
      <c r="E230" s="48">
        <v>0</v>
      </c>
      <c r="F230" s="49">
        <v>0</v>
      </c>
      <c r="G230" s="477">
        <v>0</v>
      </c>
      <c r="H230" s="50">
        <v>0</v>
      </c>
      <c r="I230" s="51">
        <v>0</v>
      </c>
      <c r="J230" s="50"/>
      <c r="K230" s="50">
        <v>0</v>
      </c>
    </row>
    <row r="231" ht="18" customHeight="1" hidden="1" spans="1:11" x14ac:dyDescent="0.25" outlineLevel="1" collapsed="1">
      <c r="A231" s="475">
        <v>12596</v>
      </c>
      <c r="B231" s="47" t="s">
        <v>152</v>
      </c>
      <c r="C231" s="476">
        <v>0</v>
      </c>
      <c r="D231" s="48">
        <v>0</v>
      </c>
      <c r="E231" s="48">
        <v>0</v>
      </c>
      <c r="F231" s="49">
        <v>0</v>
      </c>
      <c r="G231" s="477">
        <v>0</v>
      </c>
      <c r="H231" s="50">
        <v>0</v>
      </c>
      <c r="I231" s="51">
        <v>0</v>
      </c>
      <c r="J231" s="50"/>
      <c r="K231" s="50">
        <v>0</v>
      </c>
    </row>
    <row r="232" ht="18" customHeight="1" hidden="1" spans="1:11" x14ac:dyDescent="0.25">
      <c r="A232" s="475">
        <v>12597</v>
      </c>
      <c r="B232" s="47" t="s">
        <v>153</v>
      </c>
      <c r="C232" s="476">
        <v>123200</v>
      </c>
      <c r="D232" s="48">
        <v>123200</v>
      </c>
      <c r="E232" s="48">
        <v>0</v>
      </c>
      <c r="F232" s="49">
        <v>246400</v>
      </c>
      <c r="G232" s="477">
        <v>4500</v>
      </c>
      <c r="H232" s="50">
        <v>0</v>
      </c>
      <c r="I232" s="51">
        <v>4500</v>
      </c>
      <c r="J232" s="52">
        <v>0.018262987012987012</v>
      </c>
      <c r="K232" s="50">
        <v>241900</v>
      </c>
    </row>
    <row r="233" ht="18" customHeight="1" hidden="1" spans="1:11" x14ac:dyDescent="0.25" outlineLevel="1" collapsed="1">
      <c r="A233" s="475">
        <v>12610</v>
      </c>
      <c r="B233" s="47" t="s">
        <v>154</v>
      </c>
      <c r="C233" s="476">
        <v>0</v>
      </c>
      <c r="D233" s="48">
        <v>0</v>
      </c>
      <c r="E233" s="48">
        <v>0</v>
      </c>
      <c r="F233" s="49">
        <v>0</v>
      </c>
      <c r="G233" s="477">
        <v>0</v>
      </c>
      <c r="H233" s="50">
        <v>0</v>
      </c>
      <c r="I233" s="51">
        <v>0</v>
      </c>
      <c r="J233" s="50"/>
      <c r="K233" s="50">
        <v>0</v>
      </c>
    </row>
    <row r="234" ht="18" customHeight="1" hidden="1" spans="1:11" x14ac:dyDescent="0.25" outlineLevel="1" collapsed="1">
      <c r="A234" s="475">
        <v>12620</v>
      </c>
      <c r="B234" s="47" t="s">
        <v>155</v>
      </c>
      <c r="C234" s="476">
        <v>0</v>
      </c>
      <c r="D234" s="48">
        <v>0</v>
      </c>
      <c r="E234" s="48">
        <v>0</v>
      </c>
      <c r="F234" s="49">
        <v>0</v>
      </c>
      <c r="G234" s="477">
        <v>0</v>
      </c>
      <c r="H234" s="50">
        <v>0</v>
      </c>
      <c r="I234" s="51">
        <v>0</v>
      </c>
      <c r="J234" s="50"/>
      <c r="K234" s="50">
        <v>0</v>
      </c>
    </row>
    <row r="235" ht="18" customHeight="1" hidden="1" spans="1:11" x14ac:dyDescent="0.25" outlineLevel="1" collapsed="1">
      <c r="A235" s="475">
        <v>12760</v>
      </c>
      <c r="B235" s="47" t="s">
        <v>136</v>
      </c>
      <c r="C235" s="476">
        <v>0</v>
      </c>
      <c r="D235" s="48">
        <v>0</v>
      </c>
      <c r="E235" s="48">
        <v>0</v>
      </c>
      <c r="F235" s="49">
        <v>0</v>
      </c>
      <c r="G235" s="477">
        <v>0</v>
      </c>
      <c r="H235" s="50">
        <v>0</v>
      </c>
      <c r="I235" s="51">
        <v>0</v>
      </c>
      <c r="J235" s="50"/>
      <c r="K235" s="50">
        <v>0</v>
      </c>
    </row>
    <row r="236" ht="18" customHeight="1" hidden="1" spans="1:11" x14ac:dyDescent="0.25" outlineLevel="1" collapsed="1">
      <c r="A236" s="475">
        <v>12640</v>
      </c>
      <c r="B236" s="47" t="s">
        <v>137</v>
      </c>
      <c r="C236" s="476">
        <v>0</v>
      </c>
      <c r="D236" s="48">
        <v>0</v>
      </c>
      <c r="E236" s="48">
        <v>0</v>
      </c>
      <c r="F236" s="49">
        <v>0</v>
      </c>
      <c r="G236" s="477">
        <v>0</v>
      </c>
      <c r="H236" s="50">
        <v>0</v>
      </c>
      <c r="I236" s="51">
        <v>0</v>
      </c>
      <c r="J236" s="50"/>
      <c r="K236" s="50">
        <v>0</v>
      </c>
    </row>
    <row r="237" ht="18" customHeight="1" hidden="1" spans="1:11" x14ac:dyDescent="0.25" outlineLevel="1" collapsed="1">
      <c r="A237" s="475">
        <v>12670</v>
      </c>
      <c r="B237" s="47" t="s">
        <v>156</v>
      </c>
      <c r="C237" s="476">
        <v>0</v>
      </c>
      <c r="D237" s="48">
        <v>0</v>
      </c>
      <c r="E237" s="48">
        <v>0</v>
      </c>
      <c r="F237" s="49">
        <v>0</v>
      </c>
      <c r="G237" s="477">
        <v>0</v>
      </c>
      <c r="H237" s="50">
        <v>0</v>
      </c>
      <c r="I237" s="51">
        <v>0</v>
      </c>
      <c r="J237" s="50"/>
      <c r="K237" s="50">
        <v>0</v>
      </c>
    </row>
    <row r="238" ht="9" customHeight="1" hidden="1" spans="1:11" x14ac:dyDescent="0.25" outlineLevel="1" collapsed="1">
      <c r="A238" s="475">
        <v>12680</v>
      </c>
      <c r="B238" s="47" t="s">
        <v>157</v>
      </c>
      <c r="C238" s="476">
        <v>0</v>
      </c>
      <c r="D238" s="48">
        <v>0</v>
      </c>
      <c r="E238" s="48">
        <v>0</v>
      </c>
      <c r="F238" s="49">
        <v>0</v>
      </c>
      <c r="G238" s="477">
        <v>0</v>
      </c>
      <c r="H238" s="50">
        <v>0</v>
      </c>
      <c r="I238" s="51">
        <v>0</v>
      </c>
      <c r="J238" s="50"/>
      <c r="K238" s="50">
        <v>0</v>
      </c>
    </row>
    <row r="239" ht="18" customHeight="1" spans="1:11" x14ac:dyDescent="0.25">
      <c r="A239" s="483"/>
      <c r="B239" s="77" t="s">
        <v>158</v>
      </c>
      <c r="C239" s="484">
        <v>123200</v>
      </c>
      <c r="D239" s="484">
        <v>123200</v>
      </c>
      <c r="E239" s="484">
        <v>0</v>
      </c>
      <c r="F239" s="484">
        <v>246400</v>
      </c>
      <c r="G239" s="484">
        <v>4500</v>
      </c>
      <c r="H239" s="484">
        <v>0</v>
      </c>
      <c r="I239" s="484">
        <v>4500</v>
      </c>
      <c r="J239" s="59">
        <v>0.018262987012987012</v>
      </c>
      <c r="K239" s="484">
        <v>241900</v>
      </c>
    </row>
    <row r="240" spans="1:11" s="22" customFormat="1" x14ac:dyDescent="0.25">
      <c r="A240" s="485"/>
      <c r="B240" s="81"/>
      <c r="C240" s="83"/>
      <c r="D240" s="83"/>
      <c r="E240" s="83"/>
      <c r="F240" s="83"/>
      <c r="G240" s="83"/>
      <c r="H240" s="83"/>
      <c r="I240" s="83"/>
      <c r="J240" s="83"/>
      <c r="K240" s="83"/>
    </row>
    <row r="241" ht="18.6" customHeight="1" spans="1:11" x14ac:dyDescent="0.25">
      <c r="A241" s="486"/>
      <c r="B241" s="86" t="s">
        <v>159</v>
      </c>
      <c r="C241" s="487">
        <v>56862962.809999995</v>
      </c>
      <c r="D241" s="487">
        <v>11592308.191829186</v>
      </c>
      <c r="E241" s="487">
        <v>0</v>
      </c>
      <c r="F241" s="487">
        <v>68455271.00182919</v>
      </c>
      <c r="G241" s="487">
        <v>17514712.130000003</v>
      </c>
      <c r="H241" s="487">
        <v>560951.49</v>
      </c>
      <c r="I241" s="512">
        <v>18075663.619999997</v>
      </c>
      <c r="J241" s="88">
        <v>0.2640507203531047</v>
      </c>
      <c r="K241" s="487">
        <v>50379607.38182918</v>
      </c>
    </row>
    <row r="242" ht="18.6" customHeight="1" spans="2:10" x14ac:dyDescent="0.25">
      <c r="B242" s="488" t="s">
        <v>24</v>
      </c>
      <c r="G242" s="91"/>
      <c r="H242" s="91"/>
      <c r="I242" s="91"/>
      <c r="J242" s="91"/>
    </row>
    <row r="243" hidden="1" spans="2:10" x14ac:dyDescent="0.25" outlineLevel="1" collapsed="1">
      <c r="B243" s="490"/>
      <c r="G243" s="94"/>
      <c r="H243" s="94"/>
      <c r="J243" s="94"/>
    </row>
    <row r="244" hidden="1" spans="7:7" x14ac:dyDescent="0.25" outlineLevel="1" collapsed="1">
      <c r="G244" s="27"/>
    </row>
    <row r="245" hidden="1" spans="4:13" x14ac:dyDescent="0.25" outlineLevel="1" collapsed="1">
      <c r="D245" t="s">
        <v>980</v>
      </c>
      <c r="F245" s="94"/>
      <c r="I245" s="94"/>
      <c r="M245" s="491"/>
    </row>
    <row r="246" hidden="1" spans="4:9" x14ac:dyDescent="0.25" outlineLevel="1" collapsed="1">
      <c r="D246" t="s">
        <v>981</v>
      </c>
      <c r="F246" s="94"/>
      <c r="I246" s="94"/>
    </row>
    <row r="247" hidden="1" spans="6:9" x14ac:dyDescent="0.25" outlineLevel="1" collapsed="1">
      <c r="F247" s="94"/>
      <c r="I247" s="362"/>
    </row>
    <row r="248" ht="18.6" customHeight="1" hidden="1" spans="4:9" x14ac:dyDescent="0.25" outlineLevel="1" collapsed="1">
      <c r="D248" t="s">
        <v>431</v>
      </c>
      <c r="F248" s="94"/>
      <c r="I248" s="492"/>
    </row>
    <row r="249" hidden="1" spans="6:9" x14ac:dyDescent="0.25" outlineLevel="1" collapsed="1">
      <c r="F249" s="94"/>
      <c r="I249" s="94"/>
    </row>
    <row r="250" hidden="1" spans="6:9" x14ac:dyDescent="0.25" outlineLevel="1" collapsed="1">
      <c r="F250" s="94"/>
      <c r="I250" s="94"/>
    </row>
    <row r="251" hidden="1" spans="4:9" x14ac:dyDescent="0.25" outlineLevel="1" collapsed="1">
      <c r="D251" t="s">
        <v>982</v>
      </c>
      <c r="F251" s="94"/>
      <c r="I251" s="94"/>
    </row>
    <row r="252" hidden="1" spans="4:9" x14ac:dyDescent="0.25" outlineLevel="1" collapsed="1">
      <c r="D252" t="s">
        <v>983</v>
      </c>
      <c r="F252" s="94"/>
      <c r="G252" s="91"/>
      <c r="I252" s="94"/>
    </row>
    <row r="253" ht="18.6" customHeight="1" hidden="1" spans="9:9" x14ac:dyDescent="0.25" outlineLevel="1" collapsed="1">
      <c r="I253" s="492"/>
    </row>
    <row r="255" hidden="1" spans="7:9" x14ac:dyDescent="0.25" outlineLevel="1" collapsed="1">
      <c r="G255" s="91"/>
      <c r="I255" s="94"/>
    </row>
    <row r="256" spans="7:9" x14ac:dyDescent="0.25">
      <c r="G256" s="91"/>
      <c r="H256" s="91"/>
      <c r="I256" s="91"/>
    </row>
    <row r="257" spans="7:11" x14ac:dyDescent="0.25">
      <c r="G257" s="91"/>
      <c r="I257" s="95"/>
      <c r="K257" s="513"/>
    </row>
  </sheetData>
  <conditionalFormatting sqref="I248">
    <cfRule type="cellIs" dxfId="27" priority="27" operator="equal">
      <formula>0</formula>
    </cfRule>
    <cfRule type="cellIs" dxfId="28" priority="28" operator="lessThan">
      <formula>0</formula>
    </cfRule>
    <cfRule type="cellIs" dxfId="29" priority="29" operator="greaterThan">
      <formula>0</formula>
    </cfRule>
  </conditionalFormatting>
  <conditionalFormatting sqref="I252:I253">
    <cfRule type="cellIs" dxfId="30" priority="18" operator="equal">
      <formula>0</formula>
    </cfRule>
    <cfRule type="cellIs" dxfId="31" priority="19" operator="lessThan">
      <formula>0</formula>
    </cfRule>
    <cfRule type="cellIs" dxfId="32" priority="20" operator="greaterThan">
      <formula>0</formula>
    </cfRule>
  </conditionalFormatting>
  <conditionalFormatting sqref="I255">
    <cfRule type="cellIs" dxfId="33" priority="21" operator="equal">
      <formula>0</formula>
    </cfRule>
    <cfRule type="cellIs" dxfId="34" priority="22" operator="lessThan">
      <formula>0</formula>
    </cfRule>
    <cfRule type="cellIs" dxfId="35" priority="23" operator="greaterThan">
      <formula>0</formula>
    </cfRule>
  </conditionalFormatting>
  <conditionalFormatting sqref="K1:K8">
    <cfRule type="cellIs" dxfId="36" priority="9" operator="lessThan">
      <formula>0</formula>
    </cfRule>
  </conditionalFormatting>
  <conditionalFormatting sqref="K10:K44">
    <cfRule type="cellIs" dxfId="37" priority="1" operator="lessThan">
      <formula>0</formula>
    </cfRule>
  </conditionalFormatting>
  <conditionalFormatting sqref="K46:K144">
    <cfRule type="cellIs" dxfId="38" priority="3" operator="lessThan">
      <formula>0</formula>
    </cfRule>
  </conditionalFormatting>
  <conditionalFormatting sqref="K146:K240">
    <cfRule type="cellIs" dxfId="39" priority="2" operator="lessThan">
      <formula>0</formula>
    </cfRule>
  </conditionalFormatting>
  <conditionalFormatting sqref="K242:K1048576">
    <cfRule type="cellIs" dxfId="40" priority="30" operator="lessThan">
      <formula>0</formula>
    </cfRule>
  </conditionalFormatting>
  <printOptions horizontalCentered="1"/>
  <pageMargins left="0.25" right="0.25" top="1" bottom="0.75" header="0.3" footer="0.3"/>
  <pageSetup paperSize="5" orientation="landscape" horizontalDpi="300" verticalDpi="300" scale="61" fitToWidth="1" fitToHeight="2" firstPageNumber="8" useFirstPageNumber="1" copies="1"/>
  <headerFooter>
    <oddHeader>&amp;C&amp;"-,Bold"&amp;14Bishop Arts JV, LLC
Budget to Actual
September 30, 2021</oddHeader>
    <oddFooter>&amp;CAssurance is not provided on these financial statements. Substantially all disclosures are omitted.&amp;R&amp;P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J32"/>
  <sheetViews>
    <sheetView workbookViewId="0" zoomScale="100" zoomScaleNormal="100"/>
  </sheetViews>
  <sheetFormatPr defaultRowHeight="12.6" outlineLevelRow="1" outlineLevelCol="0" x14ac:dyDescent="0.25" defaultColWidth="9.109375" customHeight="1"/>
  <cols>
    <col min="1" max="1" width="26" style="112" customWidth="1"/>
    <col min="2" max="2" width="41" style="112" customWidth="1"/>
    <col min="3" max="5" width="15.6640625" style="112" customWidth="1"/>
    <col min="6" max="6" width="7.6640625" style="112" customWidth="1"/>
    <col min="7" max="7" width="20.109375" style="112" customWidth="1"/>
    <col min="8" max="8" width="5.33203125" style="112" customWidth="1"/>
    <col min="9" max="9" width="9.109375" style="112" customWidth="1"/>
    <col min="10" max="10" width="10.88671875" style="112" customWidth="1"/>
    <col min="11" max="12" width="9.109375" style="112" customWidth="1"/>
    <col min="13" max="13" width="12.33203125" style="112" customWidth="1"/>
    <col min="14" max="16384" width="9.109375" style="112" customWidth="1"/>
  </cols>
  <sheetData>
    <row r="1" spans="4:5" x14ac:dyDescent="0.25">
      <c r="D1" s="112"/>
      <c r="E1" s="112"/>
    </row>
    <row r="2" spans="4:5" x14ac:dyDescent="0.25">
      <c r="D2" s="112"/>
      <c r="E2" s="112"/>
    </row>
    <row r="3" spans="4:5" x14ac:dyDescent="0.25">
      <c r="D3" s="112"/>
      <c r="E3" s="112"/>
    </row>
    <row r="4" spans="1:8" x14ac:dyDescent="0.25">
      <c r="A4" s="198"/>
      <c r="B4" s="199" t="s">
        <v>176</v>
      </c>
      <c r="C4" s="200" t="s">
        <v>177</v>
      </c>
      <c r="D4" s="199" t="s">
        <v>177</v>
      </c>
      <c r="E4" s="201" t="s">
        <v>177</v>
      </c>
      <c r="F4" s="202" t="s">
        <v>197</v>
      </c>
      <c r="G4" s="203" t="s">
        <v>179</v>
      </c>
      <c r="H4" s="204"/>
    </row>
    <row r="5" spans="1:8" x14ac:dyDescent="0.25">
      <c r="A5" s="205"/>
      <c r="B5" s="205"/>
      <c r="C5" s="206" t="s">
        <v>180</v>
      </c>
      <c r="D5" s="205" t="s">
        <v>181</v>
      </c>
      <c r="E5" s="207" t="s">
        <v>182</v>
      </c>
      <c r="F5" s="208"/>
      <c r="G5" s="209"/>
      <c r="H5" s="210"/>
    </row>
    <row r="6" spans="1:8" x14ac:dyDescent="0.25">
      <c r="A6" s="211" t="s">
        <v>183</v>
      </c>
      <c r="B6" s="211"/>
      <c r="C6" s="212" t="s">
        <v>181</v>
      </c>
      <c r="D6" s="211" t="s">
        <v>184</v>
      </c>
      <c r="E6" s="213" t="s">
        <v>181</v>
      </c>
      <c r="F6" s="214"/>
      <c r="G6" s="215"/>
      <c r="H6" s="216"/>
    </row>
    <row r="7" spans="1:8" x14ac:dyDescent="0.25">
      <c r="A7" s="217"/>
      <c r="B7" s="218"/>
      <c r="C7" s="219"/>
      <c r="D7" s="220"/>
      <c r="E7" s="219"/>
      <c r="F7" s="218"/>
      <c r="G7" s="221"/>
      <c r="H7" s="222"/>
    </row>
    <row r="8" spans="1:8" x14ac:dyDescent="0.25">
      <c r="A8" s="217"/>
      <c r="B8" s="218"/>
      <c r="C8" s="219"/>
      <c r="D8" s="220"/>
      <c r="E8" s="219"/>
      <c r="F8" s="218"/>
      <c r="G8" s="221"/>
      <c r="H8" s="222"/>
    </row>
    <row r="9" spans="1:8" x14ac:dyDescent="0.25">
      <c r="A9" s="217"/>
      <c r="B9" s="218"/>
      <c r="C9" s="220"/>
      <c r="D9" s="220"/>
      <c r="E9" s="219"/>
      <c r="F9" s="218"/>
      <c r="G9" s="221"/>
      <c r="H9" s="222"/>
    </row>
    <row r="10" spans="1:8" x14ac:dyDescent="0.25">
      <c r="A10" s="217"/>
      <c r="B10" s="218"/>
      <c r="C10" s="220"/>
      <c r="D10" s="220"/>
      <c r="E10" s="219"/>
      <c r="F10" s="218"/>
      <c r="G10" s="221"/>
      <c r="H10" s="222"/>
    </row>
    <row r="11" spans="1:8" x14ac:dyDescent="0.25">
      <c r="A11" s="217"/>
      <c r="B11" s="218"/>
      <c r="C11" s="220"/>
      <c r="D11" s="220"/>
      <c r="E11" s="219"/>
      <c r="F11" s="218"/>
      <c r="G11" s="221"/>
      <c r="H11" s="222"/>
    </row>
    <row r="12" spans="1:8" x14ac:dyDescent="0.25">
      <c r="A12" s="217"/>
      <c r="B12" s="218"/>
      <c r="C12" s="220"/>
      <c r="D12" s="220"/>
      <c r="E12" s="219"/>
      <c r="F12" s="218"/>
      <c r="G12" s="221"/>
      <c r="H12" s="222"/>
    </row>
    <row r="13" spans="1:8" x14ac:dyDescent="0.25">
      <c r="A13" s="217"/>
      <c r="B13" s="218"/>
      <c r="C13" s="219"/>
      <c r="D13" s="220"/>
      <c r="E13" s="219"/>
      <c r="F13" s="218"/>
      <c r="G13" s="221"/>
      <c r="H13" s="222"/>
    </row>
    <row r="14" spans="1:8" x14ac:dyDescent="0.25">
      <c r="A14" s="217"/>
      <c r="B14" s="218" t="s">
        <v>198</v>
      </c>
      <c r="C14" s="219">
        <v>0.36</v>
      </c>
      <c r="D14" s="219"/>
      <c r="E14" s="219"/>
      <c r="F14" s="218">
        <v>1</v>
      </c>
      <c r="G14" s="221"/>
      <c r="H14" s="222"/>
    </row>
    <row r="15" spans="1:8" x14ac:dyDescent="0.25">
      <c r="A15" s="217"/>
      <c r="B15" s="218" t="s">
        <v>199</v>
      </c>
      <c r="C15" s="220">
        <v>1949.6400000000003</v>
      </c>
      <c r="E15" s="219"/>
      <c r="F15" s="218">
        <v>1</v>
      </c>
      <c r="G15" s="221"/>
      <c r="H15" s="222"/>
    </row>
    <row r="16" ht="16.2" customHeight="1" spans="1:9" x14ac:dyDescent="0.25">
      <c r="A16" s="223"/>
      <c r="B16" s="224" t="s">
        <v>149</v>
      </c>
      <c r="C16" s="225">
        <f>SUM(C7:C15)</f>
        <v>1950.0000000000002</v>
      </c>
      <c r="D16" s="225">
        <f>SUM(D7:D15)</f>
        <v>0</v>
      </c>
      <c r="E16" s="226">
        <f>C16+D16</f>
        <v>1950.0000000000002</v>
      </c>
      <c r="F16" s="227"/>
      <c r="G16" s="228"/>
      <c r="H16" s="229"/>
      <c r="I16" s="150"/>
    </row>
    <row r="17" spans="1:8" x14ac:dyDescent="0.25">
      <c r="A17" s="230"/>
      <c r="B17" s="231"/>
      <c r="C17" s="232"/>
      <c r="D17" s="232"/>
      <c r="E17" s="233"/>
      <c r="F17" s="231"/>
      <c r="G17" s="234"/>
      <c r="H17" s="235"/>
    </row>
    <row r="18" ht="13.2" customHeight="1" spans="1:8" x14ac:dyDescent="0.25">
      <c r="A18" s="236"/>
      <c r="B18" s="237"/>
      <c r="C18" s="238"/>
      <c r="D18" s="238"/>
      <c r="E18" s="238"/>
      <c r="F18" s="239"/>
      <c r="G18" s="240"/>
      <c r="H18" s="241"/>
    </row>
    <row r="19" ht="13.2" customHeight="1" spans="1:8" x14ac:dyDescent="0.25">
      <c r="A19" s="242" t="s">
        <v>190</v>
      </c>
      <c r="B19" s="242"/>
      <c r="C19" s="243">
        <f>SUM(C16:C18)</f>
        <v>1950.0000000000002</v>
      </c>
      <c r="D19" s="243">
        <f>SUM(D16:D18)</f>
        <v>0</v>
      </c>
      <c r="E19" s="243">
        <f>SUM(E16:E18)</f>
        <v>1950.0000000000002</v>
      </c>
      <c r="F19" s="244"/>
      <c r="G19" s="245"/>
      <c r="H19" s="246"/>
    </row>
    <row r="20" ht="13.8" customHeight="1" spans="1:8" x14ac:dyDescent="0.25">
      <c r="A20" s="247"/>
      <c r="B20" s="248"/>
      <c r="C20" s="249"/>
      <c r="D20" s="249"/>
      <c r="E20" s="249"/>
      <c r="F20" s="250"/>
      <c r="G20" s="251"/>
      <c r="H20" s="252"/>
    </row>
    <row r="21" ht="13.8" customHeight="1" spans="1:8" x14ac:dyDescent="0.25">
      <c r="A21" s="253" t="s">
        <v>191</v>
      </c>
      <c r="B21" s="254"/>
      <c r="C21" s="255" t="e">
        <f>#REF!</f>
        <v>#REF!</v>
      </c>
      <c r="D21" s="256"/>
      <c r="E21" s="256"/>
      <c r="F21" s="257"/>
      <c r="G21" s="258"/>
      <c r="H21" s="259"/>
    </row>
    <row r="22" ht="12.75" customHeight="1" spans="1:10" x14ac:dyDescent="0.25">
      <c r="A22" s="180"/>
      <c r="B22" s="260"/>
      <c r="C22" s="261"/>
      <c r="D22" s="256"/>
      <c r="E22" s="256"/>
      <c r="F22" s="257"/>
      <c r="G22" s="258"/>
      <c r="H22" s="259"/>
      <c r="J22" s="183"/>
    </row>
    <row r="23" ht="15.75" customHeight="1" spans="1:8" x14ac:dyDescent="0.25">
      <c r="A23" s="180" t="s">
        <v>192</v>
      </c>
      <c r="C23" s="261">
        <f>+C19</f>
        <v>1950.0000000000002</v>
      </c>
      <c r="D23" s="256"/>
      <c r="E23" s="256"/>
      <c r="F23" s="257"/>
      <c r="G23" s="262"/>
      <c r="H23" s="259"/>
    </row>
    <row r="24" ht="14.25" customHeight="1" spans="1:8" x14ac:dyDescent="0.25">
      <c r="A24" s="180" t="s">
        <v>193</v>
      </c>
      <c r="C24" s="263">
        <f>+D19</f>
        <v>0</v>
      </c>
      <c r="D24" s="256"/>
      <c r="E24" s="256"/>
      <c r="F24" s="257"/>
      <c r="G24" s="262"/>
      <c r="H24" s="259"/>
    </row>
    <row r="25" ht="12.75" customHeight="1" spans="1:8" x14ac:dyDescent="0.25">
      <c r="A25" s="180" t="s">
        <v>194</v>
      </c>
      <c r="C25" s="261">
        <f>+SUM(C23:C24)</f>
        <v>1950.0000000000002</v>
      </c>
      <c r="D25" s="256"/>
      <c r="E25" s="256"/>
      <c r="F25" s="257"/>
      <c r="G25" s="262"/>
      <c r="H25" s="259"/>
    </row>
    <row r="26" ht="15" customHeight="1" spans="1:8" x14ac:dyDescent="0.25">
      <c r="A26" s="180"/>
      <c r="C26" s="261"/>
      <c r="D26" s="256"/>
      <c r="E26" s="256"/>
      <c r="F26" s="257"/>
      <c r="G26" s="258"/>
      <c r="H26" s="259"/>
    </row>
    <row r="27" ht="13.8" customHeight="1" spans="1:8" x14ac:dyDescent="0.25">
      <c r="A27" s="253" t="s">
        <v>195</v>
      </c>
      <c r="B27" s="264"/>
      <c r="C27" s="255" t="e">
        <f>+C21-C25</f>
        <v>#REF!</v>
      </c>
      <c r="D27" s="256"/>
      <c r="E27" s="256"/>
      <c r="F27" s="257"/>
      <c r="G27" s="258"/>
      <c r="H27" s="259"/>
    </row>
    <row r="28" ht="15" customHeight="1" spans="1:8" x14ac:dyDescent="0.25">
      <c r="A28" s="186"/>
      <c r="B28" s="187"/>
      <c r="C28" s="265"/>
      <c r="D28" s="266"/>
      <c r="E28" s="267"/>
      <c r="F28" s="268"/>
      <c r="G28" s="269"/>
      <c r="H28" s="270"/>
    </row>
    <row r="29" ht="14.4" customHeight="1" x14ac:dyDescent="0.25"/>
    <row r="30" ht="14.4" customHeight="1" hidden="1" spans="3:3" x14ac:dyDescent="0.25" outlineLevel="1" collapsed="1">
      <c r="C30" s="94" t="e">
        <f>C27-#REF!</f>
        <v>#REF!</v>
      </c>
    </row>
    <row r="31" ht="14.4" customHeight="1" spans="5:7" x14ac:dyDescent="0.25">
      <c r="E31" s="183"/>
      <c r="G31" s="194"/>
    </row>
    <row r="32" spans="5:7" x14ac:dyDescent="0.25">
      <c r="E32" s="271"/>
      <c r="G32" s="271"/>
    </row>
  </sheetData>
  <mergeCells count="4">
    <mergeCell ref="G4:H6"/>
    <mergeCell ref="B4:B6"/>
    <mergeCell ref="F4:F6"/>
    <mergeCell ref="G18:H18"/>
  </mergeCells>
  <conditionalFormatting sqref="C30">
    <cfRule type="cellIs" dxfId="1" priority="1" operator="equal">
      <formula>0</formula>
    </cfRule>
    <cfRule type="cellIs" dxfId="2" priority="2" operator="lessThan">
      <formula>0</formula>
    </cfRule>
    <cfRule type="cellIs" dxfId="3" priority="3" operator="greaterThan">
      <formula>0</formula>
    </cfRule>
  </conditionalFormatting>
  <printOptions horizontalCentered="1"/>
  <pageMargins left="0.7" right="0.7" top="1" bottom="0.75" header="0.3" footer="0.3"/>
  <pageSetup orientation="landscape" horizontalDpi="4294967295" verticalDpi="4294967295" scale="83" fitToWidth="1" fitToHeight="0" firstPageNumber="9" useFirstPageNumber="1" copies="1"/>
  <headerFooter>
    <oddHeader>&amp;C&amp;"-,Bold"&amp;14Bishop Arts JV, LLC
Soft Cost Contingency - PSTR
12/31/21</oddHeader>
    <oddFooter>&amp;CAssurance is not provided on these financial statements. Substantially all disclosures are omitted.&amp;R&amp;P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workbookViewId="0" zoomScale="100" zoomScaleNormal="100">
      <selection activeCell="AC25" sqref="AC25"/>
    </sheetView>
  </sheetViews>
  <sheetFormatPr defaultRowHeight="14.4" outlineLevelRow="1" outlineLevelCol="0" x14ac:dyDescent="0.3" defaultColWidth="9.109375" customHeight="1"/>
  <cols>
    <col min="1" max="1" width="26" customWidth="1"/>
    <col min="2" max="2" width="41" customWidth="1"/>
    <col min="3" max="3" width="17.109375" customWidth="1"/>
    <col min="4" max="4" width="15.6640625" customWidth="1"/>
    <col min="5" max="5" width="7.6640625" customWidth="1"/>
    <col min="6" max="6" width="26" customWidth="1"/>
    <col min="7" max="7" width="5.33203125" customWidth="1"/>
    <col min="9" max="9" width="7.44140625" customWidth="1"/>
    <col min="10" max="10" width="10.88671875" hidden="1" customWidth="1"/>
    <col min="11" max="12" width="9.109375" hidden="1" customWidth="1"/>
    <col min="13" max="13" width="12.33203125" hidden="1" customWidth="1"/>
    <col min="14" max="28" width="9.109375" hidden="1" customWidth="1"/>
    <col min="29" max="29" width="9.109375" customWidth="1"/>
  </cols>
  <sheetData>
    <row r="1" spans="4:5" x14ac:dyDescent="0.25"/>
    <row r="2" spans="4:5" x14ac:dyDescent="0.25"/>
    <row r="3" spans="4:5" x14ac:dyDescent="0.25"/>
    <row r="4" spans="1:8" x14ac:dyDescent="0.25">
      <c r="A4" s="272"/>
      <c r="B4" s="273" t="s">
        <v>176</v>
      </c>
      <c r="C4" s="274" t="s">
        <v>177</v>
      </c>
      <c r="D4" s="273" t="s">
        <v>177</v>
      </c>
      <c r="E4" s="275" t="s">
        <v>197</v>
      </c>
      <c r="F4" s="276" t="s">
        <v>179</v>
      </c>
      <c r="G4" s="277"/>
      <c r="H4" s="112"/>
    </row>
    <row r="5" spans="1:8" x14ac:dyDescent="0.25">
      <c r="A5" s="230"/>
      <c r="B5" s="230"/>
      <c r="C5" s="278" t="s">
        <v>180</v>
      </c>
      <c r="D5" s="230" t="s">
        <v>181</v>
      </c>
      <c r="E5" s="231"/>
      <c r="F5" s="279"/>
      <c r="G5" s="280"/>
      <c r="H5" s="112"/>
    </row>
    <row r="6" spans="1:8" x14ac:dyDescent="0.25">
      <c r="A6" s="281" t="s">
        <v>183</v>
      </c>
      <c r="B6" s="281"/>
      <c r="C6" s="282" t="s">
        <v>181</v>
      </c>
      <c r="D6" s="281" t="s">
        <v>184</v>
      </c>
      <c r="E6" s="283"/>
      <c r="F6" s="284"/>
      <c r="G6" s="285"/>
      <c r="H6" s="135"/>
    </row>
    <row r="7" spans="1:8" x14ac:dyDescent="0.25">
      <c r="A7" s="217"/>
      <c r="B7" s="218"/>
      <c r="C7" s="219"/>
      <c r="D7" s="219"/>
      <c r="E7" s="218"/>
      <c r="F7" s="221"/>
      <c r="G7" s="222"/>
      <c r="H7" s="112"/>
    </row>
    <row r="8" spans="1:8" x14ac:dyDescent="0.25">
      <c r="A8" s="217"/>
      <c r="B8" s="218"/>
      <c r="C8" s="219"/>
      <c r="D8" s="219"/>
      <c r="E8" s="218"/>
      <c r="F8" s="221"/>
      <c r="G8" s="222"/>
      <c r="H8" s="112"/>
    </row>
    <row r="9" spans="1:8" x14ac:dyDescent="0.25">
      <c r="A9" s="217"/>
      <c r="B9" s="218"/>
      <c r="C9" s="219"/>
      <c r="D9" s="219"/>
      <c r="E9" s="218"/>
      <c r="F9" s="221"/>
      <c r="G9" s="222"/>
      <c r="H9" s="112"/>
    </row>
    <row r="10" spans="1:8" x14ac:dyDescent="0.25">
      <c r="A10" s="217"/>
      <c r="B10" s="218"/>
      <c r="C10" s="219"/>
      <c r="D10" s="219"/>
      <c r="E10" s="218"/>
      <c r="F10" s="221"/>
      <c r="G10" s="222"/>
      <c r="H10" s="112"/>
    </row>
    <row r="11" spans="1:8" x14ac:dyDescent="0.25">
      <c r="A11" s="217"/>
      <c r="B11" s="218"/>
      <c r="C11" s="219"/>
      <c r="D11" s="219"/>
      <c r="E11" s="218"/>
      <c r="F11" s="221"/>
      <c r="G11" s="222"/>
      <c r="H11" s="112"/>
    </row>
    <row r="12" spans="1:8" x14ac:dyDescent="0.25">
      <c r="A12" s="217"/>
      <c r="B12" s="218"/>
      <c r="C12" s="219"/>
      <c r="D12" s="219"/>
      <c r="E12" s="218"/>
      <c r="F12" s="221"/>
      <c r="G12" s="222"/>
      <c r="H12" s="112"/>
    </row>
    <row r="13" spans="1:8" x14ac:dyDescent="0.25">
      <c r="A13" s="217"/>
      <c r="B13" s="218"/>
      <c r="C13" s="219"/>
      <c r="D13" s="219"/>
      <c r="E13" s="218"/>
      <c r="F13" s="221"/>
      <c r="G13" s="222"/>
      <c r="H13" s="112"/>
    </row>
    <row r="14" spans="1:8" x14ac:dyDescent="0.25">
      <c r="A14" s="217"/>
      <c r="B14" s="218"/>
      <c r="C14" s="219"/>
      <c r="D14" s="219"/>
      <c r="E14" s="218"/>
      <c r="F14" s="221"/>
      <c r="G14" s="222"/>
      <c r="H14" s="112"/>
    </row>
    <row r="15" spans="1:8" x14ac:dyDescent="0.25">
      <c r="A15" s="217"/>
      <c r="B15" s="218"/>
      <c r="C15" s="219"/>
      <c r="D15" s="219"/>
      <c r="E15" s="218"/>
      <c r="F15" s="221"/>
      <c r="G15" s="222"/>
      <c r="H15" s="112"/>
    </row>
    <row r="16" spans="1:8" x14ac:dyDescent="0.25">
      <c r="A16" s="217"/>
      <c r="B16" s="218"/>
      <c r="C16" s="219"/>
      <c r="D16" s="219"/>
      <c r="E16" s="218"/>
      <c r="F16" s="221"/>
      <c r="G16" s="222"/>
      <c r="H16" s="112"/>
    </row>
    <row r="17" spans="1:8" x14ac:dyDescent="0.25">
      <c r="A17" s="217"/>
      <c r="B17" s="218"/>
      <c r="C17" s="219"/>
      <c r="D17" s="219"/>
      <c r="E17" s="218"/>
      <c r="F17" s="221"/>
      <c r="G17" s="222"/>
      <c r="H17" s="112"/>
    </row>
    <row r="18" spans="1:8" x14ac:dyDescent="0.25">
      <c r="A18" s="217"/>
      <c r="B18" s="218"/>
      <c r="C18" s="219"/>
      <c r="D18" s="219"/>
      <c r="E18" s="218"/>
      <c r="F18" s="221"/>
      <c r="G18" s="222"/>
      <c r="H18" s="112"/>
    </row>
    <row r="19" spans="1:8" x14ac:dyDescent="0.25">
      <c r="A19" s="217"/>
      <c r="B19" s="218"/>
      <c r="C19" s="219"/>
      <c r="D19" s="219"/>
      <c r="E19" s="218"/>
      <c r="F19" s="221"/>
      <c r="G19" s="222"/>
      <c r="H19" s="112"/>
    </row>
    <row r="20" spans="1:10" x14ac:dyDescent="0.25">
      <c r="A20" s="217"/>
      <c r="B20" s="218"/>
      <c r="C20" s="219"/>
      <c r="D20" s="219"/>
      <c r="E20" s="218"/>
      <c r="F20" s="221"/>
      <c r="G20" s="222"/>
      <c r="H20" s="112"/>
      <c r="J20" t="s">
        <v>200</v>
      </c>
    </row>
    <row r="21" spans="1:10" x14ac:dyDescent="0.25">
      <c r="A21" s="217"/>
      <c r="B21" s="218"/>
      <c r="C21" s="219"/>
      <c r="D21" s="219"/>
      <c r="E21" s="218"/>
      <c r="F21" s="221"/>
      <c r="G21" s="222"/>
      <c r="H21" s="112"/>
      <c r="J21" t="s">
        <v>201</v>
      </c>
    </row>
    <row r="22" spans="1:8" x14ac:dyDescent="0.25">
      <c r="A22" s="217"/>
      <c r="B22" s="218"/>
      <c r="C22" s="219"/>
      <c r="D22" s="219"/>
      <c r="E22" s="218"/>
      <c r="F22" s="221"/>
      <c r="G22" s="222"/>
      <c r="H22" s="112"/>
    </row>
    <row r="23" spans="1:8" x14ac:dyDescent="0.25">
      <c r="A23" s="217"/>
      <c r="B23" s="218"/>
      <c r="C23" s="219"/>
      <c r="D23" s="219"/>
      <c r="E23" s="218"/>
      <c r="F23" s="221"/>
      <c r="G23" s="222"/>
      <c r="H23" s="112"/>
    </row>
    <row r="24" spans="1:8" x14ac:dyDescent="0.25">
      <c r="A24" s="217"/>
      <c r="B24" s="218"/>
      <c r="C24" s="219"/>
      <c r="D24" s="219"/>
      <c r="E24" s="218"/>
      <c r="F24" s="221"/>
      <c r="G24" s="222"/>
      <c r="H24" s="112"/>
    </row>
    <row r="25" spans="1:8" x14ac:dyDescent="0.25">
      <c r="A25" s="217"/>
      <c r="B25" s="218"/>
      <c r="C25" s="219"/>
      <c r="D25" s="219"/>
      <c r="E25" s="218"/>
      <c r="F25" s="221"/>
      <c r="G25" s="222"/>
      <c r="H25" s="112"/>
    </row>
    <row r="26" spans="1:8" x14ac:dyDescent="0.25">
      <c r="A26" s="217"/>
      <c r="B26" s="218"/>
      <c r="C26" s="219"/>
      <c r="D26" s="219"/>
      <c r="E26" s="218"/>
      <c r="F26" s="221"/>
      <c r="G26" s="222"/>
      <c r="H26" s="112"/>
    </row>
    <row r="27" spans="1:8" x14ac:dyDescent="0.25">
      <c r="A27" s="217"/>
      <c r="B27" s="218"/>
      <c r="C27" s="219"/>
      <c r="D27" s="219"/>
      <c r="E27" s="218"/>
      <c r="F27" s="221"/>
      <c r="G27" s="222"/>
      <c r="H27" s="112"/>
    </row>
    <row r="28" spans="1:8" x14ac:dyDescent="0.25">
      <c r="A28" s="217"/>
      <c r="B28" s="286"/>
      <c r="C28" s="219"/>
      <c r="D28" s="219"/>
      <c r="E28" s="218"/>
      <c r="F28" s="221"/>
      <c r="G28" s="222"/>
      <c r="H28" s="112"/>
    </row>
    <row r="29" spans="1:10" x14ac:dyDescent="0.25">
      <c r="A29" s="217"/>
      <c r="B29" s="286"/>
      <c r="C29" s="219"/>
      <c r="D29" s="219">
        <v>0</v>
      </c>
      <c r="E29" s="218"/>
      <c r="F29" s="221"/>
      <c r="G29" s="222"/>
      <c r="H29" s="112"/>
      <c r="I29" s="112"/>
      <c r="J29" s="112"/>
    </row>
    <row r="30" ht="16.2" customHeight="1" spans="1:10" x14ac:dyDescent="0.25">
      <c r="A30" s="223"/>
      <c r="B30" s="224" t="s">
        <v>149</v>
      </c>
      <c r="C30" s="225">
        <f>SUM(C10:C29)</f>
        <v>0</v>
      </c>
      <c r="D30" s="225">
        <f>SUM(D7:D29)</f>
        <v>0</v>
      </c>
      <c r="E30" s="227"/>
      <c r="F30" s="228"/>
      <c r="G30" s="229"/>
      <c r="H30" s="112"/>
      <c r="I30" s="150"/>
      <c r="J30" s="112"/>
    </row>
    <row r="31" spans="1:10" x14ac:dyDescent="0.25">
      <c r="A31" s="230"/>
      <c r="B31" s="231"/>
      <c r="C31" s="232"/>
      <c r="D31" s="232"/>
      <c r="E31" s="231"/>
      <c r="F31" s="234"/>
      <c r="G31" s="235"/>
      <c r="H31" s="112"/>
      <c r="I31" s="112"/>
      <c r="J31" s="112"/>
    </row>
    <row r="32" ht="15" customHeight="1" spans="1:10" x14ac:dyDescent="0.25">
      <c r="A32" s="236"/>
      <c r="B32" s="237"/>
      <c r="C32" s="238"/>
      <c r="D32" s="238"/>
      <c r="E32" s="239"/>
      <c r="F32" s="240"/>
      <c r="G32" s="241"/>
      <c r="H32" s="112"/>
      <c r="I32" s="112"/>
      <c r="J32" s="112"/>
    </row>
    <row r="33" spans="1:10" x14ac:dyDescent="0.25">
      <c r="A33" s="242" t="s">
        <v>190</v>
      </c>
      <c r="B33" s="242"/>
      <c r="C33" s="243">
        <f>SUM(C30:C32)</f>
        <v>0</v>
      </c>
      <c r="D33" s="243">
        <f>SUM(D30:D32)</f>
        <v>0</v>
      </c>
      <c r="E33" s="244"/>
      <c r="F33" s="245"/>
      <c r="G33" s="246"/>
      <c r="H33" s="112"/>
      <c r="I33" s="112"/>
      <c r="J33" s="112"/>
    </row>
    <row r="34" ht="15" customHeight="1" spans="1:10" x14ac:dyDescent="0.25">
      <c r="A34" s="247"/>
      <c r="B34" s="248"/>
      <c r="C34" s="249"/>
      <c r="D34" s="249"/>
      <c r="E34" s="250"/>
      <c r="F34" s="251"/>
      <c r="G34" s="252"/>
      <c r="H34" s="112"/>
      <c r="I34" s="112"/>
      <c r="J34" s="112"/>
    </row>
    <row r="35" ht="15" customHeight="1" spans="1:10" x14ac:dyDescent="0.25">
      <c r="A35" s="253" t="s">
        <v>191</v>
      </c>
      <c r="B35" s="254"/>
      <c r="C35" s="255" t="e">
        <f>'Budget to Actual P1'!#REF!</f>
        <v>#REF!</v>
      </c>
      <c r="D35" s="256"/>
      <c r="E35" s="257"/>
      <c r="F35" s="258"/>
      <c r="G35" s="259"/>
      <c r="H35" s="112"/>
      <c r="I35" s="112"/>
      <c r="J35" s="112"/>
    </row>
    <row r="36" ht="12.75" customHeight="1" spans="1:10" x14ac:dyDescent="0.25">
      <c r="A36" s="180"/>
      <c r="B36" s="260"/>
      <c r="C36" s="261"/>
      <c r="D36" s="256"/>
      <c r="E36" s="257"/>
      <c r="F36" s="258"/>
      <c r="G36" s="259"/>
      <c r="H36" s="112"/>
      <c r="I36" s="112"/>
      <c r="J36" s="183"/>
    </row>
    <row r="37" ht="12.75" customHeight="1" spans="1:10" x14ac:dyDescent="0.25">
      <c r="A37" s="180" t="s">
        <v>192</v>
      </c>
      <c r="C37" s="261">
        <f>+C33</f>
        <v>0</v>
      </c>
      <c r="D37" s="256"/>
      <c r="E37" s="257"/>
      <c r="F37" s="262"/>
      <c r="G37" s="259"/>
      <c r="H37" s="112"/>
      <c r="I37" s="112"/>
      <c r="J37" s="112"/>
    </row>
    <row r="38" ht="12.75" customHeight="1" spans="1:10" x14ac:dyDescent="0.25">
      <c r="A38" s="180" t="s">
        <v>193</v>
      </c>
      <c r="C38" s="263">
        <f>+D33</f>
        <v>0</v>
      </c>
      <c r="D38" s="256"/>
      <c r="E38" s="257"/>
      <c r="F38" s="262"/>
      <c r="G38" s="259"/>
      <c r="H38" s="112"/>
      <c r="I38" s="112"/>
      <c r="J38" s="112"/>
    </row>
    <row r="39" ht="12.75" customHeight="1" spans="1:10" x14ac:dyDescent="0.25">
      <c r="A39" s="180" t="s">
        <v>194</v>
      </c>
      <c r="C39" s="261">
        <f>+SUM(C37:C38)</f>
        <v>0</v>
      </c>
      <c r="D39" s="256"/>
      <c r="E39" s="257"/>
      <c r="F39" s="262"/>
      <c r="G39" s="259"/>
      <c r="H39" s="112"/>
      <c r="I39" s="112"/>
      <c r="J39" s="112"/>
    </row>
    <row r="40" ht="15" customHeight="1" spans="1:10" x14ac:dyDescent="0.25">
      <c r="A40" s="180"/>
      <c r="C40" s="261"/>
      <c r="D40" s="256"/>
      <c r="E40" s="257"/>
      <c r="F40" s="258"/>
      <c r="G40" s="259"/>
      <c r="H40" s="112"/>
      <c r="I40" s="112"/>
      <c r="J40" s="112"/>
    </row>
    <row r="41" ht="15" customHeight="1" spans="1:10" x14ac:dyDescent="0.25">
      <c r="A41" s="253" t="s">
        <v>195</v>
      </c>
      <c r="B41" s="264"/>
      <c r="C41" s="255" t="e">
        <f>+C35-C39</f>
        <v>#REF!</v>
      </c>
      <c r="D41" s="256"/>
      <c r="E41" s="257"/>
      <c r="F41" s="258"/>
      <c r="G41" s="259"/>
      <c r="H41" s="112"/>
      <c r="I41" s="112"/>
      <c r="J41" s="112"/>
    </row>
    <row r="42" ht="15" customHeight="1" spans="1:10" x14ac:dyDescent="0.25">
      <c r="A42" s="186"/>
      <c r="B42" s="187"/>
      <c r="C42" s="265"/>
      <c r="D42" s="266"/>
      <c r="E42" s="268"/>
      <c r="F42" s="269"/>
      <c r="G42" s="270"/>
      <c r="H42" s="112"/>
      <c r="I42" s="112"/>
      <c r="J42" s="112"/>
    </row>
    <row r="45" hidden="1" spans="3:6" x14ac:dyDescent="0.25" outlineLevel="1" collapsed="1">
      <c r="C45" s="197" t="e">
        <f>C41-'Budget to Actual P1'!#REF!</f>
        <v>#REF!</v>
      </c>
      <c r="D45" s="112"/>
      <c r="E45" s="112"/>
      <c r="F45" s="194"/>
    </row>
    <row r="46" hidden="1" spans="3:6" x14ac:dyDescent="0.25" outlineLevel="1" collapsed="1">
      <c r="C46" s="112"/>
      <c r="D46" s="112"/>
      <c r="E46" s="112"/>
      <c r="F46" s="271"/>
    </row>
    <row r="47" spans="4:6" x14ac:dyDescent="0.25">
      <c r="D47" s="112"/>
      <c r="E47" s="112"/>
      <c r="F47" s="112"/>
    </row>
    <row r="48" spans="3:6" x14ac:dyDescent="0.25">
      <c r="C48" s="112"/>
      <c r="D48" s="112"/>
      <c r="E48" s="112"/>
      <c r="F48" s="112"/>
    </row>
  </sheetData>
  <mergeCells count="4">
    <mergeCell ref="F4:G6"/>
    <mergeCell ref="B4:B6"/>
    <mergeCell ref="E4:E6"/>
    <mergeCell ref="F32:G32"/>
  </mergeCells>
  <printOptions horizontalCentered="1"/>
  <pageMargins left="0.7" right="0.7" top="0.75" bottom="0.75" header="0.3" footer="0.3"/>
  <pageSetup orientation="landscape" horizontalDpi="4294967295" verticalDpi="4294967295" scale="82" fitToWidth="1" fitToHeight="0" firstPageNumber="11" useFirstPageNumber="1" copies="1"/>
  <headerFooter>
    <oddHeader>&amp;C&amp;"-,Bold"&amp;14CLIP PO, LLC
Hard Cost Contingency Table
December 31, 2022</oddHeader>
    <oddFooter>&amp;CAssurance is not provided on these financial statements. Substantially all disclosures are omitted.&amp;R&amp;P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3"/>
  <sheetViews>
    <sheetView workbookViewId="0" zoomScale="100" zoomScaleNormal="100"/>
  </sheetViews>
  <sheetFormatPr defaultRowHeight="18" outlineLevelRow="1" outlineLevelCol="0" x14ac:dyDescent="0.35" defaultColWidth="9.33203125" customHeight="1"/>
  <cols>
    <col min="1" max="1" width="9.5546875" style="18" customWidth="1"/>
    <col min="2" max="2" width="10.33203125" style="461" customWidth="1"/>
    <col min="3" max="3" width="43.44140625" style="18" customWidth="1"/>
    <col min="4" max="4" width="26.44140625" style="19" customWidth="1"/>
    <col min="5" max="5" width="25" style="19" customWidth="1"/>
    <col min="6" max="6" width="26.44140625" style="19" customWidth="1"/>
    <col min="7" max="7" width="28.33203125" style="20" customWidth="1"/>
    <col min="8" max="8" width="25.33203125" style="21" customWidth="1"/>
    <col min="9" max="9" width="22.33203125" style="21" customWidth="1"/>
    <col min="10" max="10" width="27.6640625" style="21" customWidth="1"/>
    <col min="11" max="12" width="22.33203125" style="21" customWidth="1"/>
    <col min="13" max="13" width="9.33203125" style="18" customWidth="1"/>
    <col min="14" max="14" width="20.5546875" style="18" customWidth="1"/>
    <col min="15" max="16384" width="9.33203125" style="18" customWidth="1"/>
  </cols>
  <sheetData>
    <row r="1" hidden="1" spans="2:8" x14ac:dyDescent="0.25" outlineLevel="1" collapsed="1">
      <c r="B1" s="462" t="s">
        <v>438</v>
      </c>
      <c r="G1" s="19"/>
      <c r="H1" s="27"/>
    </row>
    <row r="2" hidden="1" spans="2:8" x14ac:dyDescent="0.25" outlineLevel="1" collapsed="1">
      <c r="B2" s="462" t="s">
        <v>830</v>
      </c>
      <c r="G2" s="19"/>
      <c r="H2" s="27"/>
    </row>
    <row r="3" hidden="1" spans="2:7" x14ac:dyDescent="0.25" outlineLevel="1" collapsed="1">
      <c r="B3" s="462" t="s">
        <v>831</v>
      </c>
      <c r="G3" s="19"/>
    </row>
    <row r="4" ht="18" customHeight="1" hidden="1" spans="2:7" x14ac:dyDescent="0.25" outlineLevel="1" collapsed="1">
      <c r="B4" s="462" t="s">
        <v>832</v>
      </c>
      <c r="G4" s="19"/>
    </row>
    <row r="5" ht="18" customHeight="1" hidden="1" spans="2:7" x14ac:dyDescent="0.25" outlineLevel="1" collapsed="1">
      <c r="B5" s="462"/>
      <c r="G5" s="19"/>
    </row>
    <row r="6" ht="18" customHeight="1" spans="2:12" x14ac:dyDescent="0.25">
      <c r="B6" s="463"/>
      <c r="C6" s="47" t="s">
        <v>24</v>
      </c>
      <c r="D6" s="464" t="s">
        <v>833</v>
      </c>
      <c r="E6" s="464" t="s">
        <v>26</v>
      </c>
      <c r="F6" s="464" t="s">
        <v>27</v>
      </c>
      <c r="G6" s="464" t="s">
        <v>833</v>
      </c>
      <c r="H6" s="465" t="s">
        <v>28</v>
      </c>
      <c r="I6" s="465" t="s">
        <v>29</v>
      </c>
      <c r="J6" s="465" t="s">
        <v>30</v>
      </c>
      <c r="L6" s="466" t="s">
        <v>31</v>
      </c>
    </row>
    <row r="7" ht="18" customHeight="1" spans="1:12" x14ac:dyDescent="0.25">
      <c r="A7" s="467" t="s">
        <v>834</v>
      </c>
      <c r="B7" s="467" t="s">
        <v>183</v>
      </c>
      <c r="C7" s="468" t="s">
        <v>33</v>
      </c>
      <c r="D7" s="469" t="s">
        <v>835</v>
      </c>
      <c r="E7" s="469" t="s">
        <v>34</v>
      </c>
      <c r="F7" s="469" t="s">
        <v>34</v>
      </c>
      <c r="G7" s="469" t="s">
        <v>35</v>
      </c>
      <c r="H7" s="470" t="s">
        <v>836</v>
      </c>
      <c r="I7" s="471" t="s">
        <v>837</v>
      </c>
      <c r="J7" s="470" t="s">
        <v>838</v>
      </c>
      <c r="K7" s="466" t="s">
        <v>39</v>
      </c>
      <c r="L7" s="472" t="s">
        <v>839</v>
      </c>
    </row>
    <row r="8" ht="7.5" customHeight="1" spans="1:12" x14ac:dyDescent="0.25">
      <c r="A8" s="18"/>
      <c r="B8" s="473"/>
      <c r="C8" s="42"/>
      <c r="D8" s="43"/>
      <c r="E8" s="43"/>
      <c r="F8" s="43"/>
      <c r="G8" s="43"/>
      <c r="H8" s="45"/>
      <c r="I8" s="44"/>
      <c r="J8" s="45"/>
      <c r="K8" s="44"/>
      <c r="L8" s="44"/>
    </row>
    <row r="9" ht="18" customHeight="1" spans="1:14" x14ac:dyDescent="0.25">
      <c r="A9" s="474" t="s">
        <v>840</v>
      </c>
      <c r="B9" s="475">
        <v>11010</v>
      </c>
      <c r="C9" s="47" t="s">
        <v>41</v>
      </c>
      <c r="D9" s="476">
        <v>5858494.36</v>
      </c>
      <c r="E9" s="48">
        <v>0</v>
      </c>
      <c r="F9" s="48">
        <v>0</v>
      </c>
      <c r="G9" s="49">
        <v>5858494.36</v>
      </c>
      <c r="H9" s="477">
        <v>5858494.36</v>
      </c>
      <c r="I9" s="50">
        <v>0</v>
      </c>
      <c r="J9" s="51">
        <v>5858494.36</v>
      </c>
      <c r="K9" s="52">
        <v>1</v>
      </c>
      <c r="L9" s="50">
        <v>0</v>
      </c>
      <c r="N9" s="102"/>
    </row>
    <row r="10" ht="18" customHeight="1" spans="1:14" x14ac:dyDescent="0.25">
      <c r="A10" s="474">
        <v>1470900</v>
      </c>
      <c r="B10" s="475">
        <v>11050</v>
      </c>
      <c r="C10" s="47" t="s">
        <v>43</v>
      </c>
      <c r="D10" s="476">
        <v>200754.83</v>
      </c>
      <c r="E10" s="48">
        <v>-49410.84</v>
      </c>
      <c r="F10" s="48">
        <v>0</v>
      </c>
      <c r="G10" s="49">
        <v>151343.99</v>
      </c>
      <c r="H10" s="477">
        <v>151343.99</v>
      </c>
      <c r="I10" s="50">
        <v>0</v>
      </c>
      <c r="J10" s="51">
        <v>151343.99</v>
      </c>
      <c r="K10" s="52">
        <v>1</v>
      </c>
      <c r="L10" s="50">
        <v>0</v>
      </c>
      <c r="N10" s="102"/>
    </row>
    <row r="11" ht="18" customHeight="1" spans="1:14" x14ac:dyDescent="0.25">
      <c r="A11" s="478"/>
      <c r="B11" s="478"/>
      <c r="C11" s="57" t="s">
        <v>44</v>
      </c>
      <c r="D11" s="58">
        <v>6059249.19</v>
      </c>
      <c r="E11" s="58">
        <v>-49410.84</v>
      </c>
      <c r="F11" s="58">
        <v>0</v>
      </c>
      <c r="G11" s="58">
        <v>6009838.350000001</v>
      </c>
      <c r="H11" s="58">
        <v>6009838.350000001</v>
      </c>
      <c r="I11" s="58">
        <v>0</v>
      </c>
      <c r="J11" s="58">
        <v>6009838.350000001</v>
      </c>
      <c r="K11" s="59">
        <v>1</v>
      </c>
      <c r="L11" s="479">
        <v>0</v>
      </c>
      <c r="N11" s="102"/>
    </row>
    <row r="12" ht="18" customHeight="1" hidden="1" spans="1:14" x14ac:dyDescent="0.25" outlineLevel="1" collapsed="1">
      <c r="A12" s="475"/>
      <c r="B12" s="475">
        <v>11110</v>
      </c>
      <c r="C12" s="47" t="s">
        <v>45</v>
      </c>
      <c r="D12" s="48">
        <v>0</v>
      </c>
      <c r="E12" s="48">
        <v>0</v>
      </c>
      <c r="F12" s="48">
        <v>0</v>
      </c>
      <c r="G12" s="49">
        <v>0</v>
      </c>
      <c r="H12" s="477">
        <v>0</v>
      </c>
      <c r="I12" s="50">
        <v>0</v>
      </c>
      <c r="J12" s="51">
        <v>0</v>
      </c>
      <c r="K12" s="50"/>
      <c r="L12" s="50">
        <v>0</v>
      </c>
      <c r="N12" s="102"/>
    </row>
    <row r="13" ht="18" customHeight="1" hidden="1" spans="1:14" x14ac:dyDescent="0.25" outlineLevel="1" collapsed="1">
      <c r="A13" s="475"/>
      <c r="B13" s="475">
        <v>11120</v>
      </c>
      <c r="C13" s="47" t="s">
        <v>46</v>
      </c>
      <c r="D13" s="48">
        <v>0</v>
      </c>
      <c r="E13" s="48">
        <v>0</v>
      </c>
      <c r="F13" s="48">
        <v>0</v>
      </c>
      <c r="G13" s="49">
        <v>0</v>
      </c>
      <c r="H13" s="477">
        <v>0</v>
      </c>
      <c r="I13" s="50">
        <v>0</v>
      </c>
      <c r="J13" s="51">
        <v>0</v>
      </c>
      <c r="K13" s="50"/>
      <c r="L13" s="50">
        <v>0</v>
      </c>
      <c r="N13" s="102"/>
    </row>
    <row r="14" ht="18" customHeight="1" hidden="1" spans="1:14" x14ac:dyDescent="0.25" outlineLevel="1" collapsed="1">
      <c r="A14" s="475"/>
      <c r="B14" s="475">
        <v>11130</v>
      </c>
      <c r="C14" s="47" t="s">
        <v>47</v>
      </c>
      <c r="D14" s="48">
        <v>0</v>
      </c>
      <c r="E14" s="48">
        <v>0</v>
      </c>
      <c r="F14" s="48">
        <v>0</v>
      </c>
      <c r="G14" s="49">
        <v>0</v>
      </c>
      <c r="H14" s="477">
        <v>0</v>
      </c>
      <c r="I14" s="50">
        <v>0</v>
      </c>
      <c r="J14" s="51">
        <v>0</v>
      </c>
      <c r="K14" s="50"/>
      <c r="L14" s="50">
        <v>0</v>
      </c>
      <c r="N14" s="102"/>
    </row>
    <row r="15" ht="18" customHeight="1" spans="1:14" x14ac:dyDescent="0.25">
      <c r="A15" s="474">
        <v>1102605</v>
      </c>
      <c r="B15" s="475">
        <v>11140</v>
      </c>
      <c r="C15" s="47" t="s">
        <v>48</v>
      </c>
      <c r="D15" s="476">
        <v>150000</v>
      </c>
      <c r="E15" s="48">
        <v>62251</v>
      </c>
      <c r="F15" s="48">
        <v>0</v>
      </c>
      <c r="G15" s="49">
        <v>212251</v>
      </c>
      <c r="H15" s="477">
        <v>62251.02</v>
      </c>
      <c r="I15" s="50">
        <v>0</v>
      </c>
      <c r="J15" s="51">
        <v>62251.02</v>
      </c>
      <c r="K15" s="52">
        <v>0.29328964292276594</v>
      </c>
      <c r="L15" s="50">
        <v>149999.98</v>
      </c>
      <c r="N15" s="102"/>
    </row>
    <row r="16" ht="18" customHeight="1" spans="1:14" x14ac:dyDescent="0.25">
      <c r="A16" s="478"/>
      <c r="B16" s="478"/>
      <c r="C16" s="57" t="s">
        <v>49</v>
      </c>
      <c r="D16" s="58">
        <v>150000</v>
      </c>
      <c r="E16" s="58">
        <v>62251</v>
      </c>
      <c r="F16" s="58">
        <v>0</v>
      </c>
      <c r="G16" s="58">
        <v>212251</v>
      </c>
      <c r="H16" s="58">
        <v>62251.02</v>
      </c>
      <c r="I16" s="58">
        <v>0</v>
      </c>
      <c r="J16" s="58">
        <v>62251.02</v>
      </c>
      <c r="K16" s="59">
        <v>0.29328964292276594</v>
      </c>
      <c r="L16" s="479">
        <v>149999.98</v>
      </c>
      <c r="N16" s="102"/>
    </row>
    <row r="17" ht="18" customHeight="1" spans="1:14" x14ac:dyDescent="0.25">
      <c r="A17" s="480">
        <v>1279100</v>
      </c>
      <c r="B17" s="475">
        <v>11230</v>
      </c>
      <c r="C17" s="47" t="s">
        <v>259</v>
      </c>
      <c r="D17" s="476">
        <v>400000</v>
      </c>
      <c r="E17" s="48">
        <v>-310000</v>
      </c>
      <c r="F17" s="48">
        <v>0</v>
      </c>
      <c r="G17" s="49">
        <v>90000</v>
      </c>
      <c r="H17" s="477">
        <v>0</v>
      </c>
      <c r="I17" s="50">
        <v>0</v>
      </c>
      <c r="J17" s="51">
        <v>0</v>
      </c>
      <c r="K17" s="52">
        <v>0</v>
      </c>
      <c r="L17" s="50">
        <v>90000</v>
      </c>
      <c r="N17" s="102"/>
    </row>
    <row r="18" ht="18" customHeight="1" hidden="1" spans="1:14" x14ac:dyDescent="0.25" outlineLevel="1" collapsed="1">
      <c r="A18" s="474"/>
      <c r="B18" s="475">
        <v>11220</v>
      </c>
      <c r="C18" s="47" t="s">
        <v>841</v>
      </c>
      <c r="D18" s="476">
        <v>0</v>
      </c>
      <c r="E18" s="48">
        <v>0</v>
      </c>
      <c r="F18" s="48">
        <v>0</v>
      </c>
      <c r="G18" s="49">
        <v>0</v>
      </c>
      <c r="H18" s="477">
        <v>0</v>
      </c>
      <c r="I18" s="50">
        <v>0</v>
      </c>
      <c r="J18" s="51">
        <v>0</v>
      </c>
      <c r="K18" s="52" t="e">
        <v>#DIV/0!</v>
      </c>
      <c r="L18" s="50">
        <v>0</v>
      </c>
      <c r="N18" s="102"/>
    </row>
    <row r="19" ht="18" customHeight="1" spans="1:14" x14ac:dyDescent="0.25">
      <c r="A19" s="474">
        <v>1101002</v>
      </c>
      <c r="B19" s="475">
        <v>11210</v>
      </c>
      <c r="C19" s="47" t="s">
        <v>842</v>
      </c>
      <c r="D19" s="476">
        <v>38698021.05</v>
      </c>
      <c r="E19" s="48">
        <v>9300271.950000003</v>
      </c>
      <c r="F19" s="48">
        <v>0</v>
      </c>
      <c r="G19" s="49">
        <v>47998293</v>
      </c>
      <c r="H19" s="477">
        <v>0</v>
      </c>
      <c r="I19" s="50">
        <v>0</v>
      </c>
      <c r="J19" s="51">
        <v>0</v>
      </c>
      <c r="K19" s="52">
        <v>0</v>
      </c>
      <c r="L19" s="50">
        <v>47998293</v>
      </c>
      <c r="N19" s="102"/>
    </row>
    <row r="20" ht="18" customHeight="1" hidden="1" spans="1:14" x14ac:dyDescent="0.25" outlineLevel="1" collapsed="1">
      <c r="A20" s="474"/>
      <c r="B20" s="475">
        <v>11250</v>
      </c>
      <c r="C20" s="47" t="s">
        <v>843</v>
      </c>
      <c r="D20" s="476">
        <v>0</v>
      </c>
      <c r="E20" s="48">
        <v>0</v>
      </c>
      <c r="F20" s="48">
        <v>0</v>
      </c>
      <c r="G20" s="48">
        <v>0</v>
      </c>
      <c r="H20" s="477">
        <v>0</v>
      </c>
      <c r="I20" s="50">
        <v>0</v>
      </c>
      <c r="J20" s="51">
        <v>0</v>
      </c>
      <c r="K20" s="52" t="e">
        <v>#DIV/0!</v>
      </c>
      <c r="L20" s="50">
        <v>0</v>
      </c>
      <c r="N20" s="102"/>
    </row>
    <row r="21" ht="18" customHeight="1" hidden="1" spans="1:14" x14ac:dyDescent="0.25" outlineLevel="1" collapsed="1">
      <c r="A21" s="474"/>
      <c r="B21" s="475">
        <v>11240</v>
      </c>
      <c r="C21" s="47" t="s">
        <v>844</v>
      </c>
      <c r="D21" s="476">
        <v>0</v>
      </c>
      <c r="E21" s="48">
        <v>0</v>
      </c>
      <c r="F21" s="48">
        <v>0</v>
      </c>
      <c r="G21" s="49">
        <v>0</v>
      </c>
      <c r="H21" s="477">
        <v>0</v>
      </c>
      <c r="I21" s="50">
        <v>0</v>
      </c>
      <c r="J21" s="51">
        <v>0</v>
      </c>
      <c r="K21" s="52" t="e">
        <v>#DIV/0!</v>
      </c>
      <c r="L21" s="50">
        <v>0</v>
      </c>
      <c r="N21" s="102"/>
    </row>
    <row r="22" ht="18" customHeight="1" hidden="1" spans="1:14" x14ac:dyDescent="0.25" outlineLevel="1" collapsed="1">
      <c r="A22" s="474"/>
      <c r="B22" s="475">
        <v>11310</v>
      </c>
      <c r="C22" s="47" t="s">
        <v>845</v>
      </c>
      <c r="D22" s="476">
        <v>0</v>
      </c>
      <c r="E22" s="48">
        <v>0</v>
      </c>
      <c r="F22" s="48">
        <v>0</v>
      </c>
      <c r="G22" s="49">
        <v>0</v>
      </c>
      <c r="H22" s="477">
        <v>0</v>
      </c>
      <c r="I22" s="50">
        <v>0</v>
      </c>
      <c r="J22" s="51">
        <v>0</v>
      </c>
      <c r="K22" s="52" t="e">
        <v>#DIV/0!</v>
      </c>
      <c r="L22" s="50">
        <v>0</v>
      </c>
      <c r="N22" s="102"/>
    </row>
    <row r="23" ht="18" customHeight="1" hidden="1" spans="1:14" x14ac:dyDescent="0.25" outlineLevel="1" collapsed="1">
      <c r="A23" s="474"/>
      <c r="B23" s="475">
        <v>11320</v>
      </c>
      <c r="C23" s="47" t="s">
        <v>846</v>
      </c>
      <c r="D23" s="476">
        <v>0</v>
      </c>
      <c r="E23" s="48">
        <v>0</v>
      </c>
      <c r="F23" s="48">
        <v>0</v>
      </c>
      <c r="G23" s="49">
        <v>0</v>
      </c>
      <c r="H23" s="477">
        <v>0</v>
      </c>
      <c r="I23" s="50">
        <v>0</v>
      </c>
      <c r="J23" s="51">
        <v>0</v>
      </c>
      <c r="K23" s="52" t="e">
        <v>#DIV/0!</v>
      </c>
      <c r="L23" s="50">
        <v>0</v>
      </c>
      <c r="N23" s="102"/>
    </row>
    <row r="24" ht="18" customHeight="1" hidden="1" spans="1:14" x14ac:dyDescent="0.25" outlineLevel="1" collapsed="1">
      <c r="A24" s="474"/>
      <c r="B24" s="475">
        <v>11330</v>
      </c>
      <c r="C24" s="47" t="s">
        <v>847</v>
      </c>
      <c r="D24" s="476">
        <v>0</v>
      </c>
      <c r="E24" s="48">
        <v>0</v>
      </c>
      <c r="F24" s="48">
        <v>0</v>
      </c>
      <c r="G24" s="49">
        <v>0</v>
      </c>
      <c r="H24" s="477">
        <v>0</v>
      </c>
      <c r="I24" s="50">
        <v>0</v>
      </c>
      <c r="J24" s="51">
        <v>0</v>
      </c>
      <c r="K24" s="52" t="e">
        <v>#DIV/0!</v>
      </c>
      <c r="L24" s="50">
        <v>0</v>
      </c>
      <c r="N24" s="102"/>
    </row>
    <row r="25" ht="18" customHeight="1" hidden="1" spans="1:14" x14ac:dyDescent="0.25" outlineLevel="1" collapsed="1">
      <c r="A25" s="474"/>
      <c r="B25" s="475">
        <v>11340</v>
      </c>
      <c r="C25" s="47" t="s">
        <v>848</v>
      </c>
      <c r="D25" s="476">
        <v>0</v>
      </c>
      <c r="E25" s="48">
        <v>0</v>
      </c>
      <c r="F25" s="48">
        <v>0</v>
      </c>
      <c r="G25" s="49">
        <v>0</v>
      </c>
      <c r="H25" s="477">
        <v>0</v>
      </c>
      <c r="I25" s="50">
        <v>0</v>
      </c>
      <c r="J25" s="51">
        <v>0</v>
      </c>
      <c r="K25" s="52" t="e">
        <v>#DIV/0!</v>
      </c>
      <c r="L25" s="50">
        <v>0</v>
      </c>
      <c r="N25" s="102"/>
    </row>
    <row r="26" ht="18" customHeight="1" hidden="1" spans="1:14" x14ac:dyDescent="0.25" outlineLevel="1" collapsed="1">
      <c r="A26" s="474"/>
      <c r="B26" s="475">
        <v>11350</v>
      </c>
      <c r="C26" s="47" t="s">
        <v>849</v>
      </c>
      <c r="D26" s="476">
        <v>0</v>
      </c>
      <c r="E26" s="48">
        <v>0</v>
      </c>
      <c r="F26" s="48">
        <v>0</v>
      </c>
      <c r="G26" s="49">
        <v>0</v>
      </c>
      <c r="H26" s="477">
        <v>0</v>
      </c>
      <c r="I26" s="50">
        <v>0</v>
      </c>
      <c r="J26" s="51">
        <v>0</v>
      </c>
      <c r="K26" s="52" t="e">
        <v>#DIV/0!</v>
      </c>
      <c r="L26" s="50">
        <v>0</v>
      </c>
      <c r="N26" s="102"/>
    </row>
    <row r="27" ht="18" customHeight="1" hidden="1" spans="1:14" x14ac:dyDescent="0.25" outlineLevel="1" collapsed="1">
      <c r="A27" s="474"/>
      <c r="B27" s="475">
        <v>11410</v>
      </c>
      <c r="C27" s="47" t="s">
        <v>850</v>
      </c>
      <c r="D27" s="476">
        <v>0</v>
      </c>
      <c r="E27" s="48">
        <v>0</v>
      </c>
      <c r="F27" s="48">
        <v>0</v>
      </c>
      <c r="G27" s="49">
        <v>0</v>
      </c>
      <c r="H27" s="477">
        <v>0</v>
      </c>
      <c r="I27" s="50">
        <v>0</v>
      </c>
      <c r="J27" s="51">
        <v>0</v>
      </c>
      <c r="K27" s="52" t="e">
        <v>#DIV/0!</v>
      </c>
      <c r="L27" s="50">
        <v>0</v>
      </c>
      <c r="N27" s="102"/>
    </row>
    <row r="28" ht="18" customHeight="1" hidden="1" spans="1:14" x14ac:dyDescent="0.25" outlineLevel="1" collapsed="1">
      <c r="A28" s="474"/>
      <c r="B28" s="475">
        <v>11420</v>
      </c>
      <c r="C28" s="47" t="s">
        <v>851</v>
      </c>
      <c r="D28" s="476">
        <v>0</v>
      </c>
      <c r="E28" s="48">
        <v>0</v>
      </c>
      <c r="F28" s="48">
        <v>0</v>
      </c>
      <c r="G28" s="49">
        <v>0</v>
      </c>
      <c r="H28" s="477">
        <v>0</v>
      </c>
      <c r="I28" s="50">
        <v>0</v>
      </c>
      <c r="J28" s="51">
        <v>0</v>
      </c>
      <c r="K28" s="52" t="e">
        <v>#DIV/0!</v>
      </c>
      <c r="L28" s="50">
        <v>0</v>
      </c>
      <c r="N28" s="102"/>
    </row>
    <row r="29" ht="18" customHeight="1" hidden="1" spans="1:14" x14ac:dyDescent="0.25" outlineLevel="1" collapsed="1">
      <c r="A29" s="474"/>
      <c r="B29" s="475">
        <v>11430</v>
      </c>
      <c r="C29" s="47" t="s">
        <v>852</v>
      </c>
      <c r="D29" s="476">
        <v>0</v>
      </c>
      <c r="E29" s="48">
        <v>0</v>
      </c>
      <c r="F29" s="48">
        <v>0</v>
      </c>
      <c r="G29" s="49">
        <v>0</v>
      </c>
      <c r="H29" s="477">
        <v>0</v>
      </c>
      <c r="I29" s="50">
        <v>0</v>
      </c>
      <c r="J29" s="51">
        <v>0</v>
      </c>
      <c r="K29" s="52" t="e">
        <v>#DIV/0!</v>
      </c>
      <c r="L29" s="50">
        <v>0</v>
      </c>
      <c r="N29" s="102"/>
    </row>
    <row r="30" ht="18" customHeight="1" hidden="1" spans="1:14" x14ac:dyDescent="0.25" outlineLevel="1" collapsed="1">
      <c r="A30" s="474"/>
      <c r="B30" s="475">
        <v>11440</v>
      </c>
      <c r="C30" s="47" t="s">
        <v>853</v>
      </c>
      <c r="D30" s="476">
        <v>0</v>
      </c>
      <c r="E30" s="48">
        <v>0</v>
      </c>
      <c r="F30" s="48">
        <v>0</v>
      </c>
      <c r="G30" s="49">
        <v>0</v>
      </c>
      <c r="H30" s="477">
        <v>0</v>
      </c>
      <c r="I30" s="50">
        <v>0</v>
      </c>
      <c r="J30" s="51">
        <v>0</v>
      </c>
      <c r="K30" s="52" t="e">
        <v>#DIV/0!</v>
      </c>
      <c r="L30" s="50">
        <v>0</v>
      </c>
      <c r="N30" s="102"/>
    </row>
    <row r="31" ht="18" customHeight="1" hidden="1" spans="1:14" x14ac:dyDescent="0.25" outlineLevel="1" collapsed="1">
      <c r="A31" s="474"/>
      <c r="B31" s="475">
        <v>11450</v>
      </c>
      <c r="C31" s="47" t="s">
        <v>854</v>
      </c>
      <c r="D31" s="476">
        <v>0</v>
      </c>
      <c r="E31" s="48">
        <v>0</v>
      </c>
      <c r="F31" s="48">
        <v>0</v>
      </c>
      <c r="G31" s="49">
        <v>0</v>
      </c>
      <c r="H31" s="477">
        <v>0</v>
      </c>
      <c r="I31" s="50">
        <v>0</v>
      </c>
      <c r="J31" s="51">
        <v>0</v>
      </c>
      <c r="K31" s="52" t="e">
        <v>#DIV/0!</v>
      </c>
      <c r="L31" s="50">
        <v>0</v>
      </c>
      <c r="N31" s="102"/>
    </row>
    <row r="32" ht="18" customHeight="1" spans="1:14" s="22" customFormat="1" x14ac:dyDescent="0.25">
      <c r="A32" s="480">
        <v>1279100</v>
      </c>
      <c r="B32" s="481">
        <v>11610</v>
      </c>
      <c r="C32" s="65" t="s">
        <v>855</v>
      </c>
      <c r="D32" s="476">
        <v>40000</v>
      </c>
      <c r="E32" s="476">
        <v>-40000</v>
      </c>
      <c r="F32" s="476">
        <v>0</v>
      </c>
      <c r="G32" s="51">
        <v>0</v>
      </c>
      <c r="H32" s="477">
        <v>0</v>
      </c>
      <c r="I32" s="50">
        <v>0</v>
      </c>
      <c r="J32" s="51">
        <v>0</v>
      </c>
      <c r="K32" s="52">
        <v>0</v>
      </c>
      <c r="L32" s="50">
        <v>0</v>
      </c>
      <c r="N32" s="102"/>
    </row>
    <row r="33" ht="18" customHeight="1" spans="1:14" x14ac:dyDescent="0.25">
      <c r="A33" s="474">
        <v>1279100</v>
      </c>
      <c r="B33" s="475">
        <v>11620</v>
      </c>
      <c r="C33" s="47" t="s">
        <v>856</v>
      </c>
      <c r="D33" s="476">
        <v>250000</v>
      </c>
      <c r="E33" s="48">
        <v>661505.77</v>
      </c>
      <c r="F33" s="48">
        <v>0</v>
      </c>
      <c r="G33" s="49">
        <v>911505.77</v>
      </c>
      <c r="H33" s="477">
        <v>0</v>
      </c>
      <c r="I33" s="50">
        <v>0</v>
      </c>
      <c r="J33" s="51">
        <v>0</v>
      </c>
      <c r="K33" s="52">
        <v>0</v>
      </c>
      <c r="L33" s="50">
        <v>911505.77</v>
      </c>
      <c r="N33" s="102"/>
    </row>
    <row r="34" ht="18" customHeight="1" hidden="1" spans="1:14" x14ac:dyDescent="0.25" outlineLevel="1" collapsed="1">
      <c r="A34" s="474"/>
      <c r="B34" s="475">
        <v>11630</v>
      </c>
      <c r="C34" s="47" t="s">
        <v>857</v>
      </c>
      <c r="D34" s="476">
        <v>0</v>
      </c>
      <c r="E34" s="48">
        <v>0</v>
      </c>
      <c r="F34" s="48">
        <v>0</v>
      </c>
      <c r="G34" s="49">
        <v>0</v>
      </c>
      <c r="H34" s="477">
        <v>0</v>
      </c>
      <c r="I34" s="50">
        <v>0</v>
      </c>
      <c r="J34" s="51">
        <v>0</v>
      </c>
      <c r="K34" s="52" t="e">
        <v>#DIV/0!</v>
      </c>
      <c r="L34" s="50">
        <v>0</v>
      </c>
      <c r="N34" s="102"/>
    </row>
    <row r="35" ht="18" customHeight="1" hidden="1" spans="1:14" x14ac:dyDescent="0.25" outlineLevel="1" collapsed="1">
      <c r="A35" s="474"/>
      <c r="B35" s="475">
        <v>11631</v>
      </c>
      <c r="C35" s="47" t="s">
        <v>858</v>
      </c>
      <c r="D35" s="476">
        <v>0</v>
      </c>
      <c r="E35" s="48">
        <v>0</v>
      </c>
      <c r="F35" s="48">
        <v>0</v>
      </c>
      <c r="G35" s="49">
        <v>0</v>
      </c>
      <c r="H35" s="477">
        <v>0</v>
      </c>
      <c r="I35" s="50">
        <v>0</v>
      </c>
      <c r="J35" s="51">
        <v>0</v>
      </c>
      <c r="K35" s="52" t="e">
        <v>#DIV/0!</v>
      </c>
      <c r="L35" s="50">
        <v>0</v>
      </c>
      <c r="N35" s="102"/>
    </row>
    <row r="36" ht="18" customHeight="1" spans="1:14" x14ac:dyDescent="0.25">
      <c r="A36" s="474">
        <v>1279100</v>
      </c>
      <c r="B36" s="475">
        <v>11640</v>
      </c>
      <c r="C36" s="47" t="s">
        <v>859</v>
      </c>
      <c r="D36" s="476">
        <v>105000</v>
      </c>
      <c r="E36" s="48">
        <v>-39000</v>
      </c>
      <c r="F36" s="48">
        <v>0</v>
      </c>
      <c r="G36" s="49">
        <v>66000</v>
      </c>
      <c r="H36" s="477">
        <v>0</v>
      </c>
      <c r="I36" s="50">
        <v>0</v>
      </c>
      <c r="J36" s="51">
        <v>0</v>
      </c>
      <c r="K36" s="52">
        <v>0</v>
      </c>
      <c r="L36" s="50">
        <v>66000</v>
      </c>
      <c r="N36" s="102"/>
    </row>
    <row r="37" ht="18" customHeight="1" spans="1:14" s="22" customFormat="1" x14ac:dyDescent="0.25">
      <c r="A37" s="480">
        <v>1279100</v>
      </c>
      <c r="B37" s="481">
        <v>11650</v>
      </c>
      <c r="C37" s="65" t="s">
        <v>860</v>
      </c>
      <c r="D37" s="476">
        <v>125000</v>
      </c>
      <c r="E37" s="476">
        <v>-125000</v>
      </c>
      <c r="F37" s="476">
        <v>0</v>
      </c>
      <c r="G37" s="51">
        <v>0</v>
      </c>
      <c r="H37" s="477">
        <v>0</v>
      </c>
      <c r="I37" s="50">
        <v>0</v>
      </c>
      <c r="J37" s="51">
        <v>0</v>
      </c>
      <c r="K37" s="52">
        <v>0</v>
      </c>
      <c r="L37" s="50">
        <v>0</v>
      </c>
      <c r="N37" s="102"/>
    </row>
    <row r="38" ht="18" customHeight="1" spans="1:14" x14ac:dyDescent="0.25">
      <c r="A38" s="474">
        <v>1279100</v>
      </c>
      <c r="B38" s="475">
        <v>11660</v>
      </c>
      <c r="C38" s="47" t="s">
        <v>861</v>
      </c>
      <c r="D38" s="476">
        <v>110000</v>
      </c>
      <c r="E38" s="48">
        <v>-59809</v>
      </c>
      <c r="F38" s="48">
        <v>0</v>
      </c>
      <c r="G38" s="49">
        <v>50191</v>
      </c>
      <c r="H38" s="477">
        <v>0</v>
      </c>
      <c r="I38" s="50">
        <v>0</v>
      </c>
      <c r="J38" s="51">
        <v>0</v>
      </c>
      <c r="K38" s="52">
        <v>0</v>
      </c>
      <c r="L38" s="50">
        <v>50191</v>
      </c>
      <c r="N38" s="102"/>
    </row>
    <row r="39" ht="18" customHeight="1" spans="1:14" x14ac:dyDescent="0.25">
      <c r="A39" s="474">
        <v>1279100</v>
      </c>
      <c r="B39" s="475">
        <v>11670</v>
      </c>
      <c r="C39" s="47" t="s">
        <v>862</v>
      </c>
      <c r="D39" s="476">
        <v>42500</v>
      </c>
      <c r="E39" s="48">
        <v>-1300</v>
      </c>
      <c r="F39" s="48">
        <v>0</v>
      </c>
      <c r="G39" s="49">
        <v>41200</v>
      </c>
      <c r="H39" s="477">
        <v>0</v>
      </c>
      <c r="I39" s="50">
        <v>0</v>
      </c>
      <c r="J39" s="51">
        <v>0</v>
      </c>
      <c r="K39" s="52">
        <v>0</v>
      </c>
      <c r="L39" s="50">
        <v>41200</v>
      </c>
      <c r="N39" s="102"/>
    </row>
    <row r="40" ht="18" customHeight="1" hidden="1" spans="1:14" x14ac:dyDescent="0.25" outlineLevel="1" collapsed="1">
      <c r="A40" s="474"/>
      <c r="B40" s="475">
        <v>11680</v>
      </c>
      <c r="C40" s="47" t="s">
        <v>863</v>
      </c>
      <c r="D40" s="476">
        <v>0</v>
      </c>
      <c r="E40" s="48">
        <v>0</v>
      </c>
      <c r="F40" s="48">
        <v>0</v>
      </c>
      <c r="G40" s="49">
        <v>0</v>
      </c>
      <c r="H40" s="477">
        <v>0</v>
      </c>
      <c r="I40" s="50">
        <v>0</v>
      </c>
      <c r="J40" s="51">
        <v>0</v>
      </c>
      <c r="K40" s="52" t="e">
        <v>#DIV/0!</v>
      </c>
      <c r="L40" s="50">
        <v>0</v>
      </c>
      <c r="N40" s="102"/>
    </row>
    <row r="41" ht="18" customHeight="1" hidden="1" spans="1:14" x14ac:dyDescent="0.25" outlineLevel="1" collapsed="1">
      <c r="A41" s="474"/>
      <c r="B41" s="475">
        <v>11690</v>
      </c>
      <c r="C41" s="47" t="s">
        <v>864</v>
      </c>
      <c r="D41" s="476">
        <v>0</v>
      </c>
      <c r="E41" s="48">
        <v>0</v>
      </c>
      <c r="F41" s="48">
        <v>0</v>
      </c>
      <c r="G41" s="49">
        <v>0</v>
      </c>
      <c r="H41" s="477">
        <v>0</v>
      </c>
      <c r="I41" s="50">
        <v>0</v>
      </c>
      <c r="J41" s="51">
        <v>0</v>
      </c>
      <c r="K41" s="52" t="e">
        <v>#DIV/0!</v>
      </c>
      <c r="L41" s="50">
        <v>0</v>
      </c>
      <c r="N41" s="102"/>
    </row>
    <row r="42" ht="18" customHeight="1" spans="1:14" x14ac:dyDescent="0.25">
      <c r="A42" s="474">
        <v>1144012</v>
      </c>
      <c r="B42" s="475">
        <v>13010</v>
      </c>
      <c r="C42" s="47" t="s">
        <v>865</v>
      </c>
      <c r="D42" s="476">
        <v>1914611.1</v>
      </c>
      <c r="E42" s="48">
        <v>489803.8999999999</v>
      </c>
      <c r="F42" s="48">
        <v>0</v>
      </c>
      <c r="G42" s="49">
        <v>2404415</v>
      </c>
      <c r="H42" s="477">
        <v>0</v>
      </c>
      <c r="I42" s="50">
        <v>0</v>
      </c>
      <c r="J42" s="51">
        <v>0</v>
      </c>
      <c r="K42" s="52">
        <v>0</v>
      </c>
      <c r="L42" s="50">
        <v>2404415</v>
      </c>
      <c r="N42" s="102"/>
    </row>
    <row r="43" ht="18" customHeight="1" spans="1:14" x14ac:dyDescent="0.25">
      <c r="A43" s="474">
        <v>1284100</v>
      </c>
      <c r="B43" s="475">
        <v>13020</v>
      </c>
      <c r="C43" s="65" t="s">
        <v>65</v>
      </c>
      <c r="D43" s="476">
        <v>282434.29</v>
      </c>
      <c r="E43" s="476">
        <v>-20494.28999999998</v>
      </c>
      <c r="F43" s="476">
        <v>-13681.74</v>
      </c>
      <c r="G43" s="49">
        <v>248258.26</v>
      </c>
      <c r="H43" s="477">
        <v>0</v>
      </c>
      <c r="I43" s="50">
        <v>0</v>
      </c>
      <c r="J43" s="51">
        <v>0</v>
      </c>
      <c r="K43" s="52">
        <v>0</v>
      </c>
      <c r="L43" s="50">
        <v>248258.26</v>
      </c>
      <c r="N43" s="102"/>
    </row>
    <row r="44" ht="18" customHeight="1" spans="1:14" x14ac:dyDescent="0.25">
      <c r="A44" s="480">
        <v>1284104</v>
      </c>
      <c r="B44" s="481"/>
      <c r="C44" s="65" t="s">
        <v>250</v>
      </c>
      <c r="D44" s="476">
        <v>0</v>
      </c>
      <c r="E44" s="476">
        <v>150000</v>
      </c>
      <c r="F44" s="476">
        <v>0</v>
      </c>
      <c r="G44" s="51">
        <v>150000</v>
      </c>
      <c r="H44" s="477">
        <v>150000</v>
      </c>
      <c r="I44" s="50">
        <v>0</v>
      </c>
      <c r="J44" s="51">
        <v>150000</v>
      </c>
      <c r="K44" s="52">
        <v>1</v>
      </c>
      <c r="L44" s="50">
        <v>0</v>
      </c>
      <c r="N44" s="102"/>
    </row>
    <row r="45" ht="18" customHeight="1" spans="1:14" x14ac:dyDescent="0.25">
      <c r="A45" s="482"/>
      <c r="B45" s="482"/>
      <c r="C45" s="73" t="s">
        <v>66</v>
      </c>
      <c r="D45" s="58">
        <v>41967566.44</v>
      </c>
      <c r="E45" s="58">
        <v>10005978.330000004</v>
      </c>
      <c r="F45" s="58">
        <v>-13681.74</v>
      </c>
      <c r="G45" s="58">
        <v>51959863.03</v>
      </c>
      <c r="H45" s="58">
        <v>150000</v>
      </c>
      <c r="I45" s="58">
        <v>0</v>
      </c>
      <c r="J45" s="58">
        <v>150000</v>
      </c>
      <c r="K45" s="59">
        <v>0.0028868436376245773</v>
      </c>
      <c r="L45" s="58">
        <v>51809863.03</v>
      </c>
      <c r="N45" s="102"/>
    </row>
    <row r="46" ht="18" customHeight="1" hidden="1" spans="1:14" x14ac:dyDescent="0.25" outlineLevel="1" collapsed="1">
      <c r="A46" s="475"/>
      <c r="B46" s="475">
        <v>11810</v>
      </c>
      <c r="C46" s="47" t="s">
        <v>67</v>
      </c>
      <c r="D46" s="476">
        <v>0</v>
      </c>
      <c r="E46" s="48">
        <v>0</v>
      </c>
      <c r="F46" s="48">
        <v>0</v>
      </c>
      <c r="G46" s="49">
        <v>0</v>
      </c>
      <c r="H46" s="477">
        <v>0</v>
      </c>
      <c r="I46" s="50">
        <v>0</v>
      </c>
      <c r="J46" s="51">
        <v>0</v>
      </c>
      <c r="K46" s="50"/>
      <c r="L46" s="50">
        <v>0</v>
      </c>
      <c r="N46" s="102"/>
    </row>
    <row r="47" ht="18" customHeight="1" hidden="1" spans="1:14" x14ac:dyDescent="0.25" outlineLevel="1" collapsed="1">
      <c r="A47" s="475"/>
      <c r="B47" s="475">
        <v>11815</v>
      </c>
      <c r="C47" s="47" t="s">
        <v>68</v>
      </c>
      <c r="D47" s="476">
        <v>0</v>
      </c>
      <c r="E47" s="48">
        <v>0</v>
      </c>
      <c r="F47" s="48">
        <v>0</v>
      </c>
      <c r="G47" s="49">
        <v>0</v>
      </c>
      <c r="H47" s="477">
        <v>0</v>
      </c>
      <c r="I47" s="50">
        <v>0</v>
      </c>
      <c r="J47" s="51">
        <v>0</v>
      </c>
      <c r="K47" s="50"/>
      <c r="L47" s="50">
        <v>0</v>
      </c>
      <c r="N47" s="102"/>
    </row>
    <row r="48" ht="18" customHeight="1" spans="1:14" x14ac:dyDescent="0.25">
      <c r="A48" s="474">
        <v>1276100</v>
      </c>
      <c r="B48" s="475">
        <v>11820</v>
      </c>
      <c r="C48" s="47" t="s">
        <v>69</v>
      </c>
      <c r="D48" s="476">
        <v>150000</v>
      </c>
      <c r="E48" s="48">
        <v>0</v>
      </c>
      <c r="F48" s="48">
        <v>0</v>
      </c>
      <c r="G48" s="49">
        <v>150000</v>
      </c>
      <c r="H48" s="477">
        <v>98975.15</v>
      </c>
      <c r="I48" s="50">
        <v>17187.22</v>
      </c>
      <c r="J48" s="51">
        <v>116162.37</v>
      </c>
      <c r="K48" s="52">
        <v>0.7744158</v>
      </c>
      <c r="L48" s="50">
        <v>33837.630000000005</v>
      </c>
      <c r="N48" s="102"/>
    </row>
    <row r="49" ht="18" customHeight="1" hidden="1" spans="1:14" x14ac:dyDescent="0.25" outlineLevel="1" collapsed="1">
      <c r="A49" s="474" t="e">
        <v>#N/A</v>
      </c>
      <c r="B49" s="475">
        <v>11830</v>
      </c>
      <c r="C49" s="47" t="s">
        <v>70</v>
      </c>
      <c r="D49" s="476">
        <v>0</v>
      </c>
      <c r="E49" s="48">
        <v>0</v>
      </c>
      <c r="F49" s="48">
        <v>0</v>
      </c>
      <c r="G49" s="49">
        <v>0</v>
      </c>
      <c r="H49" s="477">
        <v>0</v>
      </c>
      <c r="I49" s="50">
        <v>0</v>
      </c>
      <c r="J49" s="51">
        <v>0</v>
      </c>
      <c r="K49" s="50"/>
      <c r="L49" s="50">
        <v>0</v>
      </c>
      <c r="N49" s="102"/>
    </row>
    <row r="50" ht="18" customHeight="1" hidden="1" spans="1:14" x14ac:dyDescent="0.25" outlineLevel="1" collapsed="1">
      <c r="A50" s="475"/>
      <c r="B50" s="475">
        <v>11840</v>
      </c>
      <c r="C50" s="47" t="s">
        <v>71</v>
      </c>
      <c r="D50" s="476">
        <v>0</v>
      </c>
      <c r="E50" s="48">
        <v>0</v>
      </c>
      <c r="F50" s="48">
        <v>0</v>
      </c>
      <c r="G50" s="49">
        <v>0</v>
      </c>
      <c r="H50" s="477">
        <v>0</v>
      </c>
      <c r="I50" s="50">
        <v>0</v>
      </c>
      <c r="J50" s="51">
        <v>0</v>
      </c>
      <c r="K50" s="50"/>
      <c r="L50" s="50">
        <v>0</v>
      </c>
      <c r="N50" s="102"/>
    </row>
    <row r="51" ht="18" customHeight="1" hidden="1" spans="1:14" x14ac:dyDescent="0.25" outlineLevel="1" collapsed="1">
      <c r="A51" s="475"/>
      <c r="B51" s="475">
        <v>11850</v>
      </c>
      <c r="C51" s="47" t="s">
        <v>72</v>
      </c>
      <c r="D51" s="476">
        <v>0</v>
      </c>
      <c r="E51" s="48">
        <v>0</v>
      </c>
      <c r="F51" s="48">
        <v>0</v>
      </c>
      <c r="G51" s="49">
        <v>0</v>
      </c>
      <c r="H51" s="477">
        <v>0</v>
      </c>
      <c r="I51" s="50">
        <v>0</v>
      </c>
      <c r="J51" s="51">
        <v>0</v>
      </c>
      <c r="K51" s="50"/>
      <c r="L51" s="50">
        <v>0</v>
      </c>
      <c r="N51" s="102"/>
    </row>
    <row r="52" ht="18" customHeight="1" hidden="1" spans="1:14" x14ac:dyDescent="0.25" outlineLevel="1" collapsed="1">
      <c r="A52" s="475"/>
      <c r="B52" s="475">
        <v>11860</v>
      </c>
      <c r="C52" s="47" t="s">
        <v>73</v>
      </c>
      <c r="D52" s="476">
        <v>0</v>
      </c>
      <c r="E52" s="48">
        <v>0</v>
      </c>
      <c r="F52" s="48">
        <v>0</v>
      </c>
      <c r="G52" s="49">
        <v>0</v>
      </c>
      <c r="H52" s="477">
        <v>0</v>
      </c>
      <c r="I52" s="50">
        <v>0</v>
      </c>
      <c r="J52" s="51">
        <v>0</v>
      </c>
      <c r="K52" s="50"/>
      <c r="L52" s="50">
        <v>0</v>
      </c>
      <c r="N52" s="102"/>
    </row>
    <row r="53" ht="18" customHeight="1" hidden="1" spans="1:14" x14ac:dyDescent="0.25" outlineLevel="1" collapsed="1">
      <c r="A53" s="475"/>
      <c r="B53" s="475">
        <v>11870</v>
      </c>
      <c r="C53" s="47" t="s">
        <v>74</v>
      </c>
      <c r="D53" s="476">
        <v>0</v>
      </c>
      <c r="E53" s="48">
        <v>0</v>
      </c>
      <c r="F53" s="48">
        <v>0</v>
      </c>
      <c r="G53" s="49">
        <v>0</v>
      </c>
      <c r="H53" s="477">
        <v>0</v>
      </c>
      <c r="I53" s="50">
        <v>0</v>
      </c>
      <c r="J53" s="51">
        <v>0</v>
      </c>
      <c r="K53" s="50"/>
      <c r="L53" s="50">
        <v>0</v>
      </c>
      <c r="N53" s="102"/>
    </row>
    <row r="54" ht="18" customHeight="1" hidden="1" spans="1:14" x14ac:dyDescent="0.25" outlineLevel="1" collapsed="1">
      <c r="A54" s="475"/>
      <c r="B54" s="475">
        <v>11880</v>
      </c>
      <c r="C54" s="47" t="s">
        <v>75</v>
      </c>
      <c r="D54" s="476">
        <v>0</v>
      </c>
      <c r="E54" s="48">
        <v>0</v>
      </c>
      <c r="F54" s="48">
        <v>0</v>
      </c>
      <c r="G54" s="49">
        <v>0</v>
      </c>
      <c r="H54" s="477">
        <v>0</v>
      </c>
      <c r="I54" s="50">
        <v>0</v>
      </c>
      <c r="J54" s="51">
        <v>0</v>
      </c>
      <c r="K54" s="50"/>
      <c r="L54" s="50">
        <v>0</v>
      </c>
      <c r="N54" s="102"/>
    </row>
    <row r="55" ht="18" customHeight="1" hidden="1" spans="1:14" x14ac:dyDescent="0.25" outlineLevel="1" collapsed="1">
      <c r="A55" s="475"/>
      <c r="B55" s="475">
        <v>11881</v>
      </c>
      <c r="C55" s="47" t="s">
        <v>76</v>
      </c>
      <c r="D55" s="476">
        <v>0</v>
      </c>
      <c r="E55" s="48">
        <v>0</v>
      </c>
      <c r="F55" s="48">
        <v>0</v>
      </c>
      <c r="G55" s="49">
        <v>0</v>
      </c>
      <c r="H55" s="477">
        <v>0</v>
      </c>
      <c r="I55" s="50">
        <v>0</v>
      </c>
      <c r="J55" s="51">
        <v>0</v>
      </c>
      <c r="K55" s="50"/>
      <c r="L55" s="50">
        <v>0</v>
      </c>
      <c r="N55" s="102"/>
    </row>
    <row r="56" ht="18" customHeight="1" hidden="1" spans="1:14" x14ac:dyDescent="0.25" outlineLevel="1" collapsed="1">
      <c r="A56" s="475"/>
      <c r="B56" s="475">
        <v>11882</v>
      </c>
      <c r="C56" s="47" t="s">
        <v>77</v>
      </c>
      <c r="D56" s="476">
        <v>0</v>
      </c>
      <c r="E56" s="48">
        <v>0</v>
      </c>
      <c r="F56" s="48">
        <v>0</v>
      </c>
      <c r="G56" s="49">
        <v>0</v>
      </c>
      <c r="H56" s="477">
        <v>0</v>
      </c>
      <c r="I56" s="50">
        <v>0</v>
      </c>
      <c r="J56" s="51">
        <v>0</v>
      </c>
      <c r="K56" s="50"/>
      <c r="L56" s="50">
        <v>0</v>
      </c>
      <c r="N56" s="102"/>
    </row>
    <row r="57" ht="18" customHeight="1" hidden="1" spans="1:14" x14ac:dyDescent="0.25" outlineLevel="1" collapsed="1">
      <c r="A57" s="475"/>
      <c r="B57" s="475">
        <v>11883</v>
      </c>
      <c r="C57" s="47" t="s">
        <v>78</v>
      </c>
      <c r="D57" s="476">
        <v>0</v>
      </c>
      <c r="E57" s="48">
        <v>0</v>
      </c>
      <c r="F57" s="48">
        <v>0</v>
      </c>
      <c r="G57" s="49">
        <v>0</v>
      </c>
      <c r="H57" s="477">
        <v>0</v>
      </c>
      <c r="I57" s="50">
        <v>0</v>
      </c>
      <c r="J57" s="51">
        <v>0</v>
      </c>
      <c r="K57" s="50"/>
      <c r="L57" s="50">
        <v>0</v>
      </c>
      <c r="N57" s="102"/>
    </row>
    <row r="58" ht="18" customHeight="1" hidden="1" spans="1:14" x14ac:dyDescent="0.25" outlineLevel="1" collapsed="1">
      <c r="A58" s="475"/>
      <c r="B58" s="475">
        <v>11884</v>
      </c>
      <c r="C58" s="47" t="s">
        <v>79</v>
      </c>
      <c r="D58" s="476">
        <v>0</v>
      </c>
      <c r="E58" s="48">
        <v>0</v>
      </c>
      <c r="F58" s="48">
        <v>0</v>
      </c>
      <c r="G58" s="49">
        <v>0</v>
      </c>
      <c r="H58" s="477">
        <v>0</v>
      </c>
      <c r="I58" s="50">
        <v>0</v>
      </c>
      <c r="J58" s="51">
        <v>0</v>
      </c>
      <c r="K58" s="50"/>
      <c r="L58" s="50">
        <v>0</v>
      </c>
      <c r="N58" s="102"/>
    </row>
    <row r="59" ht="18" customHeight="1" hidden="1" spans="1:14" x14ac:dyDescent="0.25" outlineLevel="1" collapsed="1">
      <c r="A59" s="475"/>
      <c r="B59" s="475">
        <v>11885</v>
      </c>
      <c r="C59" s="47" t="s">
        <v>80</v>
      </c>
      <c r="D59" s="476">
        <v>0</v>
      </c>
      <c r="E59" s="48">
        <v>0</v>
      </c>
      <c r="F59" s="48">
        <v>0</v>
      </c>
      <c r="G59" s="49">
        <v>0</v>
      </c>
      <c r="H59" s="477">
        <v>0</v>
      </c>
      <c r="I59" s="50">
        <v>0</v>
      </c>
      <c r="J59" s="51">
        <v>0</v>
      </c>
      <c r="K59" s="50"/>
      <c r="L59" s="50">
        <v>0</v>
      </c>
      <c r="N59" s="102"/>
    </row>
    <row r="60" ht="18" customHeight="1" hidden="1" spans="1:14" x14ac:dyDescent="0.25" outlineLevel="1" collapsed="1">
      <c r="A60" s="475"/>
      <c r="B60" s="475">
        <v>11886</v>
      </c>
      <c r="C60" s="47" t="s">
        <v>81</v>
      </c>
      <c r="D60" s="476">
        <v>0</v>
      </c>
      <c r="E60" s="48">
        <v>0</v>
      </c>
      <c r="F60" s="48">
        <v>0</v>
      </c>
      <c r="G60" s="49">
        <v>0</v>
      </c>
      <c r="H60" s="477">
        <v>0</v>
      </c>
      <c r="I60" s="50">
        <v>0</v>
      </c>
      <c r="J60" s="51">
        <v>0</v>
      </c>
      <c r="K60" s="50"/>
      <c r="L60" s="50">
        <v>0</v>
      </c>
      <c r="N60" s="102"/>
    </row>
    <row r="61" ht="18" customHeight="1" spans="1:14" x14ac:dyDescent="0.25">
      <c r="A61" s="482"/>
      <c r="B61" s="482"/>
      <c r="C61" s="73" t="s">
        <v>82</v>
      </c>
      <c r="D61" s="58">
        <v>150000</v>
      </c>
      <c r="E61" s="58">
        <v>0</v>
      </c>
      <c r="F61" s="58">
        <v>0</v>
      </c>
      <c r="G61" s="58">
        <v>150000</v>
      </c>
      <c r="H61" s="58">
        <v>98975.15</v>
      </c>
      <c r="I61" s="58">
        <v>17187.22</v>
      </c>
      <c r="J61" s="58">
        <v>116162.37</v>
      </c>
      <c r="K61" s="59">
        <v>0.7744158</v>
      </c>
      <c r="L61" s="479">
        <v>33837.630000000005</v>
      </c>
      <c r="N61" s="102"/>
    </row>
    <row r="62" ht="18" customHeight="1" hidden="1" spans="1:14" x14ac:dyDescent="0.25" outlineLevel="1" collapsed="1">
      <c r="A62" s="475"/>
      <c r="B62" s="475">
        <v>11510</v>
      </c>
      <c r="C62" s="65" t="s">
        <v>866</v>
      </c>
      <c r="D62" s="476">
        <v>0</v>
      </c>
      <c r="E62" s="48">
        <v>0</v>
      </c>
      <c r="F62" s="48">
        <v>0</v>
      </c>
      <c r="G62" s="49">
        <v>0</v>
      </c>
      <c r="H62" s="477">
        <v>0</v>
      </c>
      <c r="I62" s="50">
        <v>0</v>
      </c>
      <c r="J62" s="51">
        <v>0</v>
      </c>
      <c r="K62" s="50"/>
      <c r="L62" s="50">
        <v>0</v>
      </c>
      <c r="N62" s="102"/>
    </row>
    <row r="63" ht="18" customHeight="1" hidden="1" spans="1:14" x14ac:dyDescent="0.25" outlineLevel="1" collapsed="1">
      <c r="A63" s="475"/>
      <c r="B63" s="475">
        <v>11511</v>
      </c>
      <c r="C63" s="47" t="s">
        <v>867</v>
      </c>
      <c r="D63" s="476">
        <v>0</v>
      </c>
      <c r="E63" s="48">
        <v>0</v>
      </c>
      <c r="F63" s="48">
        <v>0</v>
      </c>
      <c r="G63" s="49">
        <v>0</v>
      </c>
      <c r="H63" s="477">
        <v>0</v>
      </c>
      <c r="I63" s="50">
        <v>0</v>
      </c>
      <c r="J63" s="51">
        <v>0</v>
      </c>
      <c r="K63" s="50"/>
      <c r="L63" s="50">
        <v>0</v>
      </c>
      <c r="N63" s="102"/>
    </row>
    <row r="64" ht="18" customHeight="1" hidden="1" spans="1:14" x14ac:dyDescent="0.25" outlineLevel="1" collapsed="1">
      <c r="A64" s="475"/>
      <c r="B64" s="475">
        <v>11512</v>
      </c>
      <c r="C64" s="47" t="s">
        <v>868</v>
      </c>
      <c r="D64" s="476">
        <v>0</v>
      </c>
      <c r="E64" s="48">
        <v>0</v>
      </c>
      <c r="F64" s="48">
        <v>0</v>
      </c>
      <c r="G64" s="49">
        <v>0</v>
      </c>
      <c r="H64" s="477">
        <v>0</v>
      </c>
      <c r="I64" s="50">
        <v>0</v>
      </c>
      <c r="J64" s="51">
        <v>0</v>
      </c>
      <c r="K64" s="50"/>
      <c r="L64" s="50">
        <v>0</v>
      </c>
      <c r="N64" s="102"/>
    </row>
    <row r="65" ht="18" customHeight="1" hidden="1" spans="1:14" x14ac:dyDescent="0.25" outlineLevel="1" collapsed="1">
      <c r="A65" s="475"/>
      <c r="B65" s="475">
        <v>11513</v>
      </c>
      <c r="C65" s="47" t="s">
        <v>869</v>
      </c>
      <c r="D65" s="476">
        <v>0</v>
      </c>
      <c r="E65" s="48">
        <v>0</v>
      </c>
      <c r="F65" s="48">
        <v>0</v>
      </c>
      <c r="G65" s="49">
        <v>0</v>
      </c>
      <c r="H65" s="477">
        <v>0</v>
      </c>
      <c r="I65" s="50">
        <v>0</v>
      </c>
      <c r="J65" s="51">
        <v>0</v>
      </c>
      <c r="K65" s="50"/>
      <c r="L65" s="50">
        <v>0</v>
      </c>
      <c r="N65" s="102"/>
    </row>
    <row r="66" ht="18" customHeight="1" hidden="1" spans="1:14" x14ac:dyDescent="0.25" outlineLevel="1" collapsed="1">
      <c r="A66" s="475"/>
      <c r="B66" s="475">
        <v>11514</v>
      </c>
      <c r="C66" s="47" t="s">
        <v>870</v>
      </c>
      <c r="D66" s="476">
        <v>0</v>
      </c>
      <c r="E66" s="48">
        <v>0</v>
      </c>
      <c r="F66" s="48">
        <v>0</v>
      </c>
      <c r="G66" s="49">
        <v>0</v>
      </c>
      <c r="H66" s="477">
        <v>0</v>
      </c>
      <c r="I66" s="50">
        <v>0</v>
      </c>
      <c r="J66" s="51">
        <v>0</v>
      </c>
      <c r="K66" s="50"/>
      <c r="L66" s="50">
        <v>0</v>
      </c>
      <c r="N66" s="102"/>
    </row>
    <row r="67" ht="18" customHeight="1" hidden="1" spans="1:14" x14ac:dyDescent="0.25" outlineLevel="1" collapsed="1">
      <c r="A67" s="475"/>
      <c r="B67" s="475">
        <v>11520</v>
      </c>
      <c r="C67" s="47" t="s">
        <v>871</v>
      </c>
      <c r="D67" s="476">
        <v>0</v>
      </c>
      <c r="E67" s="48">
        <v>0</v>
      </c>
      <c r="F67" s="48">
        <v>0</v>
      </c>
      <c r="G67" s="49">
        <v>0</v>
      </c>
      <c r="H67" s="477">
        <v>0</v>
      </c>
      <c r="I67" s="50">
        <v>0</v>
      </c>
      <c r="J67" s="51">
        <v>0</v>
      </c>
      <c r="K67" s="50"/>
      <c r="L67" s="50">
        <v>0</v>
      </c>
      <c r="N67" s="102"/>
    </row>
    <row r="68" ht="18" customHeight="1" hidden="1" spans="1:14" x14ac:dyDescent="0.25" outlineLevel="1" collapsed="1">
      <c r="A68" s="475"/>
      <c r="B68" s="475">
        <v>11530</v>
      </c>
      <c r="C68" s="47" t="s">
        <v>872</v>
      </c>
      <c r="D68" s="476">
        <v>0</v>
      </c>
      <c r="E68" s="48">
        <v>0</v>
      </c>
      <c r="F68" s="48">
        <v>0</v>
      </c>
      <c r="G68" s="49">
        <v>0</v>
      </c>
      <c r="H68" s="477">
        <v>0</v>
      </c>
      <c r="I68" s="50">
        <v>0</v>
      </c>
      <c r="J68" s="51">
        <v>0</v>
      </c>
      <c r="K68" s="50"/>
      <c r="L68" s="50">
        <v>0</v>
      </c>
      <c r="N68" s="102"/>
    </row>
    <row r="69" ht="18" customHeight="1" hidden="1" spans="1:14" x14ac:dyDescent="0.25" outlineLevel="1" collapsed="1">
      <c r="A69" s="475"/>
      <c r="B69" s="475">
        <v>11540</v>
      </c>
      <c r="C69" s="47" t="s">
        <v>482</v>
      </c>
      <c r="D69" s="476">
        <v>0</v>
      </c>
      <c r="E69" s="48">
        <v>0</v>
      </c>
      <c r="F69" s="48">
        <v>0</v>
      </c>
      <c r="G69" s="49">
        <v>0</v>
      </c>
      <c r="H69" s="477">
        <v>0</v>
      </c>
      <c r="I69" s="50">
        <v>0</v>
      </c>
      <c r="J69" s="51">
        <v>0</v>
      </c>
      <c r="K69" s="50"/>
      <c r="L69" s="50">
        <v>0</v>
      </c>
      <c r="N69" s="102"/>
    </row>
    <row r="70" ht="18" customHeight="1" hidden="1" spans="1:14" x14ac:dyDescent="0.25" outlineLevel="1" collapsed="1">
      <c r="A70" s="475"/>
      <c r="B70" s="475">
        <v>11505</v>
      </c>
      <c r="C70" s="47" t="s">
        <v>873</v>
      </c>
      <c r="D70" s="476">
        <v>0</v>
      </c>
      <c r="E70" s="48">
        <v>0</v>
      </c>
      <c r="F70" s="48">
        <v>0</v>
      </c>
      <c r="G70" s="49">
        <v>0</v>
      </c>
      <c r="H70" s="477">
        <v>0</v>
      </c>
      <c r="I70" s="50">
        <v>0</v>
      </c>
      <c r="J70" s="51">
        <v>0</v>
      </c>
      <c r="K70" s="50"/>
      <c r="L70" s="50">
        <v>0</v>
      </c>
      <c r="N70" s="102"/>
    </row>
    <row r="71" ht="18" customHeight="1" spans="1:14" x14ac:dyDescent="0.25">
      <c r="A71" s="474">
        <v>1273509</v>
      </c>
      <c r="B71" s="475">
        <v>11506</v>
      </c>
      <c r="C71" s="47" t="s">
        <v>874</v>
      </c>
      <c r="D71" s="476">
        <v>540000</v>
      </c>
      <c r="E71" s="48">
        <v>94000</v>
      </c>
      <c r="F71" s="48">
        <v>0</v>
      </c>
      <c r="G71" s="49">
        <v>634000</v>
      </c>
      <c r="H71" s="477">
        <v>126000</v>
      </c>
      <c r="I71" s="50">
        <v>14000</v>
      </c>
      <c r="J71" s="51">
        <v>140000</v>
      </c>
      <c r="K71" s="52">
        <v>0.22082018927444794</v>
      </c>
      <c r="L71" s="50">
        <v>494000</v>
      </c>
      <c r="N71" s="102"/>
    </row>
    <row r="72" ht="18" customHeight="1" hidden="1" spans="1:14" x14ac:dyDescent="0.25" outlineLevel="1" collapsed="1">
      <c r="A72" s="474" t="e">
        <v>#N/A</v>
      </c>
      <c r="B72" s="475">
        <v>11710</v>
      </c>
      <c r="C72" s="47" t="s">
        <v>875</v>
      </c>
      <c r="D72" s="476">
        <v>0</v>
      </c>
      <c r="E72" s="48">
        <v>0</v>
      </c>
      <c r="F72" s="48">
        <v>0</v>
      </c>
      <c r="G72" s="49">
        <v>0</v>
      </c>
      <c r="H72" s="477">
        <v>0</v>
      </c>
      <c r="I72" s="50">
        <v>0</v>
      </c>
      <c r="J72" s="51">
        <v>0</v>
      </c>
      <c r="K72" s="52" t="e">
        <v>#DIV/0!</v>
      </c>
      <c r="L72" s="50">
        <v>0</v>
      </c>
      <c r="N72" s="102"/>
    </row>
    <row r="73" ht="18" customHeight="1" hidden="1" spans="1:14" x14ac:dyDescent="0.25" outlineLevel="1" collapsed="1">
      <c r="A73" s="475"/>
      <c r="B73" s="475">
        <v>11711</v>
      </c>
      <c r="C73" s="47" t="s">
        <v>876</v>
      </c>
      <c r="D73" s="476">
        <v>0</v>
      </c>
      <c r="E73" s="48">
        <v>0</v>
      </c>
      <c r="F73" s="48">
        <v>0</v>
      </c>
      <c r="G73" s="49">
        <v>0</v>
      </c>
      <c r="H73" s="477">
        <v>0</v>
      </c>
      <c r="I73" s="50">
        <v>0</v>
      </c>
      <c r="J73" s="51">
        <v>0</v>
      </c>
      <c r="K73" s="52" t="e">
        <v>#DIV/0!</v>
      </c>
      <c r="L73" s="50">
        <v>0</v>
      </c>
      <c r="N73" s="102"/>
    </row>
    <row r="74" ht="18" customHeight="1" hidden="1" spans="1:14" x14ac:dyDescent="0.25" outlineLevel="1" collapsed="1">
      <c r="A74" s="475"/>
      <c r="B74" s="475">
        <v>11712</v>
      </c>
      <c r="C74" s="47" t="s">
        <v>877</v>
      </c>
      <c r="D74" s="476">
        <v>0</v>
      </c>
      <c r="E74" s="48">
        <v>0</v>
      </c>
      <c r="F74" s="48">
        <v>0</v>
      </c>
      <c r="G74" s="49">
        <v>0</v>
      </c>
      <c r="H74" s="477">
        <v>0</v>
      </c>
      <c r="I74" s="50">
        <v>0</v>
      </c>
      <c r="J74" s="51">
        <v>0</v>
      </c>
      <c r="K74" s="52" t="e">
        <v>#DIV/0!</v>
      </c>
      <c r="L74" s="50">
        <v>0</v>
      </c>
      <c r="N74" s="102"/>
    </row>
    <row r="75" ht="18" customHeight="1" hidden="1" spans="1:14" x14ac:dyDescent="0.25" outlineLevel="1" collapsed="1">
      <c r="A75" s="475"/>
      <c r="B75" s="475">
        <v>11713</v>
      </c>
      <c r="C75" s="47" t="s">
        <v>878</v>
      </c>
      <c r="D75" s="476">
        <v>0</v>
      </c>
      <c r="E75" s="48">
        <v>0</v>
      </c>
      <c r="F75" s="48">
        <v>0</v>
      </c>
      <c r="G75" s="49">
        <v>0</v>
      </c>
      <c r="H75" s="477">
        <v>0</v>
      </c>
      <c r="I75" s="50">
        <v>0</v>
      </c>
      <c r="J75" s="51">
        <v>0</v>
      </c>
      <c r="K75" s="52" t="e">
        <v>#DIV/0!</v>
      </c>
      <c r="L75" s="50">
        <v>0</v>
      </c>
      <c r="N75" s="102"/>
    </row>
    <row r="76" ht="18" customHeight="1" hidden="1" spans="1:14" x14ac:dyDescent="0.25" outlineLevel="1" collapsed="1">
      <c r="A76" s="475"/>
      <c r="B76" s="475">
        <v>11720</v>
      </c>
      <c r="C76" s="47" t="s">
        <v>879</v>
      </c>
      <c r="D76" s="476">
        <v>0</v>
      </c>
      <c r="E76" s="48">
        <v>0</v>
      </c>
      <c r="F76" s="48">
        <v>0</v>
      </c>
      <c r="G76" s="49">
        <v>0</v>
      </c>
      <c r="H76" s="477">
        <v>0</v>
      </c>
      <c r="I76" s="50">
        <v>0</v>
      </c>
      <c r="J76" s="51">
        <v>0</v>
      </c>
      <c r="K76" s="52" t="e">
        <v>#DIV/0!</v>
      </c>
      <c r="L76" s="50">
        <v>0</v>
      </c>
      <c r="N76" s="102"/>
    </row>
    <row r="77" ht="18" customHeight="1" hidden="1" spans="1:14" x14ac:dyDescent="0.25" outlineLevel="1" collapsed="1">
      <c r="A77" s="475"/>
      <c r="B77" s="475">
        <v>11721</v>
      </c>
      <c r="C77" s="47" t="s">
        <v>880</v>
      </c>
      <c r="D77" s="476">
        <v>0</v>
      </c>
      <c r="E77" s="48">
        <v>0</v>
      </c>
      <c r="F77" s="48">
        <v>0</v>
      </c>
      <c r="G77" s="49">
        <v>0</v>
      </c>
      <c r="H77" s="477">
        <v>0</v>
      </c>
      <c r="I77" s="50">
        <v>0</v>
      </c>
      <c r="J77" s="51">
        <v>0</v>
      </c>
      <c r="K77" s="52" t="e">
        <v>#DIV/0!</v>
      </c>
      <c r="L77" s="50">
        <v>0</v>
      </c>
      <c r="N77" s="102"/>
    </row>
    <row r="78" ht="18" customHeight="1" spans="1:14" x14ac:dyDescent="0.25">
      <c r="A78" s="474" t="s">
        <v>881</v>
      </c>
      <c r="B78" s="475">
        <v>11730</v>
      </c>
      <c r="C78" s="47" t="s">
        <v>882</v>
      </c>
      <c r="D78" s="476">
        <v>110000</v>
      </c>
      <c r="E78" s="48">
        <v>0</v>
      </c>
      <c r="F78" s="48">
        <v>0</v>
      </c>
      <c r="G78" s="49">
        <v>110000</v>
      </c>
      <c r="H78" s="477">
        <v>0</v>
      </c>
      <c r="I78" s="50">
        <v>0</v>
      </c>
      <c r="J78" s="51">
        <v>0</v>
      </c>
      <c r="K78" s="52">
        <v>0</v>
      </c>
      <c r="L78" s="50">
        <v>110000</v>
      </c>
      <c r="N78" s="102"/>
    </row>
    <row r="79" ht="18" customHeight="1" hidden="1" spans="1:14" x14ac:dyDescent="0.25" outlineLevel="1" collapsed="1">
      <c r="A79" s="475"/>
      <c r="B79" s="475">
        <v>11740</v>
      </c>
      <c r="C79" s="47" t="s">
        <v>482</v>
      </c>
      <c r="D79" s="476">
        <v>0</v>
      </c>
      <c r="E79" s="48">
        <v>0</v>
      </c>
      <c r="F79" s="48">
        <v>0</v>
      </c>
      <c r="G79" s="49">
        <v>0</v>
      </c>
      <c r="H79" s="477">
        <v>0</v>
      </c>
      <c r="I79" s="50">
        <v>0</v>
      </c>
      <c r="J79" s="51">
        <v>0</v>
      </c>
      <c r="K79" s="52" t="e">
        <v>#DIV/0!</v>
      </c>
      <c r="L79" s="50">
        <v>0</v>
      </c>
      <c r="N79" s="102"/>
    </row>
    <row r="80" ht="18" customHeight="1" hidden="1" spans="1:14" x14ac:dyDescent="0.25" outlineLevel="1" collapsed="1">
      <c r="A80" s="475"/>
      <c r="B80" s="475">
        <v>11750</v>
      </c>
      <c r="C80" s="47" t="s">
        <v>883</v>
      </c>
      <c r="D80" s="476">
        <v>0</v>
      </c>
      <c r="E80" s="48">
        <v>0</v>
      </c>
      <c r="F80" s="48">
        <v>0</v>
      </c>
      <c r="G80" s="49">
        <v>0</v>
      </c>
      <c r="H80" s="477">
        <v>0</v>
      </c>
      <c r="I80" s="50">
        <v>0</v>
      </c>
      <c r="J80" s="51">
        <v>0</v>
      </c>
      <c r="K80" s="52" t="e">
        <v>#DIV/0!</v>
      </c>
      <c r="L80" s="50">
        <v>0</v>
      </c>
      <c r="N80" s="102"/>
    </row>
    <row r="81" ht="18" customHeight="1" spans="1:14" x14ac:dyDescent="0.25">
      <c r="A81" s="474">
        <v>1273156</v>
      </c>
      <c r="B81" s="475">
        <v>11760</v>
      </c>
      <c r="C81" s="47" t="s">
        <v>86</v>
      </c>
      <c r="D81" s="476">
        <v>168137.73</v>
      </c>
      <c r="E81" s="48">
        <v>126797.26999999999</v>
      </c>
      <c r="F81" s="48">
        <v>0</v>
      </c>
      <c r="G81" s="49">
        <v>294935</v>
      </c>
      <c r="H81" s="477">
        <v>68943.64</v>
      </c>
      <c r="I81" s="50">
        <v>-5084</v>
      </c>
      <c r="J81" s="51">
        <v>63859.64</v>
      </c>
      <c r="K81" s="52">
        <v>0.21652106396324614</v>
      </c>
      <c r="L81" s="50">
        <v>231075.36</v>
      </c>
      <c r="N81" s="102"/>
    </row>
    <row r="82" ht="18" customHeight="1" hidden="1" spans="1:14" x14ac:dyDescent="0.25" outlineLevel="1" collapsed="1">
      <c r="A82" s="474" t="e">
        <v>#N/A</v>
      </c>
      <c r="B82" s="475">
        <v>11910</v>
      </c>
      <c r="C82" s="47" t="s">
        <v>884</v>
      </c>
      <c r="D82" s="476">
        <v>0</v>
      </c>
      <c r="E82" s="48">
        <v>0</v>
      </c>
      <c r="F82" s="48">
        <v>0</v>
      </c>
      <c r="G82" s="49">
        <v>0</v>
      </c>
      <c r="H82" s="477">
        <v>0</v>
      </c>
      <c r="I82" s="50">
        <v>0</v>
      </c>
      <c r="J82" s="51">
        <v>0</v>
      </c>
      <c r="K82" s="52" t="e">
        <v>#DIV/0!</v>
      </c>
      <c r="L82" s="50">
        <v>0</v>
      </c>
      <c r="N82" s="102"/>
    </row>
    <row r="83" ht="18" customHeight="1" hidden="1" spans="1:14" x14ac:dyDescent="0.25" outlineLevel="1" collapsed="1">
      <c r="A83" s="475"/>
      <c r="B83" s="475">
        <v>11911</v>
      </c>
      <c r="C83" s="47" t="s">
        <v>885</v>
      </c>
      <c r="D83" s="476">
        <v>0</v>
      </c>
      <c r="E83" s="48">
        <v>0</v>
      </c>
      <c r="F83" s="48">
        <v>0</v>
      </c>
      <c r="G83" s="49">
        <v>0</v>
      </c>
      <c r="H83" s="477">
        <v>0</v>
      </c>
      <c r="I83" s="50">
        <v>0</v>
      </c>
      <c r="J83" s="51">
        <v>0</v>
      </c>
      <c r="K83" s="52" t="e">
        <v>#DIV/0!</v>
      </c>
      <c r="L83" s="50">
        <v>0</v>
      </c>
      <c r="N83" s="102"/>
    </row>
    <row r="84" ht="18" customHeight="1" hidden="1" spans="1:14" x14ac:dyDescent="0.25" outlineLevel="1" collapsed="1">
      <c r="A84" s="475"/>
      <c r="B84" s="475">
        <v>11912</v>
      </c>
      <c r="C84" s="47" t="s">
        <v>886</v>
      </c>
      <c r="D84" s="476">
        <v>0</v>
      </c>
      <c r="E84" s="48">
        <v>0</v>
      </c>
      <c r="F84" s="48">
        <v>0</v>
      </c>
      <c r="G84" s="49">
        <v>0</v>
      </c>
      <c r="H84" s="477">
        <v>0</v>
      </c>
      <c r="I84" s="50">
        <v>0</v>
      </c>
      <c r="J84" s="51">
        <v>0</v>
      </c>
      <c r="K84" s="52" t="e">
        <v>#DIV/0!</v>
      </c>
      <c r="L84" s="50">
        <v>0</v>
      </c>
      <c r="N84" s="102"/>
    </row>
    <row r="85" ht="18" customHeight="1" hidden="1" spans="1:14" x14ac:dyDescent="0.25" outlineLevel="1" collapsed="1">
      <c r="A85" s="475"/>
      <c r="B85" s="475">
        <v>11913</v>
      </c>
      <c r="C85" s="47" t="s">
        <v>887</v>
      </c>
      <c r="D85" s="476">
        <v>0</v>
      </c>
      <c r="E85" s="48">
        <v>0</v>
      </c>
      <c r="F85" s="48">
        <v>0</v>
      </c>
      <c r="G85" s="49">
        <v>0</v>
      </c>
      <c r="H85" s="477">
        <v>0</v>
      </c>
      <c r="I85" s="50">
        <v>0</v>
      </c>
      <c r="J85" s="51">
        <v>0</v>
      </c>
      <c r="K85" s="52" t="e">
        <v>#DIV/0!</v>
      </c>
      <c r="L85" s="50">
        <v>0</v>
      </c>
      <c r="N85" s="102"/>
    </row>
    <row r="86" ht="18" customHeight="1" hidden="1" spans="1:14" x14ac:dyDescent="0.25" outlineLevel="1" collapsed="1">
      <c r="A86" s="475"/>
      <c r="B86" s="475">
        <v>11914</v>
      </c>
      <c r="C86" s="47" t="s">
        <v>888</v>
      </c>
      <c r="D86" s="476">
        <v>0</v>
      </c>
      <c r="E86" s="48">
        <v>0</v>
      </c>
      <c r="F86" s="48">
        <v>0</v>
      </c>
      <c r="G86" s="49">
        <v>0</v>
      </c>
      <c r="H86" s="477">
        <v>0</v>
      </c>
      <c r="I86" s="50">
        <v>0</v>
      </c>
      <c r="J86" s="51">
        <v>0</v>
      </c>
      <c r="K86" s="52" t="e">
        <v>#DIV/0!</v>
      </c>
      <c r="L86" s="50">
        <v>0</v>
      </c>
      <c r="N86" s="102"/>
    </row>
    <row r="87" ht="18" customHeight="1" hidden="1" spans="1:14" x14ac:dyDescent="0.25" outlineLevel="1" collapsed="1">
      <c r="A87" s="475"/>
      <c r="B87" s="475">
        <v>11915</v>
      </c>
      <c r="C87" s="47" t="s">
        <v>889</v>
      </c>
      <c r="D87" s="476">
        <v>0</v>
      </c>
      <c r="E87" s="48">
        <v>0</v>
      </c>
      <c r="F87" s="48">
        <v>0</v>
      </c>
      <c r="G87" s="49">
        <v>0</v>
      </c>
      <c r="H87" s="477">
        <v>0</v>
      </c>
      <c r="I87" s="50">
        <v>0</v>
      </c>
      <c r="J87" s="51">
        <v>0</v>
      </c>
      <c r="K87" s="52" t="e">
        <v>#DIV/0!</v>
      </c>
      <c r="L87" s="50">
        <v>0</v>
      </c>
      <c r="N87" s="102"/>
    </row>
    <row r="88" ht="18" customHeight="1" hidden="1" spans="1:14" x14ac:dyDescent="0.25" outlineLevel="1" collapsed="1">
      <c r="A88" s="475"/>
      <c r="B88" s="475">
        <v>11920</v>
      </c>
      <c r="C88" s="47" t="s">
        <v>890</v>
      </c>
      <c r="D88" s="476">
        <v>0</v>
      </c>
      <c r="E88" s="48">
        <v>0</v>
      </c>
      <c r="F88" s="48">
        <v>0</v>
      </c>
      <c r="G88" s="49">
        <v>0</v>
      </c>
      <c r="H88" s="477">
        <v>0</v>
      </c>
      <c r="I88" s="50">
        <v>0</v>
      </c>
      <c r="J88" s="51">
        <v>0</v>
      </c>
      <c r="K88" s="52" t="e">
        <v>#DIV/0!</v>
      </c>
      <c r="L88" s="50">
        <v>0</v>
      </c>
      <c r="N88" s="102"/>
    </row>
    <row r="89" ht="18" customHeight="1" hidden="1" spans="1:14" x14ac:dyDescent="0.25" outlineLevel="1" collapsed="1">
      <c r="A89" s="475"/>
      <c r="B89" s="475">
        <v>11930</v>
      </c>
      <c r="C89" s="47" t="s">
        <v>891</v>
      </c>
      <c r="D89" s="476">
        <v>0</v>
      </c>
      <c r="E89" s="48">
        <v>0</v>
      </c>
      <c r="F89" s="48">
        <v>0</v>
      </c>
      <c r="G89" s="49">
        <v>0</v>
      </c>
      <c r="H89" s="477">
        <v>0</v>
      </c>
      <c r="I89" s="50">
        <v>0</v>
      </c>
      <c r="J89" s="51">
        <v>0</v>
      </c>
      <c r="K89" s="52" t="e">
        <v>#DIV/0!</v>
      </c>
      <c r="L89" s="50">
        <v>0</v>
      </c>
      <c r="N89" s="102"/>
    </row>
    <row r="90" ht="18" customHeight="1" hidden="1" spans="1:14" x14ac:dyDescent="0.25" outlineLevel="1" collapsed="1">
      <c r="A90" s="475"/>
      <c r="B90" s="475">
        <v>11940</v>
      </c>
      <c r="C90" s="47" t="s">
        <v>892</v>
      </c>
      <c r="D90" s="476">
        <v>0</v>
      </c>
      <c r="E90" s="48">
        <v>0</v>
      </c>
      <c r="F90" s="48">
        <v>0</v>
      </c>
      <c r="G90" s="49">
        <v>0</v>
      </c>
      <c r="H90" s="477">
        <v>0</v>
      </c>
      <c r="I90" s="50">
        <v>0</v>
      </c>
      <c r="J90" s="51">
        <v>0</v>
      </c>
      <c r="K90" s="52" t="e">
        <v>#DIV/0!</v>
      </c>
      <c r="L90" s="50">
        <v>0</v>
      </c>
      <c r="N90" s="102"/>
    </row>
    <row r="91" ht="18" customHeight="1" hidden="1" spans="1:14" x14ac:dyDescent="0.25" outlineLevel="1" collapsed="1">
      <c r="A91" s="475"/>
      <c r="B91" s="475">
        <v>11945</v>
      </c>
      <c r="C91" s="47" t="s">
        <v>893</v>
      </c>
      <c r="D91" s="476">
        <v>0</v>
      </c>
      <c r="E91" s="48">
        <v>0</v>
      </c>
      <c r="F91" s="48">
        <v>0</v>
      </c>
      <c r="G91" s="49">
        <v>0</v>
      </c>
      <c r="H91" s="477">
        <v>0</v>
      </c>
      <c r="I91" s="50">
        <v>0</v>
      </c>
      <c r="J91" s="51">
        <v>0</v>
      </c>
      <c r="K91" s="52" t="e">
        <v>#DIV/0!</v>
      </c>
      <c r="L91" s="50">
        <v>0</v>
      </c>
      <c r="N91" s="102"/>
    </row>
    <row r="92" ht="18" customHeight="1" hidden="1" spans="1:14" x14ac:dyDescent="0.25" outlineLevel="1" collapsed="1">
      <c r="A92" s="475"/>
      <c r="B92" s="475">
        <v>11946</v>
      </c>
      <c r="C92" s="47" t="s">
        <v>894</v>
      </c>
      <c r="D92" s="476">
        <v>0</v>
      </c>
      <c r="E92" s="48">
        <v>0</v>
      </c>
      <c r="F92" s="48">
        <v>0</v>
      </c>
      <c r="G92" s="49">
        <v>0</v>
      </c>
      <c r="H92" s="477">
        <v>0</v>
      </c>
      <c r="I92" s="50">
        <v>0</v>
      </c>
      <c r="J92" s="51">
        <v>0</v>
      </c>
      <c r="K92" s="52" t="e">
        <v>#DIV/0!</v>
      </c>
      <c r="L92" s="50">
        <v>0</v>
      </c>
      <c r="N92" s="102"/>
    </row>
    <row r="93" ht="18" customHeight="1" hidden="1" spans="1:14" x14ac:dyDescent="0.25" outlineLevel="1" collapsed="1">
      <c r="A93" s="475"/>
      <c r="B93" s="475">
        <v>11947</v>
      </c>
      <c r="C93" s="47" t="s">
        <v>895</v>
      </c>
      <c r="D93" s="476">
        <v>0</v>
      </c>
      <c r="E93" s="48">
        <v>0</v>
      </c>
      <c r="F93" s="48">
        <v>0</v>
      </c>
      <c r="G93" s="49">
        <v>0</v>
      </c>
      <c r="H93" s="477">
        <v>0</v>
      </c>
      <c r="I93" s="50">
        <v>0</v>
      </c>
      <c r="J93" s="51">
        <v>0</v>
      </c>
      <c r="K93" s="52" t="e">
        <v>#DIV/0!</v>
      </c>
      <c r="L93" s="50">
        <v>0</v>
      </c>
      <c r="N93" s="102"/>
    </row>
    <row r="94" ht="18" customHeight="1" hidden="1" spans="1:14" x14ac:dyDescent="0.25" outlineLevel="1" collapsed="1">
      <c r="A94" s="475"/>
      <c r="B94" s="475">
        <v>11950</v>
      </c>
      <c r="C94" s="47" t="s">
        <v>896</v>
      </c>
      <c r="D94" s="476">
        <v>0</v>
      </c>
      <c r="E94" s="48">
        <v>0</v>
      </c>
      <c r="F94" s="48">
        <v>0</v>
      </c>
      <c r="G94" s="49">
        <v>0</v>
      </c>
      <c r="H94" s="477">
        <v>0</v>
      </c>
      <c r="I94" s="50">
        <v>0</v>
      </c>
      <c r="J94" s="51">
        <v>0</v>
      </c>
      <c r="K94" s="52" t="e">
        <v>#DIV/0!</v>
      </c>
      <c r="L94" s="50">
        <v>0</v>
      </c>
      <c r="N94" s="102"/>
    </row>
    <row r="95" ht="18" customHeight="1" hidden="1" spans="1:14" x14ac:dyDescent="0.25" outlineLevel="1" collapsed="1">
      <c r="A95" s="475"/>
      <c r="B95" s="475">
        <v>11951</v>
      </c>
      <c r="C95" s="47" t="s">
        <v>897</v>
      </c>
      <c r="D95" s="476">
        <v>0</v>
      </c>
      <c r="E95" s="48">
        <v>0</v>
      </c>
      <c r="F95" s="48">
        <v>0</v>
      </c>
      <c r="G95" s="49">
        <v>0</v>
      </c>
      <c r="H95" s="477">
        <v>0</v>
      </c>
      <c r="I95" s="50">
        <v>0</v>
      </c>
      <c r="J95" s="51">
        <v>0</v>
      </c>
      <c r="K95" s="52" t="e">
        <v>#DIV/0!</v>
      </c>
      <c r="L95" s="50">
        <v>0</v>
      </c>
      <c r="N95" s="102"/>
    </row>
    <row r="96" ht="18" customHeight="1" hidden="1" spans="1:14" x14ac:dyDescent="0.25" outlineLevel="1" collapsed="1">
      <c r="A96" s="475"/>
      <c r="B96" s="475">
        <v>11952</v>
      </c>
      <c r="C96" s="47" t="s">
        <v>898</v>
      </c>
      <c r="D96" s="476">
        <v>0</v>
      </c>
      <c r="E96" s="48">
        <v>0</v>
      </c>
      <c r="F96" s="48">
        <v>0</v>
      </c>
      <c r="G96" s="49">
        <v>0</v>
      </c>
      <c r="H96" s="477">
        <v>0</v>
      </c>
      <c r="I96" s="50">
        <v>0</v>
      </c>
      <c r="J96" s="51">
        <v>0</v>
      </c>
      <c r="K96" s="52" t="e">
        <v>#DIV/0!</v>
      </c>
      <c r="L96" s="50">
        <v>0</v>
      </c>
      <c r="N96" s="102"/>
    </row>
    <row r="97" ht="18" customHeight="1" hidden="1" spans="1:14" x14ac:dyDescent="0.25" outlineLevel="1" collapsed="1">
      <c r="A97" s="475"/>
      <c r="B97" s="475">
        <v>11953</v>
      </c>
      <c r="C97" s="47" t="s">
        <v>899</v>
      </c>
      <c r="D97" s="476">
        <v>0</v>
      </c>
      <c r="E97" s="48">
        <v>0</v>
      </c>
      <c r="F97" s="48">
        <v>0</v>
      </c>
      <c r="G97" s="49">
        <v>0</v>
      </c>
      <c r="H97" s="477">
        <v>0</v>
      </c>
      <c r="I97" s="50">
        <v>0</v>
      </c>
      <c r="J97" s="51">
        <v>0</v>
      </c>
      <c r="K97" s="52" t="e">
        <v>#DIV/0!</v>
      </c>
      <c r="L97" s="50">
        <v>0</v>
      </c>
      <c r="N97" s="102"/>
    </row>
    <row r="98" ht="18" customHeight="1" hidden="1" spans="1:14" x14ac:dyDescent="0.25" outlineLevel="1" collapsed="1">
      <c r="A98" s="475"/>
      <c r="B98" s="475">
        <v>11955</v>
      </c>
      <c r="C98" s="47" t="s">
        <v>900</v>
      </c>
      <c r="D98" s="476">
        <v>0</v>
      </c>
      <c r="E98" s="48">
        <v>0</v>
      </c>
      <c r="F98" s="48">
        <v>0</v>
      </c>
      <c r="G98" s="49">
        <v>0</v>
      </c>
      <c r="H98" s="477">
        <v>0</v>
      </c>
      <c r="I98" s="50">
        <v>0</v>
      </c>
      <c r="J98" s="51">
        <v>0</v>
      </c>
      <c r="K98" s="52" t="e">
        <v>#DIV/0!</v>
      </c>
      <c r="L98" s="50">
        <v>0</v>
      </c>
      <c r="N98" s="102"/>
    </row>
    <row r="99" ht="18" customHeight="1" hidden="1" spans="1:14" x14ac:dyDescent="0.25" outlineLevel="1" collapsed="1">
      <c r="A99" s="475"/>
      <c r="B99" s="475">
        <v>11960</v>
      </c>
      <c r="C99" s="47" t="s">
        <v>901</v>
      </c>
      <c r="D99" s="476">
        <v>0</v>
      </c>
      <c r="E99" s="48">
        <v>0</v>
      </c>
      <c r="F99" s="48">
        <v>0</v>
      </c>
      <c r="G99" s="49">
        <v>0</v>
      </c>
      <c r="H99" s="477">
        <v>0</v>
      </c>
      <c r="I99" s="50">
        <v>0</v>
      </c>
      <c r="J99" s="51">
        <v>0</v>
      </c>
      <c r="K99" s="52" t="e">
        <v>#DIV/0!</v>
      </c>
      <c r="L99" s="50">
        <v>0</v>
      </c>
      <c r="N99" s="102"/>
    </row>
    <row r="100" ht="18" customHeight="1" spans="1:14" x14ac:dyDescent="0.25">
      <c r="A100" s="474">
        <v>1280100</v>
      </c>
      <c r="B100" s="475">
        <v>11970</v>
      </c>
      <c r="C100" s="47" t="s">
        <v>902</v>
      </c>
      <c r="D100" s="476">
        <v>150000</v>
      </c>
      <c r="E100" s="48">
        <v>115000</v>
      </c>
      <c r="F100" s="48">
        <v>4999</v>
      </c>
      <c r="G100" s="49">
        <v>269999</v>
      </c>
      <c r="H100" s="477">
        <v>109277.12999999999</v>
      </c>
      <c r="I100" s="50">
        <v>123102.34</v>
      </c>
      <c r="J100" s="51">
        <v>232379.46999999997</v>
      </c>
      <c r="K100" s="52">
        <v>0.8606678913625605</v>
      </c>
      <c r="L100" s="50">
        <v>37619.53000000003</v>
      </c>
      <c r="N100" s="102"/>
    </row>
    <row r="101" ht="18" customHeight="1" hidden="1" spans="1:14" x14ac:dyDescent="0.25" outlineLevel="1" collapsed="1">
      <c r="A101" s="474" t="e">
        <v>#N/A</v>
      </c>
      <c r="B101" s="475">
        <v>12010</v>
      </c>
      <c r="C101" s="47" t="s">
        <v>903</v>
      </c>
      <c r="D101" s="476">
        <v>0</v>
      </c>
      <c r="E101" s="48">
        <v>0</v>
      </c>
      <c r="F101" s="48">
        <v>0</v>
      </c>
      <c r="G101" s="49">
        <v>0</v>
      </c>
      <c r="H101" s="477">
        <v>0</v>
      </c>
      <c r="I101" s="50">
        <v>0</v>
      </c>
      <c r="J101" s="51">
        <v>0</v>
      </c>
      <c r="K101" s="52" t="e">
        <v>#DIV/0!</v>
      </c>
      <c r="L101" s="50">
        <v>0</v>
      </c>
      <c r="N101" s="102"/>
    </row>
    <row r="102" ht="18" customHeight="1" hidden="1" spans="1:14" x14ac:dyDescent="0.25" outlineLevel="1" collapsed="1">
      <c r="A102" s="475"/>
      <c r="B102" s="475">
        <v>12011</v>
      </c>
      <c r="C102" s="47" t="s">
        <v>904</v>
      </c>
      <c r="D102" s="476">
        <v>0</v>
      </c>
      <c r="E102" s="48">
        <v>0</v>
      </c>
      <c r="F102" s="48">
        <v>0</v>
      </c>
      <c r="G102" s="49">
        <v>0</v>
      </c>
      <c r="H102" s="477">
        <v>0</v>
      </c>
      <c r="I102" s="50">
        <v>0</v>
      </c>
      <c r="J102" s="51">
        <v>0</v>
      </c>
      <c r="K102" s="52" t="e">
        <v>#DIV/0!</v>
      </c>
      <c r="L102" s="50">
        <v>0</v>
      </c>
      <c r="N102" s="102"/>
    </row>
    <row r="103" ht="18" customHeight="1" hidden="1" spans="1:14" x14ac:dyDescent="0.25" outlineLevel="1" collapsed="1">
      <c r="A103" s="475"/>
      <c r="B103" s="475">
        <v>12012</v>
      </c>
      <c r="C103" s="47" t="s">
        <v>905</v>
      </c>
      <c r="D103" s="476">
        <v>0</v>
      </c>
      <c r="E103" s="48">
        <v>0</v>
      </c>
      <c r="F103" s="48">
        <v>0</v>
      </c>
      <c r="G103" s="49">
        <v>0</v>
      </c>
      <c r="H103" s="477">
        <v>0</v>
      </c>
      <c r="I103" s="50">
        <v>0</v>
      </c>
      <c r="J103" s="51">
        <v>0</v>
      </c>
      <c r="K103" s="52" t="e">
        <v>#DIV/0!</v>
      </c>
      <c r="L103" s="50">
        <v>0</v>
      </c>
      <c r="N103" s="102"/>
    </row>
    <row r="104" ht="18" customHeight="1" spans="1:14" x14ac:dyDescent="0.25">
      <c r="A104" s="474" t="s">
        <v>906</v>
      </c>
      <c r="B104" s="475">
        <v>12013</v>
      </c>
      <c r="C104" s="47" t="s">
        <v>87</v>
      </c>
      <c r="D104" s="476">
        <v>287506.73</v>
      </c>
      <c r="E104" s="48">
        <v>174746.27000000002</v>
      </c>
      <c r="F104" s="48">
        <v>13681.74</v>
      </c>
      <c r="G104" s="49">
        <v>475934.74</v>
      </c>
      <c r="H104" s="477">
        <v>461588.86</v>
      </c>
      <c r="I104" s="50">
        <v>14345.88</v>
      </c>
      <c r="J104" s="51">
        <v>475934.74</v>
      </c>
      <c r="K104" s="52">
        <v>1</v>
      </c>
      <c r="L104" s="50">
        <v>0</v>
      </c>
      <c r="N104" s="102"/>
    </row>
    <row r="105" ht="18" customHeight="1" hidden="1" spans="1:14" x14ac:dyDescent="0.25" outlineLevel="1" collapsed="1">
      <c r="A105" s="474" t="e">
        <v>#N/A</v>
      </c>
      <c r="B105" s="475">
        <v>12014</v>
      </c>
      <c r="C105" s="47" t="s">
        <v>907</v>
      </c>
      <c r="D105" s="476">
        <v>0</v>
      </c>
      <c r="E105" s="48">
        <v>0</v>
      </c>
      <c r="F105" s="48">
        <v>0</v>
      </c>
      <c r="G105" s="49">
        <v>0</v>
      </c>
      <c r="H105" s="477">
        <v>0</v>
      </c>
      <c r="I105" s="50">
        <v>0</v>
      </c>
      <c r="J105" s="51">
        <v>0</v>
      </c>
      <c r="K105" s="52" t="e">
        <v>#DIV/0!</v>
      </c>
      <c r="L105" s="50">
        <v>0</v>
      </c>
      <c r="N105" s="102"/>
    </row>
    <row r="106" ht="18" customHeight="1" hidden="1" spans="1:14" x14ac:dyDescent="0.25" outlineLevel="1" collapsed="1">
      <c r="A106" s="475"/>
      <c r="B106" s="475">
        <v>12015</v>
      </c>
      <c r="C106" s="47" t="s">
        <v>908</v>
      </c>
      <c r="D106" s="476">
        <v>0</v>
      </c>
      <c r="E106" s="48">
        <v>0</v>
      </c>
      <c r="F106" s="48">
        <v>0</v>
      </c>
      <c r="G106" s="49">
        <v>0</v>
      </c>
      <c r="H106" s="477">
        <v>0</v>
      </c>
      <c r="I106" s="50">
        <v>0</v>
      </c>
      <c r="J106" s="51">
        <v>0</v>
      </c>
      <c r="K106" s="52" t="e">
        <v>#DIV/0!</v>
      </c>
      <c r="L106" s="50">
        <v>0</v>
      </c>
      <c r="N106" s="102"/>
    </row>
    <row r="107" ht="18" customHeight="1" hidden="1" spans="1:14" x14ac:dyDescent="0.25" outlineLevel="1" collapsed="1">
      <c r="A107" s="475"/>
      <c r="B107" s="475">
        <v>12018</v>
      </c>
      <c r="C107" s="47" t="s">
        <v>909</v>
      </c>
      <c r="D107" s="476">
        <v>0</v>
      </c>
      <c r="E107" s="48">
        <v>0</v>
      </c>
      <c r="F107" s="48">
        <v>0</v>
      </c>
      <c r="G107" s="49">
        <v>0</v>
      </c>
      <c r="H107" s="477">
        <v>0</v>
      </c>
      <c r="I107" s="50">
        <v>0</v>
      </c>
      <c r="J107" s="51">
        <v>0</v>
      </c>
      <c r="K107" s="52" t="e">
        <v>#DIV/0!</v>
      </c>
      <c r="L107" s="50">
        <v>0</v>
      </c>
      <c r="N107" s="102"/>
    </row>
    <row r="108" ht="18" customHeight="1" hidden="1" spans="1:14" x14ac:dyDescent="0.25" outlineLevel="1" collapsed="1">
      <c r="A108" s="475"/>
      <c r="B108" s="475">
        <v>12020</v>
      </c>
      <c r="C108" s="47" t="s">
        <v>910</v>
      </c>
      <c r="D108" s="476">
        <v>0</v>
      </c>
      <c r="E108" s="48">
        <v>0</v>
      </c>
      <c r="F108" s="48">
        <v>0</v>
      </c>
      <c r="G108" s="49">
        <v>0</v>
      </c>
      <c r="H108" s="477">
        <v>0</v>
      </c>
      <c r="I108" s="50">
        <v>0</v>
      </c>
      <c r="J108" s="51">
        <v>0</v>
      </c>
      <c r="K108" s="52" t="e">
        <v>#DIV/0!</v>
      </c>
      <c r="L108" s="50">
        <v>0</v>
      </c>
      <c r="N108" s="102"/>
    </row>
    <row r="109" ht="18" customHeight="1" hidden="1" spans="1:14" x14ac:dyDescent="0.25" outlineLevel="1" collapsed="1">
      <c r="A109" s="475"/>
      <c r="B109" s="475">
        <v>12030</v>
      </c>
      <c r="C109" s="47" t="s">
        <v>911</v>
      </c>
      <c r="D109" s="476">
        <v>0</v>
      </c>
      <c r="E109" s="48">
        <v>0</v>
      </c>
      <c r="F109" s="48">
        <v>0</v>
      </c>
      <c r="G109" s="49">
        <v>0</v>
      </c>
      <c r="H109" s="477">
        <v>0</v>
      </c>
      <c r="I109" s="50">
        <v>0</v>
      </c>
      <c r="J109" s="51">
        <v>0</v>
      </c>
      <c r="K109" s="52" t="e">
        <v>#DIV/0!</v>
      </c>
      <c r="L109" s="50">
        <v>0</v>
      </c>
      <c r="N109" s="102"/>
    </row>
    <row r="110" ht="18" customHeight="1" hidden="1" spans="1:14" x14ac:dyDescent="0.25" outlineLevel="1" collapsed="1">
      <c r="A110" s="475"/>
      <c r="B110" s="475">
        <v>12031</v>
      </c>
      <c r="C110" s="47" t="s">
        <v>912</v>
      </c>
      <c r="D110" s="476">
        <v>0</v>
      </c>
      <c r="E110" s="48">
        <v>0</v>
      </c>
      <c r="F110" s="48">
        <v>0</v>
      </c>
      <c r="G110" s="49">
        <v>0</v>
      </c>
      <c r="H110" s="477">
        <v>0</v>
      </c>
      <c r="I110" s="50">
        <v>0</v>
      </c>
      <c r="J110" s="51">
        <v>0</v>
      </c>
      <c r="K110" s="52" t="e">
        <v>#DIV/0!</v>
      </c>
      <c r="L110" s="50">
        <v>0</v>
      </c>
      <c r="N110" s="102"/>
    </row>
    <row r="111" ht="18" customHeight="1" hidden="1" spans="1:14" x14ac:dyDescent="0.25" outlineLevel="1" collapsed="1">
      <c r="A111" s="475"/>
      <c r="B111" s="475">
        <v>12040</v>
      </c>
      <c r="C111" s="47" t="s">
        <v>95</v>
      </c>
      <c r="D111" s="476">
        <v>0</v>
      </c>
      <c r="E111" s="48">
        <v>0</v>
      </c>
      <c r="F111" s="48">
        <v>0</v>
      </c>
      <c r="G111" s="49">
        <v>0</v>
      </c>
      <c r="H111" s="477">
        <v>0</v>
      </c>
      <c r="I111" s="50">
        <v>0</v>
      </c>
      <c r="J111" s="51">
        <v>0</v>
      </c>
      <c r="K111" s="52" t="e">
        <v>#DIV/0!</v>
      </c>
      <c r="L111" s="50">
        <v>0</v>
      </c>
      <c r="N111" s="102"/>
    </row>
    <row r="112" ht="18" customHeight="1" hidden="1" spans="1:14" x14ac:dyDescent="0.25" outlineLevel="1" collapsed="1">
      <c r="A112" s="475"/>
      <c r="B112" s="475">
        <v>12050</v>
      </c>
      <c r="C112" s="47" t="s">
        <v>913</v>
      </c>
      <c r="D112" s="476">
        <v>0</v>
      </c>
      <c r="E112" s="48">
        <v>0</v>
      </c>
      <c r="F112" s="48">
        <v>0</v>
      </c>
      <c r="G112" s="49">
        <v>0</v>
      </c>
      <c r="H112" s="477">
        <v>0</v>
      </c>
      <c r="I112" s="50">
        <v>0</v>
      </c>
      <c r="J112" s="51">
        <v>0</v>
      </c>
      <c r="K112" s="52" t="e">
        <v>#DIV/0!</v>
      </c>
      <c r="L112" s="50">
        <v>0</v>
      </c>
      <c r="N112" s="102"/>
    </row>
    <row r="113" ht="18" customHeight="1" hidden="1" spans="1:14" x14ac:dyDescent="0.25" outlineLevel="1" collapsed="1">
      <c r="A113" s="475"/>
      <c r="B113" s="475">
        <v>12060</v>
      </c>
      <c r="C113" s="47" t="s">
        <v>914</v>
      </c>
      <c r="D113" s="476">
        <v>0</v>
      </c>
      <c r="E113" s="48">
        <v>0</v>
      </c>
      <c r="F113" s="48">
        <v>0</v>
      </c>
      <c r="G113" s="49">
        <v>0</v>
      </c>
      <c r="H113" s="477">
        <v>0</v>
      </c>
      <c r="I113" s="50">
        <v>0</v>
      </c>
      <c r="J113" s="51">
        <v>0</v>
      </c>
      <c r="K113" s="52" t="e">
        <v>#DIV/0!</v>
      </c>
      <c r="L113" s="50">
        <v>0</v>
      </c>
      <c r="N113" s="102"/>
    </row>
    <row r="114" ht="18" customHeight="1" hidden="1" spans="1:14" x14ac:dyDescent="0.25" outlineLevel="1" collapsed="1">
      <c r="A114" s="475"/>
      <c r="B114" s="475">
        <v>12070</v>
      </c>
      <c r="C114" s="47" t="s">
        <v>915</v>
      </c>
      <c r="D114" s="476">
        <v>0</v>
      </c>
      <c r="E114" s="48">
        <v>0</v>
      </c>
      <c r="F114" s="48">
        <v>0</v>
      </c>
      <c r="G114" s="49">
        <v>0</v>
      </c>
      <c r="H114" s="477">
        <v>0</v>
      </c>
      <c r="I114" s="50">
        <v>0</v>
      </c>
      <c r="J114" s="51">
        <v>0</v>
      </c>
      <c r="K114" s="52" t="e">
        <v>#DIV/0!</v>
      </c>
      <c r="L114" s="50">
        <v>0</v>
      </c>
      <c r="N114" s="102"/>
    </row>
    <row r="115" ht="18" customHeight="1" hidden="1" spans="1:14" x14ac:dyDescent="0.25" outlineLevel="1" collapsed="1">
      <c r="A115" s="475"/>
      <c r="B115" s="475">
        <v>12110</v>
      </c>
      <c r="C115" s="47" t="s">
        <v>903</v>
      </c>
      <c r="D115" s="476">
        <v>0</v>
      </c>
      <c r="E115" s="48">
        <v>0</v>
      </c>
      <c r="F115" s="48">
        <v>0</v>
      </c>
      <c r="G115" s="49">
        <v>0</v>
      </c>
      <c r="H115" s="477">
        <v>0</v>
      </c>
      <c r="I115" s="50">
        <v>0</v>
      </c>
      <c r="J115" s="51">
        <v>0</v>
      </c>
      <c r="K115" s="52" t="e">
        <v>#DIV/0!</v>
      </c>
      <c r="L115" s="50">
        <v>0</v>
      </c>
      <c r="N115" s="102"/>
    </row>
    <row r="116" ht="18" customHeight="1" hidden="1" spans="1:14" x14ac:dyDescent="0.25" outlineLevel="1" collapsed="1">
      <c r="A116" s="475"/>
      <c r="B116" s="475">
        <v>12111</v>
      </c>
      <c r="C116" s="47" t="s">
        <v>904</v>
      </c>
      <c r="D116" s="476">
        <v>0</v>
      </c>
      <c r="E116" s="48">
        <v>0</v>
      </c>
      <c r="F116" s="48">
        <v>0</v>
      </c>
      <c r="G116" s="49">
        <v>0</v>
      </c>
      <c r="H116" s="477">
        <v>0</v>
      </c>
      <c r="I116" s="50">
        <v>0</v>
      </c>
      <c r="J116" s="51">
        <v>0</v>
      </c>
      <c r="K116" s="52" t="e">
        <v>#DIV/0!</v>
      </c>
      <c r="L116" s="50">
        <v>0</v>
      </c>
      <c r="N116" s="102"/>
    </row>
    <row r="117" ht="18" customHeight="1" hidden="1" spans="1:14" x14ac:dyDescent="0.25" outlineLevel="1" collapsed="1">
      <c r="A117" s="475"/>
      <c r="B117" s="475">
        <v>12112</v>
      </c>
      <c r="C117" s="47" t="s">
        <v>905</v>
      </c>
      <c r="D117" s="476">
        <v>0</v>
      </c>
      <c r="E117" s="48">
        <v>0</v>
      </c>
      <c r="F117" s="48">
        <v>0</v>
      </c>
      <c r="G117" s="49">
        <v>0</v>
      </c>
      <c r="H117" s="477">
        <v>0</v>
      </c>
      <c r="I117" s="50">
        <v>0</v>
      </c>
      <c r="J117" s="51">
        <v>0</v>
      </c>
      <c r="K117" s="52" t="e">
        <v>#DIV/0!</v>
      </c>
      <c r="L117" s="50">
        <v>0</v>
      </c>
      <c r="N117" s="102"/>
    </row>
    <row r="118" ht="18" customHeight="1" hidden="1" spans="1:14" x14ac:dyDescent="0.25" outlineLevel="1" collapsed="1">
      <c r="A118" s="475"/>
      <c r="B118" s="475">
        <v>12113</v>
      </c>
      <c r="C118" s="47" t="s">
        <v>916</v>
      </c>
      <c r="D118" s="476">
        <v>0</v>
      </c>
      <c r="E118" s="48">
        <v>0</v>
      </c>
      <c r="F118" s="48">
        <v>0</v>
      </c>
      <c r="G118" s="49">
        <v>0</v>
      </c>
      <c r="H118" s="477">
        <v>0</v>
      </c>
      <c r="I118" s="50">
        <v>0</v>
      </c>
      <c r="J118" s="51">
        <v>0</v>
      </c>
      <c r="K118" s="52" t="e">
        <v>#DIV/0!</v>
      </c>
      <c r="L118" s="50">
        <v>0</v>
      </c>
      <c r="N118" s="102"/>
    </row>
    <row r="119" ht="18" customHeight="1" hidden="1" spans="1:14" x14ac:dyDescent="0.25" outlineLevel="1" collapsed="1">
      <c r="A119" s="475"/>
      <c r="B119" s="475">
        <v>12114</v>
      </c>
      <c r="C119" s="47" t="s">
        <v>917</v>
      </c>
      <c r="D119" s="476">
        <v>0</v>
      </c>
      <c r="E119" s="48">
        <v>0</v>
      </c>
      <c r="F119" s="48">
        <v>0</v>
      </c>
      <c r="G119" s="49">
        <v>0</v>
      </c>
      <c r="H119" s="477">
        <v>0</v>
      </c>
      <c r="I119" s="50">
        <v>0</v>
      </c>
      <c r="J119" s="51">
        <v>0</v>
      </c>
      <c r="K119" s="52" t="e">
        <v>#DIV/0!</v>
      </c>
      <c r="L119" s="50">
        <v>0</v>
      </c>
      <c r="N119" s="102"/>
    </row>
    <row r="120" ht="18" customHeight="1" spans="1:14" x14ac:dyDescent="0.25">
      <c r="A120" s="474">
        <v>1271100</v>
      </c>
      <c r="B120" s="475">
        <v>12115</v>
      </c>
      <c r="C120" s="47" t="s">
        <v>918</v>
      </c>
      <c r="D120" s="476">
        <v>1087650</v>
      </c>
      <c r="E120" s="48">
        <v>-92000</v>
      </c>
      <c r="F120" s="48">
        <v>0</v>
      </c>
      <c r="G120" s="49">
        <v>995650</v>
      </c>
      <c r="H120" s="477">
        <v>809848.5</v>
      </c>
      <c r="I120" s="50">
        <v>0</v>
      </c>
      <c r="J120" s="51">
        <v>809848.5</v>
      </c>
      <c r="K120" s="52">
        <v>0.8133867322854417</v>
      </c>
      <c r="L120" s="50">
        <v>185801.5</v>
      </c>
      <c r="N120" s="102"/>
    </row>
    <row r="121" ht="18" customHeight="1" hidden="1" spans="1:14" x14ac:dyDescent="0.25" outlineLevel="1" collapsed="1">
      <c r="A121" s="474" t="e">
        <v>#N/A</v>
      </c>
      <c r="B121" s="475">
        <v>12116</v>
      </c>
      <c r="C121" s="47" t="s">
        <v>919</v>
      </c>
      <c r="D121" s="476">
        <v>0</v>
      </c>
      <c r="E121" s="48">
        <v>0</v>
      </c>
      <c r="F121" s="48">
        <v>0</v>
      </c>
      <c r="G121" s="49">
        <v>0</v>
      </c>
      <c r="H121" s="477">
        <v>0</v>
      </c>
      <c r="I121" s="50">
        <v>0</v>
      </c>
      <c r="J121" s="51">
        <v>0</v>
      </c>
      <c r="K121" s="52" t="e">
        <v>#DIV/0!</v>
      </c>
      <c r="L121" s="50">
        <v>0</v>
      </c>
      <c r="N121" s="102"/>
    </row>
    <row r="122" ht="18" customHeight="1" hidden="1" spans="1:14" x14ac:dyDescent="0.25" outlineLevel="1" collapsed="1">
      <c r="A122" s="475"/>
      <c r="B122" s="475">
        <v>12117</v>
      </c>
      <c r="C122" s="47" t="s">
        <v>920</v>
      </c>
      <c r="D122" s="476">
        <v>0</v>
      </c>
      <c r="E122" s="48">
        <v>0</v>
      </c>
      <c r="F122" s="48">
        <v>0</v>
      </c>
      <c r="G122" s="49">
        <v>0</v>
      </c>
      <c r="H122" s="477">
        <v>0</v>
      </c>
      <c r="I122" s="50">
        <v>0</v>
      </c>
      <c r="J122" s="51">
        <v>0</v>
      </c>
      <c r="K122" s="52" t="e">
        <v>#DIV/0!</v>
      </c>
      <c r="L122" s="50">
        <v>0</v>
      </c>
      <c r="N122" s="102"/>
    </row>
    <row r="123" ht="18" customHeight="1" hidden="1" spans="1:14" x14ac:dyDescent="0.25" outlineLevel="1" collapsed="1">
      <c r="A123" s="475"/>
      <c r="B123" s="475">
        <v>12120</v>
      </c>
      <c r="C123" s="47" t="s">
        <v>921</v>
      </c>
      <c r="D123" s="476">
        <v>0</v>
      </c>
      <c r="E123" s="48">
        <v>0</v>
      </c>
      <c r="F123" s="48">
        <v>0</v>
      </c>
      <c r="G123" s="49">
        <v>0</v>
      </c>
      <c r="H123" s="477">
        <v>0</v>
      </c>
      <c r="I123" s="50">
        <v>0</v>
      </c>
      <c r="J123" s="51">
        <v>0</v>
      </c>
      <c r="K123" s="52" t="e">
        <v>#DIV/0!</v>
      </c>
      <c r="L123" s="50">
        <v>0</v>
      </c>
      <c r="N123" s="102"/>
    </row>
    <row r="124" ht="18" customHeight="1" hidden="1" spans="1:14" x14ac:dyDescent="0.25" outlineLevel="1" collapsed="1">
      <c r="A124" s="475"/>
      <c r="B124" s="475">
        <v>12121</v>
      </c>
      <c r="C124" s="47" t="s">
        <v>922</v>
      </c>
      <c r="D124" s="476">
        <v>0</v>
      </c>
      <c r="E124" s="48">
        <v>0</v>
      </c>
      <c r="F124" s="48">
        <v>0</v>
      </c>
      <c r="G124" s="49">
        <v>0</v>
      </c>
      <c r="H124" s="477">
        <v>0</v>
      </c>
      <c r="I124" s="50">
        <v>0</v>
      </c>
      <c r="J124" s="51">
        <v>0</v>
      </c>
      <c r="K124" s="52" t="e">
        <v>#DIV/0!</v>
      </c>
      <c r="L124" s="50">
        <v>0</v>
      </c>
      <c r="N124" s="102"/>
    </row>
    <row r="125" ht="18" customHeight="1" hidden="1" spans="1:14" x14ac:dyDescent="0.25" outlineLevel="1" collapsed="1">
      <c r="A125" s="475"/>
      <c r="B125" s="475">
        <v>12122</v>
      </c>
      <c r="C125" s="47" t="s">
        <v>923</v>
      </c>
      <c r="D125" s="476">
        <v>0</v>
      </c>
      <c r="E125" s="48">
        <v>0</v>
      </c>
      <c r="F125" s="48">
        <v>0</v>
      </c>
      <c r="G125" s="49">
        <v>0</v>
      </c>
      <c r="H125" s="477">
        <v>0</v>
      </c>
      <c r="I125" s="50">
        <v>0</v>
      </c>
      <c r="J125" s="51">
        <v>0</v>
      </c>
      <c r="K125" s="52" t="e">
        <v>#DIV/0!</v>
      </c>
      <c r="L125" s="50">
        <v>0</v>
      </c>
      <c r="N125" s="102"/>
    </row>
    <row r="126" ht="18" customHeight="1" hidden="1" spans="1:14" x14ac:dyDescent="0.25" outlineLevel="1" collapsed="1">
      <c r="A126" s="475"/>
      <c r="B126" s="475">
        <v>12123</v>
      </c>
      <c r="C126" s="47" t="s">
        <v>924</v>
      </c>
      <c r="D126" s="476">
        <v>0</v>
      </c>
      <c r="E126" s="48">
        <v>0</v>
      </c>
      <c r="F126" s="48">
        <v>0</v>
      </c>
      <c r="G126" s="49">
        <v>0</v>
      </c>
      <c r="H126" s="477">
        <v>0</v>
      </c>
      <c r="I126" s="50">
        <v>0</v>
      </c>
      <c r="J126" s="51">
        <v>0</v>
      </c>
      <c r="K126" s="52" t="e">
        <v>#DIV/0!</v>
      </c>
      <c r="L126" s="50">
        <v>0</v>
      </c>
      <c r="N126" s="102"/>
    </row>
    <row r="127" ht="18" customHeight="1" hidden="1" spans="1:14" x14ac:dyDescent="0.25" outlineLevel="1" collapsed="1">
      <c r="A127" s="475"/>
      <c r="B127" s="475">
        <v>12124</v>
      </c>
      <c r="C127" s="47" t="s">
        <v>925</v>
      </c>
      <c r="D127" s="476">
        <v>0</v>
      </c>
      <c r="E127" s="48">
        <v>0</v>
      </c>
      <c r="F127" s="48">
        <v>0</v>
      </c>
      <c r="G127" s="49">
        <v>0</v>
      </c>
      <c r="H127" s="477">
        <v>0</v>
      </c>
      <c r="I127" s="50">
        <v>0</v>
      </c>
      <c r="J127" s="51">
        <v>0</v>
      </c>
      <c r="K127" s="52" t="e">
        <v>#DIV/0!</v>
      </c>
      <c r="L127" s="50">
        <v>0</v>
      </c>
      <c r="N127" s="102"/>
    </row>
    <row r="128" ht="18" customHeight="1" hidden="1" spans="1:14" x14ac:dyDescent="0.25" outlineLevel="1" collapsed="1">
      <c r="A128" s="475"/>
      <c r="B128" s="475">
        <v>12125</v>
      </c>
      <c r="C128" s="47" t="s">
        <v>926</v>
      </c>
      <c r="D128" s="476">
        <v>0</v>
      </c>
      <c r="E128" s="48">
        <v>0</v>
      </c>
      <c r="F128" s="48">
        <v>0</v>
      </c>
      <c r="G128" s="49">
        <v>0</v>
      </c>
      <c r="H128" s="477">
        <v>0</v>
      </c>
      <c r="I128" s="50">
        <v>0</v>
      </c>
      <c r="J128" s="51">
        <v>0</v>
      </c>
      <c r="K128" s="52" t="e">
        <v>#DIV/0!</v>
      </c>
      <c r="L128" s="50">
        <v>0</v>
      </c>
      <c r="N128" s="102"/>
    </row>
    <row r="129" ht="18" customHeight="1" hidden="1" spans="1:14" x14ac:dyDescent="0.25" outlineLevel="1" collapsed="1">
      <c r="A129" s="475"/>
      <c r="B129" s="475">
        <v>12126</v>
      </c>
      <c r="C129" s="47" t="s">
        <v>927</v>
      </c>
      <c r="D129" s="476">
        <v>0</v>
      </c>
      <c r="E129" s="48">
        <v>0</v>
      </c>
      <c r="F129" s="48">
        <v>0</v>
      </c>
      <c r="G129" s="49">
        <v>0</v>
      </c>
      <c r="H129" s="477">
        <v>0</v>
      </c>
      <c r="I129" s="50">
        <v>0</v>
      </c>
      <c r="J129" s="51">
        <v>0</v>
      </c>
      <c r="K129" s="52" t="e">
        <v>#DIV/0!</v>
      </c>
      <c r="L129" s="50">
        <v>0</v>
      </c>
      <c r="N129" s="102"/>
    </row>
    <row r="130" ht="18" customHeight="1" spans="1:14" x14ac:dyDescent="0.25">
      <c r="A130" s="474" t="s">
        <v>928</v>
      </c>
      <c r="B130" s="475">
        <v>12127</v>
      </c>
      <c r="C130" s="47" t="s">
        <v>88</v>
      </c>
      <c r="D130" s="476">
        <v>150000</v>
      </c>
      <c r="E130" s="48">
        <v>441200</v>
      </c>
      <c r="F130" s="48">
        <v>0</v>
      </c>
      <c r="G130" s="49">
        <v>591200</v>
      </c>
      <c r="H130" s="477">
        <v>27225</v>
      </c>
      <c r="I130" s="50">
        <v>0</v>
      </c>
      <c r="J130" s="51">
        <v>27225</v>
      </c>
      <c r="K130" s="52">
        <v>0.04605040595399188</v>
      </c>
      <c r="L130" s="50">
        <v>563975</v>
      </c>
      <c r="N130" s="102"/>
    </row>
    <row r="131" ht="18" customHeight="1" hidden="1" spans="1:14" x14ac:dyDescent="0.25" outlineLevel="1" collapsed="1">
      <c r="A131" s="474" t="e">
        <v>#N/A</v>
      </c>
      <c r="B131" s="475">
        <v>12128</v>
      </c>
      <c r="C131" s="47" t="s">
        <v>89</v>
      </c>
      <c r="D131" s="476">
        <v>0</v>
      </c>
      <c r="E131" s="48">
        <v>0</v>
      </c>
      <c r="F131" s="48">
        <v>0</v>
      </c>
      <c r="G131" s="49">
        <v>0</v>
      </c>
      <c r="H131" s="477">
        <v>0</v>
      </c>
      <c r="I131" s="50">
        <v>0</v>
      </c>
      <c r="J131" s="51">
        <v>0</v>
      </c>
      <c r="K131" s="52" t="e">
        <v>#DIV/0!</v>
      </c>
      <c r="L131" s="50">
        <v>0</v>
      </c>
      <c r="N131" s="102"/>
    </row>
    <row r="132" ht="18" customHeight="1" hidden="1" spans="1:14" x14ac:dyDescent="0.25" outlineLevel="1" collapsed="1">
      <c r="A132" s="475"/>
      <c r="B132" s="475">
        <v>12129</v>
      </c>
      <c r="C132" s="47" t="s">
        <v>90</v>
      </c>
      <c r="D132" s="476">
        <v>0</v>
      </c>
      <c r="E132" s="48">
        <v>0</v>
      </c>
      <c r="F132" s="48">
        <v>0</v>
      </c>
      <c r="G132" s="49">
        <v>0</v>
      </c>
      <c r="H132" s="477">
        <v>0</v>
      </c>
      <c r="I132" s="50">
        <v>0</v>
      </c>
      <c r="J132" s="51">
        <v>0</v>
      </c>
      <c r="K132" s="52" t="e">
        <v>#DIV/0!</v>
      </c>
      <c r="L132" s="50">
        <v>0</v>
      </c>
      <c r="N132" s="102"/>
    </row>
    <row r="133" ht="18" customHeight="1" hidden="1" spans="1:14" x14ac:dyDescent="0.25" outlineLevel="1" collapsed="1">
      <c r="A133" s="475"/>
      <c r="B133" s="475">
        <v>12131</v>
      </c>
      <c r="C133" s="47" t="s">
        <v>91</v>
      </c>
      <c r="D133" s="476">
        <v>0</v>
      </c>
      <c r="E133" s="48">
        <v>0</v>
      </c>
      <c r="F133" s="48">
        <v>0</v>
      </c>
      <c r="G133" s="49">
        <v>0</v>
      </c>
      <c r="H133" s="477">
        <v>0</v>
      </c>
      <c r="I133" s="50">
        <v>0</v>
      </c>
      <c r="J133" s="51">
        <v>0</v>
      </c>
      <c r="K133" s="52" t="e">
        <v>#DIV/0!</v>
      </c>
      <c r="L133" s="50">
        <v>0</v>
      </c>
      <c r="N133" s="102"/>
    </row>
    <row r="134" ht="18" customHeight="1" hidden="1" spans="1:14" x14ac:dyDescent="0.25" outlineLevel="1" collapsed="1">
      <c r="A134" s="475"/>
      <c r="B134" s="475">
        <v>12140</v>
      </c>
      <c r="C134" s="47" t="s">
        <v>92</v>
      </c>
      <c r="D134" s="476">
        <v>0</v>
      </c>
      <c r="E134" s="48">
        <v>0</v>
      </c>
      <c r="F134" s="48">
        <v>0</v>
      </c>
      <c r="G134" s="49">
        <v>0</v>
      </c>
      <c r="H134" s="477">
        <v>0</v>
      </c>
      <c r="I134" s="50">
        <v>0</v>
      </c>
      <c r="J134" s="51">
        <v>0</v>
      </c>
      <c r="K134" s="52" t="e">
        <v>#DIV/0!</v>
      </c>
      <c r="L134" s="50">
        <v>0</v>
      </c>
      <c r="N134" s="102"/>
    </row>
    <row r="135" ht="18" customHeight="1" hidden="1" spans="1:14" x14ac:dyDescent="0.25" outlineLevel="1" collapsed="1">
      <c r="A135" s="475"/>
      <c r="B135" s="475">
        <v>12141</v>
      </c>
      <c r="C135" s="47" t="s">
        <v>93</v>
      </c>
      <c r="D135" s="476">
        <v>0</v>
      </c>
      <c r="E135" s="48">
        <v>0</v>
      </c>
      <c r="F135" s="48">
        <v>0</v>
      </c>
      <c r="G135" s="49">
        <v>0</v>
      </c>
      <c r="H135" s="477">
        <v>0</v>
      </c>
      <c r="I135" s="50">
        <v>0</v>
      </c>
      <c r="J135" s="51">
        <v>0</v>
      </c>
      <c r="K135" s="52" t="e">
        <v>#DIV/0!</v>
      </c>
      <c r="L135" s="50">
        <v>0</v>
      </c>
      <c r="N135" s="102"/>
    </row>
    <row r="136" ht="18" customHeight="1" spans="1:14" x14ac:dyDescent="0.25">
      <c r="A136" s="474" t="s">
        <v>929</v>
      </c>
      <c r="B136" s="475">
        <v>12142</v>
      </c>
      <c r="C136" s="47" t="s">
        <v>94</v>
      </c>
      <c r="D136" s="476">
        <v>25000</v>
      </c>
      <c r="E136" s="48">
        <v>0</v>
      </c>
      <c r="F136" s="48">
        <v>0</v>
      </c>
      <c r="G136" s="49">
        <v>25000</v>
      </c>
      <c r="H136" s="477">
        <v>3137.19</v>
      </c>
      <c r="I136" s="50">
        <v>123.59</v>
      </c>
      <c r="J136" s="51">
        <v>3260.78</v>
      </c>
      <c r="K136" s="52">
        <v>0.1304312</v>
      </c>
      <c r="L136" s="50">
        <v>21739.22</v>
      </c>
      <c r="N136" s="102"/>
    </row>
    <row r="137" ht="18" customHeight="1" hidden="1" spans="1:14" x14ac:dyDescent="0.25" outlineLevel="1" collapsed="1">
      <c r="A137" s="474" t="e">
        <v>#N/A</v>
      </c>
      <c r="B137" s="475">
        <v>12150</v>
      </c>
      <c r="C137" s="47" t="s">
        <v>95</v>
      </c>
      <c r="D137" s="476">
        <v>0</v>
      </c>
      <c r="E137" s="48">
        <v>0</v>
      </c>
      <c r="F137" s="48">
        <v>0</v>
      </c>
      <c r="G137" s="49">
        <v>0</v>
      </c>
      <c r="H137" s="477">
        <v>0</v>
      </c>
      <c r="I137" s="50">
        <v>0</v>
      </c>
      <c r="J137" s="51">
        <v>0</v>
      </c>
      <c r="K137" s="52" t="e">
        <v>#DIV/0!</v>
      </c>
      <c r="L137" s="50">
        <v>0</v>
      </c>
      <c r="N137" s="102"/>
    </row>
    <row r="138" ht="18" customHeight="1" hidden="1" spans="1:14" x14ac:dyDescent="0.25" outlineLevel="1" collapsed="1">
      <c r="A138" s="475"/>
      <c r="B138" s="475">
        <v>12160</v>
      </c>
      <c r="C138" s="47" t="s">
        <v>96</v>
      </c>
      <c r="D138" s="476">
        <v>0</v>
      </c>
      <c r="E138" s="48">
        <v>0</v>
      </c>
      <c r="F138" s="48">
        <v>0</v>
      </c>
      <c r="G138" s="49">
        <v>0</v>
      </c>
      <c r="H138" s="477">
        <v>0</v>
      </c>
      <c r="I138" s="50">
        <v>0</v>
      </c>
      <c r="J138" s="51">
        <v>0</v>
      </c>
      <c r="K138" s="52" t="e">
        <v>#DIV/0!</v>
      </c>
      <c r="L138" s="50">
        <v>0</v>
      </c>
      <c r="N138" s="102"/>
    </row>
    <row r="139" ht="18" customHeight="1" hidden="1" spans="1:14" x14ac:dyDescent="0.25" outlineLevel="1" collapsed="1">
      <c r="A139" s="475"/>
      <c r="B139" s="475">
        <v>12170</v>
      </c>
      <c r="C139" s="47" t="s">
        <v>97</v>
      </c>
      <c r="D139" s="476">
        <v>0</v>
      </c>
      <c r="E139" s="48">
        <v>0</v>
      </c>
      <c r="F139" s="48">
        <v>0</v>
      </c>
      <c r="G139" s="49">
        <v>0</v>
      </c>
      <c r="H139" s="477">
        <v>0</v>
      </c>
      <c r="I139" s="50">
        <v>0</v>
      </c>
      <c r="J139" s="51">
        <v>0</v>
      </c>
      <c r="K139" s="52" t="e">
        <v>#DIV/0!</v>
      </c>
      <c r="L139" s="50">
        <v>0</v>
      </c>
      <c r="N139" s="102"/>
    </row>
    <row r="140" ht="18" customHeight="1" hidden="1" spans="1:14" x14ac:dyDescent="0.25" outlineLevel="1" collapsed="1">
      <c r="A140" s="475"/>
      <c r="B140" s="475">
        <v>12180</v>
      </c>
      <c r="C140" s="47" t="s">
        <v>98</v>
      </c>
      <c r="D140" s="476">
        <v>0</v>
      </c>
      <c r="E140" s="48">
        <v>0</v>
      </c>
      <c r="F140" s="48">
        <v>0</v>
      </c>
      <c r="G140" s="49">
        <v>0</v>
      </c>
      <c r="H140" s="477">
        <v>0</v>
      </c>
      <c r="I140" s="50">
        <v>0</v>
      </c>
      <c r="J140" s="51">
        <v>0</v>
      </c>
      <c r="K140" s="52">
        <v>0</v>
      </c>
      <c r="L140" s="50">
        <v>0</v>
      </c>
      <c r="N140" s="102"/>
    </row>
    <row r="141" ht="18" customHeight="1" hidden="1" spans="1:14" x14ac:dyDescent="0.25" outlineLevel="1" collapsed="1">
      <c r="A141" s="475"/>
      <c r="B141" s="475">
        <v>12190</v>
      </c>
      <c r="C141" s="47" t="s">
        <v>99</v>
      </c>
      <c r="D141" s="476">
        <v>0</v>
      </c>
      <c r="E141" s="48">
        <v>0</v>
      </c>
      <c r="F141" s="48">
        <v>0</v>
      </c>
      <c r="G141" s="49">
        <v>0</v>
      </c>
      <c r="H141" s="477">
        <v>0</v>
      </c>
      <c r="I141" s="50">
        <v>0</v>
      </c>
      <c r="J141" s="51">
        <v>0</v>
      </c>
      <c r="K141" s="52" t="e">
        <v>#DIV/0!</v>
      </c>
      <c r="L141" s="50">
        <v>0</v>
      </c>
      <c r="N141" s="102"/>
    </row>
    <row r="142" ht="18" customHeight="1" hidden="1" spans="1:14" x14ac:dyDescent="0.25" outlineLevel="1" collapsed="1">
      <c r="A142" s="475"/>
      <c r="B142" s="475">
        <v>12195</v>
      </c>
      <c r="C142" s="47" t="s">
        <v>100</v>
      </c>
      <c r="D142" s="476">
        <v>0</v>
      </c>
      <c r="E142" s="48">
        <v>0</v>
      </c>
      <c r="F142" s="48">
        <v>0</v>
      </c>
      <c r="G142" s="49">
        <v>0</v>
      </c>
      <c r="H142" s="477">
        <v>0</v>
      </c>
      <c r="I142" s="50">
        <v>0</v>
      </c>
      <c r="J142" s="51">
        <v>0</v>
      </c>
      <c r="K142" s="52" t="e">
        <v>#DIV/0!</v>
      </c>
      <c r="L142" s="50">
        <v>0</v>
      </c>
      <c r="N142" s="102"/>
    </row>
    <row r="143" ht="18" customHeight="1" hidden="1" spans="1:14" x14ac:dyDescent="0.25" outlineLevel="1" collapsed="1">
      <c r="A143" s="475"/>
      <c r="B143" s="475">
        <v>12210</v>
      </c>
      <c r="C143" s="47" t="s">
        <v>101</v>
      </c>
      <c r="D143" s="476">
        <v>0</v>
      </c>
      <c r="E143" s="48">
        <v>0</v>
      </c>
      <c r="F143" s="48">
        <v>0</v>
      </c>
      <c r="G143" s="49">
        <v>0</v>
      </c>
      <c r="H143" s="477">
        <v>0</v>
      </c>
      <c r="I143" s="50">
        <v>0</v>
      </c>
      <c r="J143" s="51">
        <v>0</v>
      </c>
      <c r="K143" s="52" t="e">
        <v>#DIV/0!</v>
      </c>
      <c r="L143" s="50">
        <v>0</v>
      </c>
      <c r="N143" s="102"/>
    </row>
    <row r="144" ht="18" customHeight="1" hidden="1" spans="1:14" x14ac:dyDescent="0.25" outlineLevel="1" collapsed="1">
      <c r="A144" s="475"/>
      <c r="B144" s="475">
        <v>12220</v>
      </c>
      <c r="C144" s="47" t="s">
        <v>102</v>
      </c>
      <c r="D144" s="476">
        <v>0</v>
      </c>
      <c r="E144" s="48">
        <v>0</v>
      </c>
      <c r="F144" s="48">
        <v>0</v>
      </c>
      <c r="G144" s="49">
        <v>0</v>
      </c>
      <c r="H144" s="477">
        <v>0</v>
      </c>
      <c r="I144" s="50">
        <v>0</v>
      </c>
      <c r="J144" s="51">
        <v>0</v>
      </c>
      <c r="K144" s="52" t="e">
        <v>#DIV/0!</v>
      </c>
      <c r="L144" s="50">
        <v>0</v>
      </c>
      <c r="N144" s="102"/>
    </row>
    <row r="145" ht="18" customHeight="1" spans="1:14" x14ac:dyDescent="0.25">
      <c r="A145" s="474" t="s">
        <v>930</v>
      </c>
      <c r="B145" s="475">
        <v>12230</v>
      </c>
      <c r="C145" s="47" t="s">
        <v>372</v>
      </c>
      <c r="D145" s="476">
        <v>160100</v>
      </c>
      <c r="E145" s="48">
        <v>31339</v>
      </c>
      <c r="F145" s="48">
        <v>0</v>
      </c>
      <c r="G145" s="49">
        <v>191439</v>
      </c>
      <c r="H145" s="477">
        <v>71888.5</v>
      </c>
      <c r="I145" s="50">
        <v>4725</v>
      </c>
      <c r="J145" s="51">
        <v>76613.5</v>
      </c>
      <c r="K145" s="52">
        <v>0.40019797428946036</v>
      </c>
      <c r="L145" s="50">
        <v>114825.5</v>
      </c>
      <c r="N145" s="102"/>
    </row>
    <row r="146" ht="18" customHeight="1" hidden="1" spans="1:14" x14ac:dyDescent="0.25" outlineLevel="1" collapsed="1">
      <c r="A146" s="474" t="s">
        <v>931</v>
      </c>
      <c r="B146" s="475">
        <v>12231</v>
      </c>
      <c r="C146" s="47" t="s">
        <v>104</v>
      </c>
      <c r="D146" s="476">
        <v>0</v>
      </c>
      <c r="E146" s="48">
        <v>0</v>
      </c>
      <c r="F146" s="48">
        <v>0</v>
      </c>
      <c r="G146" s="49">
        <v>0</v>
      </c>
      <c r="H146" s="477">
        <v>0</v>
      </c>
      <c r="I146" s="50">
        <v>0</v>
      </c>
      <c r="J146" s="51">
        <v>0</v>
      </c>
      <c r="K146" s="50"/>
      <c r="L146" s="50">
        <v>0</v>
      </c>
      <c r="N146" s="102"/>
    </row>
    <row r="147" ht="18" customHeight="1" spans="1:14" x14ac:dyDescent="0.25">
      <c r="A147" s="482"/>
      <c r="B147" s="482"/>
      <c r="C147" s="73" t="s">
        <v>105</v>
      </c>
      <c r="D147" s="58">
        <v>2678394.46</v>
      </c>
      <c r="E147" s="58">
        <v>891082.54</v>
      </c>
      <c r="F147" s="58">
        <v>18680.739999999998</v>
      </c>
      <c r="G147" s="58">
        <v>3588157.74</v>
      </c>
      <c r="H147" s="58">
        <v>1677908.8199999998</v>
      </c>
      <c r="I147" s="58">
        <v>151212.81</v>
      </c>
      <c r="J147" s="58">
        <v>1829121.6300000001</v>
      </c>
      <c r="K147" s="59">
        <v>0.509766226163736</v>
      </c>
      <c r="L147" s="479">
        <v>1759036.11</v>
      </c>
      <c r="N147" s="102"/>
    </row>
    <row r="148" ht="18" customHeight="1" hidden="1" spans="1:14" x14ac:dyDescent="0.25" outlineLevel="1" collapsed="1">
      <c r="A148" s="475"/>
      <c r="B148" s="475">
        <v>12310</v>
      </c>
      <c r="C148" s="47" t="s">
        <v>110</v>
      </c>
      <c r="D148" s="476">
        <v>0</v>
      </c>
      <c r="E148" s="48">
        <v>0</v>
      </c>
      <c r="F148" s="48">
        <v>0</v>
      </c>
      <c r="G148" s="49">
        <v>0</v>
      </c>
      <c r="H148" s="477">
        <v>0</v>
      </c>
      <c r="I148" s="50">
        <v>0</v>
      </c>
      <c r="J148" s="51">
        <v>0</v>
      </c>
      <c r="K148" s="50"/>
      <c r="L148" s="50">
        <v>0</v>
      </c>
      <c r="N148" s="102"/>
    </row>
    <row r="149" ht="18" customHeight="1" hidden="1" spans="1:14" x14ac:dyDescent="0.25" outlineLevel="1" collapsed="1">
      <c r="A149" s="475"/>
      <c r="B149" s="475">
        <v>12311</v>
      </c>
      <c r="C149" s="47" t="s">
        <v>111</v>
      </c>
      <c r="D149" s="476">
        <v>0</v>
      </c>
      <c r="E149" s="48">
        <v>0</v>
      </c>
      <c r="F149" s="48">
        <v>0</v>
      </c>
      <c r="G149" s="49">
        <v>0</v>
      </c>
      <c r="H149" s="477">
        <v>0</v>
      </c>
      <c r="I149" s="50">
        <v>0</v>
      </c>
      <c r="J149" s="51">
        <v>0</v>
      </c>
      <c r="K149" s="50"/>
      <c r="L149" s="50">
        <v>0</v>
      </c>
      <c r="N149" s="102"/>
    </row>
    <row r="150" ht="18" customHeight="1" hidden="1" spans="1:14" x14ac:dyDescent="0.25" outlineLevel="1" collapsed="1">
      <c r="A150" s="475"/>
      <c r="B150" s="475">
        <v>12320</v>
      </c>
      <c r="C150" s="47" t="s">
        <v>112</v>
      </c>
      <c r="D150" s="476">
        <v>0</v>
      </c>
      <c r="E150" s="48">
        <v>0</v>
      </c>
      <c r="F150" s="48">
        <v>0</v>
      </c>
      <c r="G150" s="49">
        <v>0</v>
      </c>
      <c r="H150" s="477">
        <v>0</v>
      </c>
      <c r="I150" s="50">
        <v>0</v>
      </c>
      <c r="J150" s="51">
        <v>0</v>
      </c>
      <c r="K150" s="50"/>
      <c r="L150" s="50">
        <v>0</v>
      </c>
      <c r="N150" s="102"/>
    </row>
    <row r="151" ht="18" customHeight="1" hidden="1" spans="1:14" x14ac:dyDescent="0.25" outlineLevel="1" collapsed="1">
      <c r="A151" s="475"/>
      <c r="B151" s="475">
        <v>12322</v>
      </c>
      <c r="C151" s="47" t="s">
        <v>113</v>
      </c>
      <c r="D151" s="476">
        <v>0</v>
      </c>
      <c r="E151" s="48">
        <v>0</v>
      </c>
      <c r="F151" s="48">
        <v>0</v>
      </c>
      <c r="G151" s="49">
        <v>0</v>
      </c>
      <c r="H151" s="477">
        <v>0</v>
      </c>
      <c r="I151" s="50">
        <v>0</v>
      </c>
      <c r="J151" s="51">
        <v>0</v>
      </c>
      <c r="K151" s="50"/>
      <c r="L151" s="50">
        <v>0</v>
      </c>
      <c r="N151" s="102"/>
    </row>
    <row r="152" ht="18" customHeight="1" hidden="1" spans="1:14" x14ac:dyDescent="0.25" outlineLevel="1" collapsed="1">
      <c r="A152" s="475"/>
      <c r="B152" s="475">
        <v>12330</v>
      </c>
      <c r="C152" s="47" t="s">
        <v>932</v>
      </c>
      <c r="D152" s="476">
        <v>0</v>
      </c>
      <c r="E152" s="48">
        <v>0</v>
      </c>
      <c r="F152" s="48">
        <v>0</v>
      </c>
      <c r="G152" s="49">
        <v>0</v>
      </c>
      <c r="H152" s="477">
        <v>0</v>
      </c>
      <c r="I152" s="50">
        <v>0</v>
      </c>
      <c r="J152" s="51">
        <v>0</v>
      </c>
      <c r="K152" s="50"/>
      <c r="L152" s="50">
        <v>0</v>
      </c>
      <c r="N152" s="102"/>
    </row>
    <row r="153" ht="18" customHeight="1" hidden="1" spans="1:14" x14ac:dyDescent="0.25" outlineLevel="1" collapsed="1">
      <c r="A153" s="475"/>
      <c r="B153" s="475">
        <v>12331</v>
      </c>
      <c r="C153" s="47" t="s">
        <v>114</v>
      </c>
      <c r="D153" s="476">
        <v>0</v>
      </c>
      <c r="E153" s="48">
        <v>0</v>
      </c>
      <c r="F153" s="48">
        <v>0</v>
      </c>
      <c r="G153" s="49">
        <v>0</v>
      </c>
      <c r="H153" s="477">
        <v>0</v>
      </c>
      <c r="I153" s="50">
        <v>0</v>
      </c>
      <c r="J153" s="51">
        <v>0</v>
      </c>
      <c r="K153" s="50"/>
      <c r="L153" s="50">
        <v>0</v>
      </c>
      <c r="N153" s="102"/>
    </row>
    <row r="154" ht="18" customHeight="1" spans="1:14" x14ac:dyDescent="0.25">
      <c r="A154" s="474" t="s">
        <v>933</v>
      </c>
      <c r="B154" s="475">
        <v>12332</v>
      </c>
      <c r="C154" s="47" t="s">
        <v>115</v>
      </c>
      <c r="D154" s="476">
        <v>565259.37</v>
      </c>
      <c r="E154" s="48">
        <v>-75259.3695180451</v>
      </c>
      <c r="F154" s="48">
        <v>0</v>
      </c>
      <c r="G154" s="49">
        <v>490000.0004819549</v>
      </c>
      <c r="H154" s="477">
        <v>490000</v>
      </c>
      <c r="I154" s="50">
        <v>0</v>
      </c>
      <c r="J154" s="51">
        <v>490000</v>
      </c>
      <c r="K154" s="52">
        <v>0.9999999990164186</v>
      </c>
      <c r="L154" s="50">
        <v>0.0004819548921659589</v>
      </c>
      <c r="N154" s="102"/>
    </row>
    <row r="155" ht="18" customHeight="1" hidden="1" spans="1:14" x14ac:dyDescent="0.25" outlineLevel="1" collapsed="1">
      <c r="A155" s="474"/>
      <c r="B155" s="475">
        <v>12333</v>
      </c>
      <c r="C155" s="47" t="s">
        <v>116</v>
      </c>
      <c r="D155" s="476">
        <v>0</v>
      </c>
      <c r="E155" s="48">
        <v>0</v>
      </c>
      <c r="F155" s="48">
        <v>0</v>
      </c>
      <c r="G155" s="49">
        <v>0</v>
      </c>
      <c r="H155" s="477">
        <v>0</v>
      </c>
      <c r="I155" s="50">
        <v>0</v>
      </c>
      <c r="J155" s="51">
        <v>0</v>
      </c>
      <c r="K155" s="52" t="e">
        <v>#DIV/0!</v>
      </c>
      <c r="L155" s="50">
        <v>0</v>
      </c>
      <c r="N155" s="102"/>
    </row>
    <row r="156" ht="18" customHeight="1" spans="1:14" x14ac:dyDescent="0.25">
      <c r="A156" s="474" t="s">
        <v>934</v>
      </c>
      <c r="B156" s="475">
        <v>12340</v>
      </c>
      <c r="C156" s="47" t="s">
        <v>117</v>
      </c>
      <c r="D156" s="476">
        <v>188419.79</v>
      </c>
      <c r="E156" s="48">
        <v>-28100.74000000002</v>
      </c>
      <c r="F156" s="48">
        <v>-4999</v>
      </c>
      <c r="G156" s="49">
        <v>155320.05</v>
      </c>
      <c r="H156" s="477">
        <v>259810.8</v>
      </c>
      <c r="I156" s="50">
        <v>-104490.75</v>
      </c>
      <c r="J156" s="51">
        <v>155320.05</v>
      </c>
      <c r="K156" s="52">
        <v>1</v>
      </c>
      <c r="L156" s="50">
        <v>0</v>
      </c>
      <c r="N156" s="102"/>
    </row>
    <row r="157" ht="18" customHeight="1" hidden="1" spans="1:14" x14ac:dyDescent="0.25" outlineLevel="1" collapsed="1">
      <c r="A157" s="474"/>
      <c r="B157" s="475">
        <v>12350</v>
      </c>
      <c r="C157" s="47" t="s">
        <v>118</v>
      </c>
      <c r="D157" s="476">
        <v>0</v>
      </c>
      <c r="E157" s="48">
        <v>0</v>
      </c>
      <c r="F157" s="48">
        <v>0</v>
      </c>
      <c r="G157" s="49">
        <v>0</v>
      </c>
      <c r="H157" s="477">
        <v>0</v>
      </c>
      <c r="I157" s="50">
        <v>0</v>
      </c>
      <c r="J157" s="51">
        <v>0</v>
      </c>
      <c r="K157" s="52" t="e">
        <v>#DIV/0!</v>
      </c>
      <c r="L157" s="50">
        <v>0</v>
      </c>
      <c r="N157" s="102"/>
    </row>
    <row r="158" ht="18" customHeight="1" hidden="1" spans="1:14" x14ac:dyDescent="0.25" outlineLevel="1" collapsed="1">
      <c r="A158" s="474"/>
      <c r="B158" s="475">
        <v>12360</v>
      </c>
      <c r="C158" s="47" t="s">
        <v>119</v>
      </c>
      <c r="D158" s="476">
        <v>0</v>
      </c>
      <c r="E158" s="48">
        <v>0</v>
      </c>
      <c r="F158" s="48">
        <v>0</v>
      </c>
      <c r="G158" s="49">
        <v>0</v>
      </c>
      <c r="H158" s="477">
        <v>0</v>
      </c>
      <c r="I158" s="50">
        <v>0</v>
      </c>
      <c r="J158" s="51">
        <v>0</v>
      </c>
      <c r="K158" s="52" t="e">
        <v>#DIV/0!</v>
      </c>
      <c r="L158" s="50">
        <v>0</v>
      </c>
      <c r="N158" s="102"/>
    </row>
    <row r="159" ht="18" customHeight="1" hidden="1" spans="1:14" x14ac:dyDescent="0.25" outlineLevel="1" collapsed="1">
      <c r="A159" s="474"/>
      <c r="B159" s="475">
        <v>12361</v>
      </c>
      <c r="C159" s="47" t="s">
        <v>120</v>
      </c>
      <c r="D159" s="476">
        <v>0</v>
      </c>
      <c r="E159" s="48">
        <v>0</v>
      </c>
      <c r="F159" s="48">
        <v>0</v>
      </c>
      <c r="G159" s="49">
        <v>0</v>
      </c>
      <c r="H159" s="477">
        <v>0</v>
      </c>
      <c r="I159" s="50">
        <v>0</v>
      </c>
      <c r="J159" s="51">
        <v>0</v>
      </c>
      <c r="K159" s="52" t="e">
        <v>#DIV/0!</v>
      </c>
      <c r="L159" s="50">
        <v>0</v>
      </c>
      <c r="N159" s="102"/>
    </row>
    <row r="160" ht="18" customHeight="1" hidden="1" spans="1:14" x14ac:dyDescent="0.25" outlineLevel="1" collapsed="1">
      <c r="A160" s="474" t="e">
        <v>#N/A</v>
      </c>
      <c r="B160" s="475">
        <v>12362</v>
      </c>
      <c r="C160" s="47" t="s">
        <v>121</v>
      </c>
      <c r="D160" s="476">
        <v>0</v>
      </c>
      <c r="E160" s="48">
        <v>0</v>
      </c>
      <c r="F160" s="48">
        <v>0</v>
      </c>
      <c r="G160" s="49">
        <v>0</v>
      </c>
      <c r="H160" s="477">
        <v>0</v>
      </c>
      <c r="I160" s="50">
        <v>0</v>
      </c>
      <c r="J160" s="51">
        <v>0</v>
      </c>
      <c r="K160" s="52" t="e">
        <v>#DIV/0!</v>
      </c>
      <c r="L160" s="50">
        <v>0</v>
      </c>
      <c r="N160" s="102"/>
    </row>
    <row r="161" ht="18" customHeight="1" hidden="1" spans="1:14" x14ac:dyDescent="0.25" outlineLevel="1" collapsed="1">
      <c r="A161" s="474"/>
      <c r="B161" s="475">
        <v>12370</v>
      </c>
      <c r="C161" s="47" t="s">
        <v>122</v>
      </c>
      <c r="D161" s="476">
        <v>0</v>
      </c>
      <c r="E161" s="48">
        <v>0</v>
      </c>
      <c r="F161" s="48">
        <v>0</v>
      </c>
      <c r="G161" s="49">
        <v>0</v>
      </c>
      <c r="H161" s="477">
        <v>0</v>
      </c>
      <c r="I161" s="50">
        <v>0</v>
      </c>
      <c r="J161" s="51">
        <v>0</v>
      </c>
      <c r="K161" s="52" t="e">
        <v>#DIV/0!</v>
      </c>
      <c r="L161" s="50">
        <v>0</v>
      </c>
      <c r="N161" s="102"/>
    </row>
    <row r="162" ht="18" customHeight="1" hidden="1" spans="1:14" x14ac:dyDescent="0.25" outlineLevel="1" collapsed="1">
      <c r="A162" s="474"/>
      <c r="B162" s="475">
        <v>12380</v>
      </c>
      <c r="C162" s="47" t="s">
        <v>123</v>
      </c>
      <c r="D162" s="476">
        <v>0</v>
      </c>
      <c r="E162" s="48">
        <v>0</v>
      </c>
      <c r="F162" s="48">
        <v>0</v>
      </c>
      <c r="G162" s="49">
        <v>0</v>
      </c>
      <c r="H162" s="477">
        <v>0</v>
      </c>
      <c r="I162" s="50">
        <v>0</v>
      </c>
      <c r="J162" s="51">
        <v>0</v>
      </c>
      <c r="K162" s="52" t="e">
        <v>#DIV/0!</v>
      </c>
      <c r="L162" s="50">
        <v>0</v>
      </c>
      <c r="N162" s="102"/>
    </row>
    <row r="163" ht="18" customHeight="1" hidden="1" spans="1:14" x14ac:dyDescent="0.25" outlineLevel="1" collapsed="1">
      <c r="A163" s="474"/>
      <c r="B163" s="475">
        <v>12385</v>
      </c>
      <c r="C163" s="47" t="s">
        <v>935</v>
      </c>
      <c r="D163" s="476">
        <v>0</v>
      </c>
      <c r="E163" s="48">
        <v>0</v>
      </c>
      <c r="F163" s="48">
        <v>0</v>
      </c>
      <c r="G163" s="49">
        <v>0</v>
      </c>
      <c r="H163" s="477">
        <v>0</v>
      </c>
      <c r="I163" s="50">
        <v>0</v>
      </c>
      <c r="J163" s="51">
        <v>0</v>
      </c>
      <c r="K163" s="52" t="e">
        <v>#DIV/0!</v>
      </c>
      <c r="L163" s="50">
        <v>0</v>
      </c>
      <c r="N163" s="102"/>
    </row>
    <row r="164" ht="18" customHeight="1" spans="1:14" x14ac:dyDescent="0.25">
      <c r="A164" s="474" t="s">
        <v>936</v>
      </c>
      <c r="B164" s="475">
        <v>12410</v>
      </c>
      <c r="C164" s="47" t="s">
        <v>125</v>
      </c>
      <c r="D164" s="476">
        <v>1102519.52</v>
      </c>
      <c r="E164" s="48">
        <v>253862.47999999998</v>
      </c>
      <c r="F164" s="48">
        <v>0</v>
      </c>
      <c r="G164" s="49">
        <v>1356382</v>
      </c>
      <c r="H164" s="477">
        <v>159159.25</v>
      </c>
      <c r="I164" s="50">
        <v>0</v>
      </c>
      <c r="J164" s="51">
        <v>159159.25</v>
      </c>
      <c r="K164" s="52">
        <v>0.11734102192450209</v>
      </c>
      <c r="L164" s="50">
        <v>1197222.75</v>
      </c>
      <c r="N164" s="102"/>
    </row>
    <row r="165" ht="18" customHeight="1" spans="1:14" x14ac:dyDescent="0.25">
      <c r="A165" s="474">
        <v>1281143</v>
      </c>
      <c r="B165" s="475">
        <v>12334</v>
      </c>
      <c r="C165" s="47" t="s">
        <v>127</v>
      </c>
      <c r="D165" s="476">
        <v>0</v>
      </c>
      <c r="E165" s="48">
        <v>400000.00134723174</v>
      </c>
      <c r="F165" s="48">
        <v>0</v>
      </c>
      <c r="G165" s="49">
        <v>400000.00134723174</v>
      </c>
      <c r="H165" s="477">
        <v>0</v>
      </c>
      <c r="I165" s="50">
        <v>0</v>
      </c>
      <c r="J165" s="51">
        <v>0</v>
      </c>
      <c r="K165" s="52">
        <v>0</v>
      </c>
      <c r="L165" s="50">
        <v>400000.00134723174</v>
      </c>
      <c r="N165" s="102"/>
    </row>
    <row r="166" ht="18" customHeight="1" spans="1:14" x14ac:dyDescent="0.25">
      <c r="A166" s="474">
        <v>1279200</v>
      </c>
      <c r="B166" s="475">
        <v>12390</v>
      </c>
      <c r="C166" s="47" t="s">
        <v>128</v>
      </c>
      <c r="D166" s="476">
        <v>379456.78</v>
      </c>
      <c r="E166" s="48">
        <v>-95079.95000000001</v>
      </c>
      <c r="F166" s="48">
        <v>0</v>
      </c>
      <c r="G166" s="49">
        <v>284376.83</v>
      </c>
      <c r="H166" s="477">
        <v>0</v>
      </c>
      <c r="I166" s="50">
        <v>0</v>
      </c>
      <c r="J166" s="51">
        <v>0</v>
      </c>
      <c r="K166" s="52">
        <v>0</v>
      </c>
      <c r="L166" s="50">
        <v>284376.83</v>
      </c>
      <c r="N166" s="102"/>
    </row>
    <row r="167" ht="18" customHeight="1" spans="1:14" x14ac:dyDescent="0.25">
      <c r="A167" s="474">
        <v>1281121</v>
      </c>
      <c r="B167" s="475">
        <v>12321</v>
      </c>
      <c r="C167" s="47" t="s">
        <v>129</v>
      </c>
      <c r="D167" s="476">
        <v>1241258.41</v>
      </c>
      <c r="E167" s="48">
        <v>-259417.40999999992</v>
      </c>
      <c r="F167" s="48">
        <v>0</v>
      </c>
      <c r="G167" s="49">
        <v>981841</v>
      </c>
      <c r="H167" s="477">
        <v>0</v>
      </c>
      <c r="I167" s="50">
        <v>0</v>
      </c>
      <c r="J167" s="51">
        <v>0</v>
      </c>
      <c r="K167" s="52">
        <v>0</v>
      </c>
      <c r="L167" s="50">
        <v>981841</v>
      </c>
      <c r="N167" s="102"/>
    </row>
    <row r="168" ht="18" customHeight="1" spans="1:14" x14ac:dyDescent="0.25">
      <c r="A168" s="482"/>
      <c r="B168" s="482"/>
      <c r="C168" s="73" t="s">
        <v>130</v>
      </c>
      <c r="D168" s="58">
        <v>3476913.87</v>
      </c>
      <c r="E168" s="58">
        <v>196005.01182918664</v>
      </c>
      <c r="F168" s="58">
        <v>-4999</v>
      </c>
      <c r="G168" s="58">
        <v>3667919.881829187</v>
      </c>
      <c r="H168" s="58">
        <v>908970.05</v>
      </c>
      <c r="I168" s="58">
        <v>-104490.75</v>
      </c>
      <c r="J168" s="58">
        <v>804479.3</v>
      </c>
      <c r="K168" s="59">
        <v>0.21932848206019356</v>
      </c>
      <c r="L168" s="479">
        <v>2863440.5818291865</v>
      </c>
      <c r="N168" s="102"/>
    </row>
    <row r="169" ht="18" customHeight="1" hidden="1" spans="1:14" x14ac:dyDescent="0.25" outlineLevel="1" collapsed="1">
      <c r="A169" s="475"/>
      <c r="B169" s="475">
        <v>12710</v>
      </c>
      <c r="C169" s="47" t="s">
        <v>133</v>
      </c>
      <c r="D169" s="476">
        <v>0</v>
      </c>
      <c r="E169" s="48">
        <v>0</v>
      </c>
      <c r="F169" s="48">
        <v>0</v>
      </c>
      <c r="G169" s="49">
        <v>0</v>
      </c>
      <c r="H169" s="477">
        <v>0</v>
      </c>
      <c r="I169" s="50">
        <v>0</v>
      </c>
      <c r="J169" s="51">
        <v>0</v>
      </c>
      <c r="K169" s="50"/>
      <c r="L169" s="50">
        <v>0</v>
      </c>
      <c r="N169" s="102"/>
    </row>
    <row r="170" ht="18" customHeight="1" hidden="1" spans="1:14" x14ac:dyDescent="0.25" outlineLevel="1" collapsed="1">
      <c r="A170" s="475"/>
      <c r="B170" s="475">
        <v>12711</v>
      </c>
      <c r="C170" s="47" t="s">
        <v>99</v>
      </c>
      <c r="D170" s="476">
        <v>0</v>
      </c>
      <c r="E170" s="48">
        <v>0</v>
      </c>
      <c r="F170" s="48">
        <v>0</v>
      </c>
      <c r="G170" s="49">
        <v>0</v>
      </c>
      <c r="H170" s="477">
        <v>0</v>
      </c>
      <c r="I170" s="50">
        <v>0</v>
      </c>
      <c r="J170" s="51">
        <v>0</v>
      </c>
      <c r="K170" s="50"/>
      <c r="L170" s="50">
        <v>0</v>
      </c>
      <c r="N170" s="102"/>
    </row>
    <row r="171" ht="18" customHeight="1" spans="1:14" x14ac:dyDescent="0.25">
      <c r="A171" s="474" t="s">
        <v>937</v>
      </c>
      <c r="B171" s="475">
        <v>12720</v>
      </c>
      <c r="C171" s="47" t="s">
        <v>482</v>
      </c>
      <c r="D171" s="476">
        <v>10000</v>
      </c>
      <c r="E171" s="48">
        <v>22000</v>
      </c>
      <c r="F171" s="48">
        <v>0</v>
      </c>
      <c r="G171" s="49">
        <v>32000</v>
      </c>
      <c r="H171" s="477">
        <v>5108.480000000001</v>
      </c>
      <c r="I171" s="50">
        <v>239.09</v>
      </c>
      <c r="J171" s="51">
        <v>5347.5700000000015</v>
      </c>
      <c r="K171" s="52">
        <v>0.16711156250000006</v>
      </c>
      <c r="L171" s="50">
        <v>26652.43</v>
      </c>
      <c r="N171" s="102"/>
    </row>
    <row r="172" ht="18" customHeight="1" hidden="1" spans="1:14" x14ac:dyDescent="0.25" outlineLevel="1" collapsed="1">
      <c r="A172" s="474" t="e">
        <v>#N/A</v>
      </c>
      <c r="B172" s="475">
        <v>12730</v>
      </c>
      <c r="C172" s="47" t="s">
        <v>883</v>
      </c>
      <c r="D172" s="476">
        <v>0</v>
      </c>
      <c r="E172" s="48">
        <v>0</v>
      </c>
      <c r="F172" s="48">
        <v>0</v>
      </c>
      <c r="G172" s="49">
        <v>0</v>
      </c>
      <c r="H172" s="477">
        <v>0</v>
      </c>
      <c r="I172" s="50">
        <v>0</v>
      </c>
      <c r="J172" s="51">
        <v>0</v>
      </c>
      <c r="K172" s="52" t="e">
        <v>#DIV/0!</v>
      </c>
      <c r="L172" s="50">
        <v>0</v>
      </c>
      <c r="N172" s="102"/>
    </row>
    <row r="173" ht="18" customHeight="1" hidden="1" spans="1:14" x14ac:dyDescent="0.25" outlineLevel="1" collapsed="1">
      <c r="A173" s="474"/>
      <c r="B173" s="475">
        <v>12740</v>
      </c>
      <c r="C173" s="47" t="s">
        <v>938</v>
      </c>
      <c r="D173" s="476">
        <v>0</v>
      </c>
      <c r="E173" s="48">
        <v>0</v>
      </c>
      <c r="F173" s="48">
        <v>0</v>
      </c>
      <c r="G173" s="49">
        <v>0</v>
      </c>
      <c r="H173" s="477">
        <v>0</v>
      </c>
      <c r="I173" s="50">
        <v>0</v>
      </c>
      <c r="J173" s="51">
        <v>0</v>
      </c>
      <c r="K173" s="52" t="e">
        <v>#DIV/0!</v>
      </c>
      <c r="L173" s="50">
        <v>0</v>
      </c>
      <c r="N173" s="102"/>
    </row>
    <row r="174" ht="18" customHeight="1" spans="1:14" x14ac:dyDescent="0.25">
      <c r="A174" s="474" t="s">
        <v>939</v>
      </c>
      <c r="B174" s="475">
        <v>12741</v>
      </c>
      <c r="C174" s="47" t="s">
        <v>940</v>
      </c>
      <c r="D174" s="476">
        <v>42500</v>
      </c>
      <c r="E174" s="48">
        <v>-34500</v>
      </c>
      <c r="F174" s="48">
        <v>0</v>
      </c>
      <c r="G174" s="49">
        <v>8000</v>
      </c>
      <c r="H174" s="477">
        <v>1000</v>
      </c>
      <c r="I174" s="50">
        <v>0</v>
      </c>
      <c r="J174" s="51">
        <v>1000</v>
      </c>
      <c r="K174" s="52">
        <v>0.125</v>
      </c>
      <c r="L174" s="50">
        <v>7000</v>
      </c>
      <c r="N174" s="102"/>
    </row>
    <row r="175" ht="18" customHeight="1" hidden="1" spans="1:14" x14ac:dyDescent="0.25" outlineLevel="1" collapsed="1">
      <c r="A175" s="474" t="e">
        <v>#N/A</v>
      </c>
      <c r="B175" s="475">
        <v>12750</v>
      </c>
      <c r="C175" s="47" t="s">
        <v>941</v>
      </c>
      <c r="D175" s="476">
        <v>0</v>
      </c>
      <c r="E175" s="48">
        <v>0</v>
      </c>
      <c r="F175" s="48">
        <v>0</v>
      </c>
      <c r="G175" s="49">
        <v>0</v>
      </c>
      <c r="H175" s="477">
        <v>0</v>
      </c>
      <c r="I175" s="50">
        <v>0</v>
      </c>
      <c r="J175" s="51">
        <v>0</v>
      </c>
      <c r="K175" s="52" t="e">
        <v>#DIV/0!</v>
      </c>
      <c r="L175" s="50">
        <v>0</v>
      </c>
      <c r="N175" s="102"/>
    </row>
    <row r="176" ht="18" customHeight="1" hidden="1" spans="1:14" x14ac:dyDescent="0.25" outlineLevel="1" collapsed="1">
      <c r="A176" s="474"/>
      <c r="B176" s="475">
        <v>12760</v>
      </c>
      <c r="C176" s="47" t="s">
        <v>136</v>
      </c>
      <c r="D176" s="476">
        <v>0</v>
      </c>
      <c r="E176" s="48">
        <v>0</v>
      </c>
      <c r="F176" s="48">
        <v>0</v>
      </c>
      <c r="G176" s="49">
        <v>0</v>
      </c>
      <c r="H176" s="477">
        <v>0</v>
      </c>
      <c r="I176" s="50">
        <v>0</v>
      </c>
      <c r="J176" s="51">
        <v>0</v>
      </c>
      <c r="K176" s="52" t="e">
        <v>#DIV/0!</v>
      </c>
      <c r="L176" s="50">
        <v>0</v>
      </c>
      <c r="N176" s="102"/>
    </row>
    <row r="177" ht="18" customHeight="1" hidden="1" spans="1:14" x14ac:dyDescent="0.25" outlineLevel="1" collapsed="1">
      <c r="A177" s="474"/>
      <c r="B177" s="475">
        <v>12770</v>
      </c>
      <c r="C177" s="47" t="s">
        <v>137</v>
      </c>
      <c r="D177" s="476">
        <v>0</v>
      </c>
      <c r="E177" s="48">
        <v>0</v>
      </c>
      <c r="F177" s="48">
        <v>0</v>
      </c>
      <c r="G177" s="49">
        <v>0</v>
      </c>
      <c r="H177" s="477">
        <v>0</v>
      </c>
      <c r="I177" s="50">
        <v>0</v>
      </c>
      <c r="J177" s="51">
        <v>0</v>
      </c>
      <c r="K177" s="52" t="e">
        <v>#DIV/0!</v>
      </c>
      <c r="L177" s="50">
        <v>0</v>
      </c>
      <c r="N177" s="102"/>
    </row>
    <row r="178" ht="18" customHeight="1" spans="1:14" x14ac:dyDescent="0.25">
      <c r="A178" s="474">
        <v>1275001</v>
      </c>
      <c r="B178" s="475">
        <v>12420</v>
      </c>
      <c r="C178" s="47" t="s">
        <v>138</v>
      </c>
      <c r="D178" s="476">
        <v>329571.81</v>
      </c>
      <c r="E178" s="48">
        <v>414814.19</v>
      </c>
      <c r="F178" s="48">
        <v>0</v>
      </c>
      <c r="G178" s="49">
        <v>744386</v>
      </c>
      <c r="H178" s="477">
        <v>0</v>
      </c>
      <c r="I178" s="50">
        <v>0</v>
      </c>
      <c r="J178" s="51">
        <v>0</v>
      </c>
      <c r="K178" s="52">
        <v>0</v>
      </c>
      <c r="L178" s="50">
        <v>744386</v>
      </c>
      <c r="N178" s="102"/>
    </row>
    <row r="179" ht="18" customHeight="1" spans="1:14" x14ac:dyDescent="0.25">
      <c r="A179" s="474" t="s">
        <v>942</v>
      </c>
      <c r="B179" s="475">
        <v>12421</v>
      </c>
      <c r="C179" s="47" t="s">
        <v>126</v>
      </c>
      <c r="D179" s="476">
        <v>25000</v>
      </c>
      <c r="E179" s="48">
        <v>-24500</v>
      </c>
      <c r="F179" s="48">
        <v>0</v>
      </c>
      <c r="G179" s="49">
        <v>500</v>
      </c>
      <c r="H179" s="477">
        <v>256</v>
      </c>
      <c r="I179" s="50">
        <v>0</v>
      </c>
      <c r="J179" s="51">
        <v>256</v>
      </c>
      <c r="K179" s="52">
        <v>0.512</v>
      </c>
      <c r="L179" s="50">
        <v>244</v>
      </c>
      <c r="N179" s="102"/>
    </row>
    <row r="180" ht="18" customHeight="1" spans="1:14" x14ac:dyDescent="0.25">
      <c r="A180" s="474">
        <v>1275001</v>
      </c>
      <c r="B180" s="475">
        <v>12422</v>
      </c>
      <c r="C180" s="47" t="s">
        <v>139</v>
      </c>
      <c r="D180" s="476">
        <v>365000</v>
      </c>
      <c r="E180" s="48">
        <v>93520</v>
      </c>
      <c r="F180" s="48">
        <v>0</v>
      </c>
      <c r="G180" s="49">
        <v>458520</v>
      </c>
      <c r="H180" s="477">
        <v>0</v>
      </c>
      <c r="I180" s="50">
        <v>437249.76</v>
      </c>
      <c r="J180" s="51">
        <v>437249.76</v>
      </c>
      <c r="K180" s="52">
        <v>0.9536110965715782</v>
      </c>
      <c r="L180" s="50">
        <v>21270.23999999999</v>
      </c>
      <c r="N180" s="102"/>
    </row>
    <row r="181" ht="18" customHeight="1" hidden="1" spans="1:14" x14ac:dyDescent="0.25">
      <c r="A181" s="474"/>
      <c r="B181" s="475">
        <v>12423</v>
      </c>
      <c r="C181" s="47" t="s">
        <v>140</v>
      </c>
      <c r="D181" s="476">
        <v>0</v>
      </c>
      <c r="E181" s="48">
        <v>0</v>
      </c>
      <c r="F181" s="48">
        <v>0</v>
      </c>
      <c r="G181" s="49">
        <v>0</v>
      </c>
      <c r="H181" s="477">
        <v>0</v>
      </c>
      <c r="I181" s="50">
        <v>0</v>
      </c>
      <c r="J181" s="51">
        <v>0</v>
      </c>
      <c r="K181" s="52" t="e">
        <v>#DIV/0!</v>
      </c>
      <c r="L181" s="50">
        <v>0</v>
      </c>
      <c r="N181" s="102"/>
    </row>
    <row r="182" ht="18" customHeight="1" hidden="1" spans="1:14" x14ac:dyDescent="0.25" outlineLevel="1" collapsed="1">
      <c r="A182" s="474"/>
      <c r="B182" s="475">
        <v>12424</v>
      </c>
      <c r="C182" s="47" t="s">
        <v>141</v>
      </c>
      <c r="D182" s="476">
        <v>0</v>
      </c>
      <c r="E182" s="48">
        <v>0</v>
      </c>
      <c r="F182" s="48">
        <v>0</v>
      </c>
      <c r="G182" s="49">
        <v>0</v>
      </c>
      <c r="H182" s="477">
        <v>0</v>
      </c>
      <c r="I182" s="50">
        <v>0</v>
      </c>
      <c r="J182" s="51">
        <v>0</v>
      </c>
      <c r="K182" s="52">
        <v>0</v>
      </c>
      <c r="L182" s="50">
        <v>0</v>
      </c>
      <c r="N182" s="102"/>
    </row>
    <row r="183" ht="18" customHeight="1" hidden="1" spans="1:14" x14ac:dyDescent="0.25" outlineLevel="1" collapsed="1">
      <c r="A183" s="474"/>
      <c r="B183" s="475">
        <v>12425</v>
      </c>
      <c r="C183" s="47" t="s">
        <v>142</v>
      </c>
      <c r="D183" s="476">
        <v>0</v>
      </c>
      <c r="E183" s="48">
        <v>0</v>
      </c>
      <c r="F183" s="48">
        <v>0</v>
      </c>
      <c r="G183" s="49">
        <v>0</v>
      </c>
      <c r="H183" s="477">
        <v>0</v>
      </c>
      <c r="I183" s="50">
        <v>0</v>
      </c>
      <c r="J183" s="51">
        <v>0</v>
      </c>
      <c r="K183" s="52" t="e">
        <v>#DIV/0!</v>
      </c>
      <c r="L183" s="50">
        <v>0</v>
      </c>
      <c r="N183" s="102"/>
    </row>
    <row r="184" ht="18" customHeight="1" hidden="1" spans="1:14" x14ac:dyDescent="0.25" outlineLevel="1" collapsed="1">
      <c r="A184" s="474"/>
      <c r="B184" s="475">
        <v>12426</v>
      </c>
      <c r="C184" s="47" t="s">
        <v>143</v>
      </c>
      <c r="D184" s="476">
        <v>0</v>
      </c>
      <c r="E184" s="48">
        <v>0</v>
      </c>
      <c r="F184" s="48">
        <v>0</v>
      </c>
      <c r="G184" s="49">
        <v>0</v>
      </c>
      <c r="H184" s="477">
        <v>0</v>
      </c>
      <c r="I184" s="50">
        <v>0</v>
      </c>
      <c r="J184" s="51">
        <v>0</v>
      </c>
      <c r="K184" s="52" t="e">
        <v>#DIV/0!</v>
      </c>
      <c r="L184" s="50">
        <v>0</v>
      </c>
      <c r="N184" s="102"/>
    </row>
    <row r="185" ht="18" customHeight="1" hidden="1" spans="1:14" x14ac:dyDescent="0.25" outlineLevel="1" collapsed="1">
      <c r="A185" s="474"/>
      <c r="B185" s="475">
        <v>12810</v>
      </c>
      <c r="C185" s="47" t="s">
        <v>144</v>
      </c>
      <c r="D185" s="476">
        <v>0</v>
      </c>
      <c r="E185" s="48">
        <v>0</v>
      </c>
      <c r="F185" s="48">
        <v>0</v>
      </c>
      <c r="G185" s="49">
        <v>0</v>
      </c>
      <c r="H185" s="477">
        <v>0</v>
      </c>
      <c r="I185" s="50">
        <v>0</v>
      </c>
      <c r="J185" s="51">
        <v>0</v>
      </c>
      <c r="K185" s="52" t="e">
        <v>#DIV/0!</v>
      </c>
      <c r="L185" s="50">
        <v>0</v>
      </c>
      <c r="N185" s="102"/>
    </row>
    <row r="186" ht="18" customHeight="1" hidden="1" spans="1:14" x14ac:dyDescent="0.25" outlineLevel="1" collapsed="1">
      <c r="A186" s="474"/>
      <c r="B186" s="475">
        <v>12830</v>
      </c>
      <c r="C186" s="47" t="s">
        <v>145</v>
      </c>
      <c r="D186" s="476">
        <v>0</v>
      </c>
      <c r="E186" s="48">
        <v>0</v>
      </c>
      <c r="F186" s="48">
        <v>0</v>
      </c>
      <c r="G186" s="49">
        <v>0</v>
      </c>
      <c r="H186" s="477">
        <v>0</v>
      </c>
      <c r="I186" s="50">
        <v>0</v>
      </c>
      <c r="J186" s="51">
        <v>0</v>
      </c>
      <c r="K186" s="52" t="e">
        <v>#DIV/0!</v>
      </c>
      <c r="L186" s="50">
        <v>0</v>
      </c>
      <c r="N186" s="102"/>
    </row>
    <row r="187" ht="18" customHeight="1" hidden="1" spans="1:14" x14ac:dyDescent="0.25" outlineLevel="1" collapsed="1">
      <c r="A187" s="474"/>
      <c r="B187" s="475">
        <v>12840</v>
      </c>
      <c r="C187" s="47" t="s">
        <v>146</v>
      </c>
      <c r="D187" s="476">
        <v>0</v>
      </c>
      <c r="E187" s="48">
        <v>0</v>
      </c>
      <c r="F187" s="48">
        <v>0</v>
      </c>
      <c r="G187" s="49">
        <v>0</v>
      </c>
      <c r="H187" s="477">
        <v>0</v>
      </c>
      <c r="I187" s="50">
        <v>0</v>
      </c>
      <c r="J187" s="51">
        <v>0</v>
      </c>
      <c r="K187" s="52" t="e">
        <v>#DIV/0!</v>
      </c>
      <c r="L187" s="50">
        <v>0</v>
      </c>
      <c r="N187" s="102"/>
    </row>
    <row r="188" ht="18" customHeight="1" spans="1:14" x14ac:dyDescent="0.25">
      <c r="A188" s="474" t="s">
        <v>943</v>
      </c>
      <c r="B188" s="475">
        <v>12910</v>
      </c>
      <c r="C188" s="47" t="s">
        <v>147</v>
      </c>
      <c r="D188" s="476">
        <v>1485567.04</v>
      </c>
      <c r="E188" s="48">
        <v>-108132.04000000004</v>
      </c>
      <c r="F188" s="48">
        <v>0</v>
      </c>
      <c r="G188" s="49">
        <v>1377435</v>
      </c>
      <c r="H188" s="477">
        <v>0</v>
      </c>
      <c r="I188" s="50">
        <v>0</v>
      </c>
      <c r="J188" s="51">
        <v>0</v>
      </c>
      <c r="K188" s="52">
        <v>0</v>
      </c>
      <c r="L188" s="50">
        <v>1377435</v>
      </c>
      <c r="N188" s="102"/>
    </row>
    <row r="189" ht="18" customHeight="1" hidden="1" spans="1:14" x14ac:dyDescent="0.25" outlineLevel="1" collapsed="1">
      <c r="A189" s="474" t="e">
        <v>#REF!</v>
      </c>
      <c r="B189" s="475">
        <v>12912</v>
      </c>
      <c r="C189" s="47" t="s">
        <v>148</v>
      </c>
      <c r="D189" s="476">
        <v>0</v>
      </c>
      <c r="E189" s="48">
        <v>0</v>
      </c>
      <c r="F189" s="48">
        <v>0</v>
      </c>
      <c r="G189" s="49">
        <v>0</v>
      </c>
      <c r="H189" s="477">
        <v>0</v>
      </c>
      <c r="I189" s="50">
        <v>0</v>
      </c>
      <c r="J189" s="51">
        <v>0</v>
      </c>
      <c r="K189" s="50"/>
      <c r="L189" s="50">
        <v>0</v>
      </c>
      <c r="N189" s="102"/>
    </row>
    <row r="190" ht="18" customHeight="1" spans="1:14" x14ac:dyDescent="0.25">
      <c r="A190" s="482"/>
      <c r="B190" s="482"/>
      <c r="C190" s="73" t="s">
        <v>149</v>
      </c>
      <c r="D190" s="58">
        <v>2257638.85</v>
      </c>
      <c r="E190" s="58">
        <v>363202.14999999997</v>
      </c>
      <c r="F190" s="58">
        <v>0</v>
      </c>
      <c r="G190" s="58">
        <v>2620841</v>
      </c>
      <c r="H190" s="58">
        <v>6364.480000000001</v>
      </c>
      <c r="I190" s="58">
        <v>437488.85000000003</v>
      </c>
      <c r="J190" s="58">
        <v>443853.33</v>
      </c>
      <c r="K190" s="59">
        <v>0.1693553061784366</v>
      </c>
      <c r="L190" s="58">
        <v>2176987.67</v>
      </c>
      <c r="N190" s="102"/>
    </row>
    <row r="191" ht="18" customHeight="1" hidden="1" spans="1:14" x14ac:dyDescent="0.25" outlineLevel="1" collapsed="1">
      <c r="A191" s="475"/>
      <c r="B191" s="475">
        <v>12502</v>
      </c>
      <c r="C191" s="47" t="s">
        <v>944</v>
      </c>
      <c r="D191" s="476">
        <v>0</v>
      </c>
      <c r="E191" s="48">
        <v>0</v>
      </c>
      <c r="F191" s="48">
        <v>0</v>
      </c>
      <c r="G191" s="49">
        <v>0</v>
      </c>
      <c r="H191" s="477">
        <v>0</v>
      </c>
      <c r="I191" s="50">
        <v>0</v>
      </c>
      <c r="J191" s="51">
        <v>0</v>
      </c>
      <c r="K191" s="50"/>
      <c r="L191" s="50">
        <v>0</v>
      </c>
      <c r="N191" s="102"/>
    </row>
    <row r="192" ht="18" customHeight="1" hidden="1" spans="1:14" x14ac:dyDescent="0.25" outlineLevel="1" collapsed="1">
      <c r="A192" s="475"/>
      <c r="B192" s="475">
        <v>12504</v>
      </c>
      <c r="C192" s="47" t="s">
        <v>945</v>
      </c>
      <c r="D192" s="476">
        <v>0</v>
      </c>
      <c r="E192" s="48">
        <v>0</v>
      </c>
      <c r="F192" s="48">
        <v>0</v>
      </c>
      <c r="G192" s="49">
        <v>0</v>
      </c>
      <c r="H192" s="477">
        <v>0</v>
      </c>
      <c r="I192" s="50">
        <v>0</v>
      </c>
      <c r="J192" s="51">
        <v>0</v>
      </c>
      <c r="K192" s="50"/>
      <c r="L192" s="50">
        <v>0</v>
      </c>
      <c r="N192" s="102"/>
    </row>
    <row r="193" ht="18" customHeight="1" hidden="1" spans="1:14" x14ac:dyDescent="0.25" outlineLevel="1" collapsed="1">
      <c r="A193" s="475"/>
      <c r="B193" s="475">
        <v>12506</v>
      </c>
      <c r="C193" s="47" t="s">
        <v>946</v>
      </c>
      <c r="D193" s="476">
        <v>0</v>
      </c>
      <c r="E193" s="48">
        <v>0</v>
      </c>
      <c r="F193" s="48">
        <v>0</v>
      </c>
      <c r="G193" s="49">
        <v>0</v>
      </c>
      <c r="H193" s="477">
        <v>0</v>
      </c>
      <c r="I193" s="50">
        <v>0</v>
      </c>
      <c r="J193" s="51">
        <v>0</v>
      </c>
      <c r="K193" s="50"/>
      <c r="L193" s="50">
        <v>0</v>
      </c>
      <c r="N193" s="102"/>
    </row>
    <row r="194" ht="18" customHeight="1" hidden="1" spans="1:14" x14ac:dyDescent="0.25" outlineLevel="1" collapsed="1">
      <c r="A194" s="475"/>
      <c r="B194" s="475">
        <v>12508</v>
      </c>
      <c r="C194" s="47" t="s">
        <v>947</v>
      </c>
      <c r="D194" s="476">
        <v>0</v>
      </c>
      <c r="E194" s="48">
        <v>0</v>
      </c>
      <c r="F194" s="48">
        <v>0</v>
      </c>
      <c r="G194" s="49">
        <v>0</v>
      </c>
      <c r="H194" s="477">
        <v>0</v>
      </c>
      <c r="I194" s="50">
        <v>0</v>
      </c>
      <c r="J194" s="51">
        <v>0</v>
      </c>
      <c r="K194" s="50"/>
      <c r="L194" s="50">
        <v>0</v>
      </c>
      <c r="N194" s="102"/>
    </row>
    <row r="195" ht="18" customHeight="1" hidden="1" spans="1:14" x14ac:dyDescent="0.25" outlineLevel="1" collapsed="1">
      <c r="A195" s="475"/>
      <c r="B195" s="475">
        <v>12512</v>
      </c>
      <c r="C195" s="47" t="s">
        <v>948</v>
      </c>
      <c r="D195" s="476">
        <v>0</v>
      </c>
      <c r="E195" s="48">
        <v>0</v>
      </c>
      <c r="F195" s="48">
        <v>0</v>
      </c>
      <c r="G195" s="49">
        <v>0</v>
      </c>
      <c r="H195" s="477">
        <v>0</v>
      </c>
      <c r="I195" s="50">
        <v>0</v>
      </c>
      <c r="J195" s="51">
        <v>0</v>
      </c>
      <c r="K195" s="50"/>
      <c r="L195" s="50">
        <v>0</v>
      </c>
      <c r="N195" s="102"/>
    </row>
    <row r="196" ht="18" customHeight="1" hidden="1" spans="1:14" x14ac:dyDescent="0.25" outlineLevel="1" collapsed="1">
      <c r="A196" s="475"/>
      <c r="B196" s="475">
        <v>12514</v>
      </c>
      <c r="C196" s="47" t="s">
        <v>949</v>
      </c>
      <c r="D196" s="476">
        <v>0</v>
      </c>
      <c r="E196" s="48">
        <v>0</v>
      </c>
      <c r="F196" s="48">
        <v>0</v>
      </c>
      <c r="G196" s="49">
        <v>0</v>
      </c>
      <c r="H196" s="477">
        <v>0</v>
      </c>
      <c r="I196" s="50">
        <v>0</v>
      </c>
      <c r="J196" s="51">
        <v>0</v>
      </c>
      <c r="K196" s="50"/>
      <c r="L196" s="50">
        <v>0</v>
      </c>
      <c r="N196" s="102"/>
    </row>
    <row r="197" ht="18" customHeight="1" hidden="1" spans="1:14" x14ac:dyDescent="0.25" outlineLevel="1" collapsed="1">
      <c r="A197" s="475"/>
      <c r="B197" s="475">
        <v>12516</v>
      </c>
      <c r="C197" s="47" t="s">
        <v>950</v>
      </c>
      <c r="D197" s="476">
        <v>0</v>
      </c>
      <c r="E197" s="48">
        <v>0</v>
      </c>
      <c r="F197" s="48">
        <v>0</v>
      </c>
      <c r="G197" s="49">
        <v>0</v>
      </c>
      <c r="H197" s="477">
        <v>0</v>
      </c>
      <c r="I197" s="50">
        <v>0</v>
      </c>
      <c r="J197" s="51">
        <v>0</v>
      </c>
      <c r="K197" s="50"/>
      <c r="L197" s="50">
        <v>0</v>
      </c>
      <c r="N197" s="102"/>
    </row>
    <row r="198" ht="18" customHeight="1" hidden="1" spans="1:14" x14ac:dyDescent="0.25" outlineLevel="1" collapsed="1">
      <c r="A198" s="475"/>
      <c r="B198" s="475">
        <v>12518</v>
      </c>
      <c r="C198" s="47" t="s">
        <v>951</v>
      </c>
      <c r="D198" s="476">
        <v>0</v>
      </c>
      <c r="E198" s="48">
        <v>0</v>
      </c>
      <c r="F198" s="48">
        <v>0</v>
      </c>
      <c r="G198" s="49">
        <v>0</v>
      </c>
      <c r="H198" s="477">
        <v>0</v>
      </c>
      <c r="I198" s="50">
        <v>0</v>
      </c>
      <c r="J198" s="51">
        <v>0</v>
      </c>
      <c r="K198" s="50"/>
      <c r="L198" s="50">
        <v>0</v>
      </c>
      <c r="N198" s="102"/>
    </row>
    <row r="199" ht="18" customHeight="1" hidden="1" spans="1:14" x14ac:dyDescent="0.25" outlineLevel="1" collapsed="1">
      <c r="A199" s="475"/>
      <c r="B199" s="475">
        <v>12519</v>
      </c>
      <c r="C199" s="47" t="s">
        <v>952</v>
      </c>
      <c r="D199" s="476">
        <v>0</v>
      </c>
      <c r="E199" s="48">
        <v>0</v>
      </c>
      <c r="F199" s="48">
        <v>0</v>
      </c>
      <c r="G199" s="49">
        <v>0</v>
      </c>
      <c r="H199" s="477">
        <v>0</v>
      </c>
      <c r="I199" s="50">
        <v>0</v>
      </c>
      <c r="J199" s="51">
        <v>0</v>
      </c>
      <c r="K199" s="50"/>
      <c r="L199" s="50">
        <v>0</v>
      </c>
      <c r="N199" s="102"/>
    </row>
    <row r="200" ht="18" customHeight="1" hidden="1" spans="1:14" x14ac:dyDescent="0.25" outlineLevel="1" collapsed="1">
      <c r="A200" s="475"/>
      <c r="B200" s="475">
        <v>12521</v>
      </c>
      <c r="C200" s="47" t="s">
        <v>953</v>
      </c>
      <c r="D200" s="476">
        <v>0</v>
      </c>
      <c r="E200" s="48">
        <v>0</v>
      </c>
      <c r="F200" s="48">
        <v>0</v>
      </c>
      <c r="G200" s="49">
        <v>0</v>
      </c>
      <c r="H200" s="477">
        <v>0</v>
      </c>
      <c r="I200" s="50">
        <v>0</v>
      </c>
      <c r="J200" s="51">
        <v>0</v>
      </c>
      <c r="K200" s="50"/>
      <c r="L200" s="50">
        <v>0</v>
      </c>
      <c r="N200" s="102"/>
    </row>
    <row r="201" ht="18" customHeight="1" hidden="1" spans="1:14" x14ac:dyDescent="0.25" outlineLevel="1" collapsed="1">
      <c r="A201" s="475"/>
      <c r="B201" s="475">
        <v>12522</v>
      </c>
      <c r="C201" s="47" t="s">
        <v>954</v>
      </c>
      <c r="D201" s="476">
        <v>0</v>
      </c>
      <c r="E201" s="48">
        <v>0</v>
      </c>
      <c r="F201" s="48">
        <v>0</v>
      </c>
      <c r="G201" s="49">
        <v>0</v>
      </c>
      <c r="H201" s="477">
        <v>0</v>
      </c>
      <c r="I201" s="50">
        <v>0</v>
      </c>
      <c r="J201" s="51">
        <v>0</v>
      </c>
      <c r="K201" s="50"/>
      <c r="L201" s="50">
        <v>0</v>
      </c>
      <c r="N201" s="102"/>
    </row>
    <row r="202" ht="18" customHeight="1" hidden="1" spans="1:14" x14ac:dyDescent="0.25" outlineLevel="1" collapsed="1">
      <c r="A202" s="475"/>
      <c r="B202" s="475">
        <v>12525</v>
      </c>
      <c r="C202" s="47" t="s">
        <v>955</v>
      </c>
      <c r="D202" s="476">
        <v>0</v>
      </c>
      <c r="E202" s="48">
        <v>0</v>
      </c>
      <c r="F202" s="48">
        <v>0</v>
      </c>
      <c r="G202" s="49">
        <v>0</v>
      </c>
      <c r="H202" s="477">
        <v>0</v>
      </c>
      <c r="I202" s="50">
        <v>0</v>
      </c>
      <c r="J202" s="51">
        <v>0</v>
      </c>
      <c r="K202" s="50"/>
      <c r="L202" s="50">
        <v>0</v>
      </c>
      <c r="N202" s="102"/>
    </row>
    <row r="203" ht="18" customHeight="1" hidden="1" spans="1:14" x14ac:dyDescent="0.25" outlineLevel="1" collapsed="1">
      <c r="A203" s="475"/>
      <c r="B203" s="475">
        <v>12526</v>
      </c>
      <c r="C203" s="47" t="s">
        <v>956</v>
      </c>
      <c r="D203" s="476">
        <v>0</v>
      </c>
      <c r="E203" s="48">
        <v>0</v>
      </c>
      <c r="F203" s="48">
        <v>0</v>
      </c>
      <c r="G203" s="49">
        <v>0</v>
      </c>
      <c r="H203" s="477">
        <v>0</v>
      </c>
      <c r="I203" s="50">
        <v>0</v>
      </c>
      <c r="J203" s="51">
        <v>0</v>
      </c>
      <c r="K203" s="50"/>
      <c r="L203" s="50">
        <v>0</v>
      </c>
      <c r="N203" s="102"/>
    </row>
    <row r="204" ht="18" customHeight="1" hidden="1" spans="1:14" x14ac:dyDescent="0.25" outlineLevel="1" collapsed="1">
      <c r="A204" s="475"/>
      <c r="B204" s="475">
        <v>12528</v>
      </c>
      <c r="C204" s="47" t="s">
        <v>957</v>
      </c>
      <c r="D204" s="476">
        <v>0</v>
      </c>
      <c r="E204" s="48">
        <v>0</v>
      </c>
      <c r="F204" s="48">
        <v>0</v>
      </c>
      <c r="G204" s="49">
        <v>0</v>
      </c>
      <c r="H204" s="477">
        <v>0</v>
      </c>
      <c r="I204" s="50">
        <v>0</v>
      </c>
      <c r="J204" s="51">
        <v>0</v>
      </c>
      <c r="K204" s="50"/>
      <c r="L204" s="50">
        <v>0</v>
      </c>
      <c r="N204" s="102"/>
    </row>
    <row r="205" ht="18" customHeight="1" hidden="1" spans="1:14" x14ac:dyDescent="0.25" outlineLevel="1" collapsed="1">
      <c r="A205" s="475"/>
      <c r="B205" s="475">
        <v>12531</v>
      </c>
      <c r="C205" s="47" t="s">
        <v>958</v>
      </c>
      <c r="D205" s="476">
        <v>0</v>
      </c>
      <c r="E205" s="48">
        <v>0</v>
      </c>
      <c r="F205" s="48">
        <v>0</v>
      </c>
      <c r="G205" s="49">
        <v>0</v>
      </c>
      <c r="H205" s="477">
        <v>0</v>
      </c>
      <c r="I205" s="50">
        <v>0</v>
      </c>
      <c r="J205" s="51">
        <v>0</v>
      </c>
      <c r="K205" s="50"/>
      <c r="L205" s="50">
        <v>0</v>
      </c>
      <c r="N205" s="102"/>
    </row>
    <row r="206" ht="18" customHeight="1" hidden="1" spans="1:14" x14ac:dyDescent="0.25" outlineLevel="1" collapsed="1">
      <c r="A206" s="475"/>
      <c r="B206" s="475">
        <v>12532</v>
      </c>
      <c r="C206" s="47" t="s">
        <v>959</v>
      </c>
      <c r="D206" s="476">
        <v>0</v>
      </c>
      <c r="E206" s="48">
        <v>0</v>
      </c>
      <c r="F206" s="48">
        <v>0</v>
      </c>
      <c r="G206" s="49">
        <v>0</v>
      </c>
      <c r="H206" s="477">
        <v>0</v>
      </c>
      <c r="I206" s="50">
        <v>0</v>
      </c>
      <c r="J206" s="51">
        <v>0</v>
      </c>
      <c r="K206" s="50"/>
      <c r="L206" s="50">
        <v>0</v>
      </c>
      <c r="N206" s="102"/>
    </row>
    <row r="207" ht="18" customHeight="1" hidden="1" spans="1:14" x14ac:dyDescent="0.25" outlineLevel="1" collapsed="1">
      <c r="A207" s="475"/>
      <c r="B207" s="475">
        <v>12534</v>
      </c>
      <c r="C207" s="47" t="s">
        <v>960</v>
      </c>
      <c r="D207" s="476">
        <v>0</v>
      </c>
      <c r="E207" s="48">
        <v>0</v>
      </c>
      <c r="F207" s="48">
        <v>0</v>
      </c>
      <c r="G207" s="49">
        <v>0</v>
      </c>
      <c r="H207" s="477">
        <v>0</v>
      </c>
      <c r="I207" s="50">
        <v>0</v>
      </c>
      <c r="J207" s="51">
        <v>0</v>
      </c>
      <c r="K207" s="50"/>
      <c r="L207" s="50">
        <v>0</v>
      </c>
      <c r="N207" s="102"/>
    </row>
    <row r="208" ht="18" customHeight="1" hidden="1" spans="1:14" x14ac:dyDescent="0.25" outlineLevel="1" collapsed="1">
      <c r="A208" s="475"/>
      <c r="B208" s="475">
        <v>12536</v>
      </c>
      <c r="C208" s="47" t="s">
        <v>961</v>
      </c>
      <c r="D208" s="476">
        <v>0</v>
      </c>
      <c r="E208" s="48">
        <v>0</v>
      </c>
      <c r="F208" s="48">
        <v>0</v>
      </c>
      <c r="G208" s="49">
        <v>0</v>
      </c>
      <c r="H208" s="477">
        <v>0</v>
      </c>
      <c r="I208" s="50">
        <v>0</v>
      </c>
      <c r="J208" s="51">
        <v>0</v>
      </c>
      <c r="K208" s="50"/>
      <c r="L208" s="50">
        <v>0</v>
      </c>
      <c r="N208" s="102"/>
    </row>
    <row r="209" ht="18" customHeight="1" hidden="1" spans="1:14" x14ac:dyDescent="0.25" outlineLevel="1" collapsed="1">
      <c r="A209" s="475"/>
      <c r="B209" s="475">
        <v>12538</v>
      </c>
      <c r="C209" s="47" t="s">
        <v>962</v>
      </c>
      <c r="D209" s="476">
        <v>0</v>
      </c>
      <c r="E209" s="48">
        <v>0</v>
      </c>
      <c r="F209" s="48">
        <v>0</v>
      </c>
      <c r="G209" s="49">
        <v>0</v>
      </c>
      <c r="H209" s="477">
        <v>0</v>
      </c>
      <c r="I209" s="50">
        <v>0</v>
      </c>
      <c r="J209" s="51">
        <v>0</v>
      </c>
      <c r="K209" s="50"/>
      <c r="L209" s="50">
        <v>0</v>
      </c>
      <c r="N209" s="102"/>
    </row>
    <row r="210" ht="18" customHeight="1" hidden="1" spans="1:14" x14ac:dyDescent="0.25" outlineLevel="1" collapsed="1">
      <c r="A210" s="475"/>
      <c r="B210" s="475">
        <v>12542</v>
      </c>
      <c r="C210" s="47" t="s">
        <v>963</v>
      </c>
      <c r="D210" s="476">
        <v>0</v>
      </c>
      <c r="E210" s="48">
        <v>0</v>
      </c>
      <c r="F210" s="48">
        <v>0</v>
      </c>
      <c r="G210" s="49">
        <v>0</v>
      </c>
      <c r="H210" s="477">
        <v>0</v>
      </c>
      <c r="I210" s="50">
        <v>0</v>
      </c>
      <c r="J210" s="51">
        <v>0</v>
      </c>
      <c r="K210" s="50"/>
      <c r="L210" s="50">
        <v>0</v>
      </c>
      <c r="N210" s="102"/>
    </row>
    <row r="211" ht="18" customHeight="1" hidden="1" spans="1:14" x14ac:dyDescent="0.25" outlineLevel="1" collapsed="1">
      <c r="A211" s="475"/>
      <c r="B211" s="475">
        <v>12544</v>
      </c>
      <c r="C211" s="47" t="s">
        <v>964</v>
      </c>
      <c r="D211" s="476">
        <v>0</v>
      </c>
      <c r="E211" s="48">
        <v>0</v>
      </c>
      <c r="F211" s="48">
        <v>0</v>
      </c>
      <c r="G211" s="49">
        <v>0</v>
      </c>
      <c r="H211" s="477">
        <v>0</v>
      </c>
      <c r="I211" s="50">
        <v>0</v>
      </c>
      <c r="J211" s="51">
        <v>0</v>
      </c>
      <c r="K211" s="50"/>
      <c r="L211" s="50">
        <v>0</v>
      </c>
      <c r="N211" s="102"/>
    </row>
    <row r="212" ht="18" customHeight="1" hidden="1" spans="1:14" x14ac:dyDescent="0.25" outlineLevel="1" collapsed="1">
      <c r="A212" s="475"/>
      <c r="B212" s="475">
        <v>12545</v>
      </c>
      <c r="C212" s="47" t="s">
        <v>965</v>
      </c>
      <c r="D212" s="476">
        <v>0</v>
      </c>
      <c r="E212" s="48">
        <v>0</v>
      </c>
      <c r="F212" s="48">
        <v>0</v>
      </c>
      <c r="G212" s="49">
        <v>0</v>
      </c>
      <c r="H212" s="477">
        <v>0</v>
      </c>
      <c r="I212" s="50">
        <v>0</v>
      </c>
      <c r="J212" s="51">
        <v>0</v>
      </c>
      <c r="K212" s="50"/>
      <c r="L212" s="50">
        <v>0</v>
      </c>
      <c r="N212" s="102"/>
    </row>
    <row r="213" ht="18" customHeight="1" hidden="1" spans="1:14" x14ac:dyDescent="0.25" outlineLevel="1" collapsed="1">
      <c r="A213" s="475"/>
      <c r="B213" s="475">
        <v>12546</v>
      </c>
      <c r="C213" s="47" t="s">
        <v>966</v>
      </c>
      <c r="D213" s="476">
        <v>0</v>
      </c>
      <c r="E213" s="48">
        <v>0</v>
      </c>
      <c r="F213" s="48">
        <v>0</v>
      </c>
      <c r="G213" s="49">
        <v>0</v>
      </c>
      <c r="H213" s="477">
        <v>0</v>
      </c>
      <c r="I213" s="50">
        <v>0</v>
      </c>
      <c r="J213" s="51">
        <v>0</v>
      </c>
      <c r="K213" s="50"/>
      <c r="L213" s="50">
        <v>0</v>
      </c>
      <c r="N213" s="102"/>
    </row>
    <row r="214" ht="18" customHeight="1" hidden="1" spans="1:14" x14ac:dyDescent="0.25" outlineLevel="1" collapsed="1">
      <c r="A214" s="475"/>
      <c r="B214" s="475">
        <v>12548</v>
      </c>
      <c r="C214" s="47" t="s">
        <v>967</v>
      </c>
      <c r="D214" s="476">
        <v>0</v>
      </c>
      <c r="E214" s="48">
        <v>0</v>
      </c>
      <c r="F214" s="48">
        <v>0</v>
      </c>
      <c r="G214" s="49">
        <v>0</v>
      </c>
      <c r="H214" s="477">
        <v>0</v>
      </c>
      <c r="I214" s="50">
        <v>0</v>
      </c>
      <c r="J214" s="51">
        <v>0</v>
      </c>
      <c r="K214" s="50"/>
      <c r="L214" s="50">
        <v>0</v>
      </c>
      <c r="N214" s="102"/>
    </row>
    <row r="215" ht="18" customHeight="1" hidden="1" spans="1:14" x14ac:dyDescent="0.25" outlineLevel="1" collapsed="1">
      <c r="A215" s="475"/>
      <c r="B215" s="475">
        <v>12552</v>
      </c>
      <c r="C215" s="47" t="s">
        <v>968</v>
      </c>
      <c r="D215" s="476">
        <v>0</v>
      </c>
      <c r="E215" s="48">
        <v>0</v>
      </c>
      <c r="F215" s="48">
        <v>0</v>
      </c>
      <c r="G215" s="49">
        <v>0</v>
      </c>
      <c r="H215" s="477">
        <v>0</v>
      </c>
      <c r="I215" s="50">
        <v>0</v>
      </c>
      <c r="J215" s="51">
        <v>0</v>
      </c>
      <c r="K215" s="50"/>
      <c r="L215" s="50">
        <v>0</v>
      </c>
      <c r="N215" s="102"/>
    </row>
    <row r="216" ht="18" customHeight="1" hidden="1" spans="1:14" x14ac:dyDescent="0.25" outlineLevel="1" collapsed="1">
      <c r="A216" s="475"/>
      <c r="B216" s="475">
        <v>12554</v>
      </c>
      <c r="C216" s="47" t="s">
        <v>969</v>
      </c>
      <c r="D216" s="476">
        <v>0</v>
      </c>
      <c r="E216" s="48">
        <v>0</v>
      </c>
      <c r="F216" s="48">
        <v>0</v>
      </c>
      <c r="G216" s="49">
        <v>0</v>
      </c>
      <c r="H216" s="477">
        <v>0</v>
      </c>
      <c r="I216" s="50">
        <v>0</v>
      </c>
      <c r="J216" s="51">
        <v>0</v>
      </c>
      <c r="K216" s="50"/>
      <c r="L216" s="50">
        <v>0</v>
      </c>
      <c r="N216" s="102"/>
    </row>
    <row r="217" ht="18" customHeight="1" hidden="1" spans="1:14" x14ac:dyDescent="0.25" outlineLevel="1" collapsed="1">
      <c r="A217" s="475"/>
      <c r="B217" s="475">
        <v>12555</v>
      </c>
      <c r="C217" s="47" t="s">
        <v>507</v>
      </c>
      <c r="D217" s="476">
        <v>0</v>
      </c>
      <c r="E217" s="48">
        <v>0</v>
      </c>
      <c r="F217" s="48">
        <v>0</v>
      </c>
      <c r="G217" s="49">
        <v>0</v>
      </c>
      <c r="H217" s="477">
        <v>0</v>
      </c>
      <c r="I217" s="50">
        <v>0</v>
      </c>
      <c r="J217" s="51">
        <v>0</v>
      </c>
      <c r="K217" s="50"/>
      <c r="L217" s="50">
        <v>0</v>
      </c>
      <c r="N217" s="102"/>
    </row>
    <row r="218" ht="18" customHeight="1" hidden="1" spans="1:14" x14ac:dyDescent="0.25" outlineLevel="1" collapsed="1">
      <c r="A218" s="475"/>
      <c r="B218" s="475">
        <v>12556</v>
      </c>
      <c r="C218" s="47" t="s">
        <v>970</v>
      </c>
      <c r="D218" s="476">
        <v>0</v>
      </c>
      <c r="E218" s="48">
        <v>0</v>
      </c>
      <c r="F218" s="48">
        <v>0</v>
      </c>
      <c r="G218" s="49">
        <v>0</v>
      </c>
      <c r="H218" s="477">
        <v>0</v>
      </c>
      <c r="I218" s="50">
        <v>0</v>
      </c>
      <c r="J218" s="51">
        <v>0</v>
      </c>
      <c r="K218" s="50"/>
      <c r="L218" s="50">
        <v>0</v>
      </c>
      <c r="N218" s="102"/>
    </row>
    <row r="219" ht="18" customHeight="1" hidden="1" spans="1:14" x14ac:dyDescent="0.25" outlineLevel="1" collapsed="1">
      <c r="A219" s="475"/>
      <c r="B219" s="475">
        <v>12558</v>
      </c>
      <c r="C219" s="47" t="s">
        <v>971</v>
      </c>
      <c r="D219" s="476">
        <v>0</v>
      </c>
      <c r="E219" s="48">
        <v>0</v>
      </c>
      <c r="F219" s="48">
        <v>0</v>
      </c>
      <c r="G219" s="49">
        <v>0</v>
      </c>
      <c r="H219" s="477">
        <v>0</v>
      </c>
      <c r="I219" s="50">
        <v>0</v>
      </c>
      <c r="J219" s="51">
        <v>0</v>
      </c>
      <c r="K219" s="50"/>
      <c r="L219" s="50">
        <v>0</v>
      </c>
      <c r="N219" s="102"/>
    </row>
    <row r="220" ht="18" customHeight="1" hidden="1" spans="1:14" x14ac:dyDescent="0.25" outlineLevel="1" collapsed="1">
      <c r="A220" s="475"/>
      <c r="B220" s="475">
        <v>12562</v>
      </c>
      <c r="C220" s="47" t="s">
        <v>972</v>
      </c>
      <c r="D220" s="476">
        <v>0</v>
      </c>
      <c r="E220" s="48">
        <v>0</v>
      </c>
      <c r="F220" s="48">
        <v>0</v>
      </c>
      <c r="G220" s="49">
        <v>0</v>
      </c>
      <c r="H220" s="477">
        <v>0</v>
      </c>
      <c r="I220" s="50">
        <v>0</v>
      </c>
      <c r="J220" s="51">
        <v>0</v>
      </c>
      <c r="K220" s="50"/>
      <c r="L220" s="50">
        <v>0</v>
      </c>
      <c r="N220" s="102"/>
    </row>
    <row r="221" ht="18" customHeight="1" hidden="1" spans="1:14" x14ac:dyDescent="0.25" outlineLevel="1" collapsed="1">
      <c r="A221" s="475"/>
      <c r="B221" s="475">
        <v>12564</v>
      </c>
      <c r="C221" s="47" t="s">
        <v>973</v>
      </c>
      <c r="D221" s="476">
        <v>0</v>
      </c>
      <c r="E221" s="48">
        <v>0</v>
      </c>
      <c r="F221" s="48">
        <v>0</v>
      </c>
      <c r="G221" s="49">
        <v>0</v>
      </c>
      <c r="H221" s="477">
        <v>0</v>
      </c>
      <c r="I221" s="50">
        <v>0</v>
      </c>
      <c r="J221" s="51">
        <v>0</v>
      </c>
      <c r="K221" s="50"/>
      <c r="L221" s="50">
        <v>0</v>
      </c>
      <c r="N221" s="102"/>
    </row>
    <row r="222" ht="18" customHeight="1" hidden="1" spans="1:14" x14ac:dyDescent="0.25" outlineLevel="1" collapsed="1">
      <c r="A222" s="475"/>
      <c r="B222" s="475">
        <v>12565</v>
      </c>
      <c r="C222" s="47" t="s">
        <v>974</v>
      </c>
      <c r="D222" s="476">
        <v>0</v>
      </c>
      <c r="E222" s="48">
        <v>0</v>
      </c>
      <c r="F222" s="48">
        <v>0</v>
      </c>
      <c r="G222" s="49">
        <v>0</v>
      </c>
      <c r="H222" s="477">
        <v>0</v>
      </c>
      <c r="I222" s="50">
        <v>0</v>
      </c>
      <c r="J222" s="51">
        <v>0</v>
      </c>
      <c r="K222" s="50"/>
      <c r="L222" s="50">
        <v>0</v>
      </c>
      <c r="N222" s="102"/>
    </row>
    <row r="223" ht="18" customHeight="1" hidden="1" spans="1:14" x14ac:dyDescent="0.25" outlineLevel="1" collapsed="1">
      <c r="A223" s="475"/>
      <c r="B223" s="475">
        <v>12566</v>
      </c>
      <c r="C223" s="47" t="s">
        <v>975</v>
      </c>
      <c r="D223" s="476">
        <v>0</v>
      </c>
      <c r="E223" s="48">
        <v>0</v>
      </c>
      <c r="F223" s="48">
        <v>0</v>
      </c>
      <c r="G223" s="49">
        <v>0</v>
      </c>
      <c r="H223" s="477">
        <v>0</v>
      </c>
      <c r="I223" s="50">
        <v>0</v>
      </c>
      <c r="J223" s="51">
        <v>0</v>
      </c>
      <c r="K223" s="50"/>
      <c r="L223" s="50">
        <v>0</v>
      </c>
      <c r="N223" s="102"/>
    </row>
    <row r="224" ht="18" customHeight="1" hidden="1" spans="1:14" x14ac:dyDescent="0.25" outlineLevel="1" collapsed="1">
      <c r="A224" s="475"/>
      <c r="B224" s="475">
        <v>12568</v>
      </c>
      <c r="C224" s="47" t="s">
        <v>976</v>
      </c>
      <c r="D224" s="476">
        <v>0</v>
      </c>
      <c r="E224" s="48">
        <v>0</v>
      </c>
      <c r="F224" s="48">
        <v>0</v>
      </c>
      <c r="G224" s="49">
        <v>0</v>
      </c>
      <c r="H224" s="477">
        <v>0</v>
      </c>
      <c r="I224" s="50">
        <v>0</v>
      </c>
      <c r="J224" s="51">
        <v>0</v>
      </c>
      <c r="K224" s="50"/>
      <c r="L224" s="50">
        <v>0</v>
      </c>
      <c r="N224" s="102"/>
    </row>
    <row r="225" ht="18" customHeight="1" hidden="1" spans="1:14" x14ac:dyDescent="0.25" outlineLevel="1" collapsed="1">
      <c r="A225" s="475"/>
      <c r="B225" s="475">
        <v>12572</v>
      </c>
      <c r="C225" s="47" t="s">
        <v>977</v>
      </c>
      <c r="D225" s="476">
        <v>0</v>
      </c>
      <c r="E225" s="48">
        <v>0</v>
      </c>
      <c r="F225" s="48">
        <v>0</v>
      </c>
      <c r="G225" s="49">
        <v>0</v>
      </c>
      <c r="H225" s="477">
        <v>0</v>
      </c>
      <c r="I225" s="50">
        <v>0</v>
      </c>
      <c r="J225" s="51">
        <v>0</v>
      </c>
      <c r="K225" s="50"/>
      <c r="L225" s="50">
        <v>0</v>
      </c>
      <c r="N225" s="102"/>
    </row>
    <row r="226" ht="18" customHeight="1" hidden="1" spans="1:14" x14ac:dyDescent="0.25" outlineLevel="1" collapsed="1">
      <c r="A226" s="475"/>
      <c r="B226" s="475">
        <v>12574</v>
      </c>
      <c r="C226" s="47" t="s">
        <v>482</v>
      </c>
      <c r="D226" s="476">
        <v>0</v>
      </c>
      <c r="E226" s="48">
        <v>0</v>
      </c>
      <c r="F226" s="48">
        <v>0</v>
      </c>
      <c r="G226" s="49">
        <v>0</v>
      </c>
      <c r="H226" s="477">
        <v>0</v>
      </c>
      <c r="I226" s="50">
        <v>0</v>
      </c>
      <c r="J226" s="51">
        <v>0</v>
      </c>
      <c r="K226" s="50"/>
      <c r="L226" s="50">
        <v>0</v>
      </c>
      <c r="N226" s="102"/>
    </row>
    <row r="227" ht="18" customHeight="1" hidden="1" spans="1:14" x14ac:dyDescent="0.25" outlineLevel="1" collapsed="1">
      <c r="A227" s="475"/>
      <c r="B227" s="475">
        <v>12576</v>
      </c>
      <c r="C227" s="47" t="s">
        <v>978</v>
      </c>
      <c r="D227" s="476">
        <v>0</v>
      </c>
      <c r="E227" s="48">
        <v>0</v>
      </c>
      <c r="F227" s="48">
        <v>0</v>
      </c>
      <c r="G227" s="49">
        <v>0</v>
      </c>
      <c r="H227" s="477">
        <v>0</v>
      </c>
      <c r="I227" s="50">
        <v>0</v>
      </c>
      <c r="J227" s="51">
        <v>0</v>
      </c>
      <c r="K227" s="50"/>
      <c r="L227" s="50">
        <v>0</v>
      </c>
      <c r="N227" s="102"/>
    </row>
    <row r="228" ht="18" customHeight="1" hidden="1" spans="1:14" x14ac:dyDescent="0.25" outlineLevel="1" collapsed="1">
      <c r="A228" s="475"/>
      <c r="B228" s="475">
        <v>12578</v>
      </c>
      <c r="C228" s="47" t="s">
        <v>137</v>
      </c>
      <c r="D228" s="476">
        <v>0</v>
      </c>
      <c r="E228" s="48">
        <v>0</v>
      </c>
      <c r="F228" s="48">
        <v>0</v>
      </c>
      <c r="G228" s="49">
        <v>0</v>
      </c>
      <c r="H228" s="477">
        <v>0</v>
      </c>
      <c r="I228" s="50">
        <v>0</v>
      </c>
      <c r="J228" s="51">
        <v>0</v>
      </c>
      <c r="K228" s="50"/>
      <c r="L228" s="50">
        <v>0</v>
      </c>
      <c r="N228" s="102"/>
    </row>
    <row r="229" ht="18" customHeight="1" hidden="1" spans="1:14" x14ac:dyDescent="0.25" outlineLevel="1" collapsed="1">
      <c r="A229" s="475"/>
      <c r="B229" s="475">
        <v>12592</v>
      </c>
      <c r="C229" s="47" t="s">
        <v>979</v>
      </c>
      <c r="D229" s="476">
        <v>0</v>
      </c>
      <c r="E229" s="48">
        <v>0</v>
      </c>
      <c r="F229" s="48">
        <v>0</v>
      </c>
      <c r="G229" s="49">
        <v>0</v>
      </c>
      <c r="H229" s="477">
        <v>0</v>
      </c>
      <c r="I229" s="50">
        <v>0</v>
      </c>
      <c r="J229" s="51">
        <v>0</v>
      </c>
      <c r="K229" s="50"/>
      <c r="L229" s="50">
        <v>0</v>
      </c>
      <c r="N229" s="102"/>
    </row>
    <row r="230" ht="18" customHeight="1" hidden="1" spans="1:14" x14ac:dyDescent="0.25" outlineLevel="1" collapsed="1">
      <c r="A230" s="475"/>
      <c r="B230" s="475">
        <v>12594</v>
      </c>
      <c r="C230" s="47" t="s">
        <v>151</v>
      </c>
      <c r="D230" s="476">
        <v>0</v>
      </c>
      <c r="E230" s="48">
        <v>0</v>
      </c>
      <c r="F230" s="48">
        <v>0</v>
      </c>
      <c r="G230" s="49">
        <v>0</v>
      </c>
      <c r="H230" s="477">
        <v>0</v>
      </c>
      <c r="I230" s="50">
        <v>0</v>
      </c>
      <c r="J230" s="51">
        <v>0</v>
      </c>
      <c r="K230" s="50"/>
      <c r="L230" s="50">
        <v>0</v>
      </c>
      <c r="N230" s="102"/>
    </row>
    <row r="231" ht="18" customHeight="1" hidden="1" spans="1:14" x14ac:dyDescent="0.25" outlineLevel="1" collapsed="1">
      <c r="A231" s="475"/>
      <c r="B231" s="475">
        <v>12596</v>
      </c>
      <c r="C231" s="47" t="s">
        <v>152</v>
      </c>
      <c r="D231" s="476">
        <v>0</v>
      </c>
      <c r="E231" s="48">
        <v>0</v>
      </c>
      <c r="F231" s="48">
        <v>0</v>
      </c>
      <c r="G231" s="49">
        <v>0</v>
      </c>
      <c r="H231" s="477">
        <v>0</v>
      </c>
      <c r="I231" s="50">
        <v>0</v>
      </c>
      <c r="J231" s="51">
        <v>0</v>
      </c>
      <c r="K231" s="50"/>
      <c r="L231" s="50">
        <v>0</v>
      </c>
      <c r="N231" s="102"/>
    </row>
    <row r="232" ht="18" customHeight="1" spans="1:14" x14ac:dyDescent="0.25">
      <c r="A232" s="474">
        <v>1277410</v>
      </c>
      <c r="B232" s="475">
        <v>12597</v>
      </c>
      <c r="C232" s="47" t="s">
        <v>153</v>
      </c>
      <c r="D232" s="476">
        <v>123200</v>
      </c>
      <c r="E232" s="48">
        <v>123200</v>
      </c>
      <c r="F232" s="48">
        <v>0</v>
      </c>
      <c r="G232" s="49">
        <v>246400</v>
      </c>
      <c r="H232" s="477">
        <v>4500</v>
      </c>
      <c r="I232" s="50">
        <v>0</v>
      </c>
      <c r="J232" s="51">
        <v>4500</v>
      </c>
      <c r="K232" s="52">
        <v>0.018262987012987012</v>
      </c>
      <c r="L232" s="50">
        <v>241900</v>
      </c>
      <c r="N232" s="102"/>
    </row>
    <row r="233" ht="18" customHeight="1" hidden="1" spans="1:14" x14ac:dyDescent="0.25" outlineLevel="1" collapsed="1">
      <c r="A233" s="475"/>
      <c r="B233" s="475">
        <v>12610</v>
      </c>
      <c r="C233" s="47" t="s">
        <v>154</v>
      </c>
      <c r="D233" s="476">
        <v>0</v>
      </c>
      <c r="E233" s="48">
        <v>0</v>
      </c>
      <c r="F233" s="48">
        <v>0</v>
      </c>
      <c r="G233" s="49">
        <v>0</v>
      </c>
      <c r="H233" s="477">
        <v>0</v>
      </c>
      <c r="I233" s="50">
        <v>0</v>
      </c>
      <c r="J233" s="51">
        <v>0</v>
      </c>
      <c r="K233" s="50"/>
      <c r="L233" s="50">
        <v>0</v>
      </c>
      <c r="N233" s="102"/>
    </row>
    <row r="234" ht="18" customHeight="1" hidden="1" spans="1:14" x14ac:dyDescent="0.25" outlineLevel="1" collapsed="1">
      <c r="A234" s="475"/>
      <c r="B234" s="475">
        <v>12620</v>
      </c>
      <c r="C234" s="47" t="s">
        <v>155</v>
      </c>
      <c r="D234" s="476">
        <v>0</v>
      </c>
      <c r="E234" s="48">
        <v>0</v>
      </c>
      <c r="F234" s="48">
        <v>0</v>
      </c>
      <c r="G234" s="49">
        <v>0</v>
      </c>
      <c r="H234" s="477">
        <v>0</v>
      </c>
      <c r="I234" s="50">
        <v>0</v>
      </c>
      <c r="J234" s="51">
        <v>0</v>
      </c>
      <c r="K234" s="50"/>
      <c r="L234" s="50">
        <v>0</v>
      </c>
      <c r="N234" s="102"/>
    </row>
    <row r="235" ht="18" customHeight="1" hidden="1" spans="1:14" x14ac:dyDescent="0.25" outlineLevel="1" collapsed="1">
      <c r="A235" s="475"/>
      <c r="B235" s="475">
        <v>12760</v>
      </c>
      <c r="C235" s="47" t="s">
        <v>136</v>
      </c>
      <c r="D235" s="476">
        <v>0</v>
      </c>
      <c r="E235" s="48">
        <v>0</v>
      </c>
      <c r="F235" s="48">
        <v>0</v>
      </c>
      <c r="G235" s="49">
        <v>0</v>
      </c>
      <c r="H235" s="477">
        <v>0</v>
      </c>
      <c r="I235" s="50">
        <v>0</v>
      </c>
      <c r="J235" s="51">
        <v>0</v>
      </c>
      <c r="K235" s="50"/>
      <c r="L235" s="50">
        <v>0</v>
      </c>
      <c r="N235" s="102"/>
    </row>
    <row r="236" ht="18" customHeight="1" hidden="1" spans="1:14" x14ac:dyDescent="0.25" outlineLevel="1" collapsed="1">
      <c r="A236" s="475"/>
      <c r="B236" s="475">
        <v>12640</v>
      </c>
      <c r="C236" s="47" t="s">
        <v>137</v>
      </c>
      <c r="D236" s="476">
        <v>0</v>
      </c>
      <c r="E236" s="48">
        <v>0</v>
      </c>
      <c r="F236" s="48">
        <v>0</v>
      </c>
      <c r="G236" s="49">
        <v>0</v>
      </c>
      <c r="H236" s="477">
        <v>0</v>
      </c>
      <c r="I236" s="50">
        <v>0</v>
      </c>
      <c r="J236" s="51">
        <v>0</v>
      </c>
      <c r="K236" s="50"/>
      <c r="L236" s="50">
        <v>0</v>
      </c>
      <c r="N236" s="102"/>
    </row>
    <row r="237" ht="18" customHeight="1" hidden="1" spans="1:14" x14ac:dyDescent="0.25" outlineLevel="1" collapsed="1">
      <c r="A237" s="475"/>
      <c r="B237" s="475">
        <v>12670</v>
      </c>
      <c r="C237" s="47" t="s">
        <v>156</v>
      </c>
      <c r="D237" s="476">
        <v>0</v>
      </c>
      <c r="E237" s="48">
        <v>0</v>
      </c>
      <c r="F237" s="48">
        <v>0</v>
      </c>
      <c r="G237" s="49">
        <v>0</v>
      </c>
      <c r="H237" s="477">
        <v>0</v>
      </c>
      <c r="I237" s="50">
        <v>0</v>
      </c>
      <c r="J237" s="51">
        <v>0</v>
      </c>
      <c r="K237" s="50"/>
      <c r="L237" s="50">
        <v>0</v>
      </c>
      <c r="N237" s="102"/>
    </row>
    <row r="238" ht="18" customHeight="1" hidden="1" spans="1:14" x14ac:dyDescent="0.25" outlineLevel="1" collapsed="1">
      <c r="A238" s="475"/>
      <c r="B238" s="475">
        <v>12680</v>
      </c>
      <c r="C238" s="47" t="s">
        <v>157</v>
      </c>
      <c r="D238" s="476">
        <v>0</v>
      </c>
      <c r="E238" s="48">
        <v>0</v>
      </c>
      <c r="F238" s="48">
        <v>0</v>
      </c>
      <c r="G238" s="49">
        <v>0</v>
      </c>
      <c r="H238" s="477">
        <v>0</v>
      </c>
      <c r="I238" s="50">
        <v>0</v>
      </c>
      <c r="J238" s="51">
        <v>0</v>
      </c>
      <c r="K238" s="50"/>
      <c r="L238" s="50">
        <v>0</v>
      </c>
      <c r="N238" s="102"/>
    </row>
    <row r="239" ht="18" customHeight="1" spans="1:14" x14ac:dyDescent="0.25">
      <c r="A239" s="483"/>
      <c r="B239" s="483"/>
      <c r="C239" s="77" t="s">
        <v>158</v>
      </c>
      <c r="D239" s="484">
        <v>123200</v>
      </c>
      <c r="E239" s="484">
        <v>123200</v>
      </c>
      <c r="F239" s="484">
        <v>0</v>
      </c>
      <c r="G239" s="484">
        <v>246400</v>
      </c>
      <c r="H239" s="484">
        <v>4500</v>
      </c>
      <c r="I239" s="484">
        <v>0</v>
      </c>
      <c r="J239" s="484">
        <v>4500</v>
      </c>
      <c r="K239" s="59">
        <v>0.018262987012987012</v>
      </c>
      <c r="L239" s="484">
        <v>241900</v>
      </c>
      <c r="N239" s="102"/>
    </row>
    <row r="240" ht="9" customHeight="1" spans="1:14" s="22" customFormat="1" x14ac:dyDescent="0.25">
      <c r="A240" s="485"/>
      <c r="B240" s="485"/>
      <c r="C240" s="81"/>
      <c r="D240" s="83"/>
      <c r="E240" s="83"/>
      <c r="F240" s="83"/>
      <c r="G240" s="83"/>
      <c r="H240" s="83"/>
      <c r="I240" s="83"/>
      <c r="J240" s="83"/>
      <c r="K240" s="83"/>
      <c r="L240" s="83"/>
      <c r="N240" s="102"/>
    </row>
    <row r="241" ht="18" customHeight="1" spans="1:14" x14ac:dyDescent="0.25">
      <c r="A241" s="486"/>
      <c r="B241" s="486"/>
      <c r="C241" s="86" t="s">
        <v>159</v>
      </c>
      <c r="D241" s="487">
        <v>56862962.809999995</v>
      </c>
      <c r="E241" s="487">
        <v>11592308.191829192</v>
      </c>
      <c r="F241" s="487">
        <v>0</v>
      </c>
      <c r="G241" s="487">
        <v>68455271.00182919</v>
      </c>
      <c r="H241" s="487">
        <v>8918807.870000001</v>
      </c>
      <c r="I241" s="487">
        <v>501398.13</v>
      </c>
      <c r="J241" s="487">
        <v>9420206</v>
      </c>
      <c r="K241" s="88">
        <v>0.13761111251386737</v>
      </c>
      <c r="L241" s="487">
        <v>59035065.00182919</v>
      </c>
      <c r="N241" s="102"/>
    </row>
    <row r="242" ht="18.6" customHeight="1" spans="3:11" x14ac:dyDescent="0.25">
      <c r="C242" s="488" t="s">
        <v>24</v>
      </c>
      <c r="D242" s="489"/>
      <c r="H242" s="91"/>
      <c r="I242" s="91"/>
      <c r="J242" s="91"/>
      <c r="K242" s="91"/>
    </row>
    <row r="243" hidden="1" spans="3:11" x14ac:dyDescent="0.25" outlineLevel="1" collapsed="1">
      <c r="C243" s="490"/>
      <c r="H243" s="94"/>
      <c r="I243" s="94"/>
      <c r="K243" s="94"/>
    </row>
    <row r="244" hidden="1" spans="8:8" x14ac:dyDescent="0.25" outlineLevel="1" collapsed="1">
      <c r="H244" s="27"/>
    </row>
    <row r="245" hidden="1" spans="5:14" x14ac:dyDescent="0.25" outlineLevel="1" collapsed="1">
      <c r="E245" t="s">
        <v>980</v>
      </c>
      <c r="G245" s="94"/>
      <c r="J245" s="94">
        <v>8832956.24</v>
      </c>
      <c r="N245" s="491"/>
    </row>
    <row r="246" hidden="1" spans="5:10" x14ac:dyDescent="0.25" outlineLevel="1" collapsed="1">
      <c r="E246" t="s">
        <v>981</v>
      </c>
      <c r="G246" s="94"/>
      <c r="J246" s="94">
        <v>9420206</v>
      </c>
    </row>
    <row r="247" hidden="1" spans="7:10" x14ac:dyDescent="0.25" outlineLevel="1" collapsed="1">
      <c r="G247" s="94"/>
      <c r="J247" s="362"/>
    </row>
    <row r="248" ht="18.6" customHeight="1" hidden="1" spans="5:10" x14ac:dyDescent="0.25" outlineLevel="1" collapsed="1">
      <c r="E248" t="s">
        <v>431</v>
      </c>
      <c r="G248" s="94"/>
      <c r="J248" s="492">
        <v>-587249.7599999998</v>
      </c>
    </row>
    <row r="249" hidden="1" spans="7:10" x14ac:dyDescent="0.25" outlineLevel="1" collapsed="1">
      <c r="G249" s="94"/>
      <c r="J249" s="94"/>
    </row>
    <row r="250" hidden="1" spans="7:10" x14ac:dyDescent="0.25" outlineLevel="1" collapsed="1">
      <c r="G250" s="94"/>
      <c r="J250" s="94"/>
    </row>
    <row r="251" hidden="1" spans="5:10" x14ac:dyDescent="0.25" outlineLevel="1" collapsed="1">
      <c r="E251" t="s">
        <v>982</v>
      </c>
      <c r="G251" s="94"/>
      <c r="J251" s="94"/>
    </row>
    <row r="252" hidden="1" spans="5:10" x14ac:dyDescent="0.25" outlineLevel="1" collapsed="1">
      <c r="E252" t="s">
        <v>983</v>
      </c>
      <c r="G252" s="94"/>
      <c r="H252" s="91"/>
      <c r="J252" s="94">
        <v>0</v>
      </c>
    </row>
    <row r="253" ht="18.6" customHeight="1" hidden="1" spans="10:10" x14ac:dyDescent="0.25" outlineLevel="1" collapsed="1">
      <c r="J253" s="492">
        <v>0</v>
      </c>
    </row>
    <row r="255" hidden="1" spans="8:10" x14ac:dyDescent="0.25" outlineLevel="1" collapsed="1">
      <c r="H255" s="91"/>
      <c r="J255" s="94">
        <v>-587249.7599999998</v>
      </c>
    </row>
    <row r="256" spans="8:9" x14ac:dyDescent="0.25">
      <c r="H256" s="91"/>
      <c r="I256" s="91"/>
    </row>
    <row r="257" spans="2:12" x14ac:dyDescent="0.25">
      <c r="B257" s="493" t="s">
        <v>984</v>
      </c>
      <c r="C257" s="493"/>
      <c r="D257" s="493"/>
      <c r="E257" s="493"/>
      <c r="F257" s="493"/>
      <c r="G257" s="493"/>
      <c r="H257" s="493"/>
      <c r="I257" s="493"/>
      <c r="J257" s="493"/>
      <c r="K257" s="493"/>
      <c r="L257" s="493"/>
    </row>
    <row r="258" spans="2:12" x14ac:dyDescent="0.25">
      <c r="B258" s="494"/>
      <c r="C258" s="495" t="s">
        <v>985</v>
      </c>
      <c r="D258" s="496">
        <v>31274629.55</v>
      </c>
      <c r="E258" s="497">
        <v>8725370.45</v>
      </c>
      <c r="F258" s="496">
        <v>0</v>
      </c>
      <c r="G258" s="496">
        <v>40000000</v>
      </c>
      <c r="H258" s="496">
        <v>0</v>
      </c>
      <c r="I258" s="496">
        <v>0</v>
      </c>
      <c r="J258" s="496">
        <v>0</v>
      </c>
      <c r="K258" s="498">
        <v>0</v>
      </c>
      <c r="L258" s="496">
        <v>40000000</v>
      </c>
    </row>
    <row r="259" spans="2:12" x14ac:dyDescent="0.25">
      <c r="B259" s="499"/>
      <c r="C259" s="495" t="s">
        <v>986</v>
      </c>
      <c r="D259" s="496">
        <v>24308916.599999998</v>
      </c>
      <c r="E259" s="500">
        <v>2723590.8518291973</v>
      </c>
      <c r="F259" s="496">
        <v>0</v>
      </c>
      <c r="G259" s="496">
        <v>27032507.451829195</v>
      </c>
      <c r="H259" s="496">
        <v>8472669.27</v>
      </c>
      <c r="I259" s="496">
        <v>476526.428</v>
      </c>
      <c r="J259" s="496">
        <v>8949195.697999999</v>
      </c>
      <c r="K259" s="498">
        <v>0.3310531112937671</v>
      </c>
      <c r="L259" s="496">
        <v>18083311.753829196</v>
      </c>
    </row>
    <row r="260" ht="18.6" customHeight="1" spans="2:12" x14ac:dyDescent="0.25">
      <c r="B260" s="501"/>
      <c r="C260" s="502" t="s">
        <v>987</v>
      </c>
      <c r="D260" s="503">
        <v>1279416.66</v>
      </c>
      <c r="E260" s="504">
        <v>143346.89000000013</v>
      </c>
      <c r="F260" s="503">
        <v>0</v>
      </c>
      <c r="G260" s="503">
        <v>1422763.55</v>
      </c>
      <c r="H260" s="496">
        <v>445929.96</v>
      </c>
      <c r="I260" s="503">
        <v>25080.342</v>
      </c>
      <c r="J260" s="496">
        <v>471010.302</v>
      </c>
      <c r="K260" s="505">
        <v>0.3310531127958683</v>
      </c>
      <c r="L260" s="503">
        <v>951753.248</v>
      </c>
    </row>
    <row r="261" ht="18.6" customHeight="1" spans="2:12" x14ac:dyDescent="0.25">
      <c r="B261" s="506"/>
      <c r="C261" s="507" t="s">
        <v>988</v>
      </c>
      <c r="D261" s="508">
        <v>56862962.809999995</v>
      </c>
      <c r="E261" s="508">
        <v>11592308.191829197</v>
      </c>
      <c r="F261" s="508">
        <v>0</v>
      </c>
      <c r="G261" s="508">
        <v>68455271.00182919</v>
      </c>
      <c r="H261" s="508">
        <v>8918599.23</v>
      </c>
      <c r="I261" s="508">
        <v>501606.77</v>
      </c>
      <c r="J261" s="508">
        <v>9420205.999999998</v>
      </c>
      <c r="K261" s="509">
        <v>0.13761111251386735</v>
      </c>
      <c r="L261" s="508">
        <v>59035065.0018292</v>
      </c>
    </row>
    <row r="262" spans="8:10" x14ac:dyDescent="0.25">
      <c r="H262" s="510">
        <v>208.64</v>
      </c>
      <c r="I262" s="510">
        <v>-208.64</v>
      </c>
      <c r="J262" s="91">
        <v>0</v>
      </c>
    </row>
    <row r="263" spans="8:9" x14ac:dyDescent="0.25">
      <c r="H263" s="511"/>
      <c r="I263" s="511"/>
    </row>
  </sheetData>
  <mergeCells count="1">
    <mergeCell ref="B257:L257"/>
  </mergeCells>
  <conditionalFormatting sqref="J248">
    <cfRule type="cellIs" dxfId="14" priority="17" operator="equal">
      <formula>0</formula>
    </cfRule>
    <cfRule type="cellIs" dxfId="15" priority="18" operator="lessThan">
      <formula>0</formula>
    </cfRule>
    <cfRule type="cellIs" dxfId="16" priority="19" operator="greaterThan">
      <formula>0</formula>
    </cfRule>
  </conditionalFormatting>
  <conditionalFormatting sqref="J252:J253">
    <cfRule type="cellIs" dxfId="17" priority="8" operator="equal">
      <formula>0</formula>
    </cfRule>
    <cfRule type="cellIs" dxfId="18" priority="9" operator="lessThan">
      <formula>0</formula>
    </cfRule>
    <cfRule type="cellIs" dxfId="19" priority="10" operator="greaterThan">
      <formula>0</formula>
    </cfRule>
  </conditionalFormatting>
  <conditionalFormatting sqref="J255">
    <cfRule type="cellIs" dxfId="20" priority="11" operator="equal">
      <formula>0</formula>
    </cfRule>
    <cfRule type="cellIs" dxfId="21" priority="12" operator="lessThan">
      <formula>0</formula>
    </cfRule>
    <cfRule type="cellIs" dxfId="22" priority="13" operator="greaterThan">
      <formula>0</formula>
    </cfRule>
  </conditionalFormatting>
  <conditionalFormatting sqref="L1:L8 L242:L256 L262:L1048576">
    <cfRule type="cellIs" dxfId="23" priority="20" operator="lessThan">
      <formula>0</formula>
    </cfRule>
  </conditionalFormatting>
  <conditionalFormatting sqref="L10:L44">
    <cfRule type="cellIs" dxfId="24" priority="7" operator="lessThan">
      <formula>0</formula>
    </cfRule>
  </conditionalFormatting>
  <conditionalFormatting sqref="L46:L144">
    <cfRule type="cellIs" dxfId="25" priority="2" operator="lessThan">
      <formula>0</formula>
    </cfRule>
  </conditionalFormatting>
  <conditionalFormatting sqref="L146:L240">
    <cfRule type="cellIs" dxfId="26" priority="1" operator="lessThan">
      <formula>0</formula>
    </cfRule>
  </conditionalFormatting>
  <printOptions horizontalCentered="1"/>
  <pageMargins left="0.25" right="0.25" top="1" bottom="0.75" header="0.3" footer="0.3"/>
  <pageSetup paperSize="5" orientation="landscape" horizontalDpi="300" verticalDpi="300" scale="61" fitToWidth="1" fitToHeight="2" firstPageNumber="9" useFirstPageNumber="1" copies="1"/>
  <headerFooter>
    <oddHeader>&amp;C&amp;"-,Bold"&amp;14Bishop Arts JV, LLC
Budget to Actual
December 31, 2021</oddHeader>
    <oddFooter>&amp;CAssurance is not provided on these financial statements. Substantially all disclosures are omitted.&amp;R&amp;P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454"/>
  <sheetViews>
    <sheetView workbookViewId="0" zoomScale="85" zoomScaleNormal="85">
      <selection activeCell="C92" sqref="C92"/>
    </sheetView>
  </sheetViews>
  <sheetFormatPr defaultRowHeight="13.8" outlineLevelRow="1" outlineLevelCol="1" x14ac:dyDescent="0.3" defaultColWidth="15.88671875" customHeight="1"/>
  <cols>
    <col min="1" max="1" width="29.88671875" style="301" customWidth="1"/>
    <col min="2" max="2" width="16.109375" style="301" hidden="1" customWidth="1"/>
    <col min="3" max="3" width="13.88671875" style="302" customWidth="1"/>
    <col min="4" max="4" width="45.33203125" style="301" customWidth="1"/>
    <col min="5" max="5" width="49" style="301" customWidth="1"/>
    <col min="6" max="6" width="20.6640625" style="304" customWidth="1"/>
    <col min="7" max="7" width="14.44140625" style="325" customWidth="1"/>
    <col min="8" max="8" width="15.5546875" style="302" customWidth="1"/>
    <col min="9" max="9" width="12.44140625" style="302" outlineLevel="1" collapsed="1" customWidth="1"/>
    <col min="10" max="10" width="8" style="301" outlineLevel="1" collapsed="1" customWidth="1"/>
    <col min="11" max="11" width="26" style="301" outlineLevel="1" collapsed="1" customWidth="1"/>
    <col min="12" max="12" width="15.5546875" style="301" outlineLevel="1" collapsed="1" customWidth="1"/>
    <col min="13" max="13" width="10" style="301" outlineLevel="1" collapsed="1" customWidth="1"/>
    <col min="14" max="14" width="17.33203125" style="301" outlineLevel="1" collapsed="1" customWidth="1"/>
    <col min="15" max="15" width="7.33203125" style="301" customWidth="1"/>
    <col min="16" max="16" width="12" style="301" customWidth="1"/>
    <col min="17" max="16384" width="15.88671875" style="301" customWidth="1"/>
  </cols>
  <sheetData>
    <row r="1" ht="15.6" customHeight="1" spans="1:63" x14ac:dyDescent="0.25">
      <c r="A1" s="90" t="str">
        <f>'Budget to Actual P1'!B2</f>
        <v>County Line Rail Silsbee LLC</v>
      </c>
      <c r="B1" s="301"/>
      <c r="C1" s="302"/>
      <c r="D1" s="301"/>
      <c r="E1" s="301"/>
      <c r="F1" s="305"/>
      <c r="G1" s="325"/>
      <c r="H1" s="302"/>
      <c r="I1" s="302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</row>
    <row r="2" ht="15.6" customHeight="1" spans="1:63" x14ac:dyDescent="0.25">
      <c r="A2" s="90" t="s">
        <v>233</v>
      </c>
      <c r="B2" s="301"/>
      <c r="C2" s="302"/>
      <c r="D2" s="301"/>
      <c r="E2" s="301"/>
      <c r="F2" s="305"/>
      <c r="G2" s="325"/>
      <c r="H2" s="302"/>
      <c r="I2" s="302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</row>
    <row r="3" ht="15.6" customHeight="1" spans="1:63" x14ac:dyDescent="0.25">
      <c r="A3" s="306">
        <f>'Budget to Actual P1'!B4</f>
        <v>46203</v>
      </c>
      <c r="B3" s="301"/>
      <c r="C3" s="302"/>
      <c r="D3" s="301"/>
      <c r="E3" s="301"/>
      <c r="F3" s="305"/>
      <c r="G3" s="325"/>
      <c r="H3" s="302"/>
      <c r="I3" s="302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</row>
    <row r="4" spans="1:63" x14ac:dyDescent="0.25">
      <c r="A4" s="301"/>
      <c r="B4" s="301"/>
      <c r="C4" s="301"/>
      <c r="D4" s="301"/>
      <c r="E4" s="301"/>
      <c r="F4" s="305"/>
      <c r="G4" s="325"/>
      <c r="H4" s="302"/>
      <c r="I4" s="302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01"/>
      <c r="BE4" s="301"/>
      <c r="BF4" s="301"/>
      <c r="BG4" s="301"/>
      <c r="BH4" s="301"/>
      <c r="BI4" s="301"/>
      <c r="BJ4" s="301"/>
      <c r="BK4" s="301"/>
    </row>
    <row r="5" spans="1:63" s="307" customFormat="1" x14ac:dyDescent="0.25">
      <c r="A5" s="308" t="s">
        <v>176</v>
      </c>
      <c r="B5" s="308" t="s">
        <v>206</v>
      </c>
      <c r="C5" s="309" t="s">
        <v>207</v>
      </c>
      <c r="D5" s="308" t="s">
        <v>208</v>
      </c>
      <c r="E5" s="308" t="s">
        <v>209</v>
      </c>
      <c r="F5" s="308" t="s">
        <v>210</v>
      </c>
      <c r="G5" s="310" t="s">
        <v>234</v>
      </c>
      <c r="H5" s="309" t="s">
        <v>212</v>
      </c>
      <c r="I5" s="309" t="s">
        <v>235</v>
      </c>
      <c r="J5" s="301"/>
      <c r="K5" s="301"/>
      <c r="L5" s="301"/>
      <c r="M5" s="301"/>
      <c r="N5" s="301"/>
      <c r="O5" s="301"/>
      <c r="P5" s="301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7"/>
      <c r="AJ5" s="307"/>
      <c r="AK5" s="307"/>
      <c r="AL5" s="307"/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07"/>
      <c r="BB5" s="307"/>
      <c r="BC5" s="307"/>
      <c r="BD5" s="307"/>
      <c r="BE5" s="307"/>
      <c r="BF5" s="307"/>
      <c r="BG5" s="307"/>
      <c r="BH5" s="307"/>
      <c r="BI5" s="307"/>
      <c r="BJ5" s="307"/>
      <c r="BK5" s="307"/>
    </row>
    <row r="6" ht="15" customHeight="1" hidden="1" spans="1:63" s="344" customFormat="1" x14ac:dyDescent="0.25" outlineLevel="1" collapsed="1">
      <c r="A6" s="301" t="s">
        <v>236</v>
      </c>
      <c r="B6" s="315"/>
      <c r="C6" s="302">
        <v>11010</v>
      </c>
      <c r="D6" s="301" t="s">
        <v>42</v>
      </c>
      <c r="E6" s="301"/>
      <c r="F6" s="304"/>
      <c r="G6" s="313"/>
      <c r="H6" s="345"/>
      <c r="I6" s="302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1"/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1"/>
      <c r="BC6" s="301"/>
      <c r="BD6" s="301"/>
      <c r="BE6" s="301"/>
      <c r="BF6" s="301"/>
      <c r="BG6" s="301"/>
      <c r="BH6" s="301"/>
      <c r="BI6" s="301"/>
      <c r="BJ6" s="301"/>
      <c r="BK6" s="301"/>
    </row>
    <row r="7" ht="4.95" customHeight="1" hidden="1" spans="1:63" s="344" customFormat="1" x14ac:dyDescent="0.25" outlineLevel="1" collapsed="1">
      <c r="A7" s="301"/>
      <c r="B7" s="315"/>
      <c r="C7" s="302"/>
      <c r="D7" s="301"/>
      <c r="E7" s="301"/>
      <c r="F7" s="304"/>
      <c r="G7" s="313"/>
      <c r="H7" s="345"/>
      <c r="I7" s="302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1"/>
      <c r="AN7" s="301"/>
      <c r="AO7" s="301"/>
      <c r="AP7" s="301"/>
      <c r="AQ7" s="301"/>
      <c r="AR7" s="301"/>
      <c r="AS7" s="301"/>
      <c r="AT7" s="301"/>
      <c r="AU7" s="301"/>
      <c r="AV7" s="301"/>
      <c r="AW7" s="301"/>
      <c r="AX7" s="301"/>
      <c r="AY7" s="301"/>
      <c r="AZ7" s="301"/>
      <c r="BA7" s="301"/>
      <c r="BB7" s="301"/>
      <c r="BC7" s="301"/>
      <c r="BD7" s="301"/>
      <c r="BE7" s="301"/>
      <c r="BF7" s="301"/>
      <c r="BG7" s="301"/>
      <c r="BH7" s="301"/>
      <c r="BI7" s="301"/>
      <c r="BJ7" s="301"/>
      <c r="BK7" s="301"/>
    </row>
    <row r="8" ht="15" customHeight="1" hidden="1" spans="1:63" s="344" customFormat="1" x14ac:dyDescent="0.25" outlineLevel="1" collapsed="1">
      <c r="A8" s="301"/>
      <c r="B8" s="315"/>
      <c r="C8" s="302"/>
      <c r="D8" s="301" t="s">
        <v>237</v>
      </c>
      <c r="E8" s="301"/>
      <c r="F8" s="304"/>
      <c r="G8" s="317">
        <f>SUBTOTAL(9,G6:G7)</f>
      </c>
      <c r="H8" s="345"/>
      <c r="I8" s="302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1"/>
      <c r="AN8" s="301"/>
      <c r="AO8" s="301"/>
      <c r="AP8" s="301"/>
      <c r="AQ8" s="301"/>
      <c r="AR8" s="301"/>
      <c r="AS8" s="301"/>
      <c r="AT8" s="301"/>
      <c r="AU8" s="301"/>
      <c r="AV8" s="301"/>
      <c r="AW8" s="301"/>
      <c r="AX8" s="301"/>
      <c r="AY8" s="301"/>
      <c r="AZ8" s="301"/>
      <c r="BA8" s="301"/>
      <c r="BB8" s="301"/>
      <c r="BC8" s="301"/>
      <c r="BD8" s="301"/>
      <c r="BE8" s="301"/>
      <c r="BF8" s="301"/>
      <c r="BG8" s="301"/>
      <c r="BH8" s="301"/>
      <c r="BI8" s="301"/>
      <c r="BJ8" s="301"/>
      <c r="BK8" s="301"/>
    </row>
    <row r="9" hidden="1" spans="1:63" s="344" customFormat="1" x14ac:dyDescent="0.25" outlineLevel="1" collapsed="1">
      <c r="A9" s="301"/>
      <c r="B9" s="315"/>
      <c r="C9" s="302"/>
      <c r="D9" s="301"/>
      <c r="E9" s="301"/>
      <c r="F9" s="304"/>
      <c r="G9" s="313"/>
      <c r="H9" s="345"/>
      <c r="I9" s="302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/>
      <c r="BE9" s="301"/>
      <c r="BF9" s="301"/>
      <c r="BG9" s="301"/>
      <c r="BH9" s="301"/>
      <c r="BI9" s="301"/>
      <c r="BJ9" s="301"/>
      <c r="BK9" s="301"/>
    </row>
    <row r="10" ht="15" customHeight="1" hidden="1" spans="1:63" s="344" customFormat="1" x14ac:dyDescent="0.25" outlineLevel="1" collapsed="1">
      <c r="A10" s="301" t="s">
        <v>66</v>
      </c>
      <c r="B10" s="315"/>
      <c r="C10" s="302">
        <v>11210</v>
      </c>
      <c r="D10" s="301" t="s">
        <v>238</v>
      </c>
      <c r="E10" s="301"/>
      <c r="F10" s="304"/>
      <c r="G10" s="313"/>
      <c r="H10" s="345"/>
      <c r="I10" s="302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  <c r="BB10" s="301"/>
      <c r="BC10" s="301"/>
      <c r="BD10" s="301"/>
      <c r="BE10" s="301"/>
      <c r="BF10" s="301"/>
      <c r="BG10" s="301"/>
      <c r="BH10" s="301"/>
      <c r="BI10" s="301"/>
      <c r="BJ10" s="301"/>
      <c r="BK10" s="301"/>
    </row>
    <row r="11" ht="15" customHeight="1" hidden="1" spans="1:63" s="307" customFormat="1" x14ac:dyDescent="0.25" outlineLevel="1" collapsed="1">
      <c r="A11" s="301" t="s">
        <v>66</v>
      </c>
      <c r="B11" s="315"/>
      <c r="C11" s="302">
        <v>11210</v>
      </c>
      <c r="D11" s="301" t="s">
        <v>238</v>
      </c>
      <c r="E11" s="301"/>
      <c r="F11" s="304"/>
      <c r="G11" s="313"/>
      <c r="H11" s="345"/>
      <c r="I11" s="302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  <c r="AZ11" s="307"/>
      <c r="BA11" s="307"/>
      <c r="BB11" s="307"/>
      <c r="BC11" s="307"/>
      <c r="BD11" s="307"/>
      <c r="BE11" s="307"/>
      <c r="BF11" s="307"/>
      <c r="BG11" s="307"/>
      <c r="BH11" s="307"/>
      <c r="BI11" s="307"/>
      <c r="BJ11" s="307"/>
      <c r="BK11" s="307"/>
    </row>
    <row r="12" ht="4.95" customHeight="1" hidden="1" spans="1:63" s="307" customFormat="1" x14ac:dyDescent="0.25" outlineLevel="1" collapsed="1">
      <c r="A12" s="301"/>
      <c r="B12" s="315"/>
      <c r="C12" s="302"/>
      <c r="D12" s="301"/>
      <c r="E12" s="301"/>
      <c r="F12" s="304"/>
      <c r="G12" s="313"/>
      <c r="H12" s="345"/>
      <c r="I12" s="302"/>
      <c r="J12" s="301"/>
      <c r="K12" s="301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  <c r="AZ12" s="307"/>
      <c r="BA12" s="307"/>
      <c r="BB12" s="307"/>
      <c r="BC12" s="307"/>
      <c r="BD12" s="307"/>
      <c r="BE12" s="307"/>
      <c r="BF12" s="307"/>
      <c r="BG12" s="307"/>
      <c r="BH12" s="307"/>
      <c r="BI12" s="307"/>
      <c r="BJ12" s="307"/>
      <c r="BK12" s="307"/>
    </row>
    <row r="13" ht="15" customHeight="1" hidden="1" spans="1:63" s="307" customFormat="1" x14ac:dyDescent="0.25" outlineLevel="1" collapsed="1">
      <c r="A13" s="301"/>
      <c r="B13" s="315"/>
      <c r="C13" s="302"/>
      <c r="D13" s="301" t="s">
        <v>239</v>
      </c>
      <c r="E13" s="301"/>
      <c r="F13" s="304"/>
      <c r="G13" s="317">
        <f>SUBTOTAL(9,G10:G12)</f>
      </c>
      <c r="H13" s="345"/>
      <c r="I13" s="302"/>
      <c r="J13" s="301"/>
      <c r="K13" s="301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</row>
    <row r="14" hidden="1" spans="1:63" s="307" customFormat="1" x14ac:dyDescent="0.25" outlineLevel="1" collapsed="1">
      <c r="A14" s="301"/>
      <c r="B14" s="315"/>
      <c r="C14" s="302"/>
      <c r="D14" s="301"/>
      <c r="E14" s="301"/>
      <c r="F14" s="304"/>
      <c r="G14" s="313"/>
      <c r="H14" s="345"/>
      <c r="I14" s="302"/>
      <c r="J14" s="301"/>
      <c r="K14" s="301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7"/>
      <c r="AI14" s="307"/>
      <c r="AJ14" s="307"/>
      <c r="AK14" s="307"/>
      <c r="AL14" s="307"/>
      <c r="AM14" s="307"/>
      <c r="AN14" s="307"/>
      <c r="AO14" s="307"/>
      <c r="AP14" s="307"/>
      <c r="AQ14" s="307"/>
      <c r="AR14" s="307"/>
      <c r="AS14" s="307"/>
      <c r="AT14" s="307"/>
      <c r="AU14" s="307"/>
      <c r="AV14" s="307"/>
      <c r="AW14" s="307"/>
      <c r="AX14" s="307"/>
      <c r="AY14" s="307"/>
      <c r="AZ14" s="307"/>
      <c r="BA14" s="307"/>
      <c r="BB14" s="307"/>
      <c r="BC14" s="307"/>
      <c r="BD14" s="307"/>
      <c r="BE14" s="307"/>
      <c r="BF14" s="307"/>
      <c r="BG14" s="307"/>
      <c r="BH14" s="307"/>
      <c r="BI14" s="307"/>
      <c r="BJ14" s="307"/>
      <c r="BK14" s="307"/>
    </row>
    <row r="15" ht="15" customHeight="1" hidden="1" spans="1:63" s="307" customFormat="1" x14ac:dyDescent="0.25" outlineLevel="1" collapsed="1">
      <c r="A15" s="301" t="s">
        <v>240</v>
      </c>
      <c r="B15" s="315"/>
      <c r="C15" s="302">
        <v>11212</v>
      </c>
      <c r="D15" s="301" t="s">
        <v>241</v>
      </c>
      <c r="E15" s="301"/>
      <c r="F15" s="304"/>
      <c r="G15" s="313"/>
      <c r="H15" s="346"/>
      <c r="I15" s="302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7"/>
      <c r="AA15" s="307"/>
      <c r="AB15" s="307"/>
      <c r="AC15" s="307"/>
      <c r="AD15" s="307"/>
      <c r="AE15" s="307"/>
      <c r="AF15" s="307"/>
      <c r="AG15" s="307"/>
      <c r="AH15" s="307"/>
      <c r="AI15" s="307"/>
      <c r="AJ15" s="307"/>
      <c r="AK15" s="307"/>
      <c r="AL15" s="307"/>
      <c r="AM15" s="307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7"/>
      <c r="AY15" s="307"/>
      <c r="AZ15" s="307"/>
      <c r="BA15" s="307"/>
      <c r="BB15" s="307"/>
      <c r="BC15" s="307"/>
      <c r="BD15" s="307"/>
      <c r="BE15" s="307"/>
      <c r="BF15" s="307"/>
      <c r="BG15" s="307"/>
      <c r="BH15" s="307"/>
      <c r="BI15" s="307"/>
      <c r="BJ15" s="307"/>
      <c r="BK15" s="307"/>
    </row>
    <row r="16" ht="15" customHeight="1" hidden="1" spans="1:63" s="307" customFormat="1" x14ac:dyDescent="0.25" outlineLevel="1" collapsed="1">
      <c r="A16" s="301" t="s">
        <v>240</v>
      </c>
      <c r="B16" s="315"/>
      <c r="C16" s="302">
        <v>11212</v>
      </c>
      <c r="D16" s="301" t="s">
        <v>241</v>
      </c>
      <c r="E16" s="301"/>
      <c r="F16" s="304"/>
      <c r="G16" s="313"/>
      <c r="H16" s="346"/>
      <c r="I16" s="302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7"/>
      <c r="AY16" s="307"/>
      <c r="AZ16" s="307"/>
      <c r="BA16" s="307"/>
      <c r="BB16" s="307"/>
      <c r="BC16" s="307"/>
      <c r="BD16" s="307"/>
      <c r="BE16" s="307"/>
      <c r="BF16" s="307"/>
      <c r="BG16" s="307"/>
      <c r="BH16" s="307"/>
      <c r="BI16" s="307"/>
      <c r="BJ16" s="307"/>
      <c r="BK16" s="307"/>
    </row>
    <row r="17" ht="15" customHeight="1" hidden="1" spans="1:63" s="307" customFormat="1" x14ac:dyDescent="0.25" outlineLevel="1" collapsed="1">
      <c r="A17" s="301" t="s">
        <v>240</v>
      </c>
      <c r="B17" s="315"/>
      <c r="C17" s="302">
        <v>11212</v>
      </c>
      <c r="D17" s="301" t="s">
        <v>241</v>
      </c>
      <c r="E17" s="301"/>
      <c r="F17" s="304"/>
      <c r="G17" s="313"/>
      <c r="H17" s="346"/>
      <c r="I17" s="302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307"/>
      <c r="AM17" s="307"/>
      <c r="AN17" s="307"/>
      <c r="AO17" s="307"/>
      <c r="AP17" s="307"/>
      <c r="AQ17" s="307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  <c r="BK17" s="307"/>
    </row>
    <row r="18" hidden="1" spans="1:63" s="307" customFormat="1" x14ac:dyDescent="0.25" outlineLevel="1" collapsed="1">
      <c r="A18" s="301"/>
      <c r="B18" s="315"/>
      <c r="C18" s="302"/>
      <c r="D18" s="301"/>
      <c r="E18" s="301"/>
      <c r="F18" s="304"/>
      <c r="G18" s="313"/>
      <c r="H18" s="346"/>
      <c r="I18" s="302"/>
      <c r="J18" s="301"/>
      <c r="K18" s="301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7"/>
      <c r="AN18" s="307"/>
      <c r="AO18" s="307"/>
      <c r="AP18" s="307"/>
      <c r="AQ18" s="307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  <c r="BK18" s="307"/>
    </row>
    <row r="19" ht="15" customHeight="1" hidden="1" spans="1:63" s="307" customFormat="1" x14ac:dyDescent="0.25" outlineLevel="1" collapsed="1">
      <c r="A19" s="301"/>
      <c r="B19" s="315"/>
      <c r="C19" s="302"/>
      <c r="D19" s="301" t="s">
        <v>242</v>
      </c>
      <c r="E19" s="301"/>
      <c r="F19" s="304"/>
      <c r="G19" s="317">
        <f>SUBTOTAL(9,G15:G18)</f>
      </c>
      <c r="H19" s="345"/>
      <c r="I19" s="302"/>
      <c r="J19" s="301"/>
      <c r="K19" s="301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  <c r="BK19" s="307"/>
    </row>
    <row r="20" hidden="1" spans="1:63" s="307" customFormat="1" x14ac:dyDescent="0.25" outlineLevel="1" collapsed="1">
      <c r="A20" s="301"/>
      <c r="B20" s="74"/>
      <c r="C20" s="302"/>
      <c r="D20" s="301"/>
      <c r="E20" s="301"/>
      <c r="F20" s="304"/>
      <c r="G20" s="313"/>
      <c r="H20" s="345"/>
      <c r="I20" s="302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7"/>
      <c r="AA20" s="307"/>
      <c r="AB20" s="307"/>
      <c r="AC20" s="307"/>
      <c r="AD20" s="307"/>
      <c r="AE20" s="307"/>
      <c r="AF20" s="307"/>
      <c r="AG20" s="307"/>
      <c r="AH20" s="307"/>
      <c r="AI20" s="307"/>
      <c r="AJ20" s="307"/>
      <c r="AK20" s="307"/>
      <c r="AL20" s="307"/>
      <c r="AM20" s="307"/>
      <c r="AN20" s="307"/>
      <c r="AO20" s="307"/>
      <c r="AP20" s="307"/>
      <c r="AQ20" s="307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7"/>
      <c r="BK20" s="307"/>
    </row>
    <row r="21" ht="15" customHeight="1" hidden="1" spans="1:63" s="307" customFormat="1" x14ac:dyDescent="0.25" outlineLevel="1" collapsed="1">
      <c r="A21" s="301" t="s">
        <v>240</v>
      </c>
      <c r="B21" s="315"/>
      <c r="C21" s="302">
        <v>11213</v>
      </c>
      <c r="D21" s="301" t="s">
        <v>243</v>
      </c>
      <c r="E21" s="301"/>
      <c r="F21" s="304"/>
      <c r="G21" s="318"/>
      <c r="H21" s="346"/>
      <c r="I21" s="302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7"/>
      <c r="AA21" s="307"/>
      <c r="AB21" s="307"/>
      <c r="AC21" s="307"/>
      <c r="AD21" s="307"/>
      <c r="AE21" s="307"/>
      <c r="AF21" s="307"/>
      <c r="AG21" s="307"/>
      <c r="AH21" s="307"/>
      <c r="AI21" s="307"/>
      <c r="AJ21" s="307"/>
      <c r="AK21" s="307"/>
      <c r="AL21" s="307"/>
      <c r="AM21" s="307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7"/>
      <c r="AY21" s="307"/>
      <c r="AZ21" s="307"/>
      <c r="BA21" s="307"/>
      <c r="BB21" s="307"/>
      <c r="BC21" s="307"/>
      <c r="BD21" s="307"/>
      <c r="BE21" s="307"/>
      <c r="BF21" s="307"/>
      <c r="BG21" s="307"/>
      <c r="BH21" s="307"/>
      <c r="BI21" s="307"/>
      <c r="BJ21" s="307"/>
      <c r="BK21" s="307"/>
    </row>
    <row r="22" ht="15" customHeight="1" hidden="1" spans="1:63" s="307" customFormat="1" x14ac:dyDescent="0.25" outlineLevel="1" collapsed="1">
      <c r="A22" s="74" t="s">
        <v>240</v>
      </c>
      <c r="B22" s="74"/>
      <c r="C22" s="334">
        <v>11213</v>
      </c>
      <c r="D22" s="301" t="s">
        <v>243</v>
      </c>
      <c r="E22" s="74"/>
      <c r="F22" s="324"/>
      <c r="G22" s="313"/>
      <c r="H22" s="302"/>
      <c r="I22" s="302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7"/>
      <c r="AA22" s="307"/>
      <c r="AB22" s="307"/>
      <c r="AC22" s="307"/>
      <c r="AD22" s="307"/>
      <c r="AE22" s="307"/>
      <c r="AF22" s="307"/>
      <c r="AG22" s="307"/>
      <c r="AH22" s="307"/>
      <c r="AI22" s="307"/>
      <c r="AJ22" s="307"/>
      <c r="AK22" s="307"/>
      <c r="AL22" s="307"/>
      <c r="AM22" s="307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7"/>
      <c r="AY22" s="307"/>
      <c r="AZ22" s="307"/>
      <c r="BA22" s="307"/>
      <c r="BB22" s="307"/>
      <c r="BC22" s="307"/>
      <c r="BD22" s="307"/>
      <c r="BE22" s="307"/>
      <c r="BF22" s="307"/>
      <c r="BG22" s="307"/>
      <c r="BH22" s="307"/>
      <c r="BI22" s="307"/>
      <c r="BJ22" s="307"/>
      <c r="BK22" s="307"/>
    </row>
    <row r="23" ht="15" customHeight="1" hidden="1" spans="1:63" s="307" customFormat="1" x14ac:dyDescent="0.25" outlineLevel="1" collapsed="1">
      <c r="A23" s="74" t="s">
        <v>240</v>
      </c>
      <c r="B23" s="74"/>
      <c r="C23" s="334">
        <v>11213</v>
      </c>
      <c r="D23" s="301" t="s">
        <v>243</v>
      </c>
      <c r="E23" s="74"/>
      <c r="F23" s="324"/>
      <c r="G23" s="313"/>
      <c r="H23" s="302"/>
      <c r="I23" s="302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7"/>
      <c r="AA23" s="307"/>
      <c r="AB23" s="307"/>
      <c r="AC23" s="307"/>
      <c r="AD23" s="307"/>
      <c r="AE23" s="307"/>
      <c r="AF23" s="307"/>
      <c r="AG23" s="307"/>
      <c r="AH23" s="307"/>
      <c r="AI23" s="307"/>
      <c r="AJ23" s="307"/>
      <c r="AK23" s="307"/>
      <c r="AL23" s="307"/>
      <c r="AM23" s="307"/>
      <c r="AN23" s="307"/>
      <c r="AO23" s="307"/>
      <c r="AP23" s="307"/>
      <c r="AQ23" s="307"/>
      <c r="AR23" s="307"/>
      <c r="AS23" s="307"/>
      <c r="AT23" s="307"/>
      <c r="AU23" s="307"/>
      <c r="AV23" s="307"/>
      <c r="AW23" s="307"/>
      <c r="AX23" s="307"/>
      <c r="AY23" s="307"/>
      <c r="AZ23" s="307"/>
      <c r="BA23" s="307"/>
      <c r="BB23" s="307"/>
      <c r="BC23" s="307"/>
      <c r="BD23" s="307"/>
      <c r="BE23" s="307"/>
      <c r="BF23" s="307"/>
      <c r="BG23" s="307"/>
      <c r="BH23" s="307"/>
      <c r="BI23" s="307"/>
      <c r="BJ23" s="307"/>
      <c r="BK23" s="307"/>
    </row>
    <row r="24" hidden="1" spans="1:63" s="307" customFormat="1" x14ac:dyDescent="0.25" outlineLevel="1" collapsed="1">
      <c r="A24" s="301"/>
      <c r="B24" s="315"/>
      <c r="C24" s="302"/>
      <c r="D24" s="301"/>
      <c r="E24" s="301"/>
      <c r="F24" s="304"/>
      <c r="G24" s="313"/>
      <c r="H24" s="345"/>
      <c r="I24" s="302"/>
      <c r="J24" s="301"/>
      <c r="K24" s="301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307"/>
      <c r="AK24" s="307"/>
      <c r="AL24" s="307"/>
      <c r="AM24" s="307"/>
      <c r="AN24" s="307"/>
      <c r="AO24" s="307"/>
      <c r="AP24" s="307"/>
      <c r="AQ24" s="307"/>
      <c r="AR24" s="307"/>
      <c r="AS24" s="307"/>
      <c r="AT24" s="307"/>
      <c r="AU24" s="307"/>
      <c r="AV24" s="307"/>
      <c r="AW24" s="307"/>
      <c r="AX24" s="307"/>
      <c r="AY24" s="307"/>
      <c r="AZ24" s="307"/>
      <c r="BA24" s="307"/>
      <c r="BB24" s="307"/>
      <c r="BC24" s="307"/>
      <c r="BD24" s="307"/>
      <c r="BE24" s="307"/>
      <c r="BF24" s="307"/>
      <c r="BG24" s="307"/>
      <c r="BH24" s="307"/>
      <c r="BI24" s="307"/>
      <c r="BJ24" s="307"/>
      <c r="BK24" s="307"/>
    </row>
    <row r="25" ht="15" customHeight="1" hidden="1" spans="1:63" s="307" customFormat="1" x14ac:dyDescent="0.25" outlineLevel="1" collapsed="1">
      <c r="A25" s="301"/>
      <c r="B25" s="315"/>
      <c r="C25" s="302"/>
      <c r="D25" s="301" t="s">
        <v>244</v>
      </c>
      <c r="E25" s="301"/>
      <c r="F25" s="304"/>
      <c r="G25" s="317">
        <f>SUBTOTAL(9,G21:G24)</f>
      </c>
      <c r="H25" s="345"/>
      <c r="I25" s="302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7"/>
      <c r="AA25" s="307"/>
      <c r="AB25" s="307"/>
      <c r="AC25" s="307"/>
      <c r="AD25" s="307"/>
      <c r="AE25" s="307"/>
      <c r="AF25" s="307"/>
      <c r="AG25" s="307"/>
      <c r="AH25" s="307"/>
      <c r="AI25" s="307"/>
      <c r="AJ25" s="307"/>
      <c r="AK25" s="307"/>
      <c r="AL25" s="307"/>
      <c r="AM25" s="307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7"/>
      <c r="BK25" s="307"/>
    </row>
    <row r="26" hidden="1" spans="1:63" s="307" customFormat="1" x14ac:dyDescent="0.25" outlineLevel="1" collapsed="1">
      <c r="A26" s="301"/>
      <c r="B26" s="315"/>
      <c r="C26" s="302"/>
      <c r="D26" s="301"/>
      <c r="E26" s="301"/>
      <c r="F26" s="304"/>
      <c r="G26" s="313"/>
      <c r="H26" s="345"/>
      <c r="I26" s="302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7"/>
      <c r="AA26" s="307"/>
      <c r="AB26" s="307"/>
      <c r="AC26" s="307"/>
      <c r="AD26" s="307"/>
      <c r="AE26" s="307"/>
      <c r="AF26" s="307"/>
      <c r="AG26" s="307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7"/>
      <c r="AS26" s="307"/>
      <c r="AT26" s="307"/>
      <c r="AU26" s="307"/>
      <c r="AV26" s="307"/>
      <c r="AW26" s="307"/>
      <c r="AX26" s="307"/>
      <c r="AY26" s="307"/>
      <c r="AZ26" s="307"/>
      <c r="BA26" s="307"/>
      <c r="BB26" s="307"/>
      <c r="BC26" s="307"/>
      <c r="BD26" s="307"/>
      <c r="BE26" s="307"/>
      <c r="BF26" s="307"/>
      <c r="BG26" s="307"/>
      <c r="BH26" s="307"/>
      <c r="BI26" s="307"/>
      <c r="BJ26" s="307"/>
      <c r="BK26" s="307"/>
    </row>
    <row r="27" ht="15" customHeight="1" hidden="1" spans="1:63" s="307" customFormat="1" x14ac:dyDescent="0.25" outlineLevel="1" collapsed="1">
      <c r="A27" s="301" t="s">
        <v>66</v>
      </c>
      <c r="B27" s="315"/>
      <c r="C27" s="302">
        <v>11214</v>
      </c>
      <c r="D27" s="301" t="s">
        <v>245</v>
      </c>
      <c r="E27" s="301"/>
      <c r="F27" s="304"/>
      <c r="G27" s="313"/>
      <c r="H27" s="345"/>
      <c r="I27" s="302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7"/>
      <c r="AA27" s="307"/>
      <c r="AB27" s="307"/>
      <c r="AC27" s="307"/>
      <c r="AD27" s="307"/>
      <c r="AE27" s="307"/>
      <c r="AF27" s="307"/>
      <c r="AG27" s="307"/>
      <c r="AH27" s="307"/>
      <c r="AI27" s="307"/>
      <c r="AJ27" s="307"/>
      <c r="AK27" s="307"/>
      <c r="AL27" s="307"/>
      <c r="AM27" s="307"/>
      <c r="AN27" s="307"/>
      <c r="AO27" s="307"/>
      <c r="AP27" s="307"/>
      <c r="AQ27" s="307"/>
      <c r="AR27" s="307"/>
      <c r="AS27" s="307"/>
      <c r="AT27" s="307"/>
      <c r="AU27" s="307"/>
      <c r="AV27" s="307"/>
      <c r="AW27" s="307"/>
      <c r="AX27" s="307"/>
      <c r="AY27" s="307"/>
      <c r="AZ27" s="307"/>
      <c r="BA27" s="307"/>
      <c r="BB27" s="307"/>
      <c r="BC27" s="307"/>
      <c r="BD27" s="307"/>
      <c r="BE27" s="307"/>
      <c r="BF27" s="307"/>
      <c r="BG27" s="307"/>
      <c r="BH27" s="307"/>
      <c r="BI27" s="307"/>
      <c r="BJ27" s="307"/>
      <c r="BK27" s="307"/>
    </row>
    <row r="28" ht="15" customHeight="1" hidden="1" spans="1:63" s="307" customFormat="1" x14ac:dyDescent="0.25" outlineLevel="1" collapsed="1">
      <c r="A28" s="301" t="s">
        <v>66</v>
      </c>
      <c r="B28" s="315"/>
      <c r="C28" s="302">
        <v>11214</v>
      </c>
      <c r="D28" s="301" t="s">
        <v>245</v>
      </c>
      <c r="E28" s="301"/>
      <c r="F28" s="304"/>
      <c r="G28" s="313"/>
      <c r="H28" s="345"/>
      <c r="I28" s="302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7"/>
      <c r="AA28" s="307"/>
      <c r="AB28" s="307"/>
      <c r="AC28" s="307"/>
      <c r="AD28" s="307"/>
      <c r="AE28" s="307"/>
      <c r="AF28" s="307"/>
      <c r="AG28" s="307"/>
      <c r="AH28" s="307"/>
      <c r="AI28" s="307"/>
      <c r="AJ28" s="307"/>
      <c r="AK28" s="307"/>
      <c r="AL28" s="307"/>
      <c r="AM28" s="307"/>
      <c r="AN28" s="307"/>
      <c r="AO28" s="307"/>
      <c r="AP28" s="307"/>
      <c r="AQ28" s="307"/>
      <c r="AR28" s="307"/>
      <c r="AS28" s="307"/>
      <c r="AT28" s="307"/>
      <c r="AU28" s="307"/>
      <c r="AV28" s="307"/>
      <c r="AW28" s="307"/>
      <c r="AX28" s="307"/>
      <c r="AY28" s="307"/>
      <c r="AZ28" s="307"/>
      <c r="BA28" s="307"/>
      <c r="BB28" s="307"/>
      <c r="BC28" s="307"/>
      <c r="BD28" s="307"/>
      <c r="BE28" s="307"/>
      <c r="BF28" s="307"/>
      <c r="BG28" s="307"/>
      <c r="BH28" s="307"/>
      <c r="BI28" s="307"/>
      <c r="BJ28" s="307"/>
      <c r="BK28" s="307"/>
    </row>
    <row r="29" ht="15" customHeight="1" hidden="1" spans="1:63" s="307" customFormat="1" x14ac:dyDescent="0.25" outlineLevel="1" collapsed="1">
      <c r="A29" s="301" t="s">
        <v>240</v>
      </c>
      <c r="B29" s="315"/>
      <c r="C29" s="302">
        <v>11214</v>
      </c>
      <c r="D29" s="301" t="s">
        <v>246</v>
      </c>
      <c r="E29" s="301"/>
      <c r="F29" s="304"/>
      <c r="G29" s="313">
        <v>0</v>
      </c>
      <c r="H29" s="345"/>
      <c r="I29" s="302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7"/>
      <c r="AA29" s="307"/>
      <c r="AB29" s="307"/>
      <c r="AC29" s="307"/>
      <c r="AD29" s="307"/>
      <c r="AE29" s="307"/>
      <c r="AF29" s="307"/>
      <c r="AG29" s="307"/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7"/>
      <c r="AS29" s="307"/>
      <c r="AT29" s="307"/>
      <c r="AU29" s="307"/>
      <c r="AV29" s="307"/>
      <c r="AW29" s="307"/>
      <c r="AX29" s="307"/>
      <c r="AY29" s="307"/>
      <c r="AZ29" s="307"/>
      <c r="BA29" s="307"/>
      <c r="BB29" s="307"/>
      <c r="BC29" s="307"/>
      <c r="BD29" s="307"/>
      <c r="BE29" s="307"/>
      <c r="BF29" s="307"/>
      <c r="BG29" s="307"/>
      <c r="BH29" s="307"/>
      <c r="BI29" s="307"/>
      <c r="BJ29" s="307"/>
      <c r="BK29" s="307"/>
    </row>
    <row r="30" hidden="1" spans="1:63" s="307" customFormat="1" x14ac:dyDescent="0.25" outlineLevel="1" collapsed="1">
      <c r="A30" s="301"/>
      <c r="B30" s="315"/>
      <c r="C30" s="302"/>
      <c r="D30" s="301"/>
      <c r="E30" s="301"/>
      <c r="F30" s="304"/>
      <c r="G30" s="313"/>
      <c r="H30" s="346"/>
      <c r="I30" s="302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7"/>
      <c r="AA30" s="307"/>
      <c r="AB30" s="307"/>
      <c r="AC30" s="307"/>
      <c r="AD30" s="307"/>
      <c r="AE30" s="307"/>
      <c r="AF30" s="307"/>
      <c r="AG30" s="307"/>
      <c r="AH30" s="307"/>
      <c r="AI30" s="307"/>
      <c r="AJ30" s="307"/>
      <c r="AK30" s="307"/>
      <c r="AL30" s="307"/>
      <c r="AM30" s="307"/>
      <c r="AN30" s="307"/>
      <c r="AO30" s="307"/>
      <c r="AP30" s="307"/>
      <c r="AQ30" s="307"/>
      <c r="AR30" s="307"/>
      <c r="AS30" s="307"/>
      <c r="AT30" s="307"/>
      <c r="AU30" s="307"/>
      <c r="AV30" s="307"/>
      <c r="AW30" s="307"/>
      <c r="AX30" s="307"/>
      <c r="AY30" s="307"/>
      <c r="AZ30" s="307"/>
      <c r="BA30" s="307"/>
      <c r="BB30" s="307"/>
      <c r="BC30" s="307"/>
      <c r="BD30" s="307"/>
      <c r="BE30" s="307"/>
      <c r="BF30" s="307"/>
      <c r="BG30" s="307"/>
      <c r="BH30" s="307"/>
      <c r="BI30" s="307"/>
      <c r="BJ30" s="307"/>
      <c r="BK30" s="307"/>
    </row>
    <row r="31" ht="15" customHeight="1" hidden="1" spans="1:63" s="307" customFormat="1" x14ac:dyDescent="0.25" outlineLevel="1" collapsed="1">
      <c r="A31" s="301"/>
      <c r="B31" s="315"/>
      <c r="C31" s="302"/>
      <c r="D31" s="301" t="s">
        <v>247</v>
      </c>
      <c r="E31" s="301"/>
      <c r="F31" s="304"/>
      <c r="G31" s="317">
        <f>SUBTOTAL(9,G27:G30)</f>
      </c>
      <c r="H31" s="346"/>
      <c r="I31" s="302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7"/>
      <c r="AA31" s="307"/>
      <c r="AB31" s="307"/>
      <c r="AC31" s="307"/>
      <c r="AD31" s="307"/>
      <c r="AE31" s="307"/>
      <c r="AF31" s="307"/>
      <c r="AG31" s="307"/>
      <c r="AH31" s="307"/>
      <c r="AI31" s="307"/>
      <c r="AJ31" s="307"/>
      <c r="AK31" s="307"/>
      <c r="AL31" s="307"/>
      <c r="AM31" s="307"/>
      <c r="AN31" s="307"/>
      <c r="AO31" s="307"/>
      <c r="AP31" s="307"/>
      <c r="AQ31" s="307"/>
      <c r="AR31" s="307"/>
      <c r="AS31" s="307"/>
      <c r="AT31" s="307"/>
      <c r="AU31" s="307"/>
      <c r="AV31" s="307"/>
      <c r="AW31" s="307"/>
      <c r="AX31" s="307"/>
      <c r="AY31" s="307"/>
      <c r="AZ31" s="307"/>
      <c r="BA31" s="307"/>
      <c r="BB31" s="307"/>
      <c r="BC31" s="307"/>
      <c r="BD31" s="307"/>
      <c r="BE31" s="307"/>
      <c r="BF31" s="307"/>
      <c r="BG31" s="307"/>
      <c r="BH31" s="307"/>
      <c r="BI31" s="307"/>
      <c r="BJ31" s="307"/>
      <c r="BK31" s="307"/>
    </row>
    <row r="32" ht="5.4" customHeight="1" hidden="1" spans="1:63" s="307" customFormat="1" x14ac:dyDescent="0.25" outlineLevel="1" collapsed="1">
      <c r="A32" s="301"/>
      <c r="B32" s="315"/>
      <c r="C32" s="302"/>
      <c r="D32" s="301"/>
      <c r="E32" s="301"/>
      <c r="F32" s="304"/>
      <c r="G32" s="313"/>
      <c r="H32" s="346"/>
      <c r="I32" s="302"/>
      <c r="J32" s="301"/>
      <c r="K32" s="301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7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307"/>
      <c r="BD32" s="307"/>
      <c r="BE32" s="307"/>
      <c r="BF32" s="307"/>
      <c r="BG32" s="307"/>
      <c r="BH32" s="307"/>
      <c r="BI32" s="307"/>
      <c r="BJ32" s="307"/>
      <c r="BK32" s="307"/>
    </row>
    <row r="33" ht="15" customHeight="1" hidden="1" spans="1:63" s="307" customFormat="1" x14ac:dyDescent="0.25" outlineLevel="1" collapsed="1">
      <c r="A33" s="301" t="s">
        <v>240</v>
      </c>
      <c r="B33" s="315"/>
      <c r="C33" s="302">
        <v>11215</v>
      </c>
      <c r="D33" s="301" t="s">
        <v>248</v>
      </c>
      <c r="E33" s="301"/>
      <c r="F33" s="304"/>
      <c r="G33" s="313"/>
      <c r="H33" s="345"/>
      <c r="I33" s="302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7"/>
      <c r="AA33" s="307"/>
      <c r="AB33" s="307"/>
      <c r="AC33" s="307"/>
      <c r="AD33" s="307"/>
      <c r="AE33" s="307"/>
      <c r="AF33" s="307"/>
      <c r="AG33" s="307"/>
      <c r="AH33" s="307"/>
      <c r="AI33" s="307"/>
      <c r="AJ33" s="307"/>
      <c r="AK33" s="307"/>
      <c r="AL33" s="307"/>
      <c r="AM33" s="307"/>
      <c r="AN33" s="307"/>
      <c r="AO33" s="307"/>
      <c r="AP33" s="307"/>
      <c r="AQ33" s="307"/>
      <c r="AR33" s="307"/>
      <c r="AS33" s="307"/>
      <c r="AT33" s="307"/>
      <c r="AU33" s="307"/>
      <c r="AV33" s="307"/>
      <c r="AW33" s="307"/>
      <c r="AX33" s="307"/>
      <c r="AY33" s="307"/>
      <c r="AZ33" s="307"/>
      <c r="BA33" s="307"/>
      <c r="BB33" s="307"/>
      <c r="BC33" s="307"/>
      <c r="BD33" s="307"/>
      <c r="BE33" s="307"/>
      <c r="BF33" s="307"/>
      <c r="BG33" s="307"/>
      <c r="BH33" s="307"/>
      <c r="BI33" s="307"/>
      <c r="BJ33" s="307"/>
      <c r="BK33" s="307"/>
    </row>
    <row r="34" ht="15" customHeight="1" hidden="1" spans="1:63" s="307" customFormat="1" x14ac:dyDescent="0.25" outlineLevel="1" collapsed="1">
      <c r="A34" s="301" t="s">
        <v>240</v>
      </c>
      <c r="B34" s="315"/>
      <c r="C34" s="302">
        <v>11215</v>
      </c>
      <c r="D34" s="301" t="s">
        <v>248</v>
      </c>
      <c r="E34" s="301"/>
      <c r="F34" s="304"/>
      <c r="G34" s="313"/>
      <c r="H34" s="345"/>
      <c r="I34" s="302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7"/>
      <c r="AA34" s="307"/>
      <c r="AB34" s="307"/>
      <c r="AC34" s="307"/>
      <c r="AD34" s="307"/>
      <c r="AE34" s="307"/>
      <c r="AF34" s="307"/>
      <c r="AG34" s="307"/>
      <c r="AH34" s="307"/>
      <c r="AI34" s="307"/>
      <c r="AJ34" s="307"/>
      <c r="AK34" s="307"/>
      <c r="AL34" s="307"/>
      <c r="AM34" s="307"/>
      <c r="AN34" s="307"/>
      <c r="AO34" s="307"/>
      <c r="AP34" s="307"/>
      <c r="AQ34" s="307"/>
      <c r="AR34" s="307"/>
      <c r="AS34" s="307"/>
      <c r="AT34" s="307"/>
      <c r="AU34" s="307"/>
      <c r="AV34" s="307"/>
      <c r="AW34" s="307"/>
      <c r="AX34" s="307"/>
      <c r="AY34" s="307"/>
      <c r="AZ34" s="307"/>
      <c r="BA34" s="307"/>
      <c r="BB34" s="307"/>
      <c r="BC34" s="307"/>
      <c r="BD34" s="307"/>
      <c r="BE34" s="307"/>
      <c r="BF34" s="307"/>
      <c r="BG34" s="307"/>
      <c r="BH34" s="307"/>
      <c r="BI34" s="307"/>
      <c r="BJ34" s="307"/>
      <c r="BK34" s="307"/>
    </row>
    <row r="35" ht="15" customHeight="1" hidden="1" spans="1:63" s="307" customFormat="1" x14ac:dyDescent="0.25" outlineLevel="1" collapsed="1">
      <c r="A35" s="301" t="s">
        <v>240</v>
      </c>
      <c r="B35" s="315"/>
      <c r="C35" s="302">
        <v>11215</v>
      </c>
      <c r="D35" s="301" t="s">
        <v>248</v>
      </c>
      <c r="E35" s="301"/>
      <c r="F35" s="304"/>
      <c r="G35" s="313"/>
      <c r="H35" s="346"/>
      <c r="I35" s="302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7"/>
      <c r="AA35" s="307"/>
      <c r="AB35" s="307"/>
      <c r="AC35" s="307"/>
      <c r="AD35" s="307"/>
      <c r="AE35" s="307"/>
      <c r="AF35" s="307"/>
      <c r="AG35" s="307"/>
      <c r="AH35" s="307"/>
      <c r="AI35" s="307"/>
      <c r="AJ35" s="307"/>
      <c r="AK35" s="307"/>
      <c r="AL35" s="307"/>
      <c r="AM35" s="307"/>
      <c r="AN35" s="307"/>
      <c r="AO35" s="307"/>
      <c r="AP35" s="307"/>
      <c r="AQ35" s="307"/>
      <c r="AR35" s="307"/>
      <c r="AS35" s="307"/>
      <c r="AT35" s="307"/>
      <c r="AU35" s="307"/>
      <c r="AV35" s="307"/>
      <c r="AW35" s="307"/>
      <c r="AX35" s="307"/>
      <c r="AY35" s="307"/>
      <c r="AZ35" s="307"/>
      <c r="BA35" s="307"/>
      <c r="BB35" s="307"/>
      <c r="BC35" s="307"/>
      <c r="BD35" s="307"/>
      <c r="BE35" s="307"/>
      <c r="BF35" s="307"/>
      <c r="BG35" s="307"/>
      <c r="BH35" s="307"/>
      <c r="BI35" s="307"/>
      <c r="BJ35" s="307"/>
      <c r="BK35" s="307"/>
    </row>
    <row r="36" ht="4.95" customHeight="1" hidden="1" spans="1:63" s="307" customFormat="1" x14ac:dyDescent="0.25" outlineLevel="1" collapsed="1">
      <c r="A36" s="301"/>
      <c r="B36" s="315"/>
      <c r="C36" s="302"/>
      <c r="D36" s="301"/>
      <c r="E36" s="301"/>
      <c r="F36" s="304"/>
      <c r="G36" s="313"/>
      <c r="H36" s="346"/>
      <c r="I36" s="302"/>
      <c r="J36" s="301"/>
      <c r="K36" s="301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  <c r="AI36" s="307"/>
      <c r="AJ36" s="307"/>
      <c r="AK36" s="307"/>
      <c r="AL36" s="307"/>
      <c r="AM36" s="307"/>
      <c r="AN36" s="307"/>
      <c r="AO36" s="307"/>
      <c r="AP36" s="307"/>
      <c r="AQ36" s="307"/>
      <c r="AR36" s="307"/>
      <c r="AS36" s="307"/>
      <c r="AT36" s="307"/>
      <c r="AU36" s="307"/>
      <c r="AV36" s="307"/>
      <c r="AW36" s="307"/>
      <c r="AX36" s="307"/>
      <c r="AY36" s="307"/>
      <c r="AZ36" s="307"/>
      <c r="BA36" s="307"/>
      <c r="BB36" s="307"/>
      <c r="BC36" s="307"/>
      <c r="BD36" s="307"/>
      <c r="BE36" s="307"/>
      <c r="BF36" s="307"/>
      <c r="BG36" s="307"/>
      <c r="BH36" s="307"/>
      <c r="BI36" s="307"/>
      <c r="BJ36" s="307"/>
      <c r="BK36" s="307"/>
    </row>
    <row r="37" ht="15" customHeight="1" hidden="1" spans="1:63" s="307" customFormat="1" x14ac:dyDescent="0.25" outlineLevel="1" collapsed="1">
      <c r="A37" s="301"/>
      <c r="B37" s="315"/>
      <c r="C37" s="302"/>
      <c r="D37" s="301" t="s">
        <v>249</v>
      </c>
      <c r="E37" s="301"/>
      <c r="F37" s="304"/>
      <c r="G37" s="317">
        <f>SUBTOTAL(9,G33:G36)</f>
      </c>
      <c r="H37" s="345"/>
      <c r="I37" s="302"/>
      <c r="J37" s="301"/>
      <c r="K37" s="301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307"/>
      <c r="BD37" s="307"/>
      <c r="BE37" s="307"/>
      <c r="BF37" s="307"/>
      <c r="BG37" s="307"/>
      <c r="BH37" s="307"/>
      <c r="BI37" s="307"/>
      <c r="BJ37" s="307"/>
      <c r="BK37" s="307"/>
    </row>
    <row r="38" hidden="1" spans="1:63" s="307" customFormat="1" x14ac:dyDescent="0.25" outlineLevel="1" collapsed="1">
      <c r="A38" s="301"/>
      <c r="B38" s="315"/>
      <c r="C38" s="302"/>
      <c r="D38" s="301"/>
      <c r="E38" s="301"/>
      <c r="F38" s="304"/>
      <c r="G38" s="313"/>
      <c r="H38" s="345"/>
      <c r="I38" s="302"/>
      <c r="J38" s="301"/>
      <c r="K38" s="301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  <c r="AG38" s="307"/>
      <c r="AH38" s="307"/>
      <c r="AI38" s="307"/>
      <c r="AJ38" s="307"/>
      <c r="AK38" s="307"/>
      <c r="AL38" s="307"/>
      <c r="AM38" s="307"/>
      <c r="AN38" s="307"/>
      <c r="AO38" s="307"/>
      <c r="AP38" s="307"/>
      <c r="AQ38" s="307"/>
      <c r="AR38" s="307"/>
      <c r="AS38" s="307"/>
      <c r="AT38" s="307"/>
      <c r="AU38" s="307"/>
      <c r="AV38" s="307"/>
      <c r="AW38" s="307"/>
      <c r="AX38" s="307"/>
      <c r="AY38" s="307"/>
      <c r="AZ38" s="307"/>
      <c r="BA38" s="307"/>
      <c r="BB38" s="307"/>
      <c r="BC38" s="307"/>
      <c r="BD38" s="307"/>
      <c r="BE38" s="307"/>
      <c r="BF38" s="307"/>
      <c r="BG38" s="307"/>
      <c r="BH38" s="307"/>
      <c r="BI38" s="307"/>
      <c r="BJ38" s="307"/>
      <c r="BK38" s="307"/>
    </row>
    <row r="39" ht="15" customHeight="1" hidden="1" spans="1:63" s="344" customFormat="1" x14ac:dyDescent="0.25" outlineLevel="1" collapsed="1">
      <c r="A39" s="301" t="s">
        <v>240</v>
      </c>
      <c r="B39" s="315"/>
      <c r="C39" s="302">
        <v>11218</v>
      </c>
      <c r="D39" s="301" t="s">
        <v>250</v>
      </c>
      <c r="E39" s="301"/>
      <c r="F39" s="304"/>
      <c r="G39" s="313"/>
      <c r="H39" s="345"/>
      <c r="I39" s="302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1"/>
      <c r="AN39" s="301"/>
      <c r="AO39" s="301"/>
      <c r="AP39" s="301"/>
      <c r="AQ39" s="301"/>
      <c r="AR39" s="301"/>
      <c r="AS39" s="301"/>
      <c r="AT39" s="301"/>
      <c r="AU39" s="301"/>
      <c r="AV39" s="301"/>
      <c r="AW39" s="301"/>
      <c r="AX39" s="301"/>
      <c r="AY39" s="301"/>
      <c r="AZ39" s="301"/>
      <c r="BA39" s="301"/>
      <c r="BB39" s="301"/>
      <c r="BC39" s="301"/>
      <c r="BD39" s="301"/>
      <c r="BE39" s="301"/>
      <c r="BF39" s="301"/>
      <c r="BG39" s="301"/>
      <c r="BH39" s="301"/>
      <c r="BI39" s="301"/>
      <c r="BJ39" s="301"/>
      <c r="BK39" s="301"/>
    </row>
    <row r="40" ht="15" customHeight="1" hidden="1" spans="1:63" s="344" customFormat="1" x14ac:dyDescent="0.25" outlineLevel="1" collapsed="1">
      <c r="A40" s="301" t="s">
        <v>240</v>
      </c>
      <c r="B40" s="315"/>
      <c r="C40" s="302">
        <v>11218</v>
      </c>
      <c r="D40" s="301" t="s">
        <v>250</v>
      </c>
      <c r="E40" s="301"/>
      <c r="F40" s="304"/>
      <c r="G40" s="313"/>
      <c r="H40" s="345"/>
      <c r="I40" s="302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  <c r="BB40" s="301"/>
      <c r="BC40" s="301"/>
      <c r="BD40" s="301"/>
      <c r="BE40" s="301"/>
      <c r="BF40" s="301"/>
      <c r="BG40" s="301"/>
      <c r="BH40" s="301"/>
      <c r="BI40" s="301"/>
      <c r="BJ40" s="301"/>
      <c r="BK40" s="301"/>
    </row>
    <row r="41" ht="4.95" customHeight="1" hidden="1" spans="1:63" s="307" customFormat="1" x14ac:dyDescent="0.25" outlineLevel="1" collapsed="1">
      <c r="A41" s="301"/>
      <c r="B41" s="315"/>
      <c r="C41" s="302"/>
      <c r="D41" s="301"/>
      <c r="E41" s="301"/>
      <c r="F41" s="304"/>
      <c r="G41" s="313"/>
      <c r="H41" s="345"/>
      <c r="I41" s="302"/>
      <c r="J41" s="301"/>
      <c r="K41" s="301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  <c r="AI41" s="307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7"/>
      <c r="BA41" s="307"/>
      <c r="BB41" s="307"/>
      <c r="BC41" s="307"/>
      <c r="BD41" s="307"/>
      <c r="BE41" s="307"/>
      <c r="BF41" s="307"/>
      <c r="BG41" s="307"/>
      <c r="BH41" s="307"/>
      <c r="BI41" s="307"/>
      <c r="BJ41" s="307"/>
      <c r="BK41" s="307"/>
    </row>
    <row r="42" ht="15" customHeight="1" hidden="1" spans="1:63" s="307" customFormat="1" x14ac:dyDescent="0.25" outlineLevel="1" collapsed="1">
      <c r="A42" s="301"/>
      <c r="B42" s="315"/>
      <c r="C42" s="302"/>
      <c r="D42" s="301" t="s">
        <v>251</v>
      </c>
      <c r="E42" s="301"/>
      <c r="F42" s="304"/>
      <c r="G42" s="317">
        <f>SUBTOTAL(9,G39:G41)</f>
      </c>
      <c r="H42" s="345"/>
      <c r="I42" s="302"/>
      <c r="J42" s="301"/>
      <c r="K42" s="301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  <c r="AG42" s="307"/>
      <c r="AH42" s="307"/>
      <c r="AI42" s="307"/>
      <c r="AJ42" s="307"/>
      <c r="AK42" s="307"/>
      <c r="AL42" s="307"/>
      <c r="AM42" s="307"/>
      <c r="AN42" s="307"/>
      <c r="AO42" s="307"/>
      <c r="AP42" s="307"/>
      <c r="AQ42" s="307"/>
      <c r="AR42" s="307"/>
      <c r="AS42" s="307"/>
      <c r="AT42" s="307"/>
      <c r="AU42" s="307"/>
      <c r="AV42" s="307"/>
      <c r="AW42" s="307"/>
      <c r="AX42" s="307"/>
      <c r="AY42" s="307"/>
      <c r="AZ42" s="307"/>
      <c r="BA42" s="307"/>
      <c r="BB42" s="307"/>
      <c r="BC42" s="307"/>
      <c r="BD42" s="307"/>
      <c r="BE42" s="307"/>
      <c r="BF42" s="307"/>
      <c r="BG42" s="307"/>
      <c r="BH42" s="307"/>
      <c r="BI42" s="307"/>
      <c r="BJ42" s="307"/>
      <c r="BK42" s="307"/>
    </row>
    <row r="43" hidden="1" spans="1:63" s="307" customFormat="1" x14ac:dyDescent="0.25" outlineLevel="1" collapsed="1">
      <c r="A43" s="301"/>
      <c r="B43" s="315"/>
      <c r="C43" s="302"/>
      <c r="D43" s="301"/>
      <c r="E43" s="301"/>
      <c r="F43" s="304"/>
      <c r="G43" s="313"/>
      <c r="H43" s="345"/>
      <c r="I43" s="302"/>
      <c r="J43" s="301"/>
      <c r="K43" s="301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7"/>
      <c r="AH43" s="307"/>
      <c r="AI43" s="307"/>
      <c r="AJ43" s="307"/>
      <c r="AK43" s="307"/>
      <c r="AL43" s="307"/>
      <c r="AM43" s="307"/>
      <c r="AN43" s="307"/>
      <c r="AO43" s="307"/>
      <c r="AP43" s="307"/>
      <c r="AQ43" s="307"/>
      <c r="AR43" s="307"/>
      <c r="AS43" s="307"/>
      <c r="AT43" s="307"/>
      <c r="AU43" s="307"/>
      <c r="AV43" s="307"/>
      <c r="AW43" s="307"/>
      <c r="AX43" s="307"/>
      <c r="AY43" s="307"/>
      <c r="AZ43" s="307"/>
      <c r="BA43" s="307"/>
      <c r="BB43" s="307"/>
      <c r="BC43" s="307"/>
      <c r="BD43" s="307"/>
      <c r="BE43" s="307"/>
      <c r="BF43" s="307"/>
      <c r="BG43" s="307"/>
      <c r="BH43" s="307"/>
      <c r="BI43" s="307"/>
      <c r="BJ43" s="307"/>
      <c r="BK43" s="307"/>
    </row>
    <row r="44" ht="15" customHeight="1" hidden="1" spans="1:63" s="307" customFormat="1" x14ac:dyDescent="0.25" outlineLevel="1" collapsed="1">
      <c r="A44" s="301" t="s">
        <v>252</v>
      </c>
      <c r="B44" s="315"/>
      <c r="C44" s="302">
        <v>12115</v>
      </c>
      <c r="D44" s="301" t="s">
        <v>84</v>
      </c>
      <c r="E44" s="301"/>
      <c r="F44" s="304"/>
      <c r="G44" s="313"/>
      <c r="H44" s="345"/>
      <c r="I44" s="302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7"/>
      <c r="AA44" s="307"/>
      <c r="AB44" s="307"/>
      <c r="AC44" s="307"/>
      <c r="AD44" s="307"/>
      <c r="AE44" s="307"/>
      <c r="AF44" s="307"/>
      <c r="AG44" s="307"/>
      <c r="AH44" s="307"/>
      <c r="AI44" s="307"/>
      <c r="AJ44" s="307"/>
      <c r="AK44" s="307"/>
      <c r="AL44" s="307"/>
      <c r="AM44" s="307"/>
      <c r="AN44" s="307"/>
      <c r="AO44" s="307"/>
      <c r="AP44" s="307"/>
      <c r="AQ44" s="307"/>
      <c r="AR44" s="307"/>
      <c r="AS44" s="307"/>
      <c r="AT44" s="307"/>
      <c r="AU44" s="307"/>
      <c r="AV44" s="307"/>
      <c r="AW44" s="307"/>
      <c r="AX44" s="307"/>
      <c r="AY44" s="307"/>
      <c r="AZ44" s="307"/>
      <c r="BA44" s="307"/>
      <c r="BB44" s="307"/>
      <c r="BC44" s="307"/>
      <c r="BD44" s="307"/>
      <c r="BE44" s="307"/>
      <c r="BF44" s="307"/>
      <c r="BG44" s="307"/>
      <c r="BH44" s="307"/>
      <c r="BI44" s="307"/>
      <c r="BJ44" s="307"/>
      <c r="BK44" s="307"/>
    </row>
    <row r="45" ht="15" customHeight="1" hidden="1" spans="1:63" s="307" customFormat="1" x14ac:dyDescent="0.25" outlineLevel="1" collapsed="1">
      <c r="A45" s="301" t="s">
        <v>252</v>
      </c>
      <c r="B45" s="315"/>
      <c r="C45" s="302">
        <v>12115</v>
      </c>
      <c r="D45" s="301" t="s">
        <v>84</v>
      </c>
      <c r="E45" s="301"/>
      <c r="F45" s="304"/>
      <c r="G45" s="313"/>
      <c r="H45" s="345"/>
      <c r="I45" s="302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7"/>
      <c r="AA45" s="307"/>
      <c r="AB45" s="307"/>
      <c r="AC45" s="307"/>
      <c r="AD45" s="307"/>
      <c r="AE45" s="307"/>
      <c r="AF45" s="307"/>
      <c r="AG45" s="307"/>
      <c r="AH45" s="307"/>
      <c r="AI45" s="307"/>
      <c r="AJ45" s="307"/>
      <c r="AK45" s="307"/>
      <c r="AL45" s="307"/>
      <c r="AM45" s="307"/>
      <c r="AN45" s="307"/>
      <c r="AO45" s="307"/>
      <c r="AP45" s="307"/>
      <c r="AQ45" s="307"/>
      <c r="AR45" s="307"/>
      <c r="AS45" s="307"/>
      <c r="AT45" s="307"/>
      <c r="AU45" s="307"/>
      <c r="AV45" s="307"/>
      <c r="AW45" s="307"/>
      <c r="AX45" s="307"/>
      <c r="AY45" s="307"/>
      <c r="AZ45" s="307"/>
      <c r="BA45" s="307"/>
      <c r="BB45" s="307"/>
      <c r="BC45" s="307"/>
      <c r="BD45" s="307"/>
      <c r="BE45" s="307"/>
      <c r="BF45" s="307"/>
      <c r="BG45" s="307"/>
      <c r="BH45" s="307"/>
      <c r="BI45" s="307"/>
      <c r="BJ45" s="307"/>
      <c r="BK45" s="307"/>
    </row>
    <row r="46" ht="15" customHeight="1" hidden="1" spans="1:63" x14ac:dyDescent="0.25" outlineLevel="1" collapsed="1">
      <c r="A46" s="301" t="s">
        <v>252</v>
      </c>
      <c r="B46" s="315"/>
      <c r="C46" s="302">
        <v>12115</v>
      </c>
      <c r="D46" s="301" t="s">
        <v>84</v>
      </c>
      <c r="E46" s="301" t="s">
        <v>253</v>
      </c>
      <c r="F46" s="304" t="s">
        <v>254</v>
      </c>
      <c r="G46" s="313"/>
      <c r="H46" s="345"/>
      <c r="I46" s="302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1"/>
      <c r="AN46" s="301"/>
      <c r="AO46" s="301"/>
      <c r="AP46" s="301"/>
      <c r="AQ46" s="301"/>
      <c r="AR46" s="301"/>
      <c r="AS46" s="301"/>
      <c r="AT46" s="301"/>
      <c r="AU46" s="301"/>
      <c r="AV46" s="301"/>
      <c r="AW46" s="301"/>
      <c r="AX46" s="301"/>
      <c r="AY46" s="301"/>
      <c r="AZ46" s="301"/>
      <c r="BA46" s="301"/>
      <c r="BB46" s="301"/>
      <c r="BC46" s="301"/>
      <c r="BD46" s="301"/>
      <c r="BE46" s="301"/>
      <c r="BF46" s="301"/>
      <c r="BG46" s="301"/>
      <c r="BH46" s="301"/>
      <c r="BI46" s="301"/>
      <c r="BJ46" s="301"/>
      <c r="BK46" s="301"/>
    </row>
    <row r="47" ht="15" customHeight="1" hidden="1" spans="1:63" s="307" customFormat="1" x14ac:dyDescent="0.25" outlineLevel="1" collapsed="1">
      <c r="A47" s="301" t="s">
        <v>110</v>
      </c>
      <c r="B47" s="315"/>
      <c r="C47" s="302">
        <v>12115</v>
      </c>
      <c r="D47" s="301" t="s">
        <v>110</v>
      </c>
      <c r="E47" s="301" t="s">
        <v>255</v>
      </c>
      <c r="F47" s="304"/>
      <c r="G47" s="313"/>
      <c r="H47" s="345"/>
      <c r="I47" s="302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7"/>
      <c r="AA47" s="307"/>
      <c r="AB47" s="307"/>
      <c r="AC47" s="307"/>
      <c r="AD47" s="307"/>
      <c r="AE47" s="307"/>
      <c r="AF47" s="307"/>
      <c r="AG47" s="307"/>
      <c r="AH47" s="307"/>
      <c r="AI47" s="307"/>
      <c r="AJ47" s="307"/>
      <c r="AK47" s="307"/>
      <c r="AL47" s="307"/>
      <c r="AM47" s="307"/>
      <c r="AN47" s="307"/>
      <c r="AO47" s="307"/>
      <c r="AP47" s="307"/>
      <c r="AQ47" s="307"/>
      <c r="AR47" s="307"/>
      <c r="AS47" s="307"/>
      <c r="AT47" s="307"/>
      <c r="AU47" s="307"/>
      <c r="AV47" s="307"/>
      <c r="AW47" s="307"/>
      <c r="AX47" s="307"/>
      <c r="AY47" s="307"/>
      <c r="AZ47" s="307"/>
      <c r="BA47" s="307"/>
      <c r="BB47" s="307"/>
      <c r="BC47" s="307"/>
      <c r="BD47" s="307"/>
      <c r="BE47" s="307"/>
      <c r="BF47" s="307"/>
      <c r="BG47" s="307"/>
      <c r="BH47" s="307"/>
      <c r="BI47" s="307"/>
      <c r="BJ47" s="307"/>
      <c r="BK47" s="307"/>
    </row>
    <row r="48" ht="15" customHeight="1" hidden="1" spans="1:63" s="307" customFormat="1" x14ac:dyDescent="0.25">
      <c r="A48" s="301" t="s">
        <v>110</v>
      </c>
      <c r="B48" s="315"/>
      <c r="C48" s="302">
        <v>12115</v>
      </c>
      <c r="D48" s="301" t="s">
        <v>110</v>
      </c>
      <c r="E48" s="301" t="s">
        <v>255</v>
      </c>
      <c r="F48" s="304"/>
      <c r="G48" s="313"/>
      <c r="H48" s="345"/>
      <c r="I48" s="302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7"/>
      <c r="AA48" s="307"/>
      <c r="AB48" s="307"/>
      <c r="AC48" s="307"/>
      <c r="AD48" s="307"/>
      <c r="AE48" s="307"/>
      <c r="AF48" s="307"/>
      <c r="AG48" s="307"/>
      <c r="AH48" s="307"/>
      <c r="AI48" s="307"/>
      <c r="AJ48" s="307"/>
      <c r="AK48" s="307"/>
      <c r="AL48" s="307"/>
      <c r="AM48" s="307"/>
      <c r="AN48" s="307"/>
      <c r="AO48" s="307"/>
      <c r="AP48" s="307"/>
      <c r="AQ48" s="307"/>
      <c r="AR48" s="307"/>
      <c r="AS48" s="307"/>
      <c r="AT48" s="307"/>
      <c r="AU48" s="307"/>
      <c r="AV48" s="307"/>
      <c r="AW48" s="307"/>
      <c r="AX48" s="307"/>
      <c r="AY48" s="307"/>
      <c r="AZ48" s="307"/>
      <c r="BA48" s="307"/>
      <c r="BB48" s="307"/>
      <c r="BC48" s="307"/>
      <c r="BD48" s="307"/>
      <c r="BE48" s="307"/>
      <c r="BF48" s="307"/>
      <c r="BG48" s="307"/>
      <c r="BH48" s="307"/>
      <c r="BI48" s="307"/>
      <c r="BJ48" s="307"/>
      <c r="BK48" s="307"/>
    </row>
    <row r="49" hidden="1" spans="1:63" s="307" customFormat="1" x14ac:dyDescent="0.25">
      <c r="A49" s="301"/>
      <c r="B49" s="315"/>
      <c r="C49" s="302"/>
      <c r="D49" s="301"/>
      <c r="E49" s="301"/>
      <c r="F49" s="304"/>
      <c r="G49" s="313"/>
      <c r="H49" s="316"/>
      <c r="I49" s="302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7"/>
      <c r="AA49" s="307"/>
      <c r="AB49" s="307"/>
      <c r="AC49" s="307"/>
      <c r="AD49" s="307"/>
      <c r="AE49" s="307"/>
      <c r="AF49" s="307"/>
      <c r="AG49" s="307"/>
      <c r="AH49" s="307"/>
      <c r="AI49" s="307"/>
      <c r="AJ49" s="307"/>
      <c r="AK49" s="307"/>
      <c r="AL49" s="307"/>
      <c r="AM49" s="307"/>
      <c r="AN49" s="307"/>
      <c r="AO49" s="307"/>
      <c r="AP49" s="307"/>
      <c r="AQ49" s="307"/>
      <c r="AR49" s="307"/>
      <c r="AS49" s="307"/>
      <c r="AT49" s="307"/>
      <c r="AU49" s="307"/>
      <c r="AV49" s="307"/>
      <c r="AW49" s="307"/>
      <c r="AX49" s="307"/>
      <c r="AY49" s="307"/>
      <c r="AZ49" s="307"/>
      <c r="BA49" s="307"/>
      <c r="BB49" s="307"/>
      <c r="BC49" s="307"/>
      <c r="BD49" s="307"/>
      <c r="BE49" s="307"/>
      <c r="BF49" s="307"/>
      <c r="BG49" s="307"/>
      <c r="BH49" s="307"/>
      <c r="BI49" s="307"/>
      <c r="BJ49" s="307"/>
      <c r="BK49" s="307"/>
    </row>
    <row r="50" ht="15" customHeight="1" hidden="1" spans="1:63" s="307" customFormat="1" x14ac:dyDescent="0.25">
      <c r="A50" s="301"/>
      <c r="B50" s="315"/>
      <c r="C50" s="302"/>
      <c r="D50" s="301" t="s">
        <v>256</v>
      </c>
      <c r="E50" s="301"/>
      <c r="F50" s="304"/>
      <c r="G50" s="317">
        <f>SUBTOTAL(9,G44:G49)</f>
      </c>
      <c r="H50" s="316"/>
      <c r="I50" s="302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7"/>
      <c r="AA50" s="307"/>
      <c r="AB50" s="307"/>
      <c r="AC50" s="307"/>
      <c r="AD50" s="307"/>
      <c r="AE50" s="307"/>
      <c r="AF50" s="307"/>
      <c r="AG50" s="307"/>
      <c r="AH50" s="307"/>
      <c r="AI50" s="307"/>
      <c r="AJ50" s="307"/>
      <c r="AK50" s="307"/>
      <c r="AL50" s="307"/>
      <c r="AM50" s="307"/>
      <c r="AN50" s="307"/>
      <c r="AO50" s="307"/>
      <c r="AP50" s="307"/>
      <c r="AQ50" s="307"/>
      <c r="AR50" s="307"/>
      <c r="AS50" s="307"/>
      <c r="AT50" s="307"/>
      <c r="AU50" s="307"/>
      <c r="AV50" s="307"/>
      <c r="AW50" s="307"/>
      <c r="AX50" s="307"/>
      <c r="AY50" s="307"/>
      <c r="AZ50" s="307"/>
      <c r="BA50" s="307"/>
      <c r="BB50" s="307"/>
      <c r="BC50" s="307"/>
      <c r="BD50" s="307"/>
      <c r="BE50" s="307"/>
      <c r="BF50" s="307"/>
      <c r="BG50" s="307"/>
      <c r="BH50" s="307"/>
      <c r="BI50" s="307"/>
      <c r="BJ50" s="307"/>
      <c r="BK50" s="307"/>
    </row>
    <row r="51" hidden="1" spans="1:63" s="307" customFormat="1" x14ac:dyDescent="0.25">
      <c r="A51" s="301"/>
      <c r="B51" s="315"/>
      <c r="C51" s="302"/>
      <c r="D51" s="301"/>
      <c r="E51" s="301"/>
      <c r="F51" s="304"/>
      <c r="G51" s="313"/>
      <c r="H51" s="316"/>
      <c r="I51" s="302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7"/>
      <c r="AA51" s="307"/>
      <c r="AB51" s="307"/>
      <c r="AC51" s="307"/>
      <c r="AD51" s="307"/>
      <c r="AE51" s="307"/>
      <c r="AF51" s="307"/>
      <c r="AG51" s="307"/>
      <c r="AH51" s="307"/>
      <c r="AI51" s="307"/>
      <c r="AJ51" s="307"/>
      <c r="AK51" s="307"/>
      <c r="AL51" s="307"/>
      <c r="AM51" s="307"/>
      <c r="AN51" s="307"/>
      <c r="AO51" s="307"/>
      <c r="AP51" s="307"/>
      <c r="AQ51" s="307"/>
      <c r="AR51" s="307"/>
      <c r="AS51" s="307"/>
      <c r="AT51" s="307"/>
      <c r="AU51" s="307"/>
      <c r="AV51" s="307"/>
      <c r="AW51" s="307"/>
      <c r="AX51" s="307"/>
      <c r="AY51" s="307"/>
      <c r="AZ51" s="307"/>
      <c r="BA51" s="307"/>
      <c r="BB51" s="307"/>
      <c r="BC51" s="307"/>
      <c r="BD51" s="307"/>
      <c r="BE51" s="307"/>
      <c r="BF51" s="307"/>
      <c r="BG51" s="307"/>
      <c r="BH51" s="307"/>
      <c r="BI51" s="307"/>
      <c r="BJ51" s="307"/>
      <c r="BK51" s="307"/>
    </row>
    <row r="52" ht="15" customHeight="1" hidden="1" spans="1:63" s="307" customFormat="1" x14ac:dyDescent="0.25">
      <c r="A52" s="301" t="s">
        <v>252</v>
      </c>
      <c r="B52" s="315"/>
      <c r="C52" s="302">
        <v>12116</v>
      </c>
      <c r="D52" s="301" t="s">
        <v>257</v>
      </c>
      <c r="E52" s="301"/>
      <c r="F52" s="304"/>
      <c r="G52" s="313"/>
      <c r="H52" s="316"/>
      <c r="I52" s="302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7"/>
      <c r="AA52" s="307"/>
      <c r="AB52" s="307"/>
      <c r="AC52" s="307"/>
      <c r="AD52" s="307"/>
      <c r="AE52" s="307"/>
      <c r="AF52" s="307"/>
      <c r="AG52" s="307"/>
      <c r="AH52" s="307"/>
      <c r="AI52" s="307"/>
      <c r="AJ52" s="307"/>
      <c r="AK52" s="307"/>
      <c r="AL52" s="307"/>
      <c r="AM52" s="307"/>
      <c r="AN52" s="307"/>
      <c r="AO52" s="307"/>
      <c r="AP52" s="307"/>
      <c r="AQ52" s="307"/>
      <c r="AR52" s="307"/>
      <c r="AS52" s="307"/>
      <c r="AT52" s="307"/>
      <c r="AU52" s="307"/>
      <c r="AV52" s="307"/>
      <c r="AW52" s="307"/>
      <c r="AX52" s="307"/>
      <c r="AY52" s="307"/>
      <c r="AZ52" s="307"/>
      <c r="BA52" s="307"/>
      <c r="BB52" s="307"/>
      <c r="BC52" s="307"/>
      <c r="BD52" s="307"/>
      <c r="BE52" s="307"/>
      <c r="BF52" s="307"/>
      <c r="BG52" s="307"/>
      <c r="BH52" s="307"/>
      <c r="BI52" s="307"/>
      <c r="BJ52" s="307"/>
      <c r="BK52" s="307"/>
    </row>
    <row r="53" ht="15" customHeight="1" hidden="1" spans="1:63" s="307" customFormat="1" x14ac:dyDescent="0.25">
      <c r="A53" s="301" t="s">
        <v>252</v>
      </c>
      <c r="B53" s="315"/>
      <c r="C53" s="302">
        <v>12116</v>
      </c>
      <c r="D53" s="301" t="s">
        <v>257</v>
      </c>
      <c r="E53" s="301"/>
      <c r="F53" s="304"/>
      <c r="G53" s="313"/>
      <c r="H53" s="316"/>
      <c r="I53" s="302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7"/>
      <c r="AA53" s="307"/>
      <c r="AB53" s="307"/>
      <c r="AC53" s="307"/>
      <c r="AD53" s="307"/>
      <c r="AE53" s="307"/>
      <c r="AF53" s="307"/>
      <c r="AG53" s="307"/>
      <c r="AH53" s="307"/>
      <c r="AI53" s="307"/>
      <c r="AJ53" s="307"/>
      <c r="AK53" s="307"/>
      <c r="AL53" s="307"/>
      <c r="AM53" s="307"/>
      <c r="AN53" s="307"/>
      <c r="AO53" s="307"/>
      <c r="AP53" s="307"/>
      <c r="AQ53" s="307"/>
      <c r="AR53" s="307"/>
      <c r="AS53" s="307"/>
      <c r="AT53" s="307"/>
      <c r="AU53" s="307"/>
      <c r="AV53" s="307"/>
      <c r="AW53" s="307"/>
      <c r="AX53" s="307"/>
      <c r="AY53" s="307"/>
      <c r="AZ53" s="307"/>
      <c r="BA53" s="307"/>
      <c r="BB53" s="307"/>
      <c r="BC53" s="307"/>
      <c r="BD53" s="307"/>
      <c r="BE53" s="307"/>
      <c r="BF53" s="307"/>
      <c r="BG53" s="307"/>
      <c r="BH53" s="307"/>
      <c r="BI53" s="307"/>
      <c r="BJ53" s="307"/>
      <c r="BK53" s="307"/>
    </row>
    <row r="54" ht="15" customHeight="1" hidden="1" spans="1:63" s="307" customFormat="1" x14ac:dyDescent="0.25">
      <c r="A54" s="301" t="s">
        <v>252</v>
      </c>
      <c r="B54" s="315"/>
      <c r="C54" s="302">
        <v>12116</v>
      </c>
      <c r="D54" s="301" t="s">
        <v>257</v>
      </c>
      <c r="E54" s="301"/>
      <c r="F54" s="304"/>
      <c r="G54" s="313"/>
      <c r="H54" s="316"/>
      <c r="I54" s="302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7"/>
      <c r="AA54" s="307"/>
      <c r="AB54" s="307"/>
      <c r="AC54" s="307"/>
      <c r="AD54" s="307"/>
      <c r="AE54" s="307"/>
      <c r="AF54" s="307"/>
      <c r="AG54" s="307"/>
      <c r="AH54" s="307"/>
      <c r="AI54" s="307"/>
      <c r="AJ54" s="307"/>
      <c r="AK54" s="307"/>
      <c r="AL54" s="307"/>
      <c r="AM54" s="307"/>
      <c r="AN54" s="307"/>
      <c r="AO54" s="307"/>
      <c r="AP54" s="307"/>
      <c r="AQ54" s="307"/>
      <c r="AR54" s="307"/>
      <c r="AS54" s="307"/>
      <c r="AT54" s="307"/>
      <c r="AU54" s="307"/>
      <c r="AV54" s="307"/>
      <c r="AW54" s="307"/>
      <c r="AX54" s="307"/>
      <c r="AY54" s="307"/>
      <c r="AZ54" s="307"/>
      <c r="BA54" s="307"/>
      <c r="BB54" s="307"/>
      <c r="BC54" s="307"/>
      <c r="BD54" s="307"/>
      <c r="BE54" s="307"/>
      <c r="BF54" s="307"/>
      <c r="BG54" s="307"/>
      <c r="BH54" s="307"/>
      <c r="BI54" s="307"/>
      <c r="BJ54" s="307"/>
      <c r="BK54" s="307"/>
    </row>
    <row r="55" hidden="1" spans="1:63" s="307" customFormat="1" x14ac:dyDescent="0.25">
      <c r="A55" s="301"/>
      <c r="B55" s="315"/>
      <c r="C55" s="302"/>
      <c r="D55" s="301"/>
      <c r="E55" s="301"/>
      <c r="F55" s="304"/>
      <c r="G55" s="313"/>
      <c r="H55" s="316"/>
      <c r="I55" s="302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7"/>
      <c r="AA55" s="307"/>
      <c r="AB55" s="307"/>
      <c r="AC55" s="307"/>
      <c r="AD55" s="307"/>
      <c r="AE55" s="307"/>
      <c r="AF55" s="307"/>
      <c r="AG55" s="307"/>
      <c r="AH55" s="307"/>
      <c r="AI55" s="307"/>
      <c r="AJ55" s="307"/>
      <c r="AK55" s="307"/>
      <c r="AL55" s="307"/>
      <c r="AM55" s="307"/>
      <c r="AN55" s="307"/>
      <c r="AO55" s="307"/>
      <c r="AP55" s="307"/>
      <c r="AQ55" s="307"/>
      <c r="AR55" s="307"/>
      <c r="AS55" s="307"/>
      <c r="AT55" s="307"/>
      <c r="AU55" s="307"/>
      <c r="AV55" s="307"/>
      <c r="AW55" s="307"/>
      <c r="AX55" s="307"/>
      <c r="AY55" s="307"/>
      <c r="AZ55" s="307"/>
      <c r="BA55" s="307"/>
      <c r="BB55" s="307"/>
      <c r="BC55" s="307"/>
      <c r="BD55" s="307"/>
      <c r="BE55" s="307"/>
      <c r="BF55" s="307"/>
      <c r="BG55" s="307"/>
      <c r="BH55" s="307"/>
      <c r="BI55" s="307"/>
      <c r="BJ55" s="307"/>
      <c r="BK55" s="307"/>
    </row>
    <row r="56" ht="15" customHeight="1" hidden="1" spans="1:63" s="307" customFormat="1" x14ac:dyDescent="0.25">
      <c r="A56" s="301"/>
      <c r="B56" s="315"/>
      <c r="C56" s="302"/>
      <c r="D56" s="301" t="s">
        <v>258</v>
      </c>
      <c r="E56" s="301"/>
      <c r="F56" s="304"/>
      <c r="G56" s="317">
        <f>SUBTOTAL(9,G52:G55)</f>
      </c>
      <c r="H56" s="316"/>
      <c r="I56" s="302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7"/>
      <c r="AA56" s="307"/>
      <c r="AB56" s="307"/>
      <c r="AC56" s="307"/>
      <c r="AD56" s="307"/>
      <c r="AE56" s="307"/>
      <c r="AF56" s="307"/>
      <c r="AG56" s="307"/>
      <c r="AH56" s="307"/>
      <c r="AI56" s="307"/>
      <c r="AJ56" s="307"/>
      <c r="AK56" s="307"/>
      <c r="AL56" s="307"/>
      <c r="AM56" s="307"/>
      <c r="AN56" s="307"/>
      <c r="AO56" s="307"/>
      <c r="AP56" s="307"/>
      <c r="AQ56" s="307"/>
      <c r="AR56" s="307"/>
      <c r="AS56" s="307"/>
      <c r="AT56" s="307"/>
      <c r="AU56" s="307"/>
      <c r="AV56" s="307"/>
      <c r="AW56" s="307"/>
      <c r="AX56" s="307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 s="307"/>
      <c r="BJ56" s="307"/>
      <c r="BK56" s="307"/>
    </row>
    <row r="57" hidden="1" spans="1:63" s="307" customFormat="1" x14ac:dyDescent="0.25">
      <c r="A57" s="301"/>
      <c r="B57" s="315"/>
      <c r="C57" s="302"/>
      <c r="D57" s="301"/>
      <c r="E57" s="301"/>
      <c r="F57" s="304"/>
      <c r="G57" s="313"/>
      <c r="H57" s="316"/>
      <c r="I57" s="302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7"/>
      <c r="AA57" s="307"/>
      <c r="AB57" s="307"/>
      <c r="AC57" s="307"/>
      <c r="AD57" s="307"/>
      <c r="AE57" s="307"/>
      <c r="AF57" s="307"/>
      <c r="AG57" s="307"/>
      <c r="AH57" s="307"/>
      <c r="AI57" s="307"/>
      <c r="AJ57" s="307"/>
      <c r="AK57" s="307"/>
      <c r="AL57" s="307"/>
      <c r="AM57" s="307"/>
      <c r="AN57" s="307"/>
      <c r="AO57" s="307"/>
      <c r="AP57" s="307"/>
      <c r="AQ57" s="307"/>
      <c r="AR57" s="307"/>
      <c r="AS57" s="307"/>
      <c r="AT57" s="307"/>
      <c r="AU57" s="307"/>
      <c r="AV57" s="307"/>
      <c r="AW57" s="307"/>
      <c r="AX57" s="307"/>
      <c r="AY57" s="307"/>
      <c r="AZ57" s="307"/>
      <c r="BA57" s="307"/>
      <c r="BB57" s="307"/>
      <c r="BC57" s="307"/>
      <c r="BD57" s="307"/>
      <c r="BE57" s="307"/>
      <c r="BF57" s="307"/>
      <c r="BG57" s="307"/>
      <c r="BH57" s="307"/>
      <c r="BI57" s="307"/>
      <c r="BJ57" s="307"/>
      <c r="BK57" s="307"/>
    </row>
    <row r="58" ht="15" customHeight="1" spans="1:63" s="307" customFormat="1" x14ac:dyDescent="0.25">
      <c r="A58" s="301" t="s">
        <v>259</v>
      </c>
      <c r="B58" s="315"/>
      <c r="C58" s="302" t="s">
        <v>50</v>
      </c>
      <c r="D58" s="301" t="s">
        <v>259</v>
      </c>
      <c r="E58" s="301" t="s">
        <v>260</v>
      </c>
      <c r="F58" s="304" t="s">
        <v>261</v>
      </c>
      <c r="G58" s="313">
        <v>142534.8</v>
      </c>
      <c r="H58" s="316" t="s">
        <v>262</v>
      </c>
      <c r="I58" s="302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7"/>
      <c r="AA58" s="307"/>
      <c r="AB58" s="30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  <c r="AW58" s="307"/>
      <c r="AX58" s="307"/>
      <c r="AY58" s="307"/>
      <c r="AZ58" s="307"/>
      <c r="BA58" s="307"/>
      <c r="BB58" s="307"/>
      <c r="BC58" s="307"/>
      <c r="BD58" s="307"/>
      <c r="BE58" s="307"/>
      <c r="BF58" s="307"/>
      <c r="BG58" s="307"/>
      <c r="BH58" s="307"/>
      <c r="BI58" s="307"/>
      <c r="BJ58" s="307"/>
      <c r="BK58" s="307"/>
    </row>
    <row r="59" ht="15" customHeight="1" spans="1:63" s="307" customFormat="1" x14ac:dyDescent="0.25">
      <c r="A59" s="301" t="s">
        <v>259</v>
      </c>
      <c r="B59" s="315"/>
      <c r="C59" s="302" t="s">
        <v>52</v>
      </c>
      <c r="D59" s="301" t="s">
        <v>259</v>
      </c>
      <c r="E59" s="301" t="s">
        <v>263</v>
      </c>
      <c r="F59" s="304" t="s">
        <v>261</v>
      </c>
      <c r="G59" s="313">
        <v>110286.65</v>
      </c>
      <c r="H59" s="316" t="s">
        <v>262</v>
      </c>
      <c r="I59" s="302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7"/>
      <c r="AA59" s="307"/>
      <c r="AB59" s="307"/>
      <c r="AC59" s="307"/>
      <c r="AD59" s="307"/>
      <c r="AE59" s="307"/>
      <c r="AF59" s="307"/>
      <c r="AG59" s="307"/>
      <c r="AH59" s="307"/>
      <c r="AI59" s="307"/>
      <c r="AJ59" s="307"/>
      <c r="AK59" s="307"/>
      <c r="AL59" s="307"/>
      <c r="AM59" s="307"/>
      <c r="AN59" s="307"/>
      <c r="AO59" s="307"/>
      <c r="AP59" s="307"/>
      <c r="AQ59" s="307"/>
      <c r="AR59" s="307"/>
      <c r="AS59" s="307"/>
      <c r="AT59" s="307"/>
      <c r="AU59" s="307"/>
      <c r="AV59" s="307"/>
      <c r="AW59" s="307"/>
      <c r="AX59" s="307"/>
      <c r="AY59" s="307"/>
      <c r="AZ59" s="307"/>
      <c r="BA59" s="307"/>
      <c r="BB59" s="307"/>
      <c r="BC59" s="307"/>
      <c r="BD59" s="307"/>
      <c r="BE59" s="307"/>
      <c r="BF59" s="307"/>
      <c r="BG59" s="307"/>
      <c r="BH59" s="307"/>
      <c r="BI59" s="307"/>
      <c r="BJ59" s="307"/>
      <c r="BK59" s="307"/>
    </row>
    <row r="60" ht="15" customHeight="1" spans="1:63" s="307" customFormat="1" x14ac:dyDescent="0.25">
      <c r="A60" s="301" t="s">
        <v>259</v>
      </c>
      <c r="B60" s="315"/>
      <c r="C60" s="302" t="s">
        <v>62</v>
      </c>
      <c r="D60" s="301" t="s">
        <v>259</v>
      </c>
      <c r="E60" s="301" t="s">
        <v>264</v>
      </c>
      <c r="F60" s="304" t="s">
        <v>265</v>
      </c>
      <c r="G60" s="313">
        <v>5000</v>
      </c>
      <c r="H60" s="316" t="s">
        <v>262</v>
      </c>
      <c r="I60" s="302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7"/>
      <c r="AA60" s="307"/>
      <c r="AB60" s="307"/>
      <c r="AC60" s="307"/>
      <c r="AD60" s="307"/>
      <c r="AE60" s="307"/>
      <c r="AF60" s="307"/>
      <c r="AG60" s="307"/>
      <c r="AH60" s="307"/>
      <c r="AI60" s="307"/>
      <c r="AJ60" s="307"/>
      <c r="AK60" s="307"/>
      <c r="AL60" s="307"/>
      <c r="AM60" s="307"/>
      <c r="AN60" s="307"/>
      <c r="AO60" s="307"/>
      <c r="AP60" s="307"/>
      <c r="AQ60" s="307"/>
      <c r="AR60" s="307"/>
      <c r="AS60" s="307"/>
      <c r="AT60" s="307"/>
      <c r="AU60" s="307"/>
      <c r="AV60" s="307"/>
      <c r="AW60" s="307"/>
      <c r="AX60" s="307"/>
      <c r="AY60" s="307"/>
      <c r="AZ60" s="307"/>
      <c r="BA60" s="307"/>
      <c r="BB60" s="307"/>
      <c r="BC60" s="307"/>
      <c r="BD60" s="307"/>
      <c r="BE60" s="307"/>
      <c r="BF60" s="307"/>
      <c r="BG60" s="307"/>
      <c r="BH60" s="307"/>
      <c r="BI60" s="307"/>
      <c r="BJ60" s="307"/>
      <c r="BK60" s="307"/>
    </row>
    <row r="61" ht="15" customHeight="1" spans="1:63" s="307" customFormat="1" x14ac:dyDescent="0.25">
      <c r="A61" s="301" t="s">
        <v>259</v>
      </c>
      <c r="B61" s="315"/>
      <c r="C61" s="302" t="s">
        <v>62</v>
      </c>
      <c r="D61" s="301" t="s">
        <v>259</v>
      </c>
      <c r="E61" s="301" t="s">
        <v>266</v>
      </c>
      <c r="F61" s="304" t="s">
        <v>267</v>
      </c>
      <c r="G61" s="313">
        <v>17733</v>
      </c>
      <c r="H61" s="316" t="s">
        <v>262</v>
      </c>
      <c r="I61" s="302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307"/>
      <c r="AO61" s="307"/>
      <c r="AP61" s="307"/>
      <c r="AQ61" s="307"/>
      <c r="AR61" s="307"/>
      <c r="AS61" s="307"/>
      <c r="AT61" s="307"/>
      <c r="AU61" s="307"/>
      <c r="AV61" s="307"/>
      <c r="AW61" s="307"/>
      <c r="AX61" s="307"/>
      <c r="AY61" s="307"/>
      <c r="AZ61" s="307"/>
      <c r="BA61" s="307"/>
      <c r="BB61" s="307"/>
      <c r="BC61" s="307"/>
      <c r="BD61" s="307"/>
      <c r="BE61" s="307"/>
      <c r="BF61" s="307"/>
      <c r="BG61" s="307"/>
      <c r="BH61" s="307"/>
      <c r="BI61" s="307"/>
      <c r="BJ61" s="307"/>
      <c r="BK61" s="307"/>
    </row>
    <row r="62" ht="15" customHeight="1" spans="1:63" s="307" customFormat="1" x14ac:dyDescent="0.25">
      <c r="A62" s="301" t="s">
        <v>259</v>
      </c>
      <c r="B62" s="315"/>
      <c r="C62" s="302" t="s">
        <v>62</v>
      </c>
      <c r="D62" s="301" t="s">
        <v>259</v>
      </c>
      <c r="E62" s="301" t="s">
        <v>268</v>
      </c>
      <c r="F62" s="304" t="s">
        <v>269</v>
      </c>
      <c r="G62" s="313">
        <v>5000</v>
      </c>
      <c r="H62" s="316" t="s">
        <v>262</v>
      </c>
      <c r="I62" s="302"/>
      <c r="J62" s="301"/>
      <c r="K62" s="301" t="s">
        <v>270</v>
      </c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7"/>
      <c r="AA62" s="307"/>
      <c r="AB62" s="307"/>
      <c r="AC62" s="307"/>
      <c r="AD62" s="307"/>
      <c r="AE62" s="307"/>
      <c r="AF62" s="307"/>
      <c r="AG62" s="307"/>
      <c r="AH62" s="307"/>
      <c r="AI62" s="307"/>
      <c r="AJ62" s="307"/>
      <c r="AK62" s="307"/>
      <c r="AL62" s="307"/>
      <c r="AM62" s="307"/>
      <c r="AN62" s="307"/>
      <c r="AO62" s="307"/>
      <c r="AP62" s="307"/>
      <c r="AQ62" s="307"/>
      <c r="AR62" s="307"/>
      <c r="AS62" s="307"/>
      <c r="AT62" s="307"/>
      <c r="AU62" s="307"/>
      <c r="AV62" s="307"/>
      <c r="AW62" s="307"/>
      <c r="AX62" s="307"/>
      <c r="AY62" s="307"/>
      <c r="AZ62" s="307"/>
      <c r="BA62" s="307"/>
      <c r="BB62" s="307"/>
      <c r="BC62" s="307"/>
      <c r="BD62" s="307"/>
      <c r="BE62" s="307"/>
      <c r="BF62" s="307"/>
      <c r="BG62" s="307"/>
      <c r="BH62" s="307"/>
      <c r="BI62" s="307"/>
      <c r="BJ62" s="307"/>
      <c r="BK62" s="307"/>
    </row>
    <row r="63" ht="15" customHeight="1" spans="1:63" s="307" customFormat="1" x14ac:dyDescent="0.25">
      <c r="A63" s="301" t="s">
        <v>259</v>
      </c>
      <c r="B63" s="315"/>
      <c r="C63" s="302" t="s">
        <v>62</v>
      </c>
      <c r="D63" s="301" t="s">
        <v>259</v>
      </c>
      <c r="E63" s="301" t="s">
        <v>271</v>
      </c>
      <c r="F63" s="304" t="s">
        <v>272</v>
      </c>
      <c r="G63" s="313">
        <v>15660</v>
      </c>
      <c r="H63" s="316" t="s">
        <v>262</v>
      </c>
      <c r="I63" s="302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307"/>
      <c r="AO63" s="307"/>
      <c r="AP63" s="307"/>
      <c r="AQ63" s="307"/>
      <c r="AR63" s="307"/>
      <c r="AS63" s="307"/>
      <c r="AT63" s="307"/>
      <c r="AU63" s="307"/>
      <c r="AV63" s="307"/>
      <c r="AW63" s="307"/>
      <c r="AX63" s="307"/>
      <c r="AY63" s="307"/>
      <c r="AZ63" s="307"/>
      <c r="BA63" s="307"/>
      <c r="BB63" s="307"/>
      <c r="BC63" s="307"/>
      <c r="BD63" s="307"/>
      <c r="BE63" s="307"/>
      <c r="BF63" s="307"/>
      <c r="BG63" s="307"/>
      <c r="BH63" s="307"/>
      <c r="BI63" s="307"/>
      <c r="BJ63" s="307"/>
      <c r="BK63" s="307"/>
    </row>
    <row r="64" ht="15" customHeight="1" spans="1:63" s="307" customFormat="1" x14ac:dyDescent="0.25">
      <c r="A64" s="301" t="s">
        <v>259</v>
      </c>
      <c r="B64" s="315"/>
      <c r="C64" s="302" t="s">
        <v>54</v>
      </c>
      <c r="D64" s="301" t="s">
        <v>259</v>
      </c>
      <c r="E64" s="301" t="s">
        <v>273</v>
      </c>
      <c r="F64" s="304" t="s">
        <v>274</v>
      </c>
      <c r="G64" s="313">
        <v>129528.9</v>
      </c>
      <c r="H64" s="316" t="s">
        <v>275</v>
      </c>
      <c r="I64" s="302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7"/>
      <c r="AA64" s="307"/>
      <c r="AB64" s="307"/>
      <c r="AC64" s="307"/>
      <c r="AD64" s="307"/>
      <c r="AE64" s="307"/>
      <c r="AF64" s="307"/>
      <c r="AG64" s="307"/>
      <c r="AH64" s="307"/>
      <c r="AI64" s="307"/>
      <c r="AJ64" s="307"/>
      <c r="AK64" s="307"/>
      <c r="AL64" s="307"/>
      <c r="AM64" s="307"/>
      <c r="AN64" s="307"/>
      <c r="AO64" s="307"/>
      <c r="AP64" s="307"/>
      <c r="AQ64" s="307"/>
      <c r="AR64" s="307"/>
      <c r="AS64" s="307"/>
      <c r="AT64" s="307"/>
      <c r="AU64" s="307"/>
      <c r="AV64" s="307"/>
      <c r="AW64" s="307"/>
      <c r="AX64" s="307"/>
      <c r="AY64" s="307"/>
      <c r="AZ64" s="307"/>
      <c r="BA64" s="307"/>
      <c r="BB64" s="307"/>
      <c r="BC64" s="307"/>
      <c r="BD64" s="307"/>
      <c r="BE64" s="307"/>
      <c r="BF64" s="307"/>
      <c r="BG64" s="307"/>
      <c r="BH64" s="307"/>
      <c r="BI64" s="307"/>
      <c r="BJ64" s="307"/>
      <c r="BK64" s="307"/>
    </row>
    <row r="65" ht="15" customHeight="1" spans="1:63" s="307" customFormat="1" x14ac:dyDescent="0.25">
      <c r="A65" s="301" t="s">
        <v>259</v>
      </c>
      <c r="B65" s="315"/>
      <c r="C65" s="302" t="s">
        <v>50</v>
      </c>
      <c r="D65" s="301" t="s">
        <v>259</v>
      </c>
      <c r="E65" s="301" t="s">
        <v>260</v>
      </c>
      <c r="F65" s="304" t="s">
        <v>276</v>
      </c>
      <c r="G65" s="313">
        <v>302767.57</v>
      </c>
      <c r="H65" s="316" t="s">
        <v>275</v>
      </c>
      <c r="I65" s="302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7"/>
      <c r="AA65" s="307"/>
      <c r="AB65" s="307"/>
      <c r="AC65" s="307"/>
      <c r="AD65" s="307"/>
      <c r="AE65" s="307"/>
      <c r="AF65" s="307"/>
      <c r="AG65" s="307"/>
      <c r="AH65" s="307"/>
      <c r="AI65" s="307"/>
      <c r="AJ65" s="307"/>
      <c r="AK65" s="307"/>
      <c r="AL65" s="307"/>
      <c r="AM65" s="307"/>
      <c r="AN65" s="307"/>
      <c r="AO65" s="307"/>
      <c r="AP65" s="307"/>
      <c r="AQ65" s="307"/>
      <c r="AR65" s="307"/>
      <c r="AS65" s="307"/>
      <c r="AT65" s="307"/>
      <c r="AU65" s="307"/>
      <c r="AV65" s="307"/>
      <c r="AW65" s="307"/>
      <c r="AX65" s="307"/>
      <c r="AY65" s="307"/>
      <c r="AZ65" s="307"/>
      <c r="BA65" s="307"/>
      <c r="BB65" s="307"/>
      <c r="BC65" s="307"/>
      <c r="BD65" s="307"/>
      <c r="BE65" s="307"/>
      <c r="BF65" s="307"/>
      <c r="BG65" s="307"/>
      <c r="BH65" s="307"/>
      <c r="BI65" s="307"/>
      <c r="BJ65" s="307"/>
      <c r="BK65" s="307"/>
    </row>
    <row r="66" ht="15" customHeight="1" spans="1:63" s="307" customFormat="1" x14ac:dyDescent="0.25">
      <c r="A66" s="301" t="s">
        <v>259</v>
      </c>
      <c r="B66" s="315"/>
      <c r="C66" s="302" t="s">
        <v>52</v>
      </c>
      <c r="D66" s="301" t="s">
        <v>259</v>
      </c>
      <c r="E66" s="301" t="s">
        <v>263</v>
      </c>
      <c r="F66" s="304" t="s">
        <v>276</v>
      </c>
      <c r="G66" s="313">
        <v>468959.59</v>
      </c>
      <c r="H66" s="316" t="s">
        <v>275</v>
      </c>
      <c r="I66" s="302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7"/>
      <c r="AA66" s="307"/>
      <c r="AB66" s="307"/>
      <c r="AC66" s="307"/>
      <c r="AD66" s="307"/>
      <c r="AE66" s="307"/>
      <c r="AF66" s="307"/>
      <c r="AG66" s="307"/>
      <c r="AH66" s="307"/>
      <c r="AI66" s="307"/>
      <c r="AJ66" s="307"/>
      <c r="AK66" s="307"/>
      <c r="AL66" s="307"/>
      <c r="AM66" s="307"/>
      <c r="AN66" s="307"/>
      <c r="AO66" s="307"/>
      <c r="AP66" s="307"/>
      <c r="AQ66" s="307"/>
      <c r="AR66" s="307"/>
      <c r="AS66" s="307"/>
      <c r="AT66" s="307"/>
      <c r="AU66" s="307"/>
      <c r="AV66" s="307"/>
      <c r="AW66" s="307"/>
      <c r="AX66" s="307"/>
      <c r="AY66" s="307"/>
      <c r="AZ66" s="307"/>
      <c r="BA66" s="307"/>
      <c r="BB66" s="307"/>
      <c r="BC66" s="307"/>
      <c r="BD66" s="307"/>
      <c r="BE66" s="307"/>
      <c r="BF66" s="307"/>
      <c r="BG66" s="307"/>
      <c r="BH66" s="307"/>
      <c r="BI66" s="307"/>
      <c r="BJ66" s="307"/>
      <c r="BK66" s="307"/>
    </row>
    <row r="67" ht="15" customHeight="1" spans="1:63" s="307" customFormat="1" x14ac:dyDescent="0.25">
      <c r="A67" s="301" t="s">
        <v>259</v>
      </c>
      <c r="B67" s="315"/>
      <c r="C67" s="302" t="s">
        <v>56</v>
      </c>
      <c r="D67" s="301" t="s">
        <v>259</v>
      </c>
      <c r="E67" s="301" t="s">
        <v>277</v>
      </c>
      <c r="F67" s="304" t="s">
        <v>278</v>
      </c>
      <c r="G67" s="313">
        <v>35997.3</v>
      </c>
      <c r="H67" s="316" t="s">
        <v>275</v>
      </c>
      <c r="I67" s="302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7"/>
      <c r="AA67" s="307"/>
      <c r="AB67" s="307"/>
      <c r="AC67" s="307"/>
      <c r="AD67" s="307"/>
      <c r="AE67" s="307"/>
      <c r="AF67" s="307"/>
      <c r="AG67" s="307"/>
      <c r="AH67" s="307"/>
      <c r="AI67" s="307"/>
      <c r="AJ67" s="307"/>
      <c r="AK67" s="307"/>
      <c r="AL67" s="307"/>
      <c r="AM67" s="307"/>
      <c r="AN67" s="307"/>
      <c r="AO67" s="307"/>
      <c r="AP67" s="307"/>
      <c r="AQ67" s="307"/>
      <c r="AR67" s="307"/>
      <c r="AS67" s="307"/>
      <c r="AT67" s="307"/>
      <c r="AU67" s="307"/>
      <c r="AV67" s="307"/>
      <c r="AW67" s="307"/>
      <c r="AX67" s="307"/>
      <c r="AY67" s="307"/>
      <c r="AZ67" s="307"/>
      <c r="BA67" s="307"/>
      <c r="BB67" s="307"/>
      <c r="BC67" s="307"/>
      <c r="BD67" s="307"/>
      <c r="BE67" s="307"/>
      <c r="BF67" s="307"/>
      <c r="BG67" s="307"/>
      <c r="BH67" s="307"/>
      <c r="BI67" s="307"/>
      <c r="BJ67" s="307"/>
      <c r="BK67" s="307"/>
    </row>
    <row r="68" ht="15" customHeight="1" spans="1:63" s="307" customFormat="1" x14ac:dyDescent="0.25">
      <c r="A68" s="301" t="s">
        <v>259</v>
      </c>
      <c r="B68" s="315"/>
      <c r="C68" s="302" t="s">
        <v>58</v>
      </c>
      <c r="D68" s="301" t="s">
        <v>259</v>
      </c>
      <c r="E68" s="301" t="s">
        <v>279</v>
      </c>
      <c r="F68" s="304" t="s">
        <v>274</v>
      </c>
      <c r="G68" s="313">
        <v>168962.15</v>
      </c>
      <c r="H68" s="316" t="s">
        <v>275</v>
      </c>
      <c r="I68" s="302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7"/>
      <c r="AA68" s="307"/>
      <c r="AB68" s="307"/>
      <c r="AC68" s="307"/>
      <c r="AD68" s="307"/>
      <c r="AE68" s="307"/>
      <c r="AF68" s="307"/>
      <c r="AG68" s="307"/>
      <c r="AH68" s="307"/>
      <c r="AI68" s="307"/>
      <c r="AJ68" s="307"/>
      <c r="AK68" s="307"/>
      <c r="AL68" s="307"/>
      <c r="AM68" s="307"/>
      <c r="AN68" s="307"/>
      <c r="AO68" s="307"/>
      <c r="AP68" s="307"/>
      <c r="AQ68" s="307"/>
      <c r="AR68" s="307"/>
      <c r="AS68" s="307"/>
      <c r="AT68" s="307"/>
      <c r="AU68" s="307"/>
      <c r="AV68" s="307"/>
      <c r="AW68" s="307"/>
      <c r="AX68" s="307"/>
      <c r="AY68" s="307"/>
      <c r="AZ68" s="307"/>
      <c r="BA68" s="307"/>
      <c r="BB68" s="307"/>
      <c r="BC68" s="307"/>
      <c r="BD68" s="307"/>
      <c r="BE68" s="307"/>
      <c r="BF68" s="307"/>
      <c r="BG68" s="307"/>
      <c r="BH68" s="307"/>
      <c r="BI68" s="307"/>
      <c r="BJ68" s="307"/>
      <c r="BK68" s="307"/>
    </row>
    <row r="69" ht="15" customHeight="1" spans="1:63" s="307" customFormat="1" x14ac:dyDescent="0.25">
      <c r="A69" s="301" t="s">
        <v>259</v>
      </c>
      <c r="B69" s="315"/>
      <c r="C69" s="302" t="s">
        <v>52</v>
      </c>
      <c r="D69" s="301" t="s">
        <v>259</v>
      </c>
      <c r="E69" s="301" t="s">
        <v>263</v>
      </c>
      <c r="F69" s="304" t="s">
        <v>280</v>
      </c>
      <c r="G69" s="313">
        <v>267556.23</v>
      </c>
      <c r="H69" s="316" t="s">
        <v>281</v>
      </c>
      <c r="I69" s="302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7"/>
      <c r="AA69" s="307"/>
      <c r="AB69" s="307"/>
      <c r="AC69" s="307"/>
      <c r="AD69" s="307"/>
      <c r="AE69" s="307"/>
      <c r="AF69" s="307"/>
      <c r="AG69" s="307"/>
      <c r="AH69" s="307"/>
      <c r="AI69" s="307"/>
      <c r="AJ69" s="307"/>
      <c r="AK69" s="307"/>
      <c r="AL69" s="307"/>
      <c r="AM69" s="307"/>
      <c r="AN69" s="307"/>
      <c r="AO69" s="307"/>
      <c r="AP69" s="307"/>
      <c r="AQ69" s="307"/>
      <c r="AR69" s="307"/>
      <c r="AS69" s="307"/>
      <c r="AT69" s="307"/>
      <c r="AU69" s="307"/>
      <c r="AV69" s="307"/>
      <c r="AW69" s="307"/>
      <c r="AX69" s="307"/>
      <c r="AY69" s="307"/>
      <c r="AZ69" s="307"/>
      <c r="BA69" s="307"/>
      <c r="BB69" s="307"/>
      <c r="BC69" s="307"/>
      <c r="BD69" s="307"/>
      <c r="BE69" s="307"/>
      <c r="BF69" s="307"/>
      <c r="BG69" s="307"/>
      <c r="BH69" s="307"/>
      <c r="BI69" s="307"/>
      <c r="BJ69" s="307"/>
      <c r="BK69" s="307"/>
    </row>
    <row r="70" ht="15" customHeight="1" spans="1:63" s="307" customFormat="1" x14ac:dyDescent="0.25">
      <c r="A70" s="301" t="s">
        <v>259</v>
      </c>
      <c r="B70" s="315"/>
      <c r="C70" s="302" t="s">
        <v>52</v>
      </c>
      <c r="D70" s="301" t="s">
        <v>259</v>
      </c>
      <c r="E70" s="301" t="s">
        <v>263</v>
      </c>
      <c r="F70" s="304" t="s">
        <v>282</v>
      </c>
      <c r="G70" s="313">
        <v>94089.16</v>
      </c>
      <c r="H70" s="316" t="s">
        <v>281</v>
      </c>
      <c r="I70" s="302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07"/>
      <c r="AV70" s="307"/>
      <c r="AW70" s="307"/>
      <c r="AX70" s="307"/>
      <c r="AY70" s="307"/>
      <c r="AZ70" s="307"/>
      <c r="BA70" s="307"/>
      <c r="BB70" s="307"/>
      <c r="BC70" s="307"/>
      <c r="BD70" s="307"/>
      <c r="BE70" s="307"/>
      <c r="BF70" s="307"/>
      <c r="BG70" s="307"/>
      <c r="BH70" s="307"/>
      <c r="BI70" s="307"/>
      <c r="BJ70" s="307"/>
      <c r="BK70" s="307"/>
    </row>
    <row r="71" ht="15" customHeight="1" spans="1:63" s="307" customFormat="1" x14ac:dyDescent="0.25">
      <c r="A71" s="301" t="s">
        <v>259</v>
      </c>
      <c r="B71" s="315"/>
      <c r="C71" s="302" t="s">
        <v>56</v>
      </c>
      <c r="D71" s="301" t="s">
        <v>259</v>
      </c>
      <c r="E71" s="301" t="s">
        <v>277</v>
      </c>
      <c r="F71" s="304" t="s">
        <v>276</v>
      </c>
      <c r="G71" s="313">
        <v>51808.5</v>
      </c>
      <c r="H71" s="316" t="s">
        <v>281</v>
      </c>
      <c r="I71" s="302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7"/>
      <c r="AA71" s="307"/>
      <c r="AB71" s="307"/>
      <c r="AC71" s="307"/>
      <c r="AD71" s="307"/>
      <c r="AE71" s="307"/>
      <c r="AF71" s="307"/>
      <c r="AG71" s="307"/>
      <c r="AH71" s="307"/>
      <c r="AI71" s="307"/>
      <c r="AJ71" s="307"/>
      <c r="AK71" s="307"/>
      <c r="AL71" s="307"/>
      <c r="AM71" s="307"/>
      <c r="AN71" s="307"/>
      <c r="AO71" s="307"/>
      <c r="AP71" s="307"/>
      <c r="AQ71" s="307"/>
      <c r="AR71" s="307"/>
      <c r="AS71" s="307"/>
      <c r="AT71" s="307"/>
      <c r="AU71" s="307"/>
      <c r="AV71" s="307"/>
      <c r="AW71" s="307"/>
      <c r="AX71" s="307"/>
      <c r="AY71" s="307"/>
      <c r="AZ71" s="307"/>
      <c r="BA71" s="307"/>
      <c r="BB71" s="307"/>
      <c r="BC71" s="307"/>
      <c r="BD71" s="307"/>
      <c r="BE71" s="307"/>
      <c r="BF71" s="307"/>
      <c r="BG71" s="307"/>
      <c r="BH71" s="307"/>
      <c r="BI71" s="307"/>
      <c r="BJ71" s="307"/>
      <c r="BK71" s="307"/>
    </row>
    <row r="72" ht="15" customHeight="1" spans="1:63" s="307" customFormat="1" x14ac:dyDescent="0.25">
      <c r="A72" s="301" t="s">
        <v>259</v>
      </c>
      <c r="B72" s="315"/>
      <c r="C72" s="302" t="s">
        <v>50</v>
      </c>
      <c r="D72" s="301" t="s">
        <v>259</v>
      </c>
      <c r="E72" s="301" t="s">
        <v>260</v>
      </c>
      <c r="F72" s="304" t="s">
        <v>280</v>
      </c>
      <c r="G72" s="313">
        <v>867999.29</v>
      </c>
      <c r="H72" s="316" t="s">
        <v>281</v>
      </c>
      <c r="I72" s="302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7"/>
      <c r="AA72" s="307"/>
      <c r="AB72" s="307"/>
      <c r="AC72" s="307"/>
      <c r="AD72" s="307"/>
      <c r="AE72" s="307"/>
      <c r="AF72" s="307"/>
      <c r="AG72" s="307"/>
      <c r="AH72" s="307"/>
      <c r="AI72" s="307"/>
      <c r="AJ72" s="307"/>
      <c r="AK72" s="307"/>
      <c r="AL72" s="307"/>
      <c r="AM72" s="307"/>
      <c r="AN72" s="307"/>
      <c r="AO72" s="307"/>
      <c r="AP72" s="307"/>
      <c r="AQ72" s="307"/>
      <c r="AR72" s="307"/>
      <c r="AS72" s="307"/>
      <c r="AT72" s="307"/>
      <c r="AU72" s="307"/>
      <c r="AV72" s="307"/>
      <c r="AW72" s="307"/>
      <c r="AX72" s="307"/>
      <c r="AY72" s="307"/>
      <c r="AZ72" s="307"/>
      <c r="BA72" s="307"/>
      <c r="BB72" s="307"/>
      <c r="BC72" s="307"/>
      <c r="BD72" s="307"/>
      <c r="BE72" s="307"/>
      <c r="BF72" s="307"/>
      <c r="BG72" s="307"/>
      <c r="BH72" s="307"/>
      <c r="BI72" s="307"/>
      <c r="BJ72" s="307"/>
      <c r="BK72" s="307"/>
    </row>
    <row r="73" ht="15" customHeight="1" spans="1:63" s="307" customFormat="1" x14ac:dyDescent="0.25">
      <c r="A73" s="301" t="s">
        <v>259</v>
      </c>
      <c r="B73" s="315"/>
      <c r="C73" s="302" t="s">
        <v>62</v>
      </c>
      <c r="D73" s="301" t="s">
        <v>259</v>
      </c>
      <c r="E73" s="301" t="s">
        <v>283</v>
      </c>
      <c r="F73" s="304" t="s">
        <v>284</v>
      </c>
      <c r="G73" s="313">
        <v>25750</v>
      </c>
      <c r="H73" s="316" t="s">
        <v>285</v>
      </c>
      <c r="I73" s="302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7"/>
      <c r="AA73" s="307"/>
      <c r="AB73" s="307"/>
      <c r="AC73" s="307"/>
      <c r="AD73" s="307"/>
      <c r="AE73" s="307"/>
      <c r="AF73" s="307"/>
      <c r="AG73" s="307"/>
      <c r="AH73" s="307"/>
      <c r="AI73" s="307"/>
      <c r="AJ73" s="307"/>
      <c r="AK73" s="307"/>
      <c r="AL73" s="307"/>
      <c r="AM73" s="307"/>
      <c r="AN73" s="307"/>
      <c r="AO73" s="307"/>
      <c r="AP73" s="307"/>
      <c r="AQ73" s="307"/>
      <c r="AR73" s="307"/>
      <c r="AS73" s="307"/>
      <c r="AT73" s="307"/>
      <c r="AU73" s="307"/>
      <c r="AV73" s="307"/>
      <c r="AW73" s="307"/>
      <c r="AX73" s="307"/>
      <c r="AY73" s="307"/>
      <c r="AZ73" s="307"/>
      <c r="BA73" s="307"/>
      <c r="BB73" s="307"/>
      <c r="BC73" s="307"/>
      <c r="BD73" s="307"/>
      <c r="BE73" s="307"/>
      <c r="BF73" s="307"/>
      <c r="BG73" s="307"/>
      <c r="BH73" s="307"/>
      <c r="BI73" s="307"/>
      <c r="BJ73" s="307"/>
      <c r="BK73" s="307"/>
    </row>
    <row r="74" ht="15" customHeight="1" spans="1:63" s="307" customFormat="1" x14ac:dyDescent="0.25">
      <c r="A74" s="301" t="s">
        <v>259</v>
      </c>
      <c r="B74" s="315"/>
      <c r="C74" s="302" t="s">
        <v>62</v>
      </c>
      <c r="D74" s="301" t="s">
        <v>259</v>
      </c>
      <c r="E74" s="301" t="s">
        <v>283</v>
      </c>
      <c r="F74" s="304" t="s">
        <v>286</v>
      </c>
      <c r="G74" s="313">
        <v>21750</v>
      </c>
      <c r="H74" s="316" t="s">
        <v>285</v>
      </c>
      <c r="I74" s="302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7"/>
      <c r="AA74" s="307"/>
      <c r="AB74" s="307"/>
      <c r="AC74" s="307"/>
      <c r="AD74" s="307"/>
      <c r="AE74" s="307"/>
      <c r="AF74" s="307"/>
      <c r="AG74" s="307"/>
      <c r="AH74" s="307"/>
      <c r="AI74" s="307"/>
      <c r="AJ74" s="307"/>
      <c r="AK74" s="307"/>
      <c r="AL74" s="307"/>
      <c r="AM74" s="307"/>
      <c r="AN74" s="307"/>
      <c r="AO74" s="307"/>
      <c r="AP74" s="307"/>
      <c r="AQ74" s="307"/>
      <c r="AR74" s="307"/>
      <c r="AS74" s="307"/>
      <c r="AT74" s="307"/>
      <c r="AU74" s="307"/>
      <c r="AV74" s="307"/>
      <c r="AW74" s="307"/>
      <c r="AX74" s="307"/>
      <c r="AY74" s="307"/>
      <c r="AZ74" s="307"/>
      <c r="BA74" s="307"/>
      <c r="BB74" s="307"/>
      <c r="BC74" s="307"/>
      <c r="BD74" s="307"/>
      <c r="BE74" s="307"/>
      <c r="BF74" s="307"/>
      <c r="BG74" s="307"/>
      <c r="BH74" s="307"/>
      <c r="BI74" s="307"/>
      <c r="BJ74" s="307"/>
      <c r="BK74" s="307"/>
    </row>
    <row r="75" ht="15" customHeight="1" spans="1:63" s="307" customFormat="1" x14ac:dyDescent="0.25">
      <c r="A75" s="301" t="s">
        <v>259</v>
      </c>
      <c r="B75" s="315"/>
      <c r="C75" s="302" t="s">
        <v>62</v>
      </c>
      <c r="D75" s="301" t="s">
        <v>259</v>
      </c>
      <c r="E75" s="301" t="s">
        <v>283</v>
      </c>
      <c r="F75" s="304" t="s">
        <v>287</v>
      </c>
      <c r="G75" s="313">
        <v>4500</v>
      </c>
      <c r="H75" s="316" t="s">
        <v>285</v>
      </c>
      <c r="I75" s="302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7"/>
      <c r="AA75" s="307"/>
      <c r="AB75" s="307"/>
      <c r="AC75" s="307"/>
      <c r="AD75" s="307"/>
      <c r="AE75" s="307"/>
      <c r="AF75" s="307"/>
      <c r="AG75" s="307"/>
      <c r="AH75" s="307"/>
      <c r="AI75" s="307"/>
      <c r="AJ75" s="307"/>
      <c r="AK75" s="307"/>
      <c r="AL75" s="307"/>
      <c r="AM75" s="307"/>
      <c r="AN75" s="307"/>
      <c r="AO75" s="307"/>
      <c r="AP75" s="307"/>
      <c r="AQ75" s="307"/>
      <c r="AR75" s="307"/>
      <c r="AS75" s="307"/>
      <c r="AT75" s="307"/>
      <c r="AU75" s="307"/>
      <c r="AV75" s="307"/>
      <c r="AW75" s="307"/>
      <c r="AX75" s="307"/>
      <c r="AY75" s="307"/>
      <c r="AZ75" s="307"/>
      <c r="BA75" s="307"/>
      <c r="BB75" s="307"/>
      <c r="BC75" s="307"/>
      <c r="BD75" s="307"/>
      <c r="BE75" s="307"/>
      <c r="BF75" s="307"/>
      <c r="BG75" s="307"/>
      <c r="BH75" s="307"/>
      <c r="BI75" s="307"/>
      <c r="BJ75" s="307"/>
      <c r="BK75" s="307"/>
    </row>
    <row r="76" ht="15" customHeight="1" spans="1:63" s="307" customFormat="1" x14ac:dyDescent="0.25">
      <c r="A76" s="301" t="s">
        <v>259</v>
      </c>
      <c r="B76" s="315"/>
      <c r="C76" s="302" t="s">
        <v>62</v>
      </c>
      <c r="D76" s="301" t="s">
        <v>259</v>
      </c>
      <c r="E76" s="301" t="s">
        <v>260</v>
      </c>
      <c r="F76" s="304" t="s">
        <v>288</v>
      </c>
      <c r="G76" s="313">
        <v>5298.84</v>
      </c>
      <c r="H76" s="316" t="s">
        <v>285</v>
      </c>
      <c r="I76" s="302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7"/>
      <c r="AA76" s="307"/>
      <c r="AB76" s="307"/>
      <c r="AC76" s="307"/>
      <c r="AD76" s="307"/>
      <c r="AE76" s="307"/>
      <c r="AF76" s="307"/>
      <c r="AG76" s="307"/>
      <c r="AH76" s="307"/>
      <c r="AI76" s="307"/>
      <c r="AJ76" s="307"/>
      <c r="AK76" s="307"/>
      <c r="AL76" s="307"/>
      <c r="AM76" s="307"/>
      <c r="AN76" s="307"/>
      <c r="AO76" s="307"/>
      <c r="AP76" s="307"/>
      <c r="AQ76" s="307"/>
      <c r="AR76" s="307"/>
      <c r="AS76" s="307"/>
      <c r="AT76" s="307"/>
      <c r="AU76" s="307"/>
      <c r="AV76" s="307"/>
      <c r="AW76" s="307"/>
      <c r="AX76" s="307"/>
      <c r="AY76" s="307"/>
      <c r="AZ76" s="307"/>
      <c r="BA76" s="307"/>
      <c r="BB76" s="307"/>
      <c r="BC76" s="307"/>
      <c r="BD76" s="307"/>
      <c r="BE76" s="307"/>
      <c r="BF76" s="307"/>
      <c r="BG76" s="307"/>
      <c r="BH76" s="307"/>
      <c r="BI76" s="307"/>
      <c r="BJ76" s="307"/>
      <c r="BK76" s="307"/>
    </row>
    <row r="77" ht="15" customHeight="1" spans="1:63" s="307" customFormat="1" x14ac:dyDescent="0.25">
      <c r="A77" s="301" t="s">
        <v>259</v>
      </c>
      <c r="B77" s="315"/>
      <c r="C77" s="302" t="s">
        <v>62</v>
      </c>
      <c r="D77" s="301" t="s">
        <v>259</v>
      </c>
      <c r="E77" s="301" t="s">
        <v>283</v>
      </c>
      <c r="F77" s="304" t="s">
        <v>289</v>
      </c>
      <c r="G77" s="313">
        <v>6750</v>
      </c>
      <c r="H77" s="316" t="s">
        <v>285</v>
      </c>
      <c r="I77" s="302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7"/>
      <c r="AA77" s="307"/>
      <c r="AB77" s="307"/>
      <c r="AC77" s="307"/>
      <c r="AD77" s="307"/>
      <c r="AE77" s="307"/>
      <c r="AF77" s="307"/>
      <c r="AG77" s="307"/>
      <c r="AH77" s="307"/>
      <c r="AI77" s="307"/>
      <c r="AJ77" s="307"/>
      <c r="AK77" s="307"/>
      <c r="AL77" s="307"/>
      <c r="AM77" s="307"/>
      <c r="AN77" s="307"/>
      <c r="AO77" s="307"/>
      <c r="AP77" s="307"/>
      <c r="AQ77" s="307"/>
      <c r="AR77" s="307"/>
      <c r="AS77" s="307"/>
      <c r="AT77" s="307"/>
      <c r="AU77" s="307"/>
      <c r="AV77" s="307"/>
      <c r="AW77" s="307"/>
      <c r="AX77" s="307"/>
      <c r="AY77" s="307"/>
      <c r="AZ77" s="307"/>
      <c r="BA77" s="307"/>
      <c r="BB77" s="307"/>
      <c r="BC77" s="307"/>
      <c r="BD77" s="307"/>
      <c r="BE77" s="307"/>
      <c r="BF77" s="307"/>
      <c r="BG77" s="307"/>
      <c r="BH77" s="307"/>
      <c r="BI77" s="307"/>
      <c r="BJ77" s="307"/>
      <c r="BK77" s="307"/>
    </row>
    <row r="78" ht="15" customHeight="1" spans="1:63" s="307" customFormat="1" x14ac:dyDescent="0.25">
      <c r="A78" s="301" t="s">
        <v>259</v>
      </c>
      <c r="B78" s="315"/>
      <c r="C78" s="302" t="s">
        <v>62</v>
      </c>
      <c r="D78" s="301" t="s">
        <v>259</v>
      </c>
      <c r="E78" s="301" t="s">
        <v>290</v>
      </c>
      <c r="F78" s="304" t="s">
        <v>291</v>
      </c>
      <c r="G78" s="313">
        <v>25257.43</v>
      </c>
      <c r="H78" s="316" t="s">
        <v>285</v>
      </c>
      <c r="I78" s="302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7"/>
      <c r="AA78" s="307"/>
      <c r="AB78" s="307"/>
      <c r="AC78" s="307"/>
      <c r="AD78" s="307"/>
      <c r="AE78" s="307"/>
      <c r="AF78" s="307"/>
      <c r="AG78" s="307"/>
      <c r="AH78" s="307"/>
      <c r="AI78" s="307"/>
      <c r="AJ78" s="307"/>
      <c r="AK78" s="307"/>
      <c r="AL78" s="307"/>
      <c r="AM78" s="307"/>
      <c r="AN78" s="307"/>
      <c r="AO78" s="307"/>
      <c r="AP78" s="307"/>
      <c r="AQ78" s="307"/>
      <c r="AR78" s="307"/>
      <c r="AS78" s="307"/>
      <c r="AT78" s="307"/>
      <c r="AU78" s="307"/>
      <c r="AV78" s="307"/>
      <c r="AW78" s="307"/>
      <c r="AX78" s="307"/>
      <c r="AY78" s="307"/>
      <c r="AZ78" s="307"/>
      <c r="BA78" s="307"/>
      <c r="BB78" s="307"/>
      <c r="BC78" s="307"/>
      <c r="BD78" s="307"/>
      <c r="BE78" s="307"/>
      <c r="BF78" s="307"/>
      <c r="BG78" s="307"/>
      <c r="BH78" s="307"/>
      <c r="BI78" s="307"/>
      <c r="BJ78" s="307"/>
      <c r="BK78" s="307"/>
    </row>
    <row r="79" ht="15" customHeight="1" spans="1:63" s="307" customFormat="1" x14ac:dyDescent="0.25">
      <c r="A79" s="301" t="s">
        <v>259</v>
      </c>
      <c r="B79" s="315"/>
      <c r="C79" s="302" t="s">
        <v>54</v>
      </c>
      <c r="D79" s="301" t="s">
        <v>259</v>
      </c>
      <c r="E79" s="301" t="s">
        <v>292</v>
      </c>
      <c r="F79" s="304" t="s">
        <v>276</v>
      </c>
      <c r="G79" s="313">
        <v>330021</v>
      </c>
      <c r="H79" s="316" t="s">
        <v>285</v>
      </c>
      <c r="I79" s="302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7"/>
      <c r="AA79" s="307"/>
      <c r="AB79" s="307"/>
      <c r="AC79" s="307"/>
      <c r="AD79" s="307"/>
      <c r="AE79" s="307"/>
      <c r="AF79" s="307"/>
      <c r="AG79" s="307"/>
      <c r="AH79" s="307"/>
      <c r="AI79" s="307"/>
      <c r="AJ79" s="307"/>
      <c r="AK79" s="307"/>
      <c r="AL79" s="307"/>
      <c r="AM79" s="307"/>
      <c r="AN79" s="307"/>
      <c r="AO79" s="307"/>
      <c r="AP79" s="307"/>
      <c r="AQ79" s="307"/>
      <c r="AR79" s="307"/>
      <c r="AS79" s="307"/>
      <c r="AT79" s="307"/>
      <c r="AU79" s="307"/>
      <c r="AV79" s="307"/>
      <c r="AW79" s="307"/>
      <c r="AX79" s="307"/>
      <c r="AY79" s="307"/>
      <c r="AZ79" s="307"/>
      <c r="BA79" s="307"/>
      <c r="BB79" s="307"/>
      <c r="BC79" s="307"/>
      <c r="BD79" s="307"/>
      <c r="BE79" s="307"/>
      <c r="BF79" s="307"/>
      <c r="BG79" s="307"/>
      <c r="BH79" s="307"/>
      <c r="BI79" s="307"/>
      <c r="BJ79" s="307"/>
      <c r="BK79" s="307"/>
    </row>
    <row r="80" ht="15" customHeight="1" spans="1:63" s="307" customFormat="1" x14ac:dyDescent="0.25">
      <c r="A80" s="301" t="s">
        <v>259</v>
      </c>
      <c r="B80" s="315"/>
      <c r="C80" s="302" t="s">
        <v>62</v>
      </c>
      <c r="D80" s="301" t="s">
        <v>259</v>
      </c>
      <c r="E80" s="304" t="s">
        <v>260</v>
      </c>
      <c r="F80" s="304" t="s">
        <v>293</v>
      </c>
      <c r="G80" s="313">
        <v>4995</v>
      </c>
      <c r="H80" s="316" t="s">
        <v>285</v>
      </c>
      <c r="I80" s="302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7"/>
      <c r="AA80" s="307"/>
      <c r="AB80" s="307"/>
      <c r="AC80" s="307"/>
      <c r="AD80" s="307"/>
      <c r="AE80" s="307"/>
      <c r="AF80" s="307"/>
      <c r="AG80" s="307"/>
      <c r="AH80" s="307"/>
      <c r="AI80" s="307"/>
      <c r="AJ80" s="307"/>
      <c r="AK80" s="307"/>
      <c r="AL80" s="307"/>
      <c r="AM80" s="307"/>
      <c r="AN80" s="307"/>
      <c r="AO80" s="307"/>
      <c r="AP80" s="307"/>
      <c r="AQ80" s="307"/>
      <c r="AR80" s="307"/>
      <c r="AS80" s="307"/>
      <c r="AT80" s="307"/>
      <c r="AU80" s="307"/>
      <c r="AV80" s="307"/>
      <c r="AW80" s="307"/>
      <c r="AX80" s="307"/>
      <c r="AY80" s="307"/>
      <c r="AZ80" s="307"/>
      <c r="BA80" s="307"/>
      <c r="BB80" s="307"/>
      <c r="BC80" s="307"/>
      <c r="BD80" s="307"/>
      <c r="BE80" s="307"/>
      <c r="BF80" s="307"/>
      <c r="BG80" s="307"/>
      <c r="BH80" s="307"/>
      <c r="BI80" s="307"/>
      <c r="BJ80" s="307"/>
      <c r="BK80" s="307"/>
    </row>
    <row r="81" ht="15" customHeight="1" spans="1:63" s="307" customFormat="1" x14ac:dyDescent="0.25">
      <c r="A81" s="301" t="s">
        <v>259</v>
      </c>
      <c r="B81" s="315"/>
      <c r="C81" s="302" t="s">
        <v>62</v>
      </c>
      <c r="D81" s="301" t="s">
        <v>259</v>
      </c>
      <c r="E81" s="301" t="s">
        <v>260</v>
      </c>
      <c r="F81" s="304" t="s">
        <v>294</v>
      </c>
      <c r="G81" s="313">
        <v>52666.34</v>
      </c>
      <c r="H81" s="316" t="s">
        <v>285</v>
      </c>
      <c r="I81" s="302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7"/>
      <c r="AA81" s="307"/>
      <c r="AB81" s="307"/>
      <c r="AC81" s="307"/>
      <c r="AD81" s="307"/>
      <c r="AE81" s="307"/>
      <c r="AF81" s="307"/>
      <c r="AG81" s="307"/>
      <c r="AH81" s="307"/>
      <c r="AI81" s="307"/>
      <c r="AJ81" s="307"/>
      <c r="AK81" s="307"/>
      <c r="AL81" s="307"/>
      <c r="AM81" s="307"/>
      <c r="AN81" s="307"/>
      <c r="AO81" s="307"/>
      <c r="AP81" s="307"/>
      <c r="AQ81" s="307"/>
      <c r="AR81" s="307"/>
      <c r="AS81" s="307"/>
      <c r="AT81" s="307"/>
      <c r="AU81" s="307"/>
      <c r="AV81" s="307"/>
      <c r="AW81" s="307"/>
      <c r="AX81" s="307"/>
      <c r="AY81" s="307"/>
      <c r="AZ81" s="307"/>
      <c r="BA81" s="307"/>
      <c r="BB81" s="307"/>
      <c r="BC81" s="307"/>
      <c r="BD81" s="307"/>
      <c r="BE81" s="307"/>
      <c r="BF81" s="307"/>
      <c r="BG81" s="307"/>
      <c r="BH81" s="307"/>
      <c r="BI81" s="307"/>
      <c r="BJ81" s="307"/>
      <c r="BK81" s="307"/>
    </row>
    <row r="82" ht="15" customHeight="1" spans="1:63" s="307" customFormat="1" x14ac:dyDescent="0.25">
      <c r="A82" s="301" t="s">
        <v>259</v>
      </c>
      <c r="B82" s="315"/>
      <c r="C82" s="302" t="s">
        <v>62</v>
      </c>
      <c r="D82" s="301" t="s">
        <v>259</v>
      </c>
      <c r="E82" s="301" t="s">
        <v>295</v>
      </c>
      <c r="F82" s="304" t="s">
        <v>296</v>
      </c>
      <c r="G82" s="313">
        <v>2200</v>
      </c>
      <c r="H82" s="316" t="s">
        <v>285</v>
      </c>
      <c r="I82" s="302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7"/>
      <c r="AA82" s="307"/>
      <c r="AB82" s="307"/>
      <c r="AC82" s="307"/>
      <c r="AD82" s="307"/>
      <c r="AE82" s="307"/>
      <c r="AF82" s="307"/>
      <c r="AG82" s="307"/>
      <c r="AH82" s="307"/>
      <c r="AI82" s="307"/>
      <c r="AJ82" s="307"/>
      <c r="AK82" s="307"/>
      <c r="AL82" s="307"/>
      <c r="AM82" s="307"/>
      <c r="AN82" s="307"/>
      <c r="AO82" s="307"/>
      <c r="AP82" s="307"/>
      <c r="AQ82" s="307"/>
      <c r="AR82" s="307"/>
      <c r="AS82" s="307"/>
      <c r="AT82" s="307"/>
      <c r="AU82" s="307"/>
      <c r="AV82" s="307"/>
      <c r="AW82" s="307"/>
      <c r="AX82" s="307"/>
      <c r="AY82" s="307"/>
      <c r="AZ82" s="307"/>
      <c r="BA82" s="307"/>
      <c r="BB82" s="307"/>
      <c r="BC82" s="307"/>
      <c r="BD82" s="307"/>
      <c r="BE82" s="307"/>
      <c r="BF82" s="307"/>
      <c r="BG82" s="307"/>
      <c r="BH82" s="307"/>
      <c r="BI82" s="307"/>
      <c r="BJ82" s="307"/>
      <c r="BK82" s="307"/>
    </row>
    <row r="83" ht="15" customHeight="1" spans="1:63" s="307" customFormat="1" x14ac:dyDescent="0.25">
      <c r="A83" s="301" t="s">
        <v>259</v>
      </c>
      <c r="B83" s="315"/>
      <c r="C83" s="302" t="s">
        <v>52</v>
      </c>
      <c r="D83" s="301" t="s">
        <v>259</v>
      </c>
      <c r="E83" s="301" t="s">
        <v>263</v>
      </c>
      <c r="F83" s="304" t="s">
        <v>297</v>
      </c>
      <c r="G83" s="313">
        <v>205206.34</v>
      </c>
      <c r="H83" s="316" t="s">
        <v>285</v>
      </c>
      <c r="I83" s="302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7"/>
      <c r="AA83" s="307"/>
      <c r="AB83" s="307"/>
      <c r="AC83" s="307"/>
      <c r="AD83" s="307"/>
      <c r="AE83" s="307"/>
      <c r="AF83" s="307"/>
      <c r="AG83" s="307"/>
      <c r="AH83" s="307"/>
      <c r="AI83" s="307"/>
      <c r="AJ83" s="307"/>
      <c r="AK83" s="307"/>
      <c r="AL83" s="307"/>
      <c r="AM83" s="307"/>
      <c r="AN83" s="307"/>
      <c r="AO83" s="307"/>
      <c r="AP83" s="307"/>
      <c r="AQ83" s="307"/>
      <c r="AR83" s="307"/>
      <c r="AS83" s="307"/>
      <c r="AT83" s="307"/>
      <c r="AU83" s="307"/>
      <c r="AV83" s="307"/>
      <c r="AW83" s="307"/>
      <c r="AX83" s="307"/>
      <c r="AY83" s="307"/>
      <c r="AZ83" s="307"/>
      <c r="BA83" s="307"/>
      <c r="BB83" s="307"/>
      <c r="BC83" s="307"/>
      <c r="BD83" s="307"/>
      <c r="BE83" s="307"/>
      <c r="BF83" s="307"/>
      <c r="BG83" s="307"/>
      <c r="BH83" s="307"/>
      <c r="BI83" s="307"/>
      <c r="BJ83" s="307"/>
      <c r="BK83" s="307"/>
    </row>
    <row r="84" ht="15" customHeight="1" spans="1:63" s="307" customFormat="1" x14ac:dyDescent="0.25">
      <c r="A84" s="301" t="s">
        <v>259</v>
      </c>
      <c r="B84" s="315"/>
      <c r="C84" s="302" t="s">
        <v>50</v>
      </c>
      <c r="D84" s="301" t="s">
        <v>259</v>
      </c>
      <c r="E84" s="301" t="s">
        <v>260</v>
      </c>
      <c r="F84" s="304" t="s">
        <v>297</v>
      </c>
      <c r="G84" s="313">
        <v>651523.95</v>
      </c>
      <c r="H84" s="316" t="s">
        <v>298</v>
      </c>
      <c r="I84" s="302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7"/>
      <c r="AA84" s="307"/>
      <c r="AB84" s="307"/>
      <c r="AC84" s="307"/>
      <c r="AD84" s="307"/>
      <c r="AE84" s="307"/>
      <c r="AF84" s="307"/>
      <c r="AG84" s="307"/>
      <c r="AH84" s="307"/>
      <c r="AI84" s="307"/>
      <c r="AJ84" s="307"/>
      <c r="AK84" s="307"/>
      <c r="AL84" s="307"/>
      <c r="AM84" s="307"/>
      <c r="AN84" s="307"/>
      <c r="AO84" s="307"/>
      <c r="AP84" s="307"/>
      <c r="AQ84" s="307"/>
      <c r="AR84" s="307"/>
      <c r="AS84" s="307"/>
      <c r="AT84" s="307"/>
      <c r="AU84" s="307"/>
      <c r="AV84" s="307"/>
      <c r="AW84" s="307"/>
      <c r="AX84" s="307"/>
      <c r="AY84" s="307"/>
      <c r="AZ84" s="307"/>
      <c r="BA84" s="307"/>
      <c r="BB84" s="307"/>
      <c r="BC84" s="307"/>
      <c r="BD84" s="307"/>
      <c r="BE84" s="307"/>
      <c r="BF84" s="307"/>
      <c r="BG84" s="307"/>
      <c r="BH84" s="307"/>
      <c r="BI84" s="307"/>
      <c r="BJ84" s="307"/>
      <c r="BK84" s="307"/>
    </row>
    <row r="85" ht="15" customHeight="1" spans="1:63" s="307" customFormat="1" x14ac:dyDescent="0.25">
      <c r="A85" s="301" t="s">
        <v>259</v>
      </c>
      <c r="B85" s="315"/>
      <c r="C85" s="302" t="s">
        <v>52</v>
      </c>
      <c r="D85" s="301" t="s">
        <v>259</v>
      </c>
      <c r="E85" s="301" t="s">
        <v>263</v>
      </c>
      <c r="F85" s="304" t="s">
        <v>299</v>
      </c>
      <c r="G85" s="313">
        <v>4191.81</v>
      </c>
      <c r="H85" s="316" t="s">
        <v>298</v>
      </c>
      <c r="I85" s="302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7"/>
      <c r="AA85" s="307"/>
      <c r="AB85" s="307"/>
      <c r="AC85" s="307"/>
      <c r="AD85" s="307"/>
      <c r="AE85" s="307"/>
      <c r="AF85" s="307"/>
      <c r="AG85" s="307"/>
      <c r="AH85" s="307"/>
      <c r="AI85" s="307"/>
      <c r="AJ85" s="307"/>
      <c r="AK85" s="307"/>
      <c r="AL85" s="307"/>
      <c r="AM85" s="307"/>
      <c r="AN85" s="307"/>
      <c r="AO85" s="307"/>
      <c r="AP85" s="307"/>
      <c r="AQ85" s="307"/>
      <c r="AR85" s="307"/>
      <c r="AS85" s="307"/>
      <c r="AT85" s="307"/>
      <c r="AU85" s="307"/>
      <c r="AV85" s="307"/>
      <c r="AW85" s="307"/>
      <c r="AX85" s="307"/>
      <c r="AY85" s="307"/>
      <c r="AZ85" s="307"/>
      <c r="BA85" s="307"/>
      <c r="BB85" s="307"/>
      <c r="BC85" s="307"/>
      <c r="BD85" s="307"/>
      <c r="BE85" s="307"/>
      <c r="BF85" s="307"/>
      <c r="BG85" s="307"/>
      <c r="BH85" s="307"/>
      <c r="BI85" s="307"/>
      <c r="BJ85" s="307"/>
      <c r="BK85" s="307"/>
    </row>
    <row r="86" ht="15" customHeight="1" spans="1:63" s="307" customFormat="1" x14ac:dyDescent="0.25">
      <c r="A86" s="301" t="s">
        <v>259</v>
      </c>
      <c r="B86" s="315"/>
      <c r="C86" s="302" t="s">
        <v>62</v>
      </c>
      <c r="D86" s="301" t="s">
        <v>259</v>
      </c>
      <c r="E86" s="301" t="s">
        <v>260</v>
      </c>
      <c r="F86" s="304" t="s">
        <v>300</v>
      </c>
      <c r="G86" s="313">
        <v>5168.94</v>
      </c>
      <c r="H86" s="316" t="s">
        <v>298</v>
      </c>
      <c r="I86" s="302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7"/>
      <c r="AA86" s="307"/>
      <c r="AB86" s="307"/>
      <c r="AC86" s="307"/>
      <c r="AD86" s="307"/>
      <c r="AE86" s="307"/>
      <c r="AF86" s="307"/>
      <c r="AG86" s="307"/>
      <c r="AH86" s="307"/>
      <c r="AI86" s="307"/>
      <c r="AJ86" s="307"/>
      <c r="AK86" s="307"/>
      <c r="AL86" s="307"/>
      <c r="AM86" s="307"/>
      <c r="AN86" s="307"/>
      <c r="AO86" s="307"/>
      <c r="AP86" s="307"/>
      <c r="AQ86" s="307"/>
      <c r="AR86" s="307"/>
      <c r="AS86" s="307"/>
      <c r="AT86" s="307"/>
      <c r="AU86" s="307"/>
      <c r="AV86" s="307"/>
      <c r="AW86" s="307"/>
      <c r="AX86" s="307"/>
      <c r="AY86" s="307"/>
      <c r="AZ86" s="307"/>
      <c r="BA86" s="307"/>
      <c r="BB86" s="307"/>
      <c r="BC86" s="307"/>
      <c r="BD86" s="307"/>
      <c r="BE86" s="307"/>
      <c r="BF86" s="307"/>
      <c r="BG86" s="307"/>
      <c r="BH86" s="307"/>
      <c r="BI86" s="307"/>
      <c r="BJ86" s="307"/>
      <c r="BK86" s="307"/>
    </row>
    <row r="87" ht="15" customHeight="1" spans="1:63" s="307" customFormat="1" x14ac:dyDescent="0.25">
      <c r="A87" s="301" t="s">
        <v>259</v>
      </c>
      <c r="B87" s="315"/>
      <c r="C87" s="302" t="s">
        <v>62</v>
      </c>
      <c r="D87" s="301" t="s">
        <v>259</v>
      </c>
      <c r="E87" s="301" t="s">
        <v>283</v>
      </c>
      <c r="F87" s="304" t="s">
        <v>301</v>
      </c>
      <c r="G87" s="313">
        <v>14032</v>
      </c>
      <c r="H87" s="316" t="s">
        <v>298</v>
      </c>
      <c r="I87" s="302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7"/>
      <c r="AA87" s="307"/>
      <c r="AB87" s="307"/>
      <c r="AC87" s="307"/>
      <c r="AD87" s="307"/>
      <c r="AE87" s="307"/>
      <c r="AF87" s="307"/>
      <c r="AG87" s="307"/>
      <c r="AH87" s="307"/>
      <c r="AI87" s="307"/>
      <c r="AJ87" s="307"/>
      <c r="AK87" s="307"/>
      <c r="AL87" s="307"/>
      <c r="AM87" s="307"/>
      <c r="AN87" s="307"/>
      <c r="AO87" s="307"/>
      <c r="AP87" s="307"/>
      <c r="AQ87" s="307"/>
      <c r="AR87" s="307"/>
      <c r="AS87" s="307"/>
      <c r="AT87" s="307"/>
      <c r="AU87" s="307"/>
      <c r="AV87" s="307"/>
      <c r="AW87" s="307"/>
      <c r="AX87" s="307"/>
      <c r="AY87" s="307"/>
      <c r="AZ87" s="307"/>
      <c r="BA87" s="307"/>
      <c r="BB87" s="307"/>
      <c r="BC87" s="307"/>
      <c r="BD87" s="307"/>
      <c r="BE87" s="307"/>
      <c r="BF87" s="307"/>
      <c r="BG87" s="307"/>
      <c r="BH87" s="307"/>
      <c r="BI87" s="307"/>
      <c r="BJ87" s="307"/>
      <c r="BK87" s="307"/>
    </row>
    <row r="88" ht="15" customHeight="1" spans="1:63" s="307" customFormat="1" x14ac:dyDescent="0.25">
      <c r="A88" s="301" t="s">
        <v>259</v>
      </c>
      <c r="B88" s="315"/>
      <c r="C88" s="302" t="s">
        <v>50</v>
      </c>
      <c r="D88" s="301" t="s">
        <v>259</v>
      </c>
      <c r="E88" s="301" t="s">
        <v>260</v>
      </c>
      <c r="F88" s="304" t="s">
        <v>302</v>
      </c>
      <c r="G88" s="313">
        <v>500751.11</v>
      </c>
      <c r="H88" s="316" t="s">
        <v>303</v>
      </c>
      <c r="I88" s="302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7"/>
      <c r="AA88" s="307"/>
      <c r="AB88" s="307"/>
      <c r="AC88" s="307"/>
      <c r="AD88" s="307"/>
      <c r="AE88" s="307"/>
      <c r="AF88" s="307"/>
      <c r="AG88" s="307"/>
      <c r="AH88" s="307"/>
      <c r="AI88" s="307"/>
      <c r="AJ88" s="307"/>
      <c r="AK88" s="307"/>
      <c r="AL88" s="307"/>
      <c r="AM88" s="307"/>
      <c r="AN88" s="307"/>
      <c r="AO88" s="307"/>
      <c r="AP88" s="307"/>
      <c r="AQ88" s="307"/>
      <c r="AR88" s="307"/>
      <c r="AS88" s="307"/>
      <c r="AT88" s="307"/>
      <c r="AU88" s="307"/>
      <c r="AV88" s="307"/>
      <c r="AW88" s="307"/>
      <c r="AX88" s="307"/>
      <c r="AY88" s="307"/>
      <c r="AZ88" s="307"/>
      <c r="BA88" s="307"/>
      <c r="BB88" s="307"/>
      <c r="BC88" s="307"/>
      <c r="BD88" s="307"/>
      <c r="BE88" s="307"/>
      <c r="BF88" s="307"/>
      <c r="BG88" s="307"/>
      <c r="BH88" s="307"/>
      <c r="BI88" s="307"/>
      <c r="BJ88" s="307"/>
      <c r="BK88" s="307"/>
    </row>
    <row r="89" ht="15" customHeight="1" spans="1:63" s="307" customFormat="1" x14ac:dyDescent="0.25">
      <c r="A89" s="301" t="s">
        <v>259</v>
      </c>
      <c r="B89" s="315"/>
      <c r="C89" s="302" t="s">
        <v>62</v>
      </c>
      <c r="D89" s="301" t="s">
        <v>259</v>
      </c>
      <c r="E89" s="301" t="s">
        <v>304</v>
      </c>
      <c r="F89" s="304" t="s">
        <v>305</v>
      </c>
      <c r="G89" s="313">
        <v>12605.92</v>
      </c>
      <c r="H89" s="316" t="s">
        <v>303</v>
      </c>
      <c r="I89" s="302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07"/>
      <c r="AO89" s="307"/>
      <c r="AP89" s="307"/>
      <c r="AQ89" s="307"/>
      <c r="AR89" s="307"/>
      <c r="AS89" s="307"/>
      <c r="AT89" s="307"/>
      <c r="AU89" s="307"/>
      <c r="AV89" s="307"/>
      <c r="AW89" s="307"/>
      <c r="AX89" s="307"/>
      <c r="AY89" s="307"/>
      <c r="AZ89" s="307"/>
      <c r="BA89" s="307"/>
      <c r="BB89" s="307"/>
      <c r="BC89" s="307"/>
      <c r="BD89" s="307"/>
      <c r="BE89" s="307"/>
      <c r="BF89" s="307"/>
      <c r="BG89" s="307"/>
      <c r="BH89" s="307"/>
      <c r="BI89" s="307"/>
      <c r="BJ89" s="307"/>
      <c r="BK89" s="307"/>
    </row>
    <row r="90" ht="15" customHeight="1" spans="1:63" s="307" customFormat="1" x14ac:dyDescent="0.25">
      <c r="A90" s="301" t="s">
        <v>259</v>
      </c>
      <c r="B90" s="315"/>
      <c r="C90" s="302" t="s">
        <v>56</v>
      </c>
      <c r="D90" s="301" t="s">
        <v>259</v>
      </c>
      <c r="E90" s="301" t="s">
        <v>277</v>
      </c>
      <c r="F90" s="304" t="s">
        <v>280</v>
      </c>
      <c r="G90" s="313">
        <v>80768.7</v>
      </c>
      <c r="H90" s="316" t="s">
        <v>303</v>
      </c>
      <c r="I90" s="302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  <c r="AR90" s="307"/>
      <c r="AS90" s="307"/>
      <c r="AT90" s="307"/>
      <c r="AU90" s="307"/>
      <c r="AV90" s="307"/>
      <c r="AW90" s="307"/>
      <c r="AX90" s="307"/>
      <c r="AY90" s="307"/>
      <c r="AZ90" s="307"/>
      <c r="BA90" s="307"/>
      <c r="BB90" s="307"/>
      <c r="BC90" s="307"/>
      <c r="BD90" s="307"/>
      <c r="BE90" s="307"/>
      <c r="BF90" s="307"/>
      <c r="BG90" s="307"/>
      <c r="BH90" s="307"/>
      <c r="BI90" s="307"/>
      <c r="BJ90" s="307"/>
      <c r="BK90" s="307"/>
    </row>
    <row r="91" ht="15" customHeight="1" spans="1:63" s="307" customFormat="1" x14ac:dyDescent="0.25">
      <c r="A91" s="301" t="s">
        <v>259</v>
      </c>
      <c r="B91" s="315"/>
      <c r="C91" s="302" t="s">
        <v>50</v>
      </c>
      <c r="D91" s="301" t="s">
        <v>259</v>
      </c>
      <c r="E91" s="301" t="s">
        <v>260</v>
      </c>
      <c r="F91" s="304" t="s">
        <v>306</v>
      </c>
      <c r="G91" s="313">
        <v>277865.84</v>
      </c>
      <c r="H91" s="316" t="s">
        <v>307</v>
      </c>
      <c r="I91" s="302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307"/>
      <c r="AP91" s="307"/>
      <c r="AQ91" s="307"/>
      <c r="AR91" s="307"/>
      <c r="AS91" s="307"/>
      <c r="AT91" s="307"/>
      <c r="AU91" s="307"/>
      <c r="AV91" s="307"/>
      <c r="AW91" s="307"/>
      <c r="AX91" s="307"/>
      <c r="AY91" s="307"/>
      <c r="AZ91" s="307"/>
      <c r="BA91" s="307"/>
      <c r="BB91" s="307"/>
      <c r="BC91" s="307"/>
      <c r="BD91" s="307"/>
      <c r="BE91" s="307"/>
      <c r="BF91" s="307"/>
      <c r="BG91" s="307"/>
      <c r="BH91" s="307"/>
      <c r="BI91" s="307"/>
      <c r="BJ91" s="307"/>
      <c r="BK91" s="307"/>
    </row>
    <row r="92" ht="15" customHeight="1" spans="1:63" s="307" customFormat="1" x14ac:dyDescent="0.25">
      <c r="A92" s="301" t="s">
        <v>259</v>
      </c>
      <c r="B92" s="315"/>
      <c r="C92" s="302" t="s">
        <v>60</v>
      </c>
      <c r="D92" s="301" t="s">
        <v>259</v>
      </c>
      <c r="E92" s="301" t="s">
        <v>260</v>
      </c>
      <c r="F92" s="304" t="s">
        <v>308</v>
      </c>
      <c r="G92" s="313">
        <v>148500</v>
      </c>
      <c r="H92" s="316" t="s">
        <v>307</v>
      </c>
      <c r="I92" s="302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7"/>
      <c r="AA92" s="307"/>
      <c r="AB92" s="307"/>
      <c r="AC92" s="307"/>
      <c r="AD92" s="307"/>
      <c r="AE92" s="307"/>
      <c r="AF92" s="307"/>
      <c r="AG92" s="307"/>
      <c r="AH92" s="307"/>
      <c r="AI92" s="307"/>
      <c r="AJ92" s="307"/>
      <c r="AK92" s="307"/>
      <c r="AL92" s="307"/>
      <c r="AM92" s="307"/>
      <c r="AN92" s="307"/>
      <c r="AO92" s="307"/>
      <c r="AP92" s="307"/>
      <c r="AQ92" s="307"/>
      <c r="AR92" s="307"/>
      <c r="AS92" s="307"/>
      <c r="AT92" s="307"/>
      <c r="AU92" s="307"/>
      <c r="AV92" s="307"/>
      <c r="AW92" s="307"/>
      <c r="AX92" s="307"/>
      <c r="AY92" s="307"/>
      <c r="AZ92" s="307"/>
      <c r="BA92" s="307"/>
      <c r="BB92" s="307"/>
      <c r="BC92" s="307"/>
      <c r="BD92" s="307"/>
      <c r="BE92" s="307"/>
      <c r="BF92" s="307"/>
      <c r="BG92" s="307"/>
      <c r="BH92" s="307"/>
      <c r="BI92" s="307"/>
      <c r="BJ92" s="307"/>
      <c r="BK92" s="307"/>
    </row>
    <row r="93" ht="15" customHeight="1" spans="1:63" s="307" customFormat="1" x14ac:dyDescent="0.25">
      <c r="A93" s="301" t="s">
        <v>259</v>
      </c>
      <c r="B93" s="315"/>
      <c r="C93" s="302" t="s">
        <v>62</v>
      </c>
      <c r="D93" s="301" t="s">
        <v>259</v>
      </c>
      <c r="E93" s="301" t="s">
        <v>260</v>
      </c>
      <c r="F93" s="304" t="s">
        <v>309</v>
      </c>
      <c r="G93" s="313">
        <v>45863.36</v>
      </c>
      <c r="H93" s="316" t="s">
        <v>307</v>
      </c>
      <c r="I93" s="302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7"/>
      <c r="AA93" s="307"/>
      <c r="AB93" s="307"/>
      <c r="AC93" s="307"/>
      <c r="AD93" s="307"/>
      <c r="AE93" s="307"/>
      <c r="AF93" s="307"/>
      <c r="AG93" s="307"/>
      <c r="AH93" s="307"/>
      <c r="AI93" s="307"/>
      <c r="AJ93" s="307"/>
      <c r="AK93" s="307"/>
      <c r="AL93" s="307"/>
      <c r="AM93" s="307"/>
      <c r="AN93" s="307"/>
      <c r="AO93" s="307"/>
      <c r="AP93" s="307"/>
      <c r="AQ93" s="307"/>
      <c r="AR93" s="307"/>
      <c r="AS93" s="307"/>
      <c r="AT93" s="307"/>
      <c r="AU93" s="307"/>
      <c r="AV93" s="307"/>
      <c r="AW93" s="307"/>
      <c r="AX93" s="307"/>
      <c r="AY93" s="307"/>
      <c r="AZ93" s="307"/>
      <c r="BA93" s="307"/>
      <c r="BB93" s="307"/>
      <c r="BC93" s="307"/>
      <c r="BD93" s="307"/>
      <c r="BE93" s="307"/>
      <c r="BF93" s="307"/>
      <c r="BG93" s="307"/>
      <c r="BH93" s="307"/>
      <c r="BI93" s="307"/>
      <c r="BJ93" s="307"/>
      <c r="BK93" s="307"/>
    </row>
    <row r="94" ht="15" customHeight="1" spans="1:63" s="307" customFormat="1" x14ac:dyDescent="0.25">
      <c r="A94" s="301" t="s">
        <v>259</v>
      </c>
      <c r="B94" s="315"/>
      <c r="C94" s="302" t="s">
        <v>50</v>
      </c>
      <c r="D94" s="301" t="s">
        <v>259</v>
      </c>
      <c r="E94" s="301" t="s">
        <v>260</v>
      </c>
      <c r="F94" s="304" t="s">
        <v>310</v>
      </c>
      <c r="G94" s="313">
        <v>35215.88</v>
      </c>
      <c r="H94" s="346" t="s">
        <v>307</v>
      </c>
      <c r="I94" s="302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7"/>
      <c r="AA94" s="307"/>
      <c r="AB94" s="307"/>
      <c r="AC94" s="307"/>
      <c r="AD94" s="307"/>
      <c r="AE94" s="307"/>
      <c r="AF94" s="307"/>
      <c r="AG94" s="307"/>
      <c r="AH94" s="307"/>
      <c r="AI94" s="307"/>
      <c r="AJ94" s="307"/>
      <c r="AK94" s="307"/>
      <c r="AL94" s="307"/>
      <c r="AM94" s="307"/>
      <c r="AN94" s="307"/>
      <c r="AO94" s="307"/>
      <c r="AP94" s="307"/>
      <c r="AQ94" s="307"/>
      <c r="AR94" s="307"/>
      <c r="AS94" s="307"/>
      <c r="AT94" s="307"/>
      <c r="AU94" s="307"/>
      <c r="AV94" s="307"/>
      <c r="AW94" s="307"/>
      <c r="AX94" s="307"/>
      <c r="AY94" s="307"/>
      <c r="AZ94" s="307"/>
      <c r="BA94" s="307"/>
      <c r="BB94" s="307"/>
      <c r="BC94" s="307"/>
      <c r="BD94" s="307"/>
      <c r="BE94" s="307"/>
      <c r="BF94" s="307"/>
      <c r="BG94" s="307"/>
      <c r="BH94" s="307"/>
      <c r="BI94" s="307"/>
      <c r="BJ94" s="307"/>
      <c r="BK94" s="307"/>
    </row>
    <row r="95" ht="15" customHeight="1" spans="1:63" s="307" customFormat="1" x14ac:dyDescent="0.25">
      <c r="A95" s="301" t="s">
        <v>259</v>
      </c>
      <c r="B95" s="315"/>
      <c r="C95" s="302" t="s">
        <v>62</v>
      </c>
      <c r="D95" s="301" t="s">
        <v>259</v>
      </c>
      <c r="E95" s="301" t="s">
        <v>260</v>
      </c>
      <c r="F95" s="304" t="s">
        <v>311</v>
      </c>
      <c r="G95" s="313">
        <v>2782.03</v>
      </c>
      <c r="H95" s="316" t="s">
        <v>307</v>
      </c>
      <c r="I95" s="302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7"/>
      <c r="AM95" s="307"/>
      <c r="AN95" s="307"/>
      <c r="AO95" s="307"/>
      <c r="AP95" s="307"/>
      <c r="AQ95" s="307"/>
      <c r="AR95" s="307"/>
      <c r="AS95" s="307"/>
      <c r="AT95" s="307"/>
      <c r="AU95" s="307"/>
      <c r="AV95" s="307"/>
      <c r="AW95" s="307"/>
      <c r="AX95" s="307"/>
      <c r="AY95" s="307"/>
      <c r="AZ95" s="307"/>
      <c r="BA95" s="307"/>
      <c r="BB95" s="307"/>
      <c r="BC95" s="307"/>
      <c r="BD95" s="307"/>
      <c r="BE95" s="307"/>
      <c r="BF95" s="307"/>
      <c r="BG95" s="307"/>
      <c r="BH95" s="307"/>
      <c r="BI95" s="307"/>
      <c r="BJ95" s="307"/>
      <c r="BK95" s="307"/>
    </row>
    <row r="96" ht="15" customHeight="1" spans="1:63" s="307" customFormat="1" x14ac:dyDescent="0.25">
      <c r="A96" s="301" t="s">
        <v>259</v>
      </c>
      <c r="B96" s="315"/>
      <c r="C96" s="302" t="s">
        <v>56</v>
      </c>
      <c r="D96" s="301" t="s">
        <v>259</v>
      </c>
      <c r="E96" s="301" t="s">
        <v>277</v>
      </c>
      <c r="F96" s="304" t="s">
        <v>312</v>
      </c>
      <c r="G96" s="313">
        <v>21042</v>
      </c>
      <c r="H96" s="316" t="s">
        <v>307</v>
      </c>
      <c r="I96" s="302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7"/>
      <c r="AA96" s="307"/>
      <c r="AB96" s="307"/>
      <c r="AC96" s="307"/>
      <c r="AD96" s="307"/>
      <c r="AE96" s="307"/>
      <c r="AF96" s="307"/>
      <c r="AG96" s="307"/>
      <c r="AH96" s="307"/>
      <c r="AI96" s="307"/>
      <c r="AJ96" s="307"/>
      <c r="AK96" s="307"/>
      <c r="AL96" s="307"/>
      <c r="AM96" s="307"/>
      <c r="AN96" s="307"/>
      <c r="AO96" s="307"/>
      <c r="AP96" s="307"/>
      <c r="AQ96" s="307"/>
      <c r="AR96" s="307"/>
      <c r="AS96" s="307"/>
      <c r="AT96" s="307"/>
      <c r="AU96" s="307"/>
      <c r="AV96" s="307"/>
      <c r="AW96" s="307"/>
      <c r="AX96" s="307"/>
      <c r="AY96" s="307"/>
      <c r="AZ96" s="307"/>
      <c r="BA96" s="307"/>
      <c r="BB96" s="307"/>
      <c r="BC96" s="307"/>
      <c r="BD96" s="307"/>
      <c r="BE96" s="307"/>
      <c r="BF96" s="307"/>
      <c r="BG96" s="307"/>
      <c r="BH96" s="307"/>
      <c r="BI96" s="307"/>
      <c r="BJ96" s="307"/>
      <c r="BK96" s="307"/>
    </row>
    <row r="97" ht="15" customHeight="1" spans="1:63" s="307" customFormat="1" x14ac:dyDescent="0.25" outlineLevel="1" collapsed="1">
      <c r="A97" s="301" t="s">
        <v>259</v>
      </c>
      <c r="B97" s="315"/>
      <c r="C97" s="302" t="s">
        <v>56</v>
      </c>
      <c r="D97" s="301" t="s">
        <v>259</v>
      </c>
      <c r="E97" s="301" t="s">
        <v>277</v>
      </c>
      <c r="F97" s="304" t="s">
        <v>313</v>
      </c>
      <c r="G97" s="313">
        <v>21068.5</v>
      </c>
      <c r="H97" s="316" t="s">
        <v>307</v>
      </c>
      <c r="I97" s="302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7"/>
      <c r="AA97" s="307"/>
      <c r="AB97" s="307"/>
      <c r="AC97" s="307"/>
      <c r="AD97" s="307"/>
      <c r="AE97" s="307"/>
      <c r="AF97" s="307"/>
      <c r="AG97" s="307"/>
      <c r="AH97" s="307"/>
      <c r="AI97" s="307"/>
      <c r="AJ97" s="307"/>
      <c r="AK97" s="307"/>
      <c r="AL97" s="307"/>
      <c r="AM97" s="307"/>
      <c r="AN97" s="307"/>
      <c r="AO97" s="307"/>
      <c r="AP97" s="307"/>
      <c r="AQ97" s="307"/>
      <c r="AR97" s="307"/>
      <c r="AS97" s="307"/>
      <c r="AT97" s="307"/>
      <c r="AU97" s="307"/>
      <c r="AV97" s="307"/>
      <c r="AW97" s="307"/>
      <c r="AX97" s="307"/>
      <c r="AY97" s="307"/>
      <c r="AZ97" s="307"/>
      <c r="BA97" s="307"/>
      <c r="BB97" s="307"/>
      <c r="BC97" s="307"/>
      <c r="BD97" s="307"/>
      <c r="BE97" s="307"/>
      <c r="BF97" s="307"/>
      <c r="BG97" s="307"/>
      <c r="BH97" s="307"/>
      <c r="BI97" s="307"/>
      <c r="BJ97" s="307"/>
      <c r="BK97" s="307"/>
    </row>
    <row r="98" ht="15" customHeight="1" spans="1:63" s="307" customFormat="1" x14ac:dyDescent="0.25" outlineLevel="1" collapsed="1">
      <c r="A98" s="301" t="s">
        <v>259</v>
      </c>
      <c r="B98" s="315"/>
      <c r="C98" s="302" t="s">
        <v>62</v>
      </c>
      <c r="D98" s="301" t="s">
        <v>259</v>
      </c>
      <c r="E98" s="301" t="s">
        <v>314</v>
      </c>
      <c r="F98" s="304" t="s">
        <v>315</v>
      </c>
      <c r="G98" s="313">
        <v>7505.4</v>
      </c>
      <c r="H98" s="316" t="s">
        <v>316</v>
      </c>
      <c r="I98" s="302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7"/>
      <c r="AA98" s="307"/>
      <c r="AB98" s="307"/>
      <c r="AC98" s="307"/>
      <c r="AD98" s="307"/>
      <c r="AE98" s="307"/>
      <c r="AF98" s="307"/>
      <c r="AG98" s="307"/>
      <c r="AH98" s="307"/>
      <c r="AI98" s="307"/>
      <c r="AJ98" s="307"/>
      <c r="AK98" s="307"/>
      <c r="AL98" s="307"/>
      <c r="AM98" s="307"/>
      <c r="AN98" s="307"/>
      <c r="AO98" s="307"/>
      <c r="AP98" s="307"/>
      <c r="AQ98" s="307"/>
      <c r="AR98" s="307"/>
      <c r="AS98" s="307"/>
      <c r="AT98" s="307"/>
      <c r="AU98" s="307"/>
      <c r="AV98" s="307"/>
      <c r="AW98" s="307"/>
      <c r="AX98" s="307"/>
      <c r="AY98" s="307"/>
      <c r="AZ98" s="307"/>
      <c r="BA98" s="307"/>
      <c r="BB98" s="307"/>
      <c r="BC98" s="307"/>
      <c r="BD98" s="307"/>
      <c r="BE98" s="307"/>
      <c r="BF98" s="307"/>
      <c r="BG98" s="307"/>
      <c r="BH98" s="307"/>
      <c r="BI98" s="307"/>
      <c r="BJ98" s="307"/>
      <c r="BK98" s="307"/>
    </row>
    <row r="99" ht="15" customHeight="1" spans="1:63" s="307" customFormat="1" x14ac:dyDescent="0.25" outlineLevel="1" collapsed="1">
      <c r="A99" s="301" t="s">
        <v>259</v>
      </c>
      <c r="B99" s="315"/>
      <c r="C99" s="302" t="s">
        <v>62</v>
      </c>
      <c r="D99" s="301" t="s">
        <v>259</v>
      </c>
      <c r="E99" s="301" t="s">
        <v>314</v>
      </c>
      <c r="F99" s="304" t="s">
        <v>317</v>
      </c>
      <c r="G99" s="313">
        <v>8056.03</v>
      </c>
      <c r="H99" s="316" t="s">
        <v>316</v>
      </c>
      <c r="I99" s="302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7"/>
      <c r="AA99" s="307"/>
      <c r="AB99" s="307"/>
      <c r="AC99" s="307"/>
      <c r="AD99" s="307"/>
      <c r="AE99" s="307"/>
      <c r="AF99" s="307"/>
      <c r="AG99" s="307"/>
      <c r="AH99" s="307"/>
      <c r="AI99" s="307"/>
      <c r="AJ99" s="307"/>
      <c r="AK99" s="307"/>
      <c r="AL99" s="307"/>
      <c r="AM99" s="307"/>
      <c r="AN99" s="307"/>
      <c r="AO99" s="307"/>
      <c r="AP99" s="307"/>
      <c r="AQ99" s="307"/>
      <c r="AR99" s="307"/>
      <c r="AS99" s="307"/>
      <c r="AT99" s="307"/>
      <c r="AU99" s="307"/>
      <c r="AV99" s="307"/>
      <c r="AW99" s="307"/>
      <c r="AX99" s="307"/>
      <c r="AY99" s="307"/>
      <c r="AZ99" s="307"/>
      <c r="BA99" s="307"/>
      <c r="BB99" s="307"/>
      <c r="BC99" s="307"/>
      <c r="BD99" s="307"/>
      <c r="BE99" s="307"/>
      <c r="BF99" s="307"/>
      <c r="BG99" s="307"/>
      <c r="BH99" s="307"/>
      <c r="BI99" s="307"/>
      <c r="BJ99" s="307"/>
      <c r="BK99" s="307"/>
    </row>
    <row r="100" ht="15" customHeight="1" spans="1:63" s="307" customFormat="1" x14ac:dyDescent="0.25" outlineLevel="1" collapsed="1">
      <c r="A100" s="301" t="s">
        <v>259</v>
      </c>
      <c r="B100" s="315"/>
      <c r="C100" s="302" t="s">
        <v>58</v>
      </c>
      <c r="D100" s="301" t="s">
        <v>259</v>
      </c>
      <c r="E100" s="301" t="s">
        <v>279</v>
      </c>
      <c r="F100" s="304" t="s">
        <v>276</v>
      </c>
      <c r="G100" s="313">
        <v>37861.31</v>
      </c>
      <c r="H100" s="316" t="s">
        <v>316</v>
      </c>
      <c r="I100" s="302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7"/>
      <c r="AA100" s="307"/>
      <c r="AB100" s="307"/>
      <c r="AC100" s="307"/>
      <c r="AD100" s="307"/>
      <c r="AE100" s="307"/>
      <c r="AF100" s="307"/>
      <c r="AG100" s="307"/>
      <c r="AH100" s="307"/>
      <c r="AI100" s="307"/>
      <c r="AJ100" s="307"/>
      <c r="AK100" s="307"/>
      <c r="AL100" s="307"/>
      <c r="AM100" s="307"/>
      <c r="AN100" s="307"/>
      <c r="AO100" s="307"/>
      <c r="AP100" s="307"/>
      <c r="AQ100" s="307"/>
      <c r="AR100" s="307"/>
      <c r="AS100" s="307"/>
      <c r="AT100" s="307"/>
      <c r="AU100" s="307"/>
      <c r="AV100" s="307"/>
      <c r="AW100" s="307"/>
      <c r="AX100" s="307"/>
      <c r="AY100" s="307"/>
      <c r="AZ100" s="307"/>
      <c r="BA100" s="307"/>
      <c r="BB100" s="307"/>
      <c r="BC100" s="307"/>
      <c r="BD100" s="307"/>
      <c r="BE100" s="307"/>
      <c r="BF100" s="307"/>
      <c r="BG100" s="307"/>
      <c r="BH100" s="307"/>
      <c r="BI100" s="307"/>
      <c r="BJ100" s="307"/>
      <c r="BK100" s="307"/>
    </row>
    <row r="101" ht="15" customHeight="1" spans="1:63" s="307" customFormat="1" x14ac:dyDescent="0.25" outlineLevel="1" collapsed="1">
      <c r="A101" s="301" t="s">
        <v>259</v>
      </c>
      <c r="B101" s="315"/>
      <c r="C101" s="302" t="s">
        <v>54</v>
      </c>
      <c r="D101" s="301" t="s">
        <v>259</v>
      </c>
      <c r="E101" s="301" t="s">
        <v>292</v>
      </c>
      <c r="F101" s="304" t="s">
        <v>280</v>
      </c>
      <c r="G101" s="313">
        <v>78102</v>
      </c>
      <c r="H101" s="316" t="s">
        <v>316</v>
      </c>
      <c r="I101" s="302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7"/>
      <c r="AA101" s="307"/>
      <c r="AB101" s="307"/>
      <c r="AC101" s="307"/>
      <c r="AD101" s="307"/>
      <c r="AE101" s="307"/>
      <c r="AF101" s="307"/>
      <c r="AG101" s="307"/>
      <c r="AH101" s="307"/>
      <c r="AI101" s="307"/>
      <c r="AJ101" s="307"/>
      <c r="AK101" s="307"/>
      <c r="AL101" s="307"/>
      <c r="AM101" s="307"/>
      <c r="AN101" s="307"/>
      <c r="AO101" s="307"/>
      <c r="AP101" s="307"/>
      <c r="AQ101" s="307"/>
      <c r="AR101" s="307"/>
      <c r="AS101" s="307"/>
      <c r="AT101" s="307"/>
      <c r="AU101" s="307"/>
      <c r="AV101" s="307"/>
      <c r="AW101" s="307"/>
      <c r="AX101" s="307"/>
      <c r="AY101" s="307"/>
      <c r="AZ101" s="307"/>
      <c r="BA101" s="307"/>
      <c r="BB101" s="307"/>
      <c r="BC101" s="307"/>
      <c r="BD101" s="307"/>
      <c r="BE101" s="307"/>
      <c r="BF101" s="307"/>
      <c r="BG101" s="307"/>
      <c r="BH101" s="307"/>
      <c r="BI101" s="307"/>
      <c r="BJ101" s="307"/>
      <c r="BK101" s="307"/>
    </row>
    <row r="102" ht="15" customHeight="1" spans="1:63" x14ac:dyDescent="0.25">
      <c r="A102" s="301" t="s">
        <v>259</v>
      </c>
      <c r="B102" s="321"/>
      <c r="C102" s="302" t="s">
        <v>60</v>
      </c>
      <c r="D102" s="301" t="s">
        <v>259</v>
      </c>
      <c r="E102" s="301" t="s">
        <v>260</v>
      </c>
      <c r="F102" s="304" t="s">
        <v>318</v>
      </c>
      <c r="G102" s="313">
        <v>-36000</v>
      </c>
      <c r="H102" s="316" t="s">
        <v>316</v>
      </c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  <c r="AE102" s="301"/>
      <c r="AF102" s="301"/>
      <c r="AG102" s="301"/>
      <c r="AH102" s="301"/>
      <c r="AI102" s="301"/>
      <c r="AJ102" s="301"/>
      <c r="AK102" s="301"/>
      <c r="AL102" s="301"/>
      <c r="AM102" s="301"/>
      <c r="AN102" s="301"/>
      <c r="AO102" s="301"/>
      <c r="AP102" s="301"/>
      <c r="AQ102" s="301"/>
      <c r="AR102" s="301"/>
      <c r="AS102" s="301"/>
      <c r="AT102" s="301"/>
      <c r="AU102" s="301"/>
      <c r="AV102" s="301"/>
      <c r="AW102" s="301"/>
      <c r="AX102" s="301"/>
      <c r="AY102" s="301"/>
      <c r="AZ102" s="301"/>
      <c r="BA102" s="301"/>
      <c r="BB102" s="301"/>
      <c r="BC102" s="301"/>
      <c r="BD102" s="301"/>
      <c r="BE102" s="301"/>
      <c r="BF102" s="301"/>
      <c r="BG102" s="301"/>
      <c r="BH102" s="301"/>
      <c r="BI102" s="301"/>
      <c r="BJ102" s="301"/>
      <c r="BK102" s="301"/>
    </row>
    <row r="103" hidden="1" spans="1:63" x14ac:dyDescent="0.25">
      <c r="A103" s="301"/>
      <c r="B103" s="321"/>
      <c r="C103" s="302"/>
      <c r="D103" s="301"/>
      <c r="E103" s="301"/>
      <c r="F103" s="304"/>
      <c r="G103" s="313"/>
      <c r="H103" s="316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  <c r="AD103" s="301"/>
      <c r="AE103" s="301"/>
      <c r="AF103" s="301"/>
      <c r="AG103" s="301"/>
      <c r="AH103" s="301"/>
      <c r="AI103" s="301"/>
      <c r="AJ103" s="301"/>
      <c r="AK103" s="301"/>
      <c r="AL103" s="301"/>
      <c r="AM103" s="301"/>
      <c r="AN103" s="301"/>
      <c r="AO103" s="301"/>
      <c r="AP103" s="301"/>
      <c r="AQ103" s="301"/>
      <c r="AR103" s="301"/>
      <c r="AS103" s="301"/>
      <c r="AT103" s="301"/>
      <c r="AU103" s="301"/>
      <c r="AV103" s="301"/>
      <c r="AW103" s="301"/>
      <c r="AX103" s="301"/>
      <c r="AY103" s="301"/>
      <c r="AZ103" s="301"/>
      <c r="BA103" s="301"/>
      <c r="BB103" s="301"/>
      <c r="BC103" s="301"/>
      <c r="BD103" s="301"/>
      <c r="BE103" s="301"/>
      <c r="BF103" s="301"/>
      <c r="BG103" s="301"/>
      <c r="BH103" s="301"/>
      <c r="BI103" s="301"/>
      <c r="BJ103" s="301"/>
      <c r="BK103" s="301"/>
    </row>
    <row r="104" ht="15" customHeight="1" spans="1:63" x14ac:dyDescent="0.25">
      <c r="A104" s="301"/>
      <c r="B104" s="321"/>
      <c r="C104" s="302"/>
      <c r="D104" s="301" t="s">
        <v>239</v>
      </c>
      <c r="E104" s="301"/>
      <c r="F104" s="304"/>
      <c r="G104" s="317">
        <f>SUBTOTAL(9,G58:G103)</f>
      </c>
      <c r="H104" s="316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  <c r="AI104" s="301"/>
      <c r="AJ104" s="301"/>
      <c r="AK104" s="301"/>
      <c r="AL104" s="301"/>
      <c r="AM104" s="301"/>
      <c r="AN104" s="301"/>
      <c r="AO104" s="301"/>
      <c r="AP104" s="301"/>
      <c r="AQ104" s="301"/>
      <c r="AR104" s="301"/>
      <c r="AS104" s="301"/>
      <c r="AT104" s="301"/>
      <c r="AU104" s="301"/>
      <c r="AV104" s="301"/>
      <c r="AW104" s="301"/>
      <c r="AX104" s="301"/>
      <c r="AY104" s="301"/>
      <c r="AZ104" s="301"/>
      <c r="BA104" s="301"/>
      <c r="BB104" s="301"/>
      <c r="BC104" s="301"/>
      <c r="BD104" s="301"/>
      <c r="BE104" s="301"/>
      <c r="BF104" s="301"/>
      <c r="BG104" s="301"/>
      <c r="BH104" s="301"/>
      <c r="BI104" s="301"/>
      <c r="BJ104" s="301"/>
      <c r="BK104" s="301"/>
    </row>
    <row r="105" hidden="1" spans="1:63" x14ac:dyDescent="0.25">
      <c r="A105" s="301"/>
      <c r="B105" s="321"/>
      <c r="C105" s="302"/>
      <c r="D105" s="301"/>
      <c r="E105" s="301"/>
      <c r="F105" s="304"/>
      <c r="G105" s="313"/>
      <c r="H105" s="316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  <c r="AL105" s="301"/>
      <c r="AM105" s="301"/>
      <c r="AN105" s="301"/>
      <c r="AO105" s="301"/>
      <c r="AP105" s="301"/>
      <c r="AQ105" s="301"/>
      <c r="AR105" s="301"/>
      <c r="AS105" s="301"/>
      <c r="AT105" s="301"/>
      <c r="AU105" s="301"/>
      <c r="AV105" s="301"/>
      <c r="AW105" s="301"/>
      <c r="AX105" s="301"/>
      <c r="AY105" s="301"/>
      <c r="AZ105" s="301"/>
      <c r="BA105" s="301"/>
      <c r="BB105" s="301"/>
      <c r="BC105" s="301"/>
      <c r="BD105" s="301"/>
      <c r="BE105" s="301"/>
      <c r="BF105" s="301"/>
      <c r="BG105" s="301"/>
      <c r="BH105" s="301"/>
      <c r="BI105" s="301"/>
      <c r="BJ105" s="301"/>
      <c r="BK105" s="301"/>
    </row>
    <row r="106" ht="15" customHeight="1" hidden="1" spans="1:63" x14ac:dyDescent="0.25">
      <c r="A106" s="301" t="s">
        <v>252</v>
      </c>
      <c r="B106" s="321"/>
      <c r="C106" s="302">
        <v>11760</v>
      </c>
      <c r="D106" s="301" t="s">
        <v>86</v>
      </c>
      <c r="E106" s="301"/>
      <c r="F106" s="304"/>
      <c r="G106" s="313"/>
      <c r="H106" s="316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  <c r="AE106" s="301"/>
      <c r="AF106" s="301"/>
      <c r="AG106" s="301"/>
      <c r="AH106" s="301"/>
      <c r="AI106" s="301"/>
      <c r="AJ106" s="301"/>
      <c r="AK106" s="301"/>
      <c r="AL106" s="301"/>
      <c r="AM106" s="301"/>
      <c r="AN106" s="301"/>
      <c r="AO106" s="301"/>
      <c r="AP106" s="301"/>
      <c r="AQ106" s="301"/>
      <c r="AR106" s="301"/>
      <c r="AS106" s="301"/>
      <c r="AT106" s="301"/>
      <c r="AU106" s="301"/>
      <c r="AV106" s="301"/>
      <c r="AW106" s="301"/>
      <c r="AX106" s="301"/>
      <c r="AY106" s="301"/>
      <c r="AZ106" s="301"/>
      <c r="BA106" s="301"/>
      <c r="BB106" s="301"/>
      <c r="BC106" s="301"/>
      <c r="BD106" s="301"/>
      <c r="BE106" s="301"/>
      <c r="BF106" s="301"/>
      <c r="BG106" s="301"/>
      <c r="BH106" s="301"/>
      <c r="BI106" s="301"/>
      <c r="BJ106" s="301"/>
      <c r="BK106" s="301"/>
    </row>
    <row r="107" ht="15" customHeight="1" hidden="1" spans="1:63" x14ac:dyDescent="0.25">
      <c r="A107" s="301" t="s">
        <v>252</v>
      </c>
      <c r="B107" s="321"/>
      <c r="C107" s="302">
        <v>11760</v>
      </c>
      <c r="D107" s="301" t="s">
        <v>86</v>
      </c>
      <c r="E107" s="301"/>
      <c r="F107" s="304"/>
      <c r="G107" s="313"/>
      <c r="H107" s="316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  <c r="AI107" s="301"/>
      <c r="AJ107" s="301"/>
      <c r="AK107" s="301"/>
      <c r="AL107" s="301"/>
      <c r="AM107" s="301"/>
      <c r="AN107" s="301"/>
      <c r="AO107" s="301"/>
      <c r="AP107" s="301"/>
      <c r="AQ107" s="301"/>
      <c r="AR107" s="301"/>
      <c r="AS107" s="301"/>
      <c r="AT107" s="301"/>
      <c r="AU107" s="301"/>
      <c r="AV107" s="301"/>
      <c r="AW107" s="301"/>
      <c r="AX107" s="301"/>
      <c r="AY107" s="301"/>
      <c r="AZ107" s="301"/>
      <c r="BA107" s="301"/>
      <c r="BB107" s="301"/>
      <c r="BC107" s="301"/>
      <c r="BD107" s="301"/>
      <c r="BE107" s="301"/>
      <c r="BF107" s="301"/>
      <c r="BG107" s="301"/>
      <c r="BH107" s="301"/>
      <c r="BI107" s="301"/>
      <c r="BJ107" s="301"/>
      <c r="BK107" s="301"/>
    </row>
    <row r="108" ht="15" customHeight="1" hidden="1" spans="1:63" x14ac:dyDescent="0.25">
      <c r="A108" s="301" t="s">
        <v>252</v>
      </c>
      <c r="B108" s="321"/>
      <c r="C108" s="302">
        <v>11760</v>
      </c>
      <c r="D108" s="301" t="s">
        <v>86</v>
      </c>
      <c r="E108" s="301"/>
      <c r="F108" s="304"/>
      <c r="G108" s="313"/>
      <c r="H108" s="316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  <c r="AI108" s="301"/>
      <c r="AJ108" s="301"/>
      <c r="AK108" s="301"/>
      <c r="AL108" s="301"/>
      <c r="AM108" s="301"/>
      <c r="AN108" s="301"/>
      <c r="AO108" s="301"/>
      <c r="AP108" s="301"/>
      <c r="AQ108" s="301"/>
      <c r="AR108" s="301"/>
      <c r="AS108" s="301"/>
      <c r="AT108" s="301"/>
      <c r="AU108" s="301"/>
      <c r="AV108" s="301"/>
      <c r="AW108" s="301"/>
      <c r="AX108" s="301"/>
      <c r="AY108" s="301"/>
      <c r="AZ108" s="301"/>
      <c r="BA108" s="301"/>
      <c r="BB108" s="301"/>
      <c r="BC108" s="301"/>
      <c r="BD108" s="301"/>
      <c r="BE108" s="301"/>
      <c r="BF108" s="301"/>
      <c r="BG108" s="301"/>
      <c r="BH108" s="301"/>
      <c r="BI108" s="301"/>
      <c r="BJ108" s="301"/>
      <c r="BK108" s="301"/>
    </row>
    <row r="109" hidden="1" spans="1:63" x14ac:dyDescent="0.25">
      <c r="A109" s="301"/>
      <c r="B109" s="321"/>
      <c r="C109" s="302"/>
      <c r="D109" s="301"/>
      <c r="E109" s="301"/>
      <c r="F109" s="304"/>
      <c r="G109" s="313"/>
      <c r="H109" s="316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01"/>
      <c r="AI109" s="301"/>
      <c r="AJ109" s="301"/>
      <c r="AK109" s="301"/>
      <c r="AL109" s="301"/>
      <c r="AM109" s="301"/>
      <c r="AN109" s="301"/>
      <c r="AO109" s="301"/>
      <c r="AP109" s="301"/>
      <c r="AQ109" s="301"/>
      <c r="AR109" s="301"/>
      <c r="AS109" s="301"/>
      <c r="AT109" s="301"/>
      <c r="AU109" s="301"/>
      <c r="AV109" s="301"/>
      <c r="AW109" s="301"/>
      <c r="AX109" s="301"/>
      <c r="AY109" s="301"/>
      <c r="AZ109" s="301"/>
      <c r="BA109" s="301"/>
      <c r="BB109" s="301"/>
      <c r="BC109" s="301"/>
      <c r="BD109" s="301"/>
      <c r="BE109" s="301"/>
      <c r="BF109" s="301"/>
      <c r="BG109" s="301"/>
      <c r="BH109" s="301"/>
      <c r="BI109" s="301"/>
      <c r="BJ109" s="301"/>
      <c r="BK109" s="301"/>
    </row>
    <row r="110" ht="15" customHeight="1" hidden="1" spans="1:63" x14ac:dyDescent="0.25">
      <c r="A110" s="301"/>
      <c r="B110" s="321"/>
      <c r="C110" s="302"/>
      <c r="D110" s="301" t="s">
        <v>319</v>
      </c>
      <c r="E110" s="301"/>
      <c r="F110" s="304"/>
      <c r="G110" s="317">
        <f>SUBTOTAL(9,G106:G109)</f>
      </c>
      <c r="H110" s="316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  <c r="AD110" s="301"/>
      <c r="AE110" s="301"/>
      <c r="AF110" s="301"/>
      <c r="AG110" s="301"/>
      <c r="AH110" s="301"/>
      <c r="AI110" s="301"/>
      <c r="AJ110" s="301"/>
      <c r="AK110" s="301"/>
      <c r="AL110" s="301"/>
      <c r="AM110" s="301"/>
      <c r="AN110" s="301"/>
      <c r="AO110" s="301"/>
      <c r="AP110" s="301"/>
      <c r="AQ110" s="301"/>
      <c r="AR110" s="301"/>
      <c r="AS110" s="301"/>
      <c r="AT110" s="301"/>
      <c r="AU110" s="301"/>
      <c r="AV110" s="301"/>
      <c r="AW110" s="301"/>
      <c r="AX110" s="301"/>
      <c r="AY110" s="301"/>
      <c r="AZ110" s="301"/>
      <c r="BA110" s="301"/>
      <c r="BB110" s="301"/>
      <c r="BC110" s="301"/>
      <c r="BD110" s="301"/>
      <c r="BE110" s="301"/>
      <c r="BF110" s="301"/>
      <c r="BG110" s="301"/>
      <c r="BH110" s="301"/>
      <c r="BI110" s="301"/>
      <c r="BJ110" s="301"/>
      <c r="BK110" s="301"/>
    </row>
    <row r="111" hidden="1" spans="1:63" x14ac:dyDescent="0.25">
      <c r="A111" s="301"/>
      <c r="B111" s="321"/>
      <c r="C111" s="302"/>
      <c r="D111" s="301"/>
      <c r="E111" s="301"/>
      <c r="F111" s="304"/>
      <c r="G111" s="313"/>
      <c r="H111" s="316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  <c r="AE111" s="301"/>
      <c r="AF111" s="301"/>
      <c r="AG111" s="301"/>
      <c r="AH111" s="301"/>
      <c r="AI111" s="301"/>
      <c r="AJ111" s="301"/>
      <c r="AK111" s="301"/>
      <c r="AL111" s="301"/>
      <c r="AM111" s="301"/>
      <c r="AN111" s="301"/>
      <c r="AO111" s="301"/>
      <c r="AP111" s="301"/>
      <c r="AQ111" s="301"/>
      <c r="AR111" s="301"/>
      <c r="AS111" s="301"/>
      <c r="AT111" s="301"/>
      <c r="AU111" s="301"/>
      <c r="AV111" s="301"/>
      <c r="AW111" s="301"/>
      <c r="AX111" s="301"/>
      <c r="AY111" s="301"/>
      <c r="AZ111" s="301"/>
      <c r="BA111" s="301"/>
      <c r="BB111" s="301"/>
      <c r="BC111" s="301"/>
      <c r="BD111" s="301"/>
      <c r="BE111" s="301"/>
      <c r="BF111" s="301"/>
      <c r="BG111" s="301"/>
      <c r="BH111" s="301"/>
      <c r="BI111" s="301"/>
      <c r="BJ111" s="301"/>
      <c r="BK111" s="301"/>
    </row>
    <row r="112" ht="15" customHeight="1" spans="1:63" x14ac:dyDescent="0.25">
      <c r="A112" s="301" t="s">
        <v>320</v>
      </c>
      <c r="B112" s="321"/>
      <c r="C112" s="302">
        <v>11970</v>
      </c>
      <c r="D112" s="301" t="s">
        <v>321</v>
      </c>
      <c r="E112" s="301" t="s">
        <v>322</v>
      </c>
      <c r="F112" s="304" t="s">
        <v>323</v>
      </c>
      <c r="G112" s="313">
        <v>5000</v>
      </c>
      <c r="H112" s="316" t="s">
        <v>262</v>
      </c>
      <c r="I112" s="301"/>
      <c r="J112" s="301"/>
      <c r="K112" s="301" t="s">
        <v>270</v>
      </c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  <c r="AD112" s="301"/>
      <c r="AE112" s="301"/>
      <c r="AF112" s="301"/>
      <c r="AG112" s="301"/>
      <c r="AH112" s="301"/>
      <c r="AI112" s="301"/>
      <c r="AJ112" s="301"/>
      <c r="AK112" s="301"/>
      <c r="AL112" s="301"/>
      <c r="AM112" s="301"/>
      <c r="AN112" s="301"/>
      <c r="AO112" s="301"/>
      <c r="AP112" s="301"/>
      <c r="AQ112" s="301"/>
      <c r="AR112" s="301"/>
      <c r="AS112" s="301"/>
      <c r="AT112" s="301"/>
      <c r="AU112" s="301"/>
      <c r="AV112" s="301"/>
      <c r="AW112" s="301"/>
      <c r="AX112" s="301"/>
      <c r="AY112" s="301"/>
      <c r="AZ112" s="301"/>
      <c r="BA112" s="301"/>
      <c r="BB112" s="301"/>
      <c r="BC112" s="301"/>
      <c r="BD112" s="301"/>
      <c r="BE112" s="301"/>
      <c r="BF112" s="301"/>
      <c r="BG112" s="301"/>
      <c r="BH112" s="301"/>
      <c r="BI112" s="301"/>
      <c r="BJ112" s="301"/>
      <c r="BK112" s="301"/>
    </row>
    <row r="113" ht="15" customHeight="1" spans="1:63" x14ac:dyDescent="0.25">
      <c r="A113" s="301" t="s">
        <v>320</v>
      </c>
      <c r="B113" s="321"/>
      <c r="C113" s="302">
        <v>11970</v>
      </c>
      <c r="D113" s="301" t="s">
        <v>321</v>
      </c>
      <c r="E113" s="301" t="s">
        <v>324</v>
      </c>
      <c r="F113" s="304" t="s">
        <v>325</v>
      </c>
      <c r="G113" s="313">
        <v>2561</v>
      </c>
      <c r="H113" s="316" t="s">
        <v>262</v>
      </c>
      <c r="I113" s="301"/>
      <c r="J113" s="301"/>
      <c r="K113" s="301" t="s">
        <v>326</v>
      </c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  <c r="AE113" s="301"/>
      <c r="AF113" s="301"/>
      <c r="AG113" s="301"/>
      <c r="AH113" s="301"/>
      <c r="AI113" s="301"/>
      <c r="AJ113" s="301"/>
      <c r="AK113" s="301"/>
      <c r="AL113" s="301"/>
      <c r="AM113" s="301"/>
      <c r="AN113" s="301"/>
      <c r="AO113" s="301"/>
      <c r="AP113" s="301"/>
      <c r="AQ113" s="301"/>
      <c r="AR113" s="301"/>
      <c r="AS113" s="301"/>
      <c r="AT113" s="301"/>
      <c r="AU113" s="301"/>
      <c r="AV113" s="301"/>
      <c r="AW113" s="301"/>
      <c r="AX113" s="301"/>
      <c r="AY113" s="301"/>
      <c r="AZ113" s="301"/>
      <c r="BA113" s="301"/>
      <c r="BB113" s="301"/>
      <c r="BC113" s="301"/>
      <c r="BD113" s="301"/>
      <c r="BE113" s="301"/>
      <c r="BF113" s="301"/>
      <c r="BG113" s="301"/>
      <c r="BH113" s="301"/>
      <c r="BI113" s="301"/>
      <c r="BJ113" s="301"/>
      <c r="BK113" s="301"/>
    </row>
    <row r="114" ht="15" customHeight="1" spans="1:63" x14ac:dyDescent="0.25">
      <c r="A114" s="301" t="s">
        <v>320</v>
      </c>
      <c r="B114" s="321"/>
      <c r="C114" s="302">
        <v>11970</v>
      </c>
      <c r="D114" s="301" t="s">
        <v>321</v>
      </c>
      <c r="E114" s="301" t="s">
        <v>324</v>
      </c>
      <c r="F114" s="304" t="s">
        <v>327</v>
      </c>
      <c r="G114" s="313">
        <v>1928</v>
      </c>
      <c r="H114" s="316" t="s">
        <v>262</v>
      </c>
      <c r="I114" s="301"/>
      <c r="J114" s="301"/>
      <c r="K114" s="301" t="s">
        <v>328</v>
      </c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  <c r="AD114" s="301"/>
      <c r="AE114" s="301"/>
      <c r="AF114" s="301"/>
      <c r="AG114" s="301"/>
      <c r="AH114" s="301"/>
      <c r="AI114" s="301"/>
      <c r="AJ114" s="301"/>
      <c r="AK114" s="301"/>
      <c r="AL114" s="301"/>
      <c r="AM114" s="301"/>
      <c r="AN114" s="301"/>
      <c r="AO114" s="301"/>
      <c r="AP114" s="301"/>
      <c r="AQ114" s="301"/>
      <c r="AR114" s="301"/>
      <c r="AS114" s="301"/>
      <c r="AT114" s="301"/>
      <c r="AU114" s="301"/>
      <c r="AV114" s="301"/>
      <c r="AW114" s="301"/>
      <c r="AX114" s="301"/>
      <c r="AY114" s="301"/>
      <c r="AZ114" s="301"/>
      <c r="BA114" s="301"/>
      <c r="BB114" s="301"/>
      <c r="BC114" s="301"/>
      <c r="BD114" s="301"/>
      <c r="BE114" s="301"/>
      <c r="BF114" s="301"/>
      <c r="BG114" s="301"/>
      <c r="BH114" s="301"/>
      <c r="BI114" s="301"/>
      <c r="BJ114" s="301"/>
      <c r="BK114" s="301"/>
    </row>
    <row r="115" ht="15" customHeight="1" spans="1:63" x14ac:dyDescent="0.25">
      <c r="A115" s="301" t="s">
        <v>320</v>
      </c>
      <c r="B115" s="321"/>
      <c r="C115" s="302">
        <v>11970</v>
      </c>
      <c r="D115" s="301" t="s">
        <v>321</v>
      </c>
      <c r="E115" s="301" t="s">
        <v>324</v>
      </c>
      <c r="F115" s="304" t="s">
        <v>329</v>
      </c>
      <c r="G115" s="313">
        <v>1568</v>
      </c>
      <c r="H115" s="316" t="s">
        <v>262</v>
      </c>
      <c r="I115" s="301"/>
      <c r="J115" s="301"/>
      <c r="K115" s="301" t="s">
        <v>330</v>
      </c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  <c r="AI115" s="301"/>
      <c r="AJ115" s="301"/>
      <c r="AK115" s="301"/>
      <c r="AL115" s="301"/>
      <c r="AM115" s="301"/>
      <c r="AN115" s="301"/>
      <c r="AO115" s="301"/>
      <c r="AP115" s="301"/>
      <c r="AQ115" s="301"/>
      <c r="AR115" s="301"/>
      <c r="AS115" s="301"/>
      <c r="AT115" s="301"/>
      <c r="AU115" s="301"/>
      <c r="AV115" s="301"/>
      <c r="AW115" s="301"/>
      <c r="AX115" s="301"/>
      <c r="AY115" s="301"/>
      <c r="AZ115" s="301"/>
      <c r="BA115" s="301"/>
      <c r="BB115" s="301"/>
      <c r="BC115" s="301"/>
      <c r="BD115" s="301"/>
      <c r="BE115" s="301"/>
      <c r="BF115" s="301"/>
      <c r="BG115" s="301"/>
      <c r="BH115" s="301"/>
      <c r="BI115" s="301"/>
      <c r="BJ115" s="301"/>
      <c r="BK115" s="301"/>
    </row>
    <row r="116" ht="15" customHeight="1" spans="1:63" x14ac:dyDescent="0.25">
      <c r="A116" s="301" t="s">
        <v>320</v>
      </c>
      <c r="B116" s="321"/>
      <c r="C116" s="302">
        <v>11970</v>
      </c>
      <c r="D116" s="301" t="s">
        <v>321</v>
      </c>
      <c r="E116" s="301" t="s">
        <v>331</v>
      </c>
      <c r="F116" s="304" t="s">
        <v>332</v>
      </c>
      <c r="G116" s="313">
        <v>2379</v>
      </c>
      <c r="H116" s="316" t="s">
        <v>262</v>
      </c>
      <c r="I116" s="302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  <c r="AI116" s="301"/>
      <c r="AJ116" s="301"/>
      <c r="AK116" s="301"/>
      <c r="AL116" s="301"/>
      <c r="AM116" s="301"/>
      <c r="AN116" s="301"/>
      <c r="AO116" s="301"/>
      <c r="AP116" s="301"/>
      <c r="AQ116" s="301"/>
      <c r="AR116" s="301"/>
      <c r="AS116" s="301"/>
      <c r="AT116" s="301"/>
      <c r="AU116" s="301"/>
      <c r="AV116" s="301"/>
      <c r="AW116" s="301"/>
      <c r="AX116" s="301"/>
      <c r="AY116" s="301"/>
      <c r="AZ116" s="301"/>
      <c r="BA116" s="301"/>
      <c r="BB116" s="301"/>
      <c r="BC116" s="301"/>
      <c r="BD116" s="301"/>
      <c r="BE116" s="301"/>
      <c r="BF116" s="301"/>
      <c r="BG116" s="301"/>
      <c r="BH116" s="301"/>
      <c r="BI116" s="301"/>
      <c r="BJ116" s="301"/>
      <c r="BK116" s="301"/>
    </row>
    <row r="117" ht="15" customHeight="1" spans="1:63" x14ac:dyDescent="0.25">
      <c r="A117" s="301" t="s">
        <v>320</v>
      </c>
      <c r="B117" s="321"/>
      <c r="C117" s="302">
        <v>11970</v>
      </c>
      <c r="D117" s="301" t="s">
        <v>321</v>
      </c>
      <c r="E117" s="301" t="s">
        <v>333</v>
      </c>
      <c r="F117" s="304" t="s">
        <v>334</v>
      </c>
      <c r="G117" s="313">
        <v>1207</v>
      </c>
      <c r="H117" s="316" t="s">
        <v>262</v>
      </c>
      <c r="I117" s="302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  <c r="AD117" s="301"/>
      <c r="AE117" s="301"/>
      <c r="AF117" s="301"/>
      <c r="AG117" s="301"/>
      <c r="AH117" s="301"/>
      <c r="AI117" s="301"/>
      <c r="AJ117" s="301"/>
      <c r="AK117" s="301"/>
      <c r="AL117" s="301"/>
      <c r="AM117" s="301"/>
      <c r="AN117" s="301"/>
      <c r="AO117" s="301"/>
      <c r="AP117" s="301"/>
      <c r="AQ117" s="301"/>
      <c r="AR117" s="301"/>
      <c r="AS117" s="301"/>
      <c r="AT117" s="301"/>
      <c r="AU117" s="301"/>
      <c r="AV117" s="301"/>
      <c r="AW117" s="301"/>
      <c r="AX117" s="301"/>
      <c r="AY117" s="301"/>
      <c r="AZ117" s="301"/>
      <c r="BA117" s="301"/>
      <c r="BB117" s="301"/>
      <c r="BC117" s="301"/>
      <c r="BD117" s="301"/>
      <c r="BE117" s="301"/>
      <c r="BF117" s="301"/>
      <c r="BG117" s="301"/>
      <c r="BH117" s="301"/>
      <c r="BI117" s="301"/>
      <c r="BJ117" s="301"/>
      <c r="BK117" s="301"/>
    </row>
    <row r="118" ht="15" customHeight="1" spans="1:63" x14ac:dyDescent="0.25" outlineLevel="1" collapsed="1">
      <c r="A118" s="301" t="s">
        <v>320</v>
      </c>
      <c r="B118" s="321"/>
      <c r="C118" s="302">
        <v>11970</v>
      </c>
      <c r="D118" s="301" t="s">
        <v>321</v>
      </c>
      <c r="E118" s="301" t="s">
        <v>324</v>
      </c>
      <c r="F118" s="304" t="s">
        <v>335</v>
      </c>
      <c r="G118" s="313">
        <v>794</v>
      </c>
      <c r="H118" s="316" t="s">
        <v>285</v>
      </c>
      <c r="I118" s="302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  <c r="AD118" s="301"/>
      <c r="AE118" s="301"/>
      <c r="AF118" s="301"/>
      <c r="AG118" s="301"/>
      <c r="AH118" s="301"/>
      <c r="AI118" s="301"/>
      <c r="AJ118" s="301"/>
      <c r="AK118" s="301"/>
      <c r="AL118" s="301"/>
      <c r="AM118" s="301"/>
      <c r="AN118" s="301"/>
      <c r="AO118" s="301"/>
      <c r="AP118" s="301"/>
      <c r="AQ118" s="301"/>
      <c r="AR118" s="301"/>
      <c r="AS118" s="301"/>
      <c r="AT118" s="301"/>
      <c r="AU118" s="301"/>
      <c r="AV118" s="301"/>
      <c r="AW118" s="301"/>
      <c r="AX118" s="301"/>
      <c r="AY118" s="301"/>
      <c r="AZ118" s="301"/>
      <c r="BA118" s="301"/>
      <c r="BB118" s="301"/>
      <c r="BC118" s="301"/>
      <c r="BD118" s="301"/>
      <c r="BE118" s="301"/>
      <c r="BF118" s="301"/>
      <c r="BG118" s="301"/>
      <c r="BH118" s="301"/>
      <c r="BI118" s="301"/>
      <c r="BJ118" s="301"/>
      <c r="BK118" s="301"/>
    </row>
    <row r="119" ht="15" customHeight="1" spans="1:63" x14ac:dyDescent="0.25" outlineLevel="1" collapsed="1">
      <c r="A119" s="301" t="s">
        <v>320</v>
      </c>
      <c r="B119" s="321"/>
      <c r="C119" s="302">
        <v>11970</v>
      </c>
      <c r="D119" s="301" t="s">
        <v>321</v>
      </c>
      <c r="E119" s="301" t="s">
        <v>322</v>
      </c>
      <c r="F119" s="304" t="s">
        <v>336</v>
      </c>
      <c r="G119" s="313">
        <v>5505</v>
      </c>
      <c r="H119" s="316" t="s">
        <v>285</v>
      </c>
      <c r="I119" s="302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301"/>
      <c r="AH119" s="301"/>
      <c r="AI119" s="301"/>
      <c r="AJ119" s="301"/>
      <c r="AK119" s="301"/>
      <c r="AL119" s="301"/>
      <c r="AM119" s="301"/>
      <c r="AN119" s="301"/>
      <c r="AO119" s="301"/>
      <c r="AP119" s="301"/>
      <c r="AQ119" s="301"/>
      <c r="AR119" s="301"/>
      <c r="AS119" s="301"/>
      <c r="AT119" s="301"/>
      <c r="AU119" s="301"/>
      <c r="AV119" s="301"/>
      <c r="AW119" s="301"/>
      <c r="AX119" s="301"/>
      <c r="AY119" s="301"/>
      <c r="AZ119" s="301"/>
      <c r="BA119" s="301"/>
      <c r="BB119" s="301"/>
      <c r="BC119" s="301"/>
      <c r="BD119" s="301"/>
      <c r="BE119" s="301"/>
      <c r="BF119" s="301"/>
      <c r="BG119" s="301"/>
      <c r="BH119" s="301"/>
      <c r="BI119" s="301"/>
      <c r="BJ119" s="301"/>
      <c r="BK119" s="301"/>
    </row>
    <row r="120" ht="15" customHeight="1" spans="1:63" x14ac:dyDescent="0.25" outlineLevel="1" collapsed="1">
      <c r="A120" s="301" t="s">
        <v>320</v>
      </c>
      <c r="B120" s="321"/>
      <c r="C120" s="302">
        <v>11970</v>
      </c>
      <c r="D120" s="301" t="s">
        <v>321</v>
      </c>
      <c r="E120" s="301" t="s">
        <v>322</v>
      </c>
      <c r="F120" s="304" t="s">
        <v>337</v>
      </c>
      <c r="G120" s="313">
        <v>832.89</v>
      </c>
      <c r="H120" s="316" t="s">
        <v>285</v>
      </c>
      <c r="I120" s="302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  <c r="AD120" s="301"/>
      <c r="AE120" s="301"/>
      <c r="AF120" s="301"/>
      <c r="AG120" s="301"/>
      <c r="AH120" s="301"/>
      <c r="AI120" s="301"/>
      <c r="AJ120" s="301"/>
      <c r="AK120" s="301"/>
      <c r="AL120" s="301"/>
      <c r="AM120" s="301"/>
      <c r="AN120" s="301"/>
      <c r="AO120" s="301"/>
      <c r="AP120" s="301"/>
      <c r="AQ120" s="301"/>
      <c r="AR120" s="301"/>
      <c r="AS120" s="301"/>
      <c r="AT120" s="301"/>
      <c r="AU120" s="301"/>
      <c r="AV120" s="301"/>
      <c r="AW120" s="301"/>
      <c r="AX120" s="301"/>
      <c r="AY120" s="301"/>
      <c r="AZ120" s="301"/>
      <c r="BA120" s="301"/>
      <c r="BB120" s="301"/>
      <c r="BC120" s="301"/>
      <c r="BD120" s="301"/>
      <c r="BE120" s="301"/>
      <c r="BF120" s="301"/>
      <c r="BG120" s="301"/>
      <c r="BH120" s="301"/>
      <c r="BI120" s="301"/>
      <c r="BJ120" s="301"/>
      <c r="BK120" s="301"/>
    </row>
    <row r="121" ht="15" customHeight="1" spans="1:63" x14ac:dyDescent="0.25" outlineLevel="1" collapsed="1">
      <c r="A121" s="301" t="s">
        <v>320</v>
      </c>
      <c r="B121" s="321"/>
      <c r="C121" s="302">
        <v>11970</v>
      </c>
      <c r="D121" s="301" t="s">
        <v>321</v>
      </c>
      <c r="E121" s="301" t="s">
        <v>322</v>
      </c>
      <c r="F121" s="304" t="s">
        <v>338</v>
      </c>
      <c r="G121" s="313">
        <v>2381.32</v>
      </c>
      <c r="H121" s="316" t="s">
        <v>285</v>
      </c>
      <c r="I121" s="302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  <c r="AD121" s="301"/>
      <c r="AE121" s="301"/>
      <c r="AF121" s="301"/>
      <c r="AG121" s="301"/>
      <c r="AH121" s="301"/>
      <c r="AI121" s="301"/>
      <c r="AJ121" s="301"/>
      <c r="AK121" s="301"/>
      <c r="AL121" s="301"/>
      <c r="AM121" s="301"/>
      <c r="AN121" s="301"/>
      <c r="AO121" s="301"/>
      <c r="AP121" s="301"/>
      <c r="AQ121" s="301"/>
      <c r="AR121" s="301"/>
      <c r="AS121" s="301"/>
      <c r="AT121" s="301"/>
      <c r="AU121" s="301"/>
      <c r="AV121" s="301"/>
      <c r="AW121" s="301"/>
      <c r="AX121" s="301"/>
      <c r="AY121" s="301"/>
      <c r="AZ121" s="301"/>
      <c r="BA121" s="301"/>
      <c r="BB121" s="301"/>
      <c r="BC121" s="301"/>
      <c r="BD121" s="301"/>
      <c r="BE121" s="301"/>
      <c r="BF121" s="301"/>
      <c r="BG121" s="301"/>
      <c r="BH121" s="301"/>
      <c r="BI121" s="301"/>
      <c r="BJ121" s="301"/>
      <c r="BK121" s="301"/>
    </row>
    <row r="122" ht="15" customHeight="1" spans="1:63" x14ac:dyDescent="0.25">
      <c r="A122" s="301" t="s">
        <v>320</v>
      </c>
      <c r="B122" s="321"/>
      <c r="C122" s="302">
        <v>11970</v>
      </c>
      <c r="D122" s="301" t="s">
        <v>321</v>
      </c>
      <c r="E122" s="301" t="s">
        <v>322</v>
      </c>
      <c r="F122" s="304" t="s">
        <v>339</v>
      </c>
      <c r="G122" s="313">
        <v>1115</v>
      </c>
      <c r="H122" s="316" t="s">
        <v>285</v>
      </c>
      <c r="I122" s="302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  <c r="AI122" s="301"/>
      <c r="AJ122" s="301"/>
      <c r="AK122" s="301"/>
      <c r="AL122" s="301"/>
      <c r="AM122" s="301"/>
      <c r="AN122" s="301"/>
      <c r="AO122" s="301"/>
      <c r="AP122" s="301"/>
      <c r="AQ122" s="301"/>
      <c r="AR122" s="301"/>
      <c r="AS122" s="301"/>
      <c r="AT122" s="301"/>
      <c r="AU122" s="301"/>
      <c r="AV122" s="301"/>
      <c r="AW122" s="301"/>
      <c r="AX122" s="301"/>
      <c r="AY122" s="301"/>
      <c r="AZ122" s="301"/>
      <c r="BA122" s="301"/>
      <c r="BB122" s="301"/>
      <c r="BC122" s="301"/>
      <c r="BD122" s="301"/>
      <c r="BE122" s="301"/>
      <c r="BF122" s="301"/>
      <c r="BG122" s="301"/>
      <c r="BH122" s="301"/>
      <c r="BI122" s="301"/>
      <c r="BJ122" s="301"/>
      <c r="BK122" s="301"/>
    </row>
    <row r="123" ht="15" customHeight="1" spans="1:63" x14ac:dyDescent="0.25">
      <c r="A123" s="301" t="s">
        <v>320</v>
      </c>
      <c r="B123" s="301"/>
      <c r="C123" s="302">
        <v>11970</v>
      </c>
      <c r="D123" s="301" t="s">
        <v>321</v>
      </c>
      <c r="E123" s="301" t="s">
        <v>340</v>
      </c>
      <c r="F123" s="322" t="s">
        <v>341</v>
      </c>
      <c r="G123" s="318">
        <v>18812.66</v>
      </c>
      <c r="H123" s="316" t="s">
        <v>285</v>
      </c>
      <c r="I123" s="302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AZ123" s="301"/>
      <c r="BA123" s="301"/>
      <c r="BB123" s="301"/>
      <c r="BC123" s="301"/>
      <c r="BD123" s="301"/>
      <c r="BE123" s="301"/>
      <c r="BF123" s="301"/>
      <c r="BG123" s="301"/>
      <c r="BH123" s="301"/>
      <c r="BI123" s="301"/>
      <c r="BJ123" s="301"/>
      <c r="BK123" s="301"/>
    </row>
    <row r="124" ht="15" customHeight="1" spans="1:63" x14ac:dyDescent="0.25">
      <c r="A124" s="301" t="s">
        <v>320</v>
      </c>
      <c r="B124" s="321"/>
      <c r="C124" s="302">
        <v>11970</v>
      </c>
      <c r="D124" s="301" t="s">
        <v>321</v>
      </c>
      <c r="E124" s="301" t="s">
        <v>219</v>
      </c>
      <c r="F124" s="304" t="s">
        <v>342</v>
      </c>
      <c r="G124" s="313">
        <v>18441.75</v>
      </c>
      <c r="H124" s="316" t="s">
        <v>285</v>
      </c>
      <c r="I124" s="302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AZ124" s="301"/>
      <c r="BA124" s="301"/>
      <c r="BB124" s="301"/>
      <c r="BC124" s="301"/>
      <c r="BD124" s="301"/>
      <c r="BE124" s="301"/>
      <c r="BF124" s="301"/>
      <c r="BG124" s="301"/>
      <c r="BH124" s="301"/>
      <c r="BI124" s="301"/>
      <c r="BJ124" s="301"/>
      <c r="BK124" s="301"/>
    </row>
    <row r="125" ht="15" customHeight="1" spans="1:63" x14ac:dyDescent="0.25">
      <c r="A125" s="301" t="s">
        <v>320</v>
      </c>
      <c r="B125" s="321"/>
      <c r="C125" s="302">
        <v>11970</v>
      </c>
      <c r="D125" s="301" t="s">
        <v>321</v>
      </c>
      <c r="E125" s="301" t="s">
        <v>343</v>
      </c>
      <c r="F125" s="304" t="s">
        <v>344</v>
      </c>
      <c r="G125" s="313">
        <v>5560.42</v>
      </c>
      <c r="H125" s="316" t="s">
        <v>307</v>
      </c>
      <c r="I125" s="302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AZ125" s="301"/>
      <c r="BA125" s="301"/>
      <c r="BB125" s="301"/>
      <c r="BC125" s="301"/>
      <c r="BD125" s="301"/>
      <c r="BE125" s="301"/>
      <c r="BF125" s="301"/>
      <c r="BG125" s="301"/>
      <c r="BH125" s="301"/>
      <c r="BI125" s="301"/>
      <c r="BJ125" s="301"/>
      <c r="BK125" s="301"/>
    </row>
    <row r="126" ht="15" customHeight="1" hidden="1" spans="1:63" x14ac:dyDescent="0.25">
      <c r="A126" s="301" t="s">
        <v>320</v>
      </c>
      <c r="B126" s="301"/>
      <c r="C126" s="302">
        <v>11970</v>
      </c>
      <c r="D126" s="301" t="s">
        <v>321</v>
      </c>
      <c r="E126" s="301" t="s">
        <v>343</v>
      </c>
      <c r="F126" s="322"/>
      <c r="G126" s="318"/>
      <c r="H126" s="316"/>
      <c r="I126" s="302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AZ126" s="301"/>
      <c r="BA126" s="301"/>
      <c r="BB126" s="301"/>
      <c r="BC126" s="301"/>
      <c r="BD126" s="301"/>
      <c r="BE126" s="301"/>
      <c r="BF126" s="301"/>
      <c r="BG126" s="301"/>
      <c r="BH126" s="301"/>
      <c r="BI126" s="301"/>
      <c r="BJ126" s="301"/>
      <c r="BK126" s="301"/>
    </row>
    <row r="127" hidden="1" spans="1:63" x14ac:dyDescent="0.25">
      <c r="A127" s="301"/>
      <c r="B127" s="301"/>
      <c r="C127" s="302"/>
      <c r="D127" s="301"/>
      <c r="E127" s="301"/>
      <c r="F127" s="322"/>
      <c r="G127" s="318"/>
      <c r="H127" s="316"/>
      <c r="I127" s="302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AZ127" s="301"/>
      <c r="BA127" s="301"/>
      <c r="BB127" s="301"/>
      <c r="BC127" s="301"/>
      <c r="BD127" s="301"/>
      <c r="BE127" s="301"/>
      <c r="BF127" s="301"/>
      <c r="BG127" s="301"/>
      <c r="BH127" s="301"/>
      <c r="BI127" s="301"/>
      <c r="BJ127" s="301"/>
      <c r="BK127" s="301"/>
    </row>
    <row r="128" ht="15" customHeight="1" spans="1:63" x14ac:dyDescent="0.25">
      <c r="A128" s="301"/>
      <c r="B128" s="301"/>
      <c r="C128" s="302"/>
      <c r="D128" s="301" t="s">
        <v>345</v>
      </c>
      <c r="E128" s="301"/>
      <c r="F128" s="322"/>
      <c r="G128" s="347">
        <f>SUBTOTAL(9,G112:G127)</f>
      </c>
      <c r="H128" s="316"/>
      <c r="I128" s="302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  <c r="AE128" s="301"/>
      <c r="AF128" s="301"/>
      <c r="AG128" s="301"/>
      <c r="AH128" s="301"/>
      <c r="AI128" s="301"/>
      <c r="AJ128" s="301"/>
      <c r="AK128" s="301"/>
      <c r="AL128" s="301"/>
      <c r="AM128" s="301"/>
      <c r="AN128" s="301"/>
      <c r="AO128" s="301"/>
      <c r="AP128" s="301"/>
      <c r="AQ128" s="301"/>
      <c r="AR128" s="301"/>
      <c r="AS128" s="301"/>
      <c r="AT128" s="301"/>
      <c r="AU128" s="301"/>
      <c r="AV128" s="301"/>
      <c r="AW128" s="301"/>
      <c r="AX128" s="301"/>
      <c r="AY128" s="301"/>
      <c r="AZ128" s="301"/>
      <c r="BA128" s="301"/>
      <c r="BB128" s="301"/>
      <c r="BC128" s="301"/>
      <c r="BD128" s="301"/>
      <c r="BE128" s="301"/>
      <c r="BF128" s="301"/>
      <c r="BG128" s="301"/>
      <c r="BH128" s="301"/>
      <c r="BI128" s="301"/>
      <c r="BJ128" s="301"/>
      <c r="BK128" s="301"/>
    </row>
    <row r="129" hidden="1" spans="1:63" x14ac:dyDescent="0.25">
      <c r="A129" s="301"/>
      <c r="B129" s="301"/>
      <c r="C129" s="302"/>
      <c r="D129" s="301"/>
      <c r="E129" s="301"/>
      <c r="F129" s="322"/>
      <c r="G129" s="318"/>
      <c r="H129" s="316"/>
      <c r="I129" s="302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  <c r="AE129" s="301"/>
      <c r="AF129" s="301"/>
      <c r="AG129" s="301"/>
      <c r="AH129" s="301"/>
      <c r="AI129" s="301"/>
      <c r="AJ129" s="301"/>
      <c r="AK129" s="301"/>
      <c r="AL129" s="301"/>
      <c r="AM129" s="301"/>
      <c r="AN129" s="301"/>
      <c r="AO129" s="301"/>
      <c r="AP129" s="301"/>
      <c r="AQ129" s="301"/>
      <c r="AR129" s="301"/>
      <c r="AS129" s="301"/>
      <c r="AT129" s="301"/>
      <c r="AU129" s="301"/>
      <c r="AV129" s="301"/>
      <c r="AW129" s="301"/>
      <c r="AX129" s="301"/>
      <c r="AY129" s="301"/>
      <c r="AZ129" s="301"/>
      <c r="BA129" s="301"/>
      <c r="BB129" s="301"/>
      <c r="BC129" s="301"/>
      <c r="BD129" s="301"/>
      <c r="BE129" s="301"/>
      <c r="BF129" s="301"/>
      <c r="BG129" s="301"/>
      <c r="BH129" s="301"/>
      <c r="BI129" s="301"/>
      <c r="BJ129" s="301"/>
      <c r="BK129" s="301"/>
    </row>
    <row r="130" ht="15" customHeight="1" hidden="1" spans="1:63" x14ac:dyDescent="0.25">
      <c r="A130" s="301" t="s">
        <v>66</v>
      </c>
      <c r="B130" s="301"/>
      <c r="C130" s="302">
        <v>12013</v>
      </c>
      <c r="D130" s="301" t="s">
        <v>346</v>
      </c>
      <c r="E130" s="301"/>
      <c r="F130" s="322"/>
      <c r="G130" s="318"/>
      <c r="H130" s="316"/>
      <c r="I130" s="302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  <c r="AD130" s="301"/>
      <c r="AE130" s="301"/>
      <c r="AF130" s="301"/>
      <c r="AG130" s="301"/>
      <c r="AH130" s="301"/>
      <c r="AI130" s="301"/>
      <c r="AJ130" s="301"/>
      <c r="AK130" s="301"/>
      <c r="AL130" s="301"/>
      <c r="AM130" s="301"/>
      <c r="AN130" s="301"/>
      <c r="AO130" s="301"/>
      <c r="AP130" s="301"/>
      <c r="AQ130" s="301"/>
      <c r="AR130" s="301"/>
      <c r="AS130" s="301"/>
      <c r="AT130" s="301"/>
      <c r="AU130" s="301"/>
      <c r="AV130" s="301"/>
      <c r="AW130" s="301"/>
      <c r="AX130" s="301"/>
      <c r="AY130" s="301"/>
      <c r="AZ130" s="301"/>
      <c r="BA130" s="301"/>
      <c r="BB130" s="301"/>
      <c r="BC130" s="301"/>
      <c r="BD130" s="301"/>
      <c r="BE130" s="301"/>
      <c r="BF130" s="301"/>
      <c r="BG130" s="301"/>
      <c r="BH130" s="301"/>
      <c r="BI130" s="301"/>
      <c r="BJ130" s="301"/>
      <c r="BK130" s="301"/>
    </row>
    <row r="131" ht="15" customHeight="1" hidden="1" spans="1:63" x14ac:dyDescent="0.25">
      <c r="A131" s="301" t="s">
        <v>66</v>
      </c>
      <c r="B131" s="301"/>
      <c r="C131" s="302">
        <v>12013</v>
      </c>
      <c r="D131" s="301" t="s">
        <v>346</v>
      </c>
      <c r="E131" s="301"/>
      <c r="F131" s="322"/>
      <c r="G131" s="318"/>
      <c r="H131" s="316"/>
      <c r="I131" s="302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1"/>
      <c r="AZ131" s="301"/>
      <c r="BA131" s="301"/>
      <c r="BB131" s="301"/>
      <c r="BC131" s="301"/>
      <c r="BD131" s="301"/>
      <c r="BE131" s="301"/>
      <c r="BF131" s="301"/>
      <c r="BG131" s="301"/>
      <c r="BH131" s="301"/>
      <c r="BI131" s="301"/>
      <c r="BJ131" s="301"/>
      <c r="BK131" s="301"/>
    </row>
    <row r="132" hidden="1" spans="1:63" x14ac:dyDescent="0.25">
      <c r="A132" s="301"/>
      <c r="B132" s="301"/>
      <c r="C132" s="302"/>
      <c r="D132" s="301"/>
      <c r="E132" s="301"/>
      <c r="F132" s="322"/>
      <c r="G132" s="318"/>
      <c r="H132" s="316"/>
      <c r="I132" s="302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AZ132" s="301"/>
      <c r="BA132" s="301"/>
      <c r="BB132" s="301"/>
      <c r="BC132" s="301"/>
      <c r="BD132" s="301"/>
      <c r="BE132" s="301"/>
      <c r="BF132" s="301"/>
      <c r="BG132" s="301"/>
      <c r="BH132" s="301"/>
      <c r="BI132" s="301"/>
      <c r="BJ132" s="301"/>
      <c r="BK132" s="301"/>
    </row>
    <row r="133" ht="15" customHeight="1" hidden="1" spans="1:63" x14ac:dyDescent="0.25">
      <c r="A133" s="301"/>
      <c r="B133" s="301"/>
      <c r="C133" s="302"/>
      <c r="D133" s="301" t="s">
        <v>347</v>
      </c>
      <c r="E133" s="301"/>
      <c r="F133" s="322"/>
      <c r="G133" s="347">
        <f>SUBTOTAL(9,G130:G132)</f>
      </c>
      <c r="H133" s="316"/>
      <c r="I133" s="302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  <c r="AI133" s="301"/>
      <c r="AJ133" s="301"/>
      <c r="AK133" s="301"/>
      <c r="AL133" s="301"/>
      <c r="AM133" s="301"/>
      <c r="AN133" s="301"/>
      <c r="AO133" s="301"/>
      <c r="AP133" s="301"/>
      <c r="AQ133" s="301"/>
      <c r="AR133" s="301"/>
      <c r="AS133" s="301"/>
      <c r="AT133" s="301"/>
      <c r="AU133" s="301"/>
      <c r="AV133" s="301"/>
      <c r="AW133" s="301"/>
      <c r="AX133" s="301"/>
      <c r="AY133" s="301"/>
      <c r="AZ133" s="301"/>
      <c r="BA133" s="301"/>
      <c r="BB133" s="301"/>
      <c r="BC133" s="301"/>
      <c r="BD133" s="301"/>
      <c r="BE133" s="301"/>
      <c r="BF133" s="301"/>
      <c r="BG133" s="301"/>
      <c r="BH133" s="301"/>
      <c r="BI133" s="301"/>
      <c r="BJ133" s="301"/>
      <c r="BK133" s="301"/>
    </row>
    <row r="134" hidden="1" spans="1:63" x14ac:dyDescent="0.25">
      <c r="A134" s="301"/>
      <c r="B134" s="301"/>
      <c r="C134" s="302"/>
      <c r="D134" s="301"/>
      <c r="E134" s="301"/>
      <c r="F134" s="322"/>
      <c r="G134" s="318"/>
      <c r="H134" s="316"/>
      <c r="I134" s="302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1"/>
      <c r="AW134" s="301"/>
      <c r="AX134" s="301"/>
      <c r="AY134" s="301"/>
      <c r="AZ134" s="301"/>
      <c r="BA134" s="301"/>
      <c r="BB134" s="301"/>
      <c r="BC134" s="301"/>
      <c r="BD134" s="301"/>
      <c r="BE134" s="301"/>
      <c r="BF134" s="301"/>
      <c r="BG134" s="301"/>
      <c r="BH134" s="301"/>
      <c r="BI134" s="301"/>
      <c r="BJ134" s="301"/>
      <c r="BK134" s="301"/>
    </row>
    <row r="135" ht="15" customHeight="1" spans="1:63" x14ac:dyDescent="0.25">
      <c r="A135" s="301" t="s">
        <v>252</v>
      </c>
      <c r="B135" s="301"/>
      <c r="C135" s="302">
        <v>12115</v>
      </c>
      <c r="D135" s="301" t="s">
        <v>84</v>
      </c>
      <c r="E135" s="301" t="s">
        <v>253</v>
      </c>
      <c r="F135" s="322" t="s">
        <v>348</v>
      </c>
      <c r="G135" s="318">
        <v>3836.1</v>
      </c>
      <c r="H135" s="316" t="s">
        <v>262</v>
      </c>
      <c r="I135" s="302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  <c r="AI135" s="301"/>
      <c r="AJ135" s="301"/>
      <c r="AK135" s="301"/>
      <c r="AL135" s="301"/>
      <c r="AM135" s="301"/>
      <c r="AN135" s="301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AZ135" s="301"/>
      <c r="BA135" s="301"/>
      <c r="BB135" s="301"/>
      <c r="BC135" s="301"/>
      <c r="BD135" s="301"/>
      <c r="BE135" s="301"/>
      <c r="BF135" s="301"/>
      <c r="BG135" s="301"/>
      <c r="BH135" s="301"/>
      <c r="BI135" s="301"/>
      <c r="BJ135" s="301"/>
      <c r="BK135" s="301"/>
    </row>
    <row r="136" ht="15" customHeight="1" spans="1:63" x14ac:dyDescent="0.25">
      <c r="A136" s="301" t="s">
        <v>110</v>
      </c>
      <c r="B136" s="315"/>
      <c r="C136" s="302">
        <v>12115</v>
      </c>
      <c r="D136" s="301" t="s">
        <v>110</v>
      </c>
      <c r="E136" s="301" t="s">
        <v>255</v>
      </c>
      <c r="F136" s="304" t="s">
        <v>349</v>
      </c>
      <c r="G136" s="313">
        <v>6500</v>
      </c>
      <c r="H136" s="316" t="s">
        <v>262</v>
      </c>
      <c r="I136" s="302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  <c r="AI136" s="301"/>
      <c r="AJ136" s="301"/>
      <c r="AK136" s="301"/>
      <c r="AL136" s="301"/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AZ136" s="301"/>
      <c r="BA136" s="301"/>
      <c r="BB136" s="301"/>
      <c r="BC136" s="301"/>
      <c r="BD136" s="301"/>
      <c r="BE136" s="301"/>
      <c r="BF136" s="301"/>
      <c r="BG136" s="301"/>
      <c r="BH136" s="301"/>
      <c r="BI136" s="301"/>
      <c r="BJ136" s="301"/>
      <c r="BK136" s="301"/>
    </row>
    <row r="137" ht="15" customHeight="1" spans="1:63" x14ac:dyDescent="0.25">
      <c r="A137" s="301" t="s">
        <v>110</v>
      </c>
      <c r="B137" s="315"/>
      <c r="C137" s="302">
        <v>12115</v>
      </c>
      <c r="D137" s="301" t="s">
        <v>110</v>
      </c>
      <c r="E137" s="301" t="s">
        <v>255</v>
      </c>
      <c r="F137" s="304" t="s">
        <v>350</v>
      </c>
      <c r="G137" s="313">
        <v>625</v>
      </c>
      <c r="H137" s="316" t="s">
        <v>262</v>
      </c>
      <c r="I137" s="302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  <c r="AE137" s="301"/>
      <c r="AF137" s="301"/>
      <c r="AG137" s="301"/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AZ137" s="301"/>
      <c r="BA137" s="301"/>
      <c r="BB137" s="301"/>
      <c r="BC137" s="301"/>
      <c r="BD137" s="301"/>
      <c r="BE137" s="301"/>
      <c r="BF137" s="301"/>
      <c r="BG137" s="301"/>
      <c r="BH137" s="301"/>
      <c r="BI137" s="301"/>
      <c r="BJ137" s="301"/>
      <c r="BK137" s="301"/>
    </row>
    <row r="138" ht="15" customHeight="1" spans="1:63" x14ac:dyDescent="0.25">
      <c r="A138" s="301" t="s">
        <v>252</v>
      </c>
      <c r="B138" s="301"/>
      <c r="C138" s="302">
        <v>12115</v>
      </c>
      <c r="D138" s="301" t="s">
        <v>84</v>
      </c>
      <c r="E138" s="301" t="s">
        <v>253</v>
      </c>
      <c r="F138" s="322" t="s">
        <v>351</v>
      </c>
      <c r="G138" s="318">
        <v>4233.98</v>
      </c>
      <c r="H138" s="316" t="s">
        <v>275</v>
      </c>
      <c r="I138" s="302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  <c r="AE138" s="301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AZ138" s="301"/>
      <c r="BA138" s="301"/>
      <c r="BB138" s="301"/>
      <c r="BC138" s="301"/>
      <c r="BD138" s="301"/>
      <c r="BE138" s="301"/>
      <c r="BF138" s="301"/>
      <c r="BG138" s="301"/>
      <c r="BH138" s="301"/>
      <c r="BI138" s="301"/>
      <c r="BJ138" s="301"/>
      <c r="BK138" s="301"/>
    </row>
    <row r="139" ht="15" customHeight="1" spans="1:63" x14ac:dyDescent="0.25">
      <c r="A139" s="301" t="s">
        <v>252</v>
      </c>
      <c r="B139" s="301"/>
      <c r="C139" s="302">
        <v>12115</v>
      </c>
      <c r="D139" s="301" t="s">
        <v>84</v>
      </c>
      <c r="E139" s="301" t="s">
        <v>264</v>
      </c>
      <c r="F139" s="322" t="s">
        <v>352</v>
      </c>
      <c r="G139" s="318">
        <v>5000</v>
      </c>
      <c r="H139" s="316" t="s">
        <v>275</v>
      </c>
      <c r="I139" s="302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  <c r="BA139" s="301"/>
      <c r="BB139" s="301"/>
      <c r="BC139" s="301"/>
      <c r="BD139" s="301"/>
      <c r="BE139" s="301"/>
      <c r="BF139" s="301"/>
      <c r="BG139" s="301"/>
      <c r="BH139" s="301"/>
      <c r="BI139" s="301"/>
      <c r="BJ139" s="301"/>
      <c r="BK139" s="301"/>
    </row>
    <row r="140" ht="15" customHeight="1" spans="1:63" x14ac:dyDescent="0.25">
      <c r="A140" s="301" t="s">
        <v>252</v>
      </c>
      <c r="B140" s="301"/>
      <c r="C140" s="302">
        <v>12115</v>
      </c>
      <c r="D140" s="301" t="s">
        <v>84</v>
      </c>
      <c r="E140" s="301" t="s">
        <v>264</v>
      </c>
      <c r="F140" s="322" t="s">
        <v>353</v>
      </c>
      <c r="G140" s="318">
        <v>1500</v>
      </c>
      <c r="H140" s="316" t="s">
        <v>275</v>
      </c>
      <c r="I140" s="302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  <c r="BA140" s="301"/>
      <c r="BB140" s="301"/>
      <c r="BC140" s="301"/>
      <c r="BD140" s="301"/>
      <c r="BE140" s="301"/>
      <c r="BF140" s="301"/>
      <c r="BG140" s="301"/>
      <c r="BH140" s="301"/>
      <c r="BI140" s="301"/>
      <c r="BJ140" s="301"/>
      <c r="BK140" s="301"/>
    </row>
    <row r="141" ht="15" customHeight="1" spans="1:63" x14ac:dyDescent="0.25">
      <c r="A141" s="301" t="s">
        <v>252</v>
      </c>
      <c r="B141" s="315"/>
      <c r="C141" s="302">
        <v>12115</v>
      </c>
      <c r="D141" s="301" t="s">
        <v>84</v>
      </c>
      <c r="E141" s="301" t="s">
        <v>264</v>
      </c>
      <c r="F141" s="304" t="s">
        <v>354</v>
      </c>
      <c r="G141" s="313">
        <v>5000</v>
      </c>
      <c r="H141" s="316" t="s">
        <v>281</v>
      </c>
      <c r="I141" s="302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  <c r="AC141" s="301"/>
      <c r="AD141" s="301"/>
      <c r="AE141" s="301"/>
      <c r="AF141" s="301"/>
      <c r="AG141" s="301"/>
      <c r="AH141" s="301"/>
      <c r="AI141" s="301"/>
      <c r="AJ141" s="301"/>
      <c r="AK141" s="301"/>
      <c r="AL141" s="301"/>
      <c r="AM141" s="301"/>
      <c r="AN141" s="301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  <c r="BA141" s="301"/>
      <c r="BB141" s="301"/>
      <c r="BC141" s="301"/>
      <c r="BD141" s="301"/>
      <c r="BE141" s="301"/>
      <c r="BF141" s="301"/>
      <c r="BG141" s="301"/>
      <c r="BH141" s="301"/>
      <c r="BI141" s="301"/>
      <c r="BJ141" s="301"/>
      <c r="BK141" s="301"/>
    </row>
    <row r="142" ht="15" customHeight="1" spans="1:63" x14ac:dyDescent="0.25">
      <c r="A142" s="301" t="s">
        <v>252</v>
      </c>
      <c r="B142" s="301"/>
      <c r="C142" s="302">
        <v>12115</v>
      </c>
      <c r="D142" s="301" t="s">
        <v>84</v>
      </c>
      <c r="E142" s="301" t="s">
        <v>253</v>
      </c>
      <c r="F142" s="322" t="s">
        <v>355</v>
      </c>
      <c r="G142" s="318">
        <v>719</v>
      </c>
      <c r="H142" s="316" t="s">
        <v>281</v>
      </c>
      <c r="I142" s="302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  <c r="AD142" s="301"/>
      <c r="AE142" s="301"/>
      <c r="AF142" s="301"/>
      <c r="AG142" s="301"/>
      <c r="AH142" s="301"/>
      <c r="AI142" s="301"/>
      <c r="AJ142" s="301"/>
      <c r="AK142" s="301"/>
      <c r="AL142" s="301"/>
      <c r="AM142" s="301"/>
      <c r="AN142" s="301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  <c r="BA142" s="301"/>
      <c r="BB142" s="301"/>
      <c r="BC142" s="301"/>
      <c r="BD142" s="301"/>
      <c r="BE142" s="301"/>
      <c r="BF142" s="301"/>
      <c r="BG142" s="301"/>
      <c r="BH142" s="301"/>
      <c r="BI142" s="301"/>
      <c r="BJ142" s="301"/>
      <c r="BK142" s="301"/>
    </row>
    <row r="143" ht="15" customHeight="1" spans="1:63" x14ac:dyDescent="0.25">
      <c r="A143" s="301" t="s">
        <v>252</v>
      </c>
      <c r="B143" s="301"/>
      <c r="C143" s="302">
        <v>12115</v>
      </c>
      <c r="D143" s="301" t="s">
        <v>84</v>
      </c>
      <c r="E143" s="301" t="s">
        <v>264</v>
      </c>
      <c r="F143" s="322" t="s">
        <v>356</v>
      </c>
      <c r="G143" s="318">
        <v>5000</v>
      </c>
      <c r="H143" s="316" t="s">
        <v>285</v>
      </c>
      <c r="I143" s="302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  <c r="AD143" s="301"/>
      <c r="AE143" s="301"/>
      <c r="AF143" s="301"/>
      <c r="AG143" s="301"/>
      <c r="AH143" s="301"/>
      <c r="AI143" s="301"/>
      <c r="AJ143" s="301"/>
      <c r="AK143" s="301"/>
      <c r="AL143" s="301"/>
      <c r="AM143" s="301"/>
      <c r="AN143" s="301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  <c r="BA143" s="301"/>
      <c r="BB143" s="301"/>
      <c r="BC143" s="301"/>
      <c r="BD143" s="301"/>
      <c r="BE143" s="301"/>
      <c r="BF143" s="301"/>
      <c r="BG143" s="301"/>
      <c r="BH143" s="301"/>
      <c r="BI143" s="301"/>
      <c r="BJ143" s="301"/>
      <c r="BK143" s="301"/>
    </row>
    <row r="144" ht="15" customHeight="1" spans="1:63" x14ac:dyDescent="0.25">
      <c r="A144" s="301" t="s">
        <v>252</v>
      </c>
      <c r="B144" s="301"/>
      <c r="C144" s="302">
        <v>12115</v>
      </c>
      <c r="D144" s="301" t="s">
        <v>84</v>
      </c>
      <c r="E144" s="301" t="s">
        <v>253</v>
      </c>
      <c r="F144" s="322" t="s">
        <v>357</v>
      </c>
      <c r="G144" s="318">
        <v>19901.12</v>
      </c>
      <c r="H144" s="316" t="s">
        <v>285</v>
      </c>
      <c r="I144" s="302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  <c r="AE144" s="301"/>
      <c r="AF144" s="301"/>
      <c r="AG144" s="301"/>
      <c r="AH144" s="301"/>
      <c r="AI144" s="301"/>
      <c r="AJ144" s="301"/>
      <c r="AK144" s="301"/>
      <c r="AL144" s="301"/>
      <c r="AM144" s="301"/>
      <c r="AN144" s="301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AZ144" s="301"/>
      <c r="BA144" s="301"/>
      <c r="BB144" s="301"/>
      <c r="BC144" s="301"/>
      <c r="BD144" s="301"/>
      <c r="BE144" s="301"/>
      <c r="BF144" s="301"/>
      <c r="BG144" s="301"/>
      <c r="BH144" s="301"/>
      <c r="BI144" s="301"/>
      <c r="BJ144" s="301"/>
      <c r="BK144" s="301"/>
    </row>
    <row r="145" ht="15" customHeight="1" spans="1:63" x14ac:dyDescent="0.25">
      <c r="A145" s="301" t="s">
        <v>252</v>
      </c>
      <c r="B145" s="301"/>
      <c r="C145" s="302">
        <v>12115</v>
      </c>
      <c r="D145" s="301" t="s">
        <v>84</v>
      </c>
      <c r="E145" s="301" t="s">
        <v>264</v>
      </c>
      <c r="F145" s="322" t="s">
        <v>358</v>
      </c>
      <c r="G145" s="318">
        <v>5000</v>
      </c>
      <c r="H145" s="316" t="s">
        <v>298</v>
      </c>
      <c r="I145" s="302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  <c r="AI145" s="301"/>
      <c r="AJ145" s="301"/>
      <c r="AK145" s="301"/>
      <c r="AL145" s="301"/>
      <c r="AM145" s="301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AZ145" s="301"/>
      <c r="BA145" s="301"/>
      <c r="BB145" s="301"/>
      <c r="BC145" s="301"/>
      <c r="BD145" s="301"/>
      <c r="BE145" s="301"/>
      <c r="BF145" s="301"/>
      <c r="BG145" s="301"/>
      <c r="BH145" s="301"/>
      <c r="BI145" s="301"/>
      <c r="BJ145" s="301"/>
      <c r="BK145" s="301"/>
    </row>
    <row r="146" ht="15" customHeight="1" spans="1:63" x14ac:dyDescent="0.25">
      <c r="A146" s="301" t="s">
        <v>252</v>
      </c>
      <c r="B146" s="315"/>
      <c r="C146" s="302">
        <v>12115</v>
      </c>
      <c r="D146" s="301" t="s">
        <v>84</v>
      </c>
      <c r="E146" s="301" t="s">
        <v>253</v>
      </c>
      <c r="F146" s="304" t="s">
        <v>359</v>
      </c>
      <c r="G146" s="313">
        <v>1816.42</v>
      </c>
      <c r="H146" s="316" t="s">
        <v>298</v>
      </c>
      <c r="I146" s="302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301"/>
      <c r="AH146" s="301"/>
      <c r="AI146" s="301"/>
      <c r="AJ146" s="301"/>
      <c r="AK146" s="301"/>
      <c r="AL146" s="301"/>
      <c r="AM146" s="301"/>
      <c r="AN146" s="301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1"/>
      <c r="BA146" s="301"/>
      <c r="BB146" s="301"/>
      <c r="BC146" s="301"/>
      <c r="BD146" s="301"/>
      <c r="BE146" s="301"/>
      <c r="BF146" s="301"/>
      <c r="BG146" s="301"/>
      <c r="BH146" s="301"/>
      <c r="BI146" s="301"/>
      <c r="BJ146" s="301"/>
      <c r="BK146" s="301"/>
    </row>
    <row r="147" ht="15" customHeight="1" spans="1:63" x14ac:dyDescent="0.25">
      <c r="A147" s="301" t="s">
        <v>252</v>
      </c>
      <c r="B147" s="315"/>
      <c r="C147" s="302">
        <v>12115</v>
      </c>
      <c r="D147" s="301" t="s">
        <v>84</v>
      </c>
      <c r="E147" s="301" t="s">
        <v>360</v>
      </c>
      <c r="F147" s="304" t="s">
        <v>361</v>
      </c>
      <c r="G147" s="313">
        <v>4600</v>
      </c>
      <c r="H147" s="316" t="s">
        <v>298</v>
      </c>
      <c r="I147" s="302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  <c r="AI147" s="301"/>
      <c r="AJ147" s="301"/>
      <c r="AK147" s="301"/>
      <c r="AL147" s="301"/>
      <c r="AM147" s="301"/>
      <c r="AN147" s="301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AZ147" s="301"/>
      <c r="BA147" s="301"/>
      <c r="BB147" s="301"/>
      <c r="BC147" s="301"/>
      <c r="BD147" s="301"/>
      <c r="BE147" s="301"/>
      <c r="BF147" s="301"/>
      <c r="BG147" s="301"/>
      <c r="BH147" s="301"/>
      <c r="BI147" s="301"/>
      <c r="BJ147" s="301"/>
      <c r="BK147" s="301"/>
    </row>
    <row r="148" ht="15" customHeight="1" spans="1:63" x14ac:dyDescent="0.25">
      <c r="A148" s="301" t="s">
        <v>259</v>
      </c>
      <c r="B148" s="321"/>
      <c r="C148" s="302">
        <v>12115</v>
      </c>
      <c r="D148" s="301" t="s">
        <v>84</v>
      </c>
      <c r="E148" s="301" t="s">
        <v>362</v>
      </c>
      <c r="F148" s="304" t="s">
        <v>363</v>
      </c>
      <c r="G148" s="313">
        <v>400</v>
      </c>
      <c r="H148" s="316" t="s">
        <v>298</v>
      </c>
      <c r="I148" s="302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AZ148" s="301"/>
      <c r="BA148" s="301"/>
      <c r="BB148" s="301"/>
      <c r="BC148" s="301"/>
      <c r="BD148" s="301"/>
      <c r="BE148" s="301"/>
      <c r="BF148" s="301"/>
      <c r="BG148" s="301"/>
      <c r="BH148" s="301"/>
      <c r="BI148" s="301"/>
      <c r="BJ148" s="301"/>
      <c r="BK148" s="301"/>
    </row>
    <row r="149" ht="15" customHeight="1" spans="1:63" x14ac:dyDescent="0.25">
      <c r="A149" s="301" t="s">
        <v>259</v>
      </c>
      <c r="B149" s="321"/>
      <c r="C149" s="302">
        <v>12115</v>
      </c>
      <c r="D149" s="301" t="s">
        <v>84</v>
      </c>
      <c r="E149" s="301" t="s">
        <v>362</v>
      </c>
      <c r="F149" s="322" t="s">
        <v>363</v>
      </c>
      <c r="G149" s="313">
        <v>400</v>
      </c>
      <c r="H149" s="316" t="s">
        <v>298</v>
      </c>
      <c r="I149" s="302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  <c r="AE149" s="301"/>
      <c r="AF149" s="301"/>
      <c r="AG149" s="301"/>
      <c r="AH149" s="301"/>
      <c r="AI149" s="301"/>
      <c r="AJ149" s="301"/>
      <c r="AK149" s="301"/>
      <c r="AL149" s="301"/>
      <c r="AM149" s="301"/>
      <c r="AN149" s="301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AZ149" s="301"/>
      <c r="BA149" s="301"/>
      <c r="BB149" s="301"/>
      <c r="BC149" s="301"/>
      <c r="BD149" s="301"/>
      <c r="BE149" s="301"/>
      <c r="BF149" s="301"/>
      <c r="BG149" s="301"/>
      <c r="BH149" s="301"/>
      <c r="BI149" s="301"/>
      <c r="BJ149" s="301"/>
      <c r="BK149" s="301"/>
    </row>
    <row r="150" ht="15" customHeight="1" spans="1:63" x14ac:dyDescent="0.25">
      <c r="A150" s="301" t="s">
        <v>252</v>
      </c>
      <c r="B150" s="321"/>
      <c r="C150" s="302">
        <v>12115</v>
      </c>
      <c r="D150" s="301" t="s">
        <v>84</v>
      </c>
      <c r="E150" s="301" t="s">
        <v>264</v>
      </c>
      <c r="F150" s="322" t="s">
        <v>364</v>
      </c>
      <c r="G150" s="313">
        <v>5000</v>
      </c>
      <c r="H150" s="316" t="s">
        <v>303</v>
      </c>
      <c r="I150" s="302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  <c r="AI150" s="301"/>
      <c r="AJ150" s="301"/>
      <c r="AK150" s="301"/>
      <c r="AL150" s="301"/>
      <c r="AM150" s="301"/>
      <c r="AN150" s="301"/>
      <c r="AO150" s="301"/>
      <c r="AP150" s="301"/>
      <c r="AQ150" s="301"/>
      <c r="AR150" s="301"/>
      <c r="AS150" s="301"/>
      <c r="AT150" s="301"/>
      <c r="AU150" s="301"/>
      <c r="AV150" s="301"/>
      <c r="AW150" s="301"/>
      <c r="AX150" s="301"/>
      <c r="AY150" s="301"/>
      <c r="AZ150" s="301"/>
      <c r="BA150" s="301"/>
      <c r="BB150" s="301"/>
      <c r="BC150" s="301"/>
      <c r="BD150" s="301"/>
      <c r="BE150" s="301"/>
      <c r="BF150" s="301"/>
      <c r="BG150" s="301"/>
      <c r="BH150" s="301"/>
      <c r="BI150" s="301"/>
      <c r="BJ150" s="301"/>
      <c r="BK150" s="301"/>
    </row>
    <row r="151" ht="15" customHeight="1" spans="1:63" x14ac:dyDescent="0.25">
      <c r="A151" s="301" t="s">
        <v>252</v>
      </c>
      <c r="B151" s="321"/>
      <c r="C151" s="302">
        <v>12115</v>
      </c>
      <c r="D151" s="301" t="s">
        <v>84</v>
      </c>
      <c r="E151" s="301" t="s">
        <v>360</v>
      </c>
      <c r="F151" s="322" t="s">
        <v>365</v>
      </c>
      <c r="G151" s="313">
        <v>2200</v>
      </c>
      <c r="H151" s="316" t="s">
        <v>303</v>
      </c>
      <c r="I151" s="302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  <c r="AI151" s="301"/>
      <c r="AJ151" s="301"/>
      <c r="AK151" s="301"/>
      <c r="AL151" s="301"/>
      <c r="AM151" s="301"/>
      <c r="AN151" s="301"/>
      <c r="AO151" s="301"/>
      <c r="AP151" s="301"/>
      <c r="AQ151" s="301"/>
      <c r="AR151" s="301"/>
      <c r="AS151" s="301"/>
      <c r="AT151" s="301"/>
      <c r="AU151" s="301"/>
      <c r="AV151" s="301"/>
      <c r="AW151" s="301"/>
      <c r="AX151" s="301"/>
      <c r="AY151" s="301"/>
      <c r="AZ151" s="301"/>
      <c r="BA151" s="301"/>
      <c r="BB151" s="301"/>
      <c r="BC151" s="301"/>
      <c r="BD151" s="301"/>
      <c r="BE151" s="301"/>
      <c r="BF151" s="301"/>
      <c r="BG151" s="301"/>
      <c r="BH151" s="301"/>
      <c r="BI151" s="301"/>
      <c r="BJ151" s="301"/>
      <c r="BK151" s="301"/>
    </row>
    <row r="152" ht="15" customHeight="1" spans="1:63" x14ac:dyDescent="0.25">
      <c r="A152" s="301" t="s">
        <v>252</v>
      </c>
      <c r="B152" s="321"/>
      <c r="C152" s="302">
        <v>12115</v>
      </c>
      <c r="D152" s="301" t="s">
        <v>84</v>
      </c>
      <c r="E152" s="301" t="s">
        <v>360</v>
      </c>
      <c r="F152" s="322" t="s">
        <v>366</v>
      </c>
      <c r="G152" s="313">
        <v>2600</v>
      </c>
      <c r="H152" s="316" t="s">
        <v>303</v>
      </c>
      <c r="I152" s="302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301"/>
      <c r="AH152" s="301"/>
      <c r="AI152" s="301"/>
      <c r="AJ152" s="301"/>
      <c r="AK152" s="301"/>
      <c r="AL152" s="301"/>
      <c r="AM152" s="301"/>
      <c r="AN152" s="301"/>
      <c r="AO152" s="301"/>
      <c r="AP152" s="301"/>
      <c r="AQ152" s="301"/>
      <c r="AR152" s="301"/>
      <c r="AS152" s="301"/>
      <c r="AT152" s="301"/>
      <c r="AU152" s="301"/>
      <c r="AV152" s="301"/>
      <c r="AW152" s="301"/>
      <c r="AX152" s="301"/>
      <c r="AY152" s="301"/>
      <c r="AZ152" s="301"/>
      <c r="BA152" s="301"/>
      <c r="BB152" s="301"/>
      <c r="BC152" s="301"/>
      <c r="BD152" s="301"/>
      <c r="BE152" s="301"/>
      <c r="BF152" s="301"/>
      <c r="BG152" s="301"/>
      <c r="BH152" s="301"/>
      <c r="BI152" s="301"/>
      <c r="BJ152" s="301"/>
      <c r="BK152" s="301"/>
    </row>
    <row r="153" ht="15" customHeight="1" spans="1:63" x14ac:dyDescent="0.25">
      <c r="A153" s="301" t="s">
        <v>259</v>
      </c>
      <c r="B153" s="321"/>
      <c r="C153" s="302">
        <v>12115</v>
      </c>
      <c r="D153" s="301" t="s">
        <v>84</v>
      </c>
      <c r="E153" s="301" t="s">
        <v>253</v>
      </c>
      <c r="F153" s="322" t="s">
        <v>367</v>
      </c>
      <c r="G153" s="313">
        <v>143.8</v>
      </c>
      <c r="H153" s="316" t="s">
        <v>303</v>
      </c>
      <c r="I153" s="302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301"/>
      <c r="AH153" s="301"/>
      <c r="AI153" s="301"/>
      <c r="AJ153" s="301"/>
      <c r="AK153" s="301"/>
      <c r="AL153" s="301"/>
      <c r="AM153" s="301"/>
      <c r="AN153" s="301"/>
      <c r="AO153" s="301"/>
      <c r="AP153" s="301"/>
      <c r="AQ153" s="301"/>
      <c r="AR153" s="301"/>
      <c r="AS153" s="301"/>
      <c r="AT153" s="301"/>
      <c r="AU153" s="301"/>
      <c r="AV153" s="301"/>
      <c r="AW153" s="301"/>
      <c r="AX153" s="301"/>
      <c r="AY153" s="301"/>
      <c r="AZ153" s="301"/>
      <c r="BA153" s="301"/>
      <c r="BB153" s="301"/>
      <c r="BC153" s="301"/>
      <c r="BD153" s="301"/>
      <c r="BE153" s="301"/>
      <c r="BF153" s="301"/>
      <c r="BG153" s="301"/>
      <c r="BH153" s="301"/>
      <c r="BI153" s="301"/>
      <c r="BJ153" s="301"/>
      <c r="BK153" s="301"/>
    </row>
    <row r="154" ht="15" customHeight="1" spans="1:63" x14ac:dyDescent="0.25">
      <c r="A154" s="301" t="s">
        <v>252</v>
      </c>
      <c r="B154" s="321"/>
      <c r="C154" s="302">
        <v>12115</v>
      </c>
      <c r="D154" s="301" t="s">
        <v>84</v>
      </c>
      <c r="E154" s="301" t="s">
        <v>264</v>
      </c>
      <c r="F154" s="322" t="s">
        <v>368</v>
      </c>
      <c r="G154" s="313">
        <v>5000</v>
      </c>
      <c r="H154" s="316" t="s">
        <v>307</v>
      </c>
      <c r="I154" s="302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301"/>
      <c r="AH154" s="301"/>
      <c r="AI154" s="301"/>
      <c r="AJ154" s="301"/>
      <c r="AK154" s="301"/>
      <c r="AL154" s="301"/>
      <c r="AM154" s="301"/>
      <c r="AN154" s="301"/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AZ154" s="301"/>
      <c r="BA154" s="301"/>
      <c r="BB154" s="301"/>
      <c r="BC154" s="301"/>
      <c r="BD154" s="301"/>
      <c r="BE154" s="301"/>
      <c r="BF154" s="301"/>
      <c r="BG154" s="301"/>
      <c r="BH154" s="301"/>
      <c r="BI154" s="301"/>
      <c r="BJ154" s="301"/>
      <c r="BK154" s="301"/>
    </row>
    <row r="155" ht="15" customHeight="1" spans="1:63" x14ac:dyDescent="0.25">
      <c r="A155" s="301" t="s">
        <v>252</v>
      </c>
      <c r="B155" s="321"/>
      <c r="C155" s="302">
        <v>12115</v>
      </c>
      <c r="D155" s="301" t="s">
        <v>84</v>
      </c>
      <c r="E155" s="301" t="s">
        <v>264</v>
      </c>
      <c r="F155" s="322" t="s">
        <v>369</v>
      </c>
      <c r="G155" s="313">
        <v>5000</v>
      </c>
      <c r="H155" s="316" t="s">
        <v>316</v>
      </c>
      <c r="I155" s="302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301"/>
      <c r="AH155" s="301"/>
      <c r="AI155" s="301"/>
      <c r="AJ155" s="301"/>
      <c r="AK155" s="301"/>
      <c r="AL155" s="301"/>
      <c r="AM155" s="301"/>
      <c r="AN155" s="301"/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  <c r="BB155" s="301"/>
      <c r="BC155" s="301"/>
      <c r="BD155" s="301"/>
      <c r="BE155" s="301"/>
      <c r="BF155" s="301"/>
      <c r="BG155" s="301"/>
      <c r="BH155" s="301"/>
      <c r="BI155" s="301"/>
      <c r="BJ155" s="301"/>
      <c r="BK155" s="301"/>
    </row>
    <row r="156" ht="15" customHeight="1" spans="1:63" x14ac:dyDescent="0.25">
      <c r="A156" s="301" t="s">
        <v>252</v>
      </c>
      <c r="B156" s="321"/>
      <c r="C156" s="302">
        <v>12115</v>
      </c>
      <c r="D156" s="301" t="s">
        <v>84</v>
      </c>
      <c r="E156" s="301" t="s">
        <v>264</v>
      </c>
      <c r="F156" s="322" t="s">
        <v>370</v>
      </c>
      <c r="G156" s="313">
        <v>802.86</v>
      </c>
      <c r="H156" s="316" t="s">
        <v>316</v>
      </c>
      <c r="I156" s="302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301"/>
      <c r="AH156" s="301"/>
      <c r="AI156" s="301"/>
      <c r="AJ156" s="301"/>
      <c r="AK156" s="301"/>
      <c r="AL156" s="301"/>
      <c r="AM156" s="301"/>
      <c r="AN156" s="301"/>
      <c r="AO156" s="301"/>
      <c r="AP156" s="301"/>
      <c r="AQ156" s="301"/>
      <c r="AR156" s="301"/>
      <c r="AS156" s="301"/>
      <c r="AT156" s="301"/>
      <c r="AU156" s="301"/>
      <c r="AV156" s="301"/>
      <c r="AW156" s="301"/>
      <c r="AX156" s="301"/>
      <c r="AY156" s="301"/>
      <c r="AZ156" s="301"/>
      <c r="BA156" s="301"/>
      <c r="BB156" s="301"/>
      <c r="BC156" s="301"/>
      <c r="BD156" s="301"/>
      <c r="BE156" s="301"/>
      <c r="BF156" s="301"/>
      <c r="BG156" s="301"/>
      <c r="BH156" s="301"/>
      <c r="BI156" s="301"/>
      <c r="BJ156" s="301"/>
      <c r="BK156" s="301"/>
    </row>
    <row r="157" ht="15" customHeight="1" spans="1:63" x14ac:dyDescent="0.25">
      <c r="A157" s="301" t="s">
        <v>252</v>
      </c>
      <c r="B157" s="321"/>
      <c r="C157" s="302">
        <v>12115</v>
      </c>
      <c r="D157" s="301" t="s">
        <v>84</v>
      </c>
      <c r="E157" s="301" t="s">
        <v>253</v>
      </c>
      <c r="F157" s="322" t="s">
        <v>254</v>
      </c>
      <c r="G157" s="313">
        <v>2868.08</v>
      </c>
      <c r="H157" s="316" t="s">
        <v>371</v>
      </c>
      <c r="I157" s="302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301"/>
      <c r="AH157" s="301"/>
      <c r="AI157" s="301"/>
      <c r="AJ157" s="301"/>
      <c r="AK157" s="301"/>
      <c r="AL157" s="301"/>
      <c r="AM157" s="301"/>
      <c r="AN157" s="301"/>
      <c r="AO157" s="301"/>
      <c r="AP157" s="301"/>
      <c r="AQ157" s="301"/>
      <c r="AR157" s="301"/>
      <c r="AS157" s="301"/>
      <c r="AT157" s="301"/>
      <c r="AU157" s="301"/>
      <c r="AV157" s="301"/>
      <c r="AW157" s="301"/>
      <c r="AX157" s="301"/>
      <c r="AY157" s="301"/>
      <c r="AZ157" s="301"/>
      <c r="BA157" s="301"/>
      <c r="BB157" s="301"/>
      <c r="BC157" s="301"/>
      <c r="BD157" s="301"/>
      <c r="BE157" s="301"/>
      <c r="BF157" s="301"/>
      <c r="BG157" s="301"/>
      <c r="BH157" s="301"/>
      <c r="BI157" s="301"/>
      <c r="BJ157" s="301"/>
      <c r="BK157" s="301"/>
    </row>
    <row r="158" hidden="1" spans="1:63" x14ac:dyDescent="0.25">
      <c r="A158" s="301"/>
      <c r="B158" s="321"/>
      <c r="C158" s="302"/>
      <c r="D158" s="301"/>
      <c r="E158" s="301"/>
      <c r="F158" s="322"/>
      <c r="G158" s="313"/>
      <c r="H158" s="316"/>
      <c r="I158" s="302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  <c r="AE158" s="301"/>
      <c r="AF158" s="301"/>
      <c r="AG158" s="301"/>
      <c r="AH158" s="301"/>
      <c r="AI158" s="301"/>
      <c r="AJ158" s="301"/>
      <c r="AK158" s="301"/>
      <c r="AL158" s="301"/>
      <c r="AM158" s="301"/>
      <c r="AN158" s="301"/>
      <c r="AO158" s="301"/>
      <c r="AP158" s="301"/>
      <c r="AQ158" s="301"/>
      <c r="AR158" s="301"/>
      <c r="AS158" s="301"/>
      <c r="AT158" s="301"/>
      <c r="AU158" s="301"/>
      <c r="AV158" s="301"/>
      <c r="AW158" s="301"/>
      <c r="AX158" s="301"/>
      <c r="AY158" s="301"/>
      <c r="AZ158" s="301"/>
      <c r="BA158" s="301"/>
      <c r="BB158" s="301"/>
      <c r="BC158" s="301"/>
      <c r="BD158" s="301"/>
      <c r="BE158" s="301"/>
      <c r="BF158" s="301"/>
      <c r="BG158" s="301"/>
      <c r="BH158" s="301"/>
      <c r="BI158" s="301"/>
      <c r="BJ158" s="301"/>
      <c r="BK158" s="301"/>
    </row>
    <row r="159" ht="15" customHeight="1" spans="1:63" x14ac:dyDescent="0.25">
      <c r="A159" s="301"/>
      <c r="B159" s="321"/>
      <c r="C159" s="302"/>
      <c r="D159" s="301" t="s">
        <v>256</v>
      </c>
      <c r="E159" s="301"/>
      <c r="F159" s="305"/>
      <c r="G159" s="317">
        <f>SUBTOTAL(9,G135:G158)</f>
      </c>
      <c r="H159" s="316"/>
      <c r="I159" s="302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301"/>
      <c r="AH159" s="301"/>
      <c r="AI159" s="301"/>
      <c r="AJ159" s="301"/>
      <c r="AK159" s="301"/>
      <c r="AL159" s="301"/>
      <c r="AM159" s="301"/>
      <c r="AN159" s="301"/>
      <c r="AO159" s="301"/>
      <c r="AP159" s="301"/>
      <c r="AQ159" s="301"/>
      <c r="AR159" s="301"/>
      <c r="AS159" s="301"/>
      <c r="AT159" s="301"/>
      <c r="AU159" s="301"/>
      <c r="AV159" s="301"/>
      <c r="AW159" s="301"/>
      <c r="AX159" s="301"/>
      <c r="AY159" s="301"/>
      <c r="AZ159" s="301"/>
      <c r="BA159" s="301"/>
      <c r="BB159" s="301"/>
      <c r="BC159" s="301"/>
      <c r="BD159" s="301"/>
      <c r="BE159" s="301"/>
      <c r="BF159" s="301"/>
      <c r="BG159" s="301"/>
      <c r="BH159" s="301"/>
      <c r="BI159" s="301"/>
      <c r="BJ159" s="301"/>
      <c r="BK159" s="301"/>
    </row>
    <row r="160" hidden="1" spans="1:63" x14ac:dyDescent="0.25">
      <c r="A160" s="301"/>
      <c r="B160" s="315"/>
      <c r="C160" s="302"/>
      <c r="D160" s="301"/>
      <c r="E160" s="301"/>
      <c r="F160" s="305"/>
      <c r="G160" s="313"/>
      <c r="H160" s="316"/>
      <c r="I160" s="302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301"/>
      <c r="AH160" s="301"/>
      <c r="AI160" s="301"/>
      <c r="AJ160" s="301"/>
      <c r="AK160" s="301"/>
      <c r="AL160" s="301"/>
      <c r="AM160" s="301"/>
      <c r="AN160" s="301"/>
      <c r="AO160" s="301"/>
      <c r="AP160" s="301"/>
      <c r="AQ160" s="301"/>
      <c r="AR160" s="301"/>
      <c r="AS160" s="301"/>
      <c r="AT160" s="301"/>
      <c r="AU160" s="301"/>
      <c r="AV160" s="301"/>
      <c r="AW160" s="301"/>
      <c r="AX160" s="301"/>
      <c r="AY160" s="301"/>
      <c r="AZ160" s="301"/>
      <c r="BA160" s="301"/>
      <c r="BB160" s="301"/>
      <c r="BC160" s="301"/>
      <c r="BD160" s="301"/>
      <c r="BE160" s="301"/>
      <c r="BF160" s="301"/>
      <c r="BG160" s="301"/>
      <c r="BH160" s="301"/>
      <c r="BI160" s="301"/>
      <c r="BJ160" s="301"/>
      <c r="BK160" s="301"/>
    </row>
    <row r="161" ht="15" customHeight="1" spans="1:63" x14ac:dyDescent="0.25">
      <c r="A161" s="301" t="s">
        <v>372</v>
      </c>
      <c r="B161" s="321"/>
      <c r="C161" s="302">
        <v>12230</v>
      </c>
      <c r="D161" s="301" t="s">
        <v>103</v>
      </c>
      <c r="E161" s="301" t="s">
        <v>214</v>
      </c>
      <c r="F161" s="304" t="s">
        <v>373</v>
      </c>
      <c r="G161" s="313">
        <v>5484.61</v>
      </c>
      <c r="H161" s="316" t="s">
        <v>262</v>
      </c>
      <c r="I161" s="302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301"/>
      <c r="AH161" s="301"/>
      <c r="AI161" s="301"/>
      <c r="AJ161" s="301"/>
      <c r="AK161" s="301"/>
      <c r="AL161" s="301"/>
      <c r="AM161" s="301"/>
      <c r="AN161" s="301"/>
      <c r="AO161" s="301"/>
      <c r="AP161" s="301"/>
      <c r="AQ161" s="301"/>
      <c r="AR161" s="301"/>
      <c r="AS161" s="301"/>
      <c r="AT161" s="301"/>
      <c r="AU161" s="301"/>
      <c r="AV161" s="301"/>
      <c r="AW161" s="301"/>
      <c r="AX161" s="301"/>
      <c r="AY161" s="301"/>
      <c r="AZ161" s="301"/>
      <c r="BA161" s="301"/>
      <c r="BB161" s="301"/>
      <c r="BC161" s="301"/>
      <c r="BD161" s="301"/>
      <c r="BE161" s="301"/>
      <c r="BF161" s="301"/>
      <c r="BG161" s="301"/>
      <c r="BH161" s="301"/>
      <c r="BI161" s="301"/>
      <c r="BJ161" s="301"/>
      <c r="BK161" s="301"/>
    </row>
    <row r="162" ht="15" customHeight="1" spans="1:63" x14ac:dyDescent="0.25">
      <c r="A162" s="301" t="s">
        <v>372</v>
      </c>
      <c r="B162" s="321"/>
      <c r="C162" s="302">
        <v>12230</v>
      </c>
      <c r="D162" s="301" t="s">
        <v>103</v>
      </c>
      <c r="E162" s="327" t="s">
        <v>214</v>
      </c>
      <c r="F162" s="329" t="s">
        <v>374</v>
      </c>
      <c r="G162" s="313">
        <v>8817.86</v>
      </c>
      <c r="H162" s="316" t="s">
        <v>275</v>
      </c>
      <c r="I162" s="330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301"/>
      <c r="AH162" s="301"/>
      <c r="AI162" s="301"/>
      <c r="AJ162" s="301"/>
      <c r="AK162" s="301"/>
      <c r="AL162" s="301"/>
      <c r="AM162" s="301"/>
      <c r="AN162" s="301"/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301"/>
      <c r="BA162" s="301"/>
      <c r="BB162" s="301"/>
      <c r="BC162" s="301"/>
      <c r="BD162" s="301"/>
      <c r="BE162" s="301"/>
      <c r="BF162" s="301"/>
      <c r="BG162" s="301"/>
      <c r="BH162" s="301"/>
      <c r="BI162" s="301"/>
      <c r="BJ162" s="301"/>
      <c r="BK162" s="301"/>
    </row>
    <row r="163" ht="15" customHeight="1" spans="1:63" x14ac:dyDescent="0.25">
      <c r="A163" s="301" t="s">
        <v>372</v>
      </c>
      <c r="B163" s="321"/>
      <c r="C163" s="302">
        <v>12230</v>
      </c>
      <c r="D163" s="301" t="s">
        <v>103</v>
      </c>
      <c r="E163" s="327" t="s">
        <v>214</v>
      </c>
      <c r="F163" s="329" t="s">
        <v>375</v>
      </c>
      <c r="G163" s="313">
        <v>8014.17</v>
      </c>
      <c r="H163" s="316" t="s">
        <v>281</v>
      </c>
      <c r="I163" s="330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  <c r="AH163" s="301"/>
      <c r="AI163" s="301"/>
      <c r="AJ163" s="301"/>
      <c r="AK163" s="301"/>
      <c r="AL163" s="301"/>
      <c r="AM163" s="301"/>
      <c r="AN163" s="301"/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301"/>
      <c r="BA163" s="301"/>
      <c r="BB163" s="301"/>
      <c r="BC163" s="301"/>
      <c r="BD163" s="301"/>
      <c r="BE163" s="301"/>
      <c r="BF163" s="301"/>
      <c r="BG163" s="301"/>
      <c r="BH163" s="301"/>
      <c r="BI163" s="301"/>
      <c r="BJ163" s="301"/>
      <c r="BK163" s="301"/>
    </row>
    <row r="164" ht="15" customHeight="1" spans="1:63" x14ac:dyDescent="0.25">
      <c r="A164" s="301" t="s">
        <v>372</v>
      </c>
      <c r="B164" s="321"/>
      <c r="C164" s="302">
        <v>12230</v>
      </c>
      <c r="D164" s="301" t="s">
        <v>103</v>
      </c>
      <c r="E164" s="327" t="s">
        <v>214</v>
      </c>
      <c r="F164" s="329" t="s">
        <v>376</v>
      </c>
      <c r="G164" s="313">
        <v>5587</v>
      </c>
      <c r="H164" s="316" t="s">
        <v>285</v>
      </c>
      <c r="I164" s="330"/>
      <c r="J164" s="301" t="s">
        <v>377</v>
      </c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  <c r="AH164" s="301"/>
      <c r="AI164" s="301"/>
      <c r="AJ164" s="301"/>
      <c r="AK164" s="301"/>
      <c r="AL164" s="301"/>
      <c r="AM164" s="301"/>
      <c r="AN164" s="301"/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301"/>
      <c r="BA164" s="301"/>
      <c r="BB164" s="301"/>
      <c r="BC164" s="301"/>
      <c r="BD164" s="301"/>
      <c r="BE164" s="301"/>
      <c r="BF164" s="301"/>
      <c r="BG164" s="301"/>
      <c r="BH164" s="301"/>
      <c r="BI164" s="301"/>
      <c r="BJ164" s="301"/>
      <c r="BK164" s="301"/>
    </row>
    <row r="165" ht="15" customHeight="1" spans="1:63" x14ac:dyDescent="0.25">
      <c r="A165" s="301" t="s">
        <v>372</v>
      </c>
      <c r="B165" s="321"/>
      <c r="C165" s="302">
        <v>12230</v>
      </c>
      <c r="D165" s="301" t="s">
        <v>103</v>
      </c>
      <c r="E165" s="327" t="s">
        <v>214</v>
      </c>
      <c r="F165" s="304" t="s">
        <v>376</v>
      </c>
      <c r="G165" s="313">
        <v>8834.97</v>
      </c>
      <c r="H165" s="316" t="s">
        <v>298</v>
      </c>
      <c r="I165" s="330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301"/>
      <c r="AH165" s="301"/>
      <c r="AI165" s="301"/>
      <c r="AJ165" s="301"/>
      <c r="AK165" s="301"/>
      <c r="AL165" s="301"/>
      <c r="AM165" s="301"/>
      <c r="AN165" s="301"/>
      <c r="AO165" s="301"/>
      <c r="AP165" s="301"/>
      <c r="AQ165" s="301"/>
      <c r="AR165" s="301"/>
      <c r="AS165" s="301"/>
      <c r="AT165" s="301"/>
      <c r="AU165" s="301"/>
      <c r="AV165" s="301"/>
      <c r="AW165" s="301"/>
      <c r="AX165" s="301"/>
      <c r="AY165" s="301"/>
      <c r="AZ165" s="301"/>
      <c r="BA165" s="301"/>
      <c r="BB165" s="301"/>
      <c r="BC165" s="301"/>
      <c r="BD165" s="301"/>
      <c r="BE165" s="301"/>
      <c r="BF165" s="301"/>
      <c r="BG165" s="301"/>
      <c r="BH165" s="301"/>
      <c r="BI165" s="301"/>
      <c r="BJ165" s="301"/>
      <c r="BK165" s="301"/>
    </row>
    <row r="166" ht="15" customHeight="1" spans="1:63" x14ac:dyDescent="0.25">
      <c r="A166" s="301" t="s">
        <v>372</v>
      </c>
      <c r="B166" s="321"/>
      <c r="C166" s="302">
        <v>12230</v>
      </c>
      <c r="D166" s="301" t="s">
        <v>103</v>
      </c>
      <c r="E166" s="327" t="s">
        <v>214</v>
      </c>
      <c r="F166" s="304" t="s">
        <v>378</v>
      </c>
      <c r="G166" s="313">
        <v>9216.43</v>
      </c>
      <c r="H166" s="316" t="s">
        <v>303</v>
      </c>
      <c r="I166" s="330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301"/>
      <c r="AH166" s="301"/>
      <c r="AI166" s="301"/>
      <c r="AJ166" s="301"/>
      <c r="AK166" s="301"/>
      <c r="AL166" s="301"/>
      <c r="AM166" s="301"/>
      <c r="AN166" s="301"/>
      <c r="AO166" s="301"/>
      <c r="AP166" s="301"/>
      <c r="AQ166" s="301"/>
      <c r="AR166" s="301"/>
      <c r="AS166" s="301"/>
      <c r="AT166" s="301"/>
      <c r="AU166" s="301"/>
      <c r="AV166" s="301"/>
      <c r="AW166" s="301"/>
      <c r="AX166" s="301"/>
      <c r="AY166" s="301"/>
      <c r="AZ166" s="301"/>
      <c r="BA166" s="301"/>
      <c r="BB166" s="301"/>
      <c r="BC166" s="301"/>
      <c r="BD166" s="301"/>
      <c r="BE166" s="301"/>
      <c r="BF166" s="301"/>
      <c r="BG166" s="301"/>
      <c r="BH166" s="301"/>
      <c r="BI166" s="301"/>
      <c r="BJ166" s="301"/>
      <c r="BK166" s="301"/>
    </row>
    <row r="167" ht="15" customHeight="1" spans="1:63" x14ac:dyDescent="0.25">
      <c r="A167" s="301" t="s">
        <v>372</v>
      </c>
      <c r="B167" s="321"/>
      <c r="C167" s="302">
        <v>12230</v>
      </c>
      <c r="D167" s="301" t="s">
        <v>103</v>
      </c>
      <c r="E167" s="301" t="s">
        <v>214</v>
      </c>
      <c r="F167" s="304" t="s">
        <v>379</v>
      </c>
      <c r="G167" s="313">
        <v>11420.68</v>
      </c>
      <c r="H167" s="316" t="s">
        <v>307</v>
      </c>
      <c r="I167" s="330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301"/>
      <c r="AH167" s="301"/>
      <c r="AI167" s="301"/>
      <c r="AJ167" s="301"/>
      <c r="AK167" s="301"/>
      <c r="AL167" s="301"/>
      <c r="AM167" s="301"/>
      <c r="AN167" s="301"/>
      <c r="AO167" s="301"/>
      <c r="AP167" s="301"/>
      <c r="AQ167" s="301"/>
      <c r="AR167" s="301"/>
      <c r="AS167" s="301"/>
      <c r="AT167" s="301"/>
      <c r="AU167" s="301"/>
      <c r="AV167" s="301"/>
      <c r="AW167" s="301"/>
      <c r="AX167" s="301"/>
      <c r="AY167" s="301"/>
      <c r="AZ167" s="301"/>
      <c r="BA167" s="301"/>
      <c r="BB167" s="301"/>
      <c r="BC167" s="301"/>
      <c r="BD167" s="301"/>
      <c r="BE167" s="301"/>
      <c r="BF167" s="301"/>
      <c r="BG167" s="301"/>
      <c r="BH167" s="301"/>
      <c r="BI167" s="301"/>
      <c r="BJ167" s="301"/>
      <c r="BK167" s="301"/>
    </row>
    <row r="168" ht="15" customHeight="1" spans="1:63" x14ac:dyDescent="0.25">
      <c r="A168" s="301" t="s">
        <v>372</v>
      </c>
      <c r="B168" s="321"/>
      <c r="C168" s="302">
        <v>12230</v>
      </c>
      <c r="D168" s="301" t="s">
        <v>103</v>
      </c>
      <c r="E168" s="301" t="s">
        <v>214</v>
      </c>
      <c r="F168" s="304" t="s">
        <v>380</v>
      </c>
      <c r="G168" s="313">
        <v>-200.35</v>
      </c>
      <c r="H168" s="316" t="s">
        <v>307</v>
      </c>
      <c r="I168" s="330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  <c r="AE168" s="301"/>
      <c r="AF168" s="301"/>
      <c r="AG168" s="301"/>
      <c r="AH168" s="301"/>
      <c r="AI168" s="301"/>
      <c r="AJ168" s="301"/>
      <c r="AK168" s="301"/>
      <c r="AL168" s="301"/>
      <c r="AM168" s="301"/>
      <c r="AN168" s="301"/>
      <c r="AO168" s="301"/>
      <c r="AP168" s="301"/>
      <c r="AQ168" s="301"/>
      <c r="AR168" s="301"/>
      <c r="AS168" s="301"/>
      <c r="AT168" s="301"/>
      <c r="AU168" s="301"/>
      <c r="AV168" s="301"/>
      <c r="AW168" s="301"/>
      <c r="AX168" s="301"/>
      <c r="AY168" s="301"/>
      <c r="AZ168" s="301"/>
      <c r="BA168" s="301"/>
      <c r="BB168" s="301"/>
      <c r="BC168" s="301"/>
      <c r="BD168" s="301"/>
      <c r="BE168" s="301"/>
      <c r="BF168" s="301"/>
      <c r="BG168" s="301"/>
      <c r="BH168" s="301"/>
      <c r="BI168" s="301"/>
      <c r="BJ168" s="301"/>
      <c r="BK168" s="301"/>
    </row>
    <row r="169" ht="15" customHeight="1" spans="1:63" x14ac:dyDescent="0.25">
      <c r="A169" s="301" t="s">
        <v>372</v>
      </c>
      <c r="B169" s="321"/>
      <c r="C169" s="302">
        <v>12230</v>
      </c>
      <c r="D169" s="301" t="s">
        <v>103</v>
      </c>
      <c r="E169" s="301" t="s">
        <v>214</v>
      </c>
      <c r="F169" s="304" t="s">
        <v>381</v>
      </c>
      <c r="G169" s="313">
        <v>3296.63</v>
      </c>
      <c r="H169" s="316" t="s">
        <v>316</v>
      </c>
      <c r="I169" s="330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  <c r="AE169" s="301"/>
      <c r="AF169" s="301"/>
      <c r="AG169" s="301"/>
      <c r="AH169" s="301"/>
      <c r="AI169" s="301"/>
      <c r="AJ169" s="301"/>
      <c r="AK169" s="301"/>
      <c r="AL169" s="301"/>
      <c r="AM169" s="301"/>
      <c r="AN169" s="301"/>
      <c r="AO169" s="301"/>
      <c r="AP169" s="301"/>
      <c r="AQ169" s="301"/>
      <c r="AR169" s="301"/>
      <c r="AS169" s="301"/>
      <c r="AT169" s="301"/>
      <c r="AU169" s="301"/>
      <c r="AV169" s="301"/>
      <c r="AW169" s="301"/>
      <c r="AX169" s="301"/>
      <c r="AY169" s="301"/>
      <c r="AZ169" s="301"/>
      <c r="BA169" s="301"/>
      <c r="BB169" s="301"/>
      <c r="BC169" s="301"/>
      <c r="BD169" s="301"/>
      <c r="BE169" s="301"/>
      <c r="BF169" s="301"/>
      <c r="BG169" s="301"/>
      <c r="BH169" s="301"/>
      <c r="BI169" s="301"/>
      <c r="BJ169" s="301"/>
      <c r="BK169" s="301"/>
    </row>
    <row r="170" ht="15" customHeight="1" spans="1:63" x14ac:dyDescent="0.25">
      <c r="A170" s="301" t="s">
        <v>372</v>
      </c>
      <c r="B170" s="321"/>
      <c r="C170" s="302">
        <v>12230</v>
      </c>
      <c r="D170" s="301" t="s">
        <v>103</v>
      </c>
      <c r="E170" s="301" t="s">
        <v>214</v>
      </c>
      <c r="F170" s="304" t="s">
        <v>382</v>
      </c>
      <c r="G170" s="313">
        <v>8802.24</v>
      </c>
      <c r="H170" s="316" t="s">
        <v>371</v>
      </c>
      <c r="I170" s="330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  <c r="AH170" s="301"/>
      <c r="AI170" s="301"/>
      <c r="AJ170" s="301"/>
      <c r="AK170" s="301"/>
      <c r="AL170" s="301"/>
      <c r="AM170" s="301"/>
      <c r="AN170" s="301"/>
      <c r="AO170" s="301"/>
      <c r="AP170" s="301"/>
      <c r="AQ170" s="301"/>
      <c r="AR170" s="301"/>
      <c r="AS170" s="301"/>
      <c r="AT170" s="301"/>
      <c r="AU170" s="301"/>
      <c r="AV170" s="301"/>
      <c r="AW170" s="301"/>
      <c r="AX170" s="301"/>
      <c r="AY170" s="301"/>
      <c r="AZ170" s="301"/>
      <c r="BA170" s="301"/>
      <c r="BB170" s="301"/>
      <c r="BC170" s="301"/>
      <c r="BD170" s="301"/>
      <c r="BE170" s="301"/>
      <c r="BF170" s="301"/>
      <c r="BG170" s="301"/>
      <c r="BH170" s="301"/>
      <c r="BI170" s="301"/>
      <c r="BJ170" s="301"/>
      <c r="BK170" s="301"/>
    </row>
    <row r="171" ht="15" customHeight="1" spans="1:63" x14ac:dyDescent="0.25">
      <c r="A171" s="301" t="s">
        <v>372</v>
      </c>
      <c r="B171" s="321"/>
      <c r="C171" s="302">
        <v>12230</v>
      </c>
      <c r="D171" s="301" t="s">
        <v>103</v>
      </c>
      <c r="E171" s="301" t="s">
        <v>214</v>
      </c>
      <c r="F171" s="304" t="s">
        <v>383</v>
      </c>
      <c r="G171" s="313">
        <v>6965.099999999999</v>
      </c>
      <c r="H171" s="316" t="s">
        <v>384</v>
      </c>
      <c r="I171" s="330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  <c r="AE171" s="301"/>
      <c r="AF171" s="301"/>
      <c r="AG171" s="301"/>
      <c r="AH171" s="301"/>
      <c r="AI171" s="301"/>
      <c r="AJ171" s="301"/>
      <c r="AK171" s="301"/>
      <c r="AL171" s="301"/>
      <c r="AM171" s="301"/>
      <c r="AN171" s="301"/>
      <c r="AO171" s="301"/>
      <c r="AP171" s="301"/>
      <c r="AQ171" s="301"/>
      <c r="AR171" s="301"/>
      <c r="AS171" s="301"/>
      <c r="AT171" s="301"/>
      <c r="AU171" s="301"/>
      <c r="AV171" s="301"/>
      <c r="AW171" s="301"/>
      <c r="AX171" s="301"/>
      <c r="AY171" s="301"/>
      <c r="AZ171" s="301"/>
      <c r="BA171" s="301"/>
      <c r="BB171" s="301"/>
      <c r="BC171" s="301"/>
      <c r="BD171" s="301"/>
      <c r="BE171" s="301"/>
      <c r="BF171" s="301"/>
      <c r="BG171" s="301"/>
      <c r="BH171" s="301"/>
      <c r="BI171" s="301"/>
      <c r="BJ171" s="301"/>
      <c r="BK171" s="301"/>
    </row>
    <row r="172" hidden="1" spans="1:63" x14ac:dyDescent="0.25">
      <c r="A172" s="301"/>
      <c r="B172" s="321"/>
      <c r="C172" s="302"/>
      <c r="D172" s="301"/>
      <c r="E172" s="301"/>
      <c r="F172" s="304"/>
      <c r="G172" s="313"/>
      <c r="H172" s="316"/>
      <c r="I172" s="330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  <c r="AD172" s="301"/>
      <c r="AE172" s="301"/>
      <c r="AF172" s="301"/>
      <c r="AG172" s="301"/>
      <c r="AH172" s="301"/>
      <c r="AI172" s="301"/>
      <c r="AJ172" s="301"/>
      <c r="AK172" s="301"/>
      <c r="AL172" s="301"/>
      <c r="AM172" s="301"/>
      <c r="AN172" s="301"/>
      <c r="AO172" s="301"/>
      <c r="AP172" s="301"/>
      <c r="AQ172" s="301"/>
      <c r="AR172" s="301"/>
      <c r="AS172" s="301"/>
      <c r="AT172" s="301"/>
      <c r="AU172" s="301"/>
      <c r="AV172" s="301"/>
      <c r="AW172" s="301"/>
      <c r="AX172" s="301"/>
      <c r="AY172" s="301"/>
      <c r="AZ172" s="301"/>
      <c r="BA172" s="301"/>
      <c r="BB172" s="301"/>
      <c r="BC172" s="301"/>
      <c r="BD172" s="301"/>
      <c r="BE172" s="301"/>
      <c r="BF172" s="301"/>
      <c r="BG172" s="301"/>
      <c r="BH172" s="301"/>
      <c r="BI172" s="301"/>
      <c r="BJ172" s="301"/>
      <c r="BK172" s="301"/>
    </row>
    <row r="173" ht="15" customHeight="1" spans="1:63" x14ac:dyDescent="0.25">
      <c r="A173" s="301"/>
      <c r="B173" s="321"/>
      <c r="C173" s="302"/>
      <c r="D173" s="301" t="s">
        <v>218</v>
      </c>
      <c r="E173" s="301"/>
      <c r="F173" s="304"/>
      <c r="G173" s="317">
        <f>SUBTOTAL(9,G161:G172)</f>
      </c>
      <c r="H173" s="316"/>
      <c r="I173" s="330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  <c r="AD173" s="301"/>
      <c r="AE173" s="301"/>
      <c r="AF173" s="301"/>
      <c r="AG173" s="301"/>
      <c r="AH173" s="301"/>
      <c r="AI173" s="301"/>
      <c r="AJ173" s="301"/>
      <c r="AK173" s="301"/>
      <c r="AL173" s="301"/>
      <c r="AM173" s="301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  <c r="BA173" s="301"/>
      <c r="BB173" s="301"/>
      <c r="BC173" s="301"/>
      <c r="BD173" s="301"/>
      <c r="BE173" s="301"/>
      <c r="BF173" s="301"/>
      <c r="BG173" s="301"/>
      <c r="BH173" s="301"/>
      <c r="BI173" s="301"/>
      <c r="BJ173" s="301"/>
      <c r="BK173" s="301"/>
    </row>
    <row r="174" ht="4.5" customHeight="1" hidden="1" spans="1:63" x14ac:dyDescent="0.25">
      <c r="A174" s="301"/>
      <c r="B174" s="321"/>
      <c r="C174" s="302"/>
      <c r="D174" s="301"/>
      <c r="E174" s="301"/>
      <c r="F174" s="305"/>
      <c r="G174" s="313"/>
      <c r="H174" s="316"/>
      <c r="I174" s="302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  <c r="AD174" s="301"/>
      <c r="AE174" s="301"/>
      <c r="AF174" s="301"/>
      <c r="AG174" s="301"/>
      <c r="AH174" s="301"/>
      <c r="AI174" s="301"/>
      <c r="AJ174" s="301"/>
      <c r="AK174" s="301"/>
      <c r="AL174" s="301"/>
      <c r="AM174" s="301"/>
      <c r="AN174" s="301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  <c r="BA174" s="301"/>
      <c r="BB174" s="301"/>
      <c r="BC174" s="301"/>
      <c r="BD174" s="301"/>
      <c r="BE174" s="301"/>
      <c r="BF174" s="301"/>
      <c r="BG174" s="301"/>
      <c r="BH174" s="301"/>
      <c r="BI174" s="301"/>
      <c r="BJ174" s="301"/>
      <c r="BK174" s="301"/>
    </row>
    <row r="175" ht="15" customHeight="1" spans="1:63" x14ac:dyDescent="0.25">
      <c r="A175" s="301" t="s">
        <v>320</v>
      </c>
      <c r="B175" s="321"/>
      <c r="C175" s="302">
        <v>12321</v>
      </c>
      <c r="D175" s="301" t="s">
        <v>129</v>
      </c>
      <c r="E175" s="301" t="s">
        <v>385</v>
      </c>
      <c r="F175" s="304" t="s">
        <v>386</v>
      </c>
      <c r="G175" s="313">
        <v>17850.66</v>
      </c>
      <c r="H175" s="316" t="s">
        <v>262</v>
      </c>
      <c r="I175" s="302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  <c r="AE175" s="301"/>
      <c r="AF175" s="301"/>
      <c r="AG175" s="301"/>
      <c r="AH175" s="301"/>
      <c r="AI175" s="301"/>
      <c r="AJ175" s="301"/>
      <c r="AK175" s="301"/>
      <c r="AL175" s="301"/>
      <c r="AM175" s="301"/>
      <c r="AN175" s="301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  <c r="BA175" s="301"/>
      <c r="BB175" s="301"/>
      <c r="BC175" s="301"/>
      <c r="BD175" s="301"/>
      <c r="BE175" s="301"/>
      <c r="BF175" s="301"/>
      <c r="BG175" s="301"/>
      <c r="BH175" s="301"/>
      <c r="BI175" s="301"/>
      <c r="BJ175" s="301"/>
      <c r="BK175" s="301"/>
    </row>
    <row r="176" ht="15" customHeight="1" spans="1:63" x14ac:dyDescent="0.25">
      <c r="A176" s="301" t="s">
        <v>320</v>
      </c>
      <c r="B176" s="321"/>
      <c r="C176" s="302">
        <v>12321</v>
      </c>
      <c r="D176" s="301" t="s">
        <v>129</v>
      </c>
      <c r="E176" s="301" t="s">
        <v>385</v>
      </c>
      <c r="F176" s="304" t="s">
        <v>386</v>
      </c>
      <c r="G176" s="313">
        <v>4953.4000000000015</v>
      </c>
      <c r="H176" s="316" t="s">
        <v>262</v>
      </c>
      <c r="I176" s="302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  <c r="AE176" s="301"/>
      <c r="AF176" s="301"/>
      <c r="AG176" s="301"/>
      <c r="AH176" s="301"/>
      <c r="AI176" s="301"/>
      <c r="AJ176" s="301"/>
      <c r="AK176" s="301"/>
      <c r="AL176" s="301"/>
      <c r="AM176" s="301"/>
      <c r="AN176" s="301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  <c r="BA176" s="301"/>
      <c r="BB176" s="301"/>
      <c r="BC176" s="301"/>
      <c r="BD176" s="301"/>
      <c r="BE176" s="301"/>
      <c r="BF176" s="301"/>
      <c r="BG176" s="301"/>
      <c r="BH176" s="301"/>
      <c r="BI176" s="301"/>
      <c r="BJ176" s="301"/>
      <c r="BK176" s="301"/>
    </row>
    <row r="177" ht="15" customHeight="1" spans="1:63" x14ac:dyDescent="0.25">
      <c r="A177" s="301" t="s">
        <v>320</v>
      </c>
      <c r="B177" s="326"/>
      <c r="C177" s="302">
        <v>12321</v>
      </c>
      <c r="D177" s="301" t="s">
        <v>129</v>
      </c>
      <c r="E177" s="327" t="s">
        <v>385</v>
      </c>
      <c r="F177" s="329" t="s">
        <v>386</v>
      </c>
      <c r="G177" s="313">
        <v>25142.37</v>
      </c>
      <c r="H177" s="316" t="s">
        <v>262</v>
      </c>
      <c r="I177" s="302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  <c r="AE177" s="301"/>
      <c r="AF177" s="301"/>
      <c r="AG177" s="301"/>
      <c r="AH177" s="301"/>
      <c r="AI177" s="301"/>
      <c r="AJ177" s="301"/>
      <c r="AK177" s="301"/>
      <c r="AL177" s="301"/>
      <c r="AM177" s="301"/>
      <c r="AN177" s="301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  <c r="BA177" s="301"/>
      <c r="BB177" s="301"/>
      <c r="BC177" s="301"/>
      <c r="BD177" s="301"/>
      <c r="BE177" s="301"/>
      <c r="BF177" s="301"/>
      <c r="BG177" s="301"/>
      <c r="BH177" s="301"/>
      <c r="BI177" s="301"/>
      <c r="BJ177" s="301"/>
      <c r="BK177" s="301"/>
    </row>
    <row r="178" ht="15" customHeight="1" spans="1:63" x14ac:dyDescent="0.25">
      <c r="A178" s="301" t="s">
        <v>320</v>
      </c>
      <c r="B178" s="326"/>
      <c r="C178" s="302">
        <v>12321</v>
      </c>
      <c r="D178" s="301" t="s">
        <v>129</v>
      </c>
      <c r="E178" s="327" t="s">
        <v>385</v>
      </c>
      <c r="F178" s="329" t="s">
        <v>387</v>
      </c>
      <c r="G178" s="313">
        <v>27003.51</v>
      </c>
      <c r="H178" s="316" t="s">
        <v>275</v>
      </c>
      <c r="I178" s="302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  <c r="AE178" s="301"/>
      <c r="AF178" s="301"/>
      <c r="AG178" s="301"/>
      <c r="AH178" s="301"/>
      <c r="AI178" s="301"/>
      <c r="AJ178" s="301"/>
      <c r="AK178" s="301"/>
      <c r="AL178" s="301"/>
      <c r="AM178" s="301"/>
      <c r="AN178" s="301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  <c r="BA178" s="301"/>
      <c r="BB178" s="301"/>
      <c r="BC178" s="301"/>
      <c r="BD178" s="301"/>
      <c r="BE178" s="301"/>
      <c r="BF178" s="301"/>
      <c r="BG178" s="301"/>
      <c r="BH178" s="301"/>
      <c r="BI178" s="301"/>
      <c r="BJ178" s="301"/>
      <c r="BK178" s="301"/>
    </row>
    <row r="179" ht="15" customHeight="1" spans="1:63" x14ac:dyDescent="0.25">
      <c r="A179" s="301" t="s">
        <v>320</v>
      </c>
      <c r="B179" s="326"/>
      <c r="C179" s="302">
        <v>12321</v>
      </c>
      <c r="D179" s="301" t="s">
        <v>129</v>
      </c>
      <c r="E179" s="327" t="s">
        <v>385</v>
      </c>
      <c r="F179" s="329" t="s">
        <v>341</v>
      </c>
      <c r="G179" s="313">
        <v>43463.32</v>
      </c>
      <c r="H179" s="316" t="s">
        <v>285</v>
      </c>
      <c r="I179" s="302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  <c r="AE179" s="301"/>
      <c r="AF179" s="301"/>
      <c r="AG179" s="301"/>
      <c r="AH179" s="301"/>
      <c r="AI179" s="301"/>
      <c r="AJ179" s="301"/>
      <c r="AK179" s="301"/>
      <c r="AL179" s="301"/>
      <c r="AM179" s="301"/>
      <c r="AN179" s="301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  <c r="BA179" s="301"/>
      <c r="BB179" s="301"/>
      <c r="BC179" s="301"/>
      <c r="BD179" s="301"/>
      <c r="BE179" s="301"/>
      <c r="BF179" s="301"/>
      <c r="BG179" s="301"/>
      <c r="BH179" s="301"/>
      <c r="BI179" s="301"/>
      <c r="BJ179" s="301"/>
      <c r="BK179" s="301"/>
    </row>
    <row r="180" ht="15" customHeight="1" spans="1:63" x14ac:dyDescent="0.25">
      <c r="A180" s="301" t="s">
        <v>320</v>
      </c>
      <c r="B180" s="326"/>
      <c r="C180" s="302">
        <v>12321</v>
      </c>
      <c r="D180" s="301" t="s">
        <v>129</v>
      </c>
      <c r="E180" s="327" t="s">
        <v>219</v>
      </c>
      <c r="F180" s="304" t="s">
        <v>342</v>
      </c>
      <c r="G180" s="313">
        <v>133594.08</v>
      </c>
      <c r="H180" s="316" t="s">
        <v>285</v>
      </c>
      <c r="I180" s="302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  <c r="AE180" s="301"/>
      <c r="AF180" s="301"/>
      <c r="AG180" s="301"/>
      <c r="AH180" s="301"/>
      <c r="AI180" s="301"/>
      <c r="AJ180" s="301"/>
      <c r="AK180" s="301"/>
      <c r="AL180" s="301"/>
      <c r="AM180" s="301"/>
      <c r="AN180" s="301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  <c r="BA180" s="301"/>
      <c r="BB180" s="301"/>
      <c r="BC180" s="301"/>
      <c r="BD180" s="301"/>
      <c r="BE180" s="301"/>
      <c r="BF180" s="301"/>
      <c r="BG180" s="301"/>
      <c r="BH180" s="301"/>
      <c r="BI180" s="301"/>
      <c r="BJ180" s="301"/>
      <c r="BK180" s="301"/>
    </row>
    <row r="181" ht="15" customHeight="1" spans="1:63" x14ac:dyDescent="0.25">
      <c r="A181" s="301" t="s">
        <v>320</v>
      </c>
      <c r="B181" s="326"/>
      <c r="C181" s="302">
        <v>12321</v>
      </c>
      <c r="D181" s="301" t="s">
        <v>129</v>
      </c>
      <c r="E181" s="301" t="s">
        <v>219</v>
      </c>
      <c r="F181" s="304" t="s">
        <v>388</v>
      </c>
      <c r="G181" s="313">
        <v>19839.05</v>
      </c>
      <c r="H181" s="316" t="s">
        <v>298</v>
      </c>
      <c r="I181" s="302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  <c r="AE181" s="301"/>
      <c r="AF181" s="301"/>
      <c r="AG181" s="301"/>
      <c r="AH181" s="301"/>
      <c r="AI181" s="301"/>
      <c r="AJ181" s="301"/>
      <c r="AK181" s="301"/>
      <c r="AL181" s="301"/>
      <c r="AM181" s="301"/>
      <c r="AN181" s="301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  <c r="BA181" s="301"/>
      <c r="BB181" s="301"/>
      <c r="BC181" s="301"/>
      <c r="BD181" s="301"/>
      <c r="BE181" s="301"/>
      <c r="BF181" s="301"/>
      <c r="BG181" s="301"/>
      <c r="BH181" s="301"/>
      <c r="BI181" s="301"/>
      <c r="BJ181" s="301"/>
      <c r="BK181" s="301"/>
    </row>
    <row r="182" ht="15" customHeight="1" spans="1:63" x14ac:dyDescent="0.25">
      <c r="A182" s="301" t="s">
        <v>320</v>
      </c>
      <c r="B182" s="321"/>
      <c r="C182" s="302">
        <v>12321</v>
      </c>
      <c r="D182" s="301" t="s">
        <v>129</v>
      </c>
      <c r="E182" s="301" t="s">
        <v>219</v>
      </c>
      <c r="F182" s="304" t="s">
        <v>388</v>
      </c>
      <c r="G182" s="313">
        <v>2769.86</v>
      </c>
      <c r="H182" s="316" t="s">
        <v>298</v>
      </c>
      <c r="I182" s="302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01"/>
      <c r="AI182" s="301"/>
      <c r="AJ182" s="301"/>
      <c r="AK182" s="301"/>
      <c r="AL182" s="301"/>
      <c r="AM182" s="301"/>
      <c r="AN182" s="301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  <c r="BA182" s="301"/>
      <c r="BB182" s="301"/>
      <c r="BC182" s="301"/>
      <c r="BD182" s="301"/>
      <c r="BE182" s="301"/>
      <c r="BF182" s="301"/>
      <c r="BG182" s="301"/>
      <c r="BH182" s="301"/>
      <c r="BI182" s="301"/>
      <c r="BJ182" s="301"/>
      <c r="BK182" s="301"/>
    </row>
    <row r="183" ht="15" customHeight="1" spans="1:63" x14ac:dyDescent="0.25">
      <c r="A183" s="301" t="s">
        <v>320</v>
      </c>
      <c r="B183" s="321"/>
      <c r="C183" s="302">
        <v>12321</v>
      </c>
      <c r="D183" s="301" t="s">
        <v>129</v>
      </c>
      <c r="E183" s="301" t="s">
        <v>219</v>
      </c>
      <c r="F183" s="304" t="s">
        <v>389</v>
      </c>
      <c r="G183" s="313">
        <v>47767.91</v>
      </c>
      <c r="H183" s="316" t="s">
        <v>303</v>
      </c>
      <c r="I183" s="302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  <c r="AE183" s="301"/>
      <c r="AF183" s="301"/>
      <c r="AG183" s="301"/>
      <c r="AH183" s="301"/>
      <c r="AI183" s="301"/>
      <c r="AJ183" s="301"/>
      <c r="AK183" s="301"/>
      <c r="AL183" s="301"/>
      <c r="AM183" s="301"/>
      <c r="AN183" s="301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  <c r="BA183" s="301"/>
      <c r="BB183" s="301"/>
      <c r="BC183" s="301"/>
      <c r="BD183" s="301"/>
      <c r="BE183" s="301"/>
      <c r="BF183" s="301"/>
      <c r="BG183" s="301"/>
      <c r="BH183" s="301"/>
      <c r="BI183" s="301"/>
      <c r="BJ183" s="301"/>
      <c r="BK183" s="301"/>
    </row>
    <row r="184" ht="15" customHeight="1" spans="1:63" x14ac:dyDescent="0.25" outlineLevel="1" collapsed="1">
      <c r="A184" s="301" t="s">
        <v>320</v>
      </c>
      <c r="B184" s="321"/>
      <c r="C184" s="302">
        <v>12321</v>
      </c>
      <c r="D184" s="301" t="s">
        <v>129</v>
      </c>
      <c r="E184" s="301" t="s">
        <v>219</v>
      </c>
      <c r="F184" s="304" t="s">
        <v>390</v>
      </c>
      <c r="G184" s="313">
        <v>49199.04</v>
      </c>
      <c r="H184" s="316" t="s">
        <v>307</v>
      </c>
      <c r="I184" s="302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  <c r="AE184" s="301"/>
      <c r="AF184" s="301"/>
      <c r="AG184" s="301"/>
      <c r="AH184" s="301"/>
      <c r="AI184" s="301"/>
      <c r="AJ184" s="301"/>
      <c r="AK184" s="301"/>
      <c r="AL184" s="301"/>
      <c r="AM184" s="301"/>
      <c r="AN184" s="301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  <c r="BA184" s="301"/>
      <c r="BB184" s="301"/>
      <c r="BC184" s="301"/>
      <c r="BD184" s="301"/>
      <c r="BE184" s="301"/>
      <c r="BF184" s="301"/>
      <c r="BG184" s="301"/>
      <c r="BH184" s="301"/>
      <c r="BI184" s="301"/>
      <c r="BJ184" s="301"/>
      <c r="BK184" s="301"/>
    </row>
    <row r="185" ht="15" customHeight="1" spans="1:63" x14ac:dyDescent="0.25" outlineLevel="1" collapsed="1">
      <c r="A185" s="301" t="s">
        <v>320</v>
      </c>
      <c r="B185" s="321"/>
      <c r="C185" s="302">
        <v>12321</v>
      </c>
      <c r="D185" s="301" t="s">
        <v>129</v>
      </c>
      <c r="E185" s="301" t="s">
        <v>219</v>
      </c>
      <c r="F185" s="304" t="s">
        <v>391</v>
      </c>
      <c r="G185" s="313">
        <v>26183.61</v>
      </c>
      <c r="H185" s="316" t="s">
        <v>316</v>
      </c>
      <c r="I185" s="302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01"/>
      <c r="AI185" s="301"/>
      <c r="AJ185" s="301"/>
      <c r="AK185" s="301"/>
      <c r="AL185" s="301"/>
      <c r="AM185" s="301"/>
      <c r="AN185" s="301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  <c r="BA185" s="301"/>
      <c r="BB185" s="301"/>
      <c r="BC185" s="301"/>
      <c r="BD185" s="301"/>
      <c r="BE185" s="301"/>
      <c r="BF185" s="301"/>
      <c r="BG185" s="301"/>
      <c r="BH185" s="301"/>
      <c r="BI185" s="301"/>
      <c r="BJ185" s="301"/>
      <c r="BK185" s="301"/>
    </row>
    <row r="186" ht="15" customHeight="1" spans="1:63" x14ac:dyDescent="0.25" outlineLevel="1" collapsed="1">
      <c r="A186" s="301" t="s">
        <v>320</v>
      </c>
      <c r="B186" s="321"/>
      <c r="C186" s="302">
        <v>12321</v>
      </c>
      <c r="D186" s="301" t="s">
        <v>129</v>
      </c>
      <c r="E186" s="301" t="s">
        <v>219</v>
      </c>
      <c r="F186" s="304" t="s">
        <v>392</v>
      </c>
      <c r="G186" s="313">
        <v>60338.32</v>
      </c>
      <c r="H186" s="316" t="s">
        <v>371</v>
      </c>
      <c r="I186" s="302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01"/>
      <c r="AI186" s="301"/>
      <c r="AJ186" s="301"/>
      <c r="AK186" s="301"/>
      <c r="AL186" s="301"/>
      <c r="AM186" s="301"/>
      <c r="AN186" s="301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  <c r="BA186" s="301"/>
      <c r="BB186" s="301"/>
      <c r="BC186" s="301"/>
      <c r="BD186" s="301"/>
      <c r="BE186" s="301"/>
      <c r="BF186" s="301"/>
      <c r="BG186" s="301"/>
      <c r="BH186" s="301"/>
      <c r="BI186" s="301"/>
      <c r="BJ186" s="301"/>
      <c r="BK186" s="301"/>
    </row>
    <row r="187" ht="15" customHeight="1" spans="1:63" x14ac:dyDescent="0.25" outlineLevel="1" collapsed="1">
      <c r="A187" s="301" t="s">
        <v>320</v>
      </c>
      <c r="B187" s="321"/>
      <c r="C187" s="302">
        <v>12321</v>
      </c>
      <c r="D187" s="301" t="s">
        <v>129</v>
      </c>
      <c r="E187" s="301" t="s">
        <v>219</v>
      </c>
      <c r="F187" s="304" t="s">
        <v>393</v>
      </c>
      <c r="G187" s="313">
        <v>64355.42</v>
      </c>
      <c r="H187" s="316" t="s">
        <v>384</v>
      </c>
      <c r="I187" s="302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01"/>
      <c r="AI187" s="301"/>
      <c r="AJ187" s="301"/>
      <c r="AK187" s="301"/>
      <c r="AL187" s="301"/>
      <c r="AM187" s="301"/>
      <c r="AN187" s="301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/>
      <c r="BA187" s="301"/>
      <c r="BB187" s="301"/>
      <c r="BC187" s="301"/>
      <c r="BD187" s="301"/>
      <c r="BE187" s="301"/>
      <c r="BF187" s="301"/>
      <c r="BG187" s="301"/>
      <c r="BH187" s="301"/>
      <c r="BI187" s="301"/>
      <c r="BJ187" s="301"/>
      <c r="BK187" s="301"/>
    </row>
    <row r="188" hidden="1" spans="1:63" x14ac:dyDescent="0.25" outlineLevel="1" collapsed="1">
      <c r="A188" s="301"/>
      <c r="B188" s="321"/>
      <c r="C188" s="302"/>
      <c r="D188" s="301"/>
      <c r="E188" s="301"/>
      <c r="F188" s="305"/>
      <c r="G188" s="313"/>
      <c r="H188" s="316"/>
      <c r="I188" s="302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01"/>
      <c r="AI188" s="301"/>
      <c r="AJ188" s="301"/>
      <c r="AK188" s="301"/>
      <c r="AL188" s="301"/>
      <c r="AM188" s="301"/>
      <c r="AN188" s="301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/>
      <c r="BA188" s="301"/>
      <c r="BB188" s="301"/>
      <c r="BC188" s="301"/>
      <c r="BD188" s="301"/>
      <c r="BE188" s="301"/>
      <c r="BF188" s="301"/>
      <c r="BG188" s="301"/>
      <c r="BH188" s="301"/>
      <c r="BI188" s="301"/>
      <c r="BJ188" s="301"/>
      <c r="BK188" s="301"/>
    </row>
    <row r="189" ht="15" customHeight="1" spans="1:63" x14ac:dyDescent="0.25" outlineLevel="1" collapsed="1">
      <c r="A189" s="301"/>
      <c r="B189" s="321"/>
      <c r="C189" s="302"/>
      <c r="D189" s="301" t="s">
        <v>222</v>
      </c>
      <c r="E189" s="301"/>
      <c r="F189" s="305"/>
      <c r="G189" s="317">
        <f>SUBTOTAL(9,G175:G188)</f>
      </c>
      <c r="H189" s="316"/>
      <c r="I189" s="302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01"/>
      <c r="AI189" s="301"/>
      <c r="AJ189" s="301"/>
      <c r="AK189" s="301"/>
      <c r="AL189" s="301"/>
      <c r="AM189" s="301"/>
      <c r="AN189" s="301"/>
      <c r="AO189" s="301"/>
      <c r="AP189" s="301"/>
      <c r="AQ189" s="301"/>
      <c r="AR189" s="301"/>
      <c r="AS189" s="301"/>
      <c r="AT189" s="301"/>
      <c r="AU189" s="301"/>
      <c r="AV189" s="301"/>
      <c r="AW189" s="301"/>
      <c r="AX189" s="301"/>
      <c r="AY189" s="301"/>
      <c r="AZ189" s="301"/>
      <c r="BA189" s="301"/>
      <c r="BB189" s="301"/>
      <c r="BC189" s="301"/>
      <c r="BD189" s="301"/>
      <c r="BE189" s="301"/>
      <c r="BF189" s="301"/>
      <c r="BG189" s="301"/>
      <c r="BH189" s="301"/>
      <c r="BI189" s="301"/>
      <c r="BJ189" s="301"/>
      <c r="BK189" s="301"/>
    </row>
    <row r="190" hidden="1" spans="1:63" x14ac:dyDescent="0.25" outlineLevel="1" collapsed="1">
      <c r="A190" s="301"/>
      <c r="B190" s="321"/>
      <c r="C190" s="302"/>
      <c r="D190" s="301"/>
      <c r="E190" s="301"/>
      <c r="F190" s="305"/>
      <c r="G190" s="313"/>
      <c r="H190" s="316"/>
      <c r="I190" s="302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01"/>
      <c r="AI190" s="301"/>
      <c r="AJ190" s="301"/>
      <c r="AK190" s="301"/>
      <c r="AL190" s="301"/>
      <c r="AM190" s="301"/>
      <c r="AN190" s="301"/>
      <c r="AO190" s="301"/>
      <c r="AP190" s="301"/>
      <c r="AQ190" s="301"/>
      <c r="AR190" s="301"/>
      <c r="AS190" s="301"/>
      <c r="AT190" s="301"/>
      <c r="AU190" s="301"/>
      <c r="AV190" s="301"/>
      <c r="AW190" s="301"/>
      <c r="AX190" s="301"/>
      <c r="AY190" s="301"/>
      <c r="AZ190" s="301"/>
      <c r="BA190" s="301"/>
      <c r="BB190" s="301"/>
      <c r="BC190" s="301"/>
      <c r="BD190" s="301"/>
      <c r="BE190" s="301"/>
      <c r="BF190" s="301"/>
      <c r="BG190" s="301"/>
      <c r="BH190" s="301"/>
      <c r="BI190" s="301"/>
      <c r="BJ190" s="301"/>
      <c r="BK190" s="301"/>
    </row>
    <row r="191" ht="15" customHeight="1" spans="1:63" x14ac:dyDescent="0.25" outlineLevel="1" collapsed="1">
      <c r="A191" s="301" t="s">
        <v>107</v>
      </c>
      <c r="B191" s="315"/>
      <c r="C191" s="302">
        <v>12343</v>
      </c>
      <c r="D191" s="301" t="s">
        <v>107</v>
      </c>
      <c r="E191" s="301" t="s">
        <v>385</v>
      </c>
      <c r="F191" s="304" t="s">
        <v>386</v>
      </c>
      <c r="G191" s="313">
        <v>345.35</v>
      </c>
      <c r="H191" s="343" t="s">
        <v>262</v>
      </c>
      <c r="I191" s="302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01"/>
      <c r="AI191" s="301"/>
      <c r="AJ191" s="301"/>
      <c r="AK191" s="301"/>
      <c r="AL191" s="301"/>
      <c r="AM191" s="301"/>
      <c r="AN191" s="301"/>
      <c r="AO191" s="301"/>
      <c r="AP191" s="301"/>
      <c r="AQ191" s="301"/>
      <c r="AR191" s="301"/>
      <c r="AS191" s="301"/>
      <c r="AT191" s="301"/>
      <c r="AU191" s="301"/>
      <c r="AV191" s="301"/>
      <c r="AW191" s="301"/>
      <c r="AX191" s="301"/>
      <c r="AY191" s="301"/>
      <c r="AZ191" s="301"/>
      <c r="BA191" s="301"/>
      <c r="BB191" s="301"/>
      <c r="BC191" s="301"/>
      <c r="BD191" s="301"/>
      <c r="BE191" s="301"/>
      <c r="BF191" s="301"/>
      <c r="BG191" s="301"/>
      <c r="BH191" s="301"/>
      <c r="BI191" s="301"/>
      <c r="BJ191" s="301"/>
      <c r="BK191" s="301"/>
    </row>
    <row r="192" ht="15" customHeight="1" spans="1:63" x14ac:dyDescent="0.25" outlineLevel="1" collapsed="1">
      <c r="A192" s="301" t="s">
        <v>107</v>
      </c>
      <c r="B192" s="315"/>
      <c r="C192" s="302">
        <v>12343</v>
      </c>
      <c r="D192" s="301" t="s">
        <v>107</v>
      </c>
      <c r="E192" s="301" t="s">
        <v>385</v>
      </c>
      <c r="F192" s="304" t="s">
        <v>386</v>
      </c>
      <c r="G192" s="313">
        <v>919.68</v>
      </c>
      <c r="H192" s="343" t="s">
        <v>262</v>
      </c>
      <c r="I192" s="302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01"/>
      <c r="AI192" s="301"/>
      <c r="AJ192" s="301"/>
      <c r="AK192" s="301"/>
      <c r="AL192" s="301"/>
      <c r="AM192" s="301"/>
      <c r="AN192" s="301"/>
      <c r="AO192" s="301"/>
      <c r="AP192" s="301"/>
      <c r="AQ192" s="301"/>
      <c r="AR192" s="301"/>
      <c r="AS192" s="301"/>
      <c r="AT192" s="301"/>
      <c r="AU192" s="301"/>
      <c r="AV192" s="301"/>
      <c r="AW192" s="301"/>
      <c r="AX192" s="301"/>
      <c r="AY192" s="301"/>
      <c r="AZ192" s="301"/>
      <c r="BA192" s="301"/>
      <c r="BB192" s="301"/>
      <c r="BC192" s="301"/>
      <c r="BD192" s="301"/>
      <c r="BE192" s="301"/>
      <c r="BF192" s="301"/>
      <c r="BG192" s="301"/>
      <c r="BH192" s="301"/>
      <c r="BI192" s="301"/>
      <c r="BJ192" s="301"/>
      <c r="BK192" s="301"/>
    </row>
    <row r="193" ht="15" customHeight="1" spans="1:63" x14ac:dyDescent="0.25" outlineLevel="1" collapsed="1">
      <c r="A193" s="301" t="s">
        <v>107</v>
      </c>
      <c r="B193" s="321"/>
      <c r="C193" s="302">
        <v>12343</v>
      </c>
      <c r="D193" s="301" t="s">
        <v>107</v>
      </c>
      <c r="E193" s="301" t="s">
        <v>385</v>
      </c>
      <c r="F193" s="304" t="s">
        <v>386</v>
      </c>
      <c r="G193" s="313">
        <v>2299.19</v>
      </c>
      <c r="H193" s="316" t="s">
        <v>262</v>
      </c>
      <c r="I193" s="302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01"/>
      <c r="AI193" s="301"/>
      <c r="AJ193" s="301"/>
      <c r="AK193" s="301"/>
      <c r="AL193" s="301"/>
      <c r="AM193" s="301"/>
      <c r="AN193" s="301"/>
      <c r="AO193" s="301"/>
      <c r="AP193" s="301"/>
      <c r="AQ193" s="301"/>
      <c r="AR193" s="301"/>
      <c r="AS193" s="301"/>
      <c r="AT193" s="301"/>
      <c r="AU193" s="301"/>
      <c r="AV193" s="301"/>
      <c r="AW193" s="301"/>
      <c r="AX193" s="301"/>
      <c r="AY193" s="301"/>
      <c r="AZ193" s="301"/>
      <c r="BA193" s="301"/>
      <c r="BB193" s="301"/>
      <c r="BC193" s="301"/>
      <c r="BD193" s="301"/>
      <c r="BE193" s="301"/>
      <c r="BF193" s="301"/>
      <c r="BG193" s="301"/>
      <c r="BH193" s="301"/>
      <c r="BI193" s="301"/>
      <c r="BJ193" s="301"/>
      <c r="BK193" s="301"/>
    </row>
    <row r="194" ht="15" customHeight="1" spans="1:63" x14ac:dyDescent="0.25" outlineLevel="1" collapsed="1">
      <c r="A194" s="301" t="s">
        <v>107</v>
      </c>
      <c r="B194" s="321"/>
      <c r="C194" s="302">
        <v>12343</v>
      </c>
      <c r="D194" s="301" t="s">
        <v>107</v>
      </c>
      <c r="E194" s="301" t="s">
        <v>385</v>
      </c>
      <c r="F194" s="304" t="s">
        <v>341</v>
      </c>
      <c r="G194" s="313">
        <v>25608.09</v>
      </c>
      <c r="H194" s="316" t="s">
        <v>285</v>
      </c>
      <c r="I194" s="302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  <c r="AI194" s="301"/>
      <c r="AJ194" s="301"/>
      <c r="AK194" s="301"/>
      <c r="AL194" s="301"/>
      <c r="AM194" s="301"/>
      <c r="AN194" s="301"/>
      <c r="AO194" s="301"/>
      <c r="AP194" s="301"/>
      <c r="AQ194" s="301"/>
      <c r="AR194" s="301"/>
      <c r="AS194" s="301"/>
      <c r="AT194" s="301"/>
      <c r="AU194" s="301"/>
      <c r="AV194" s="301"/>
      <c r="AW194" s="301"/>
      <c r="AX194" s="301"/>
      <c r="AY194" s="301"/>
      <c r="AZ194" s="301"/>
      <c r="BA194" s="301"/>
      <c r="BB194" s="301"/>
      <c r="BC194" s="301"/>
      <c r="BD194" s="301"/>
      <c r="BE194" s="301"/>
      <c r="BF194" s="301"/>
      <c r="BG194" s="301"/>
      <c r="BH194" s="301"/>
      <c r="BI194" s="301"/>
      <c r="BJ194" s="301"/>
      <c r="BK194" s="301"/>
    </row>
    <row r="195" ht="15" customHeight="1" spans="1:63" x14ac:dyDescent="0.25" outlineLevel="1" collapsed="1">
      <c r="A195" s="301" t="s">
        <v>107</v>
      </c>
      <c r="B195" s="321"/>
      <c r="C195" s="302">
        <v>12343</v>
      </c>
      <c r="D195" s="301" t="s">
        <v>107</v>
      </c>
      <c r="E195" s="301" t="s">
        <v>219</v>
      </c>
      <c r="F195" s="304" t="s">
        <v>342</v>
      </c>
      <c r="G195" s="313">
        <v>115935.13</v>
      </c>
      <c r="H195" s="316" t="s">
        <v>285</v>
      </c>
      <c r="I195" s="302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  <c r="AE195" s="301"/>
      <c r="AF195" s="301"/>
      <c r="AG195" s="301"/>
      <c r="AH195" s="301"/>
      <c r="AI195" s="301"/>
      <c r="AJ195" s="301"/>
      <c r="AK195" s="301"/>
      <c r="AL195" s="301"/>
      <c r="AM195" s="301"/>
      <c r="AN195" s="301"/>
      <c r="AO195" s="301"/>
      <c r="AP195" s="301"/>
      <c r="AQ195" s="301"/>
      <c r="AR195" s="301"/>
      <c r="AS195" s="301"/>
      <c r="AT195" s="301"/>
      <c r="AU195" s="301"/>
      <c r="AV195" s="301"/>
      <c r="AW195" s="301"/>
      <c r="AX195" s="301"/>
      <c r="AY195" s="301"/>
      <c r="AZ195" s="301"/>
      <c r="BA195" s="301"/>
      <c r="BB195" s="301"/>
      <c r="BC195" s="301"/>
      <c r="BD195" s="301"/>
      <c r="BE195" s="301"/>
      <c r="BF195" s="301"/>
      <c r="BG195" s="301"/>
      <c r="BH195" s="301"/>
      <c r="BI195" s="301"/>
      <c r="BJ195" s="301"/>
      <c r="BK195" s="301"/>
    </row>
    <row r="196" ht="15" customHeight="1" hidden="1" spans="1:63" x14ac:dyDescent="0.25" outlineLevel="1" collapsed="1">
      <c r="A196" s="301" t="s">
        <v>107</v>
      </c>
      <c r="B196" s="321"/>
      <c r="C196" s="302">
        <v>12343</v>
      </c>
      <c r="D196" s="301" t="s">
        <v>107</v>
      </c>
      <c r="E196" s="301" t="s">
        <v>385</v>
      </c>
      <c r="F196" s="305"/>
      <c r="G196" s="313"/>
      <c r="H196" s="316"/>
      <c r="I196" s="302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  <c r="AE196" s="301"/>
      <c r="AF196" s="301"/>
      <c r="AG196" s="301"/>
      <c r="AH196" s="301"/>
      <c r="AI196" s="301"/>
      <c r="AJ196" s="301"/>
      <c r="AK196" s="301"/>
      <c r="AL196" s="301"/>
      <c r="AM196" s="301"/>
      <c r="AN196" s="301"/>
      <c r="AO196" s="301"/>
      <c r="AP196" s="301"/>
      <c r="AQ196" s="301"/>
      <c r="AR196" s="301"/>
      <c r="AS196" s="301"/>
      <c r="AT196" s="301"/>
      <c r="AU196" s="301"/>
      <c r="AV196" s="301"/>
      <c r="AW196" s="301"/>
      <c r="AX196" s="301"/>
      <c r="AY196" s="301"/>
      <c r="AZ196" s="301"/>
      <c r="BA196" s="301"/>
      <c r="BB196" s="301"/>
      <c r="BC196" s="301"/>
      <c r="BD196" s="301"/>
      <c r="BE196" s="301"/>
      <c r="BF196" s="301"/>
      <c r="BG196" s="301"/>
      <c r="BH196" s="301"/>
      <c r="BI196" s="301"/>
      <c r="BJ196" s="301"/>
      <c r="BK196" s="301"/>
    </row>
    <row r="197" ht="15" customHeight="1" hidden="1" spans="1:63" x14ac:dyDescent="0.25" outlineLevel="1" collapsed="1">
      <c r="A197" s="301" t="s">
        <v>107</v>
      </c>
      <c r="B197" s="321"/>
      <c r="C197" s="302">
        <v>12343</v>
      </c>
      <c r="D197" s="301" t="s">
        <v>107</v>
      </c>
      <c r="E197" s="301" t="s">
        <v>219</v>
      </c>
      <c r="F197" s="305"/>
      <c r="G197" s="313"/>
      <c r="H197" s="316"/>
      <c r="I197" s="302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  <c r="AE197" s="301"/>
      <c r="AF197" s="301"/>
      <c r="AG197" s="301"/>
      <c r="AH197" s="301"/>
      <c r="AI197" s="301"/>
      <c r="AJ197" s="301"/>
      <c r="AK197" s="301"/>
      <c r="AL197" s="301"/>
      <c r="AM197" s="301"/>
      <c r="AN197" s="301"/>
      <c r="AO197" s="301"/>
      <c r="AP197" s="301"/>
      <c r="AQ197" s="301"/>
      <c r="AR197" s="301"/>
      <c r="AS197" s="301"/>
      <c r="AT197" s="301"/>
      <c r="AU197" s="301"/>
      <c r="AV197" s="301"/>
      <c r="AW197" s="301"/>
      <c r="AX197" s="301"/>
      <c r="AY197" s="301"/>
      <c r="AZ197" s="301"/>
      <c r="BA197" s="301"/>
      <c r="BB197" s="301"/>
      <c r="BC197" s="301"/>
      <c r="BD197" s="301"/>
      <c r="BE197" s="301"/>
      <c r="BF197" s="301"/>
      <c r="BG197" s="301"/>
      <c r="BH197" s="301"/>
      <c r="BI197" s="301"/>
      <c r="BJ197" s="301"/>
      <c r="BK197" s="301"/>
    </row>
    <row r="198" hidden="1" spans="1:63" x14ac:dyDescent="0.25" outlineLevel="1" collapsed="1">
      <c r="A198" s="301"/>
      <c r="B198" s="301"/>
      <c r="C198" s="302"/>
      <c r="D198" s="301"/>
      <c r="E198" s="301"/>
      <c r="F198" s="305"/>
      <c r="G198" s="313"/>
      <c r="H198" s="304"/>
      <c r="I198" s="302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  <c r="AE198" s="301"/>
      <c r="AF198" s="301"/>
      <c r="AG198" s="301"/>
      <c r="AH198" s="301"/>
      <c r="AI198" s="301"/>
      <c r="AJ198" s="301"/>
      <c r="AK198" s="301"/>
      <c r="AL198" s="301"/>
      <c r="AM198" s="301"/>
      <c r="AN198" s="301"/>
      <c r="AO198" s="301"/>
      <c r="AP198" s="301"/>
      <c r="AQ198" s="301"/>
      <c r="AR198" s="301"/>
      <c r="AS198" s="301"/>
      <c r="AT198" s="301"/>
      <c r="AU198" s="301"/>
      <c r="AV198" s="301"/>
      <c r="AW198" s="301"/>
      <c r="AX198" s="301"/>
      <c r="AY198" s="301"/>
      <c r="AZ198" s="301"/>
      <c r="BA198" s="301"/>
      <c r="BB198" s="301"/>
      <c r="BC198" s="301"/>
      <c r="BD198" s="301"/>
      <c r="BE198" s="301"/>
      <c r="BF198" s="301"/>
      <c r="BG198" s="301"/>
      <c r="BH198" s="301"/>
      <c r="BI198" s="301"/>
      <c r="BJ198" s="301"/>
      <c r="BK198" s="301"/>
    </row>
    <row r="199" ht="15" customHeight="1" spans="1:63" x14ac:dyDescent="0.25" outlineLevel="1" collapsed="1">
      <c r="A199" s="301"/>
      <c r="B199" s="321"/>
      <c r="C199" s="302"/>
      <c r="D199" s="301" t="s">
        <v>394</v>
      </c>
      <c r="E199" s="301"/>
      <c r="F199" s="305"/>
      <c r="G199" s="317">
        <f>SUBTOTAL(9,G191:G198)</f>
      </c>
      <c r="H199" s="316"/>
      <c r="I199" s="302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  <c r="AE199" s="301"/>
      <c r="AF199" s="301"/>
      <c r="AG199" s="301"/>
      <c r="AH199" s="301"/>
      <c r="AI199" s="301"/>
      <c r="AJ199" s="301"/>
      <c r="AK199" s="301"/>
      <c r="AL199" s="301"/>
      <c r="AM199" s="301"/>
      <c r="AN199" s="301"/>
      <c r="AO199" s="301"/>
      <c r="AP199" s="301"/>
      <c r="AQ199" s="301"/>
      <c r="AR199" s="301"/>
      <c r="AS199" s="301"/>
      <c r="AT199" s="301"/>
      <c r="AU199" s="301"/>
      <c r="AV199" s="301"/>
      <c r="AW199" s="301"/>
      <c r="AX199" s="301"/>
      <c r="AY199" s="301"/>
      <c r="AZ199" s="301"/>
      <c r="BA199" s="301"/>
      <c r="BB199" s="301"/>
      <c r="BC199" s="301"/>
      <c r="BD199" s="301"/>
      <c r="BE199" s="301"/>
      <c r="BF199" s="301"/>
      <c r="BG199" s="301"/>
      <c r="BH199" s="301"/>
      <c r="BI199" s="301"/>
      <c r="BJ199" s="301"/>
      <c r="BK199" s="301"/>
    </row>
    <row r="200" hidden="1" spans="1:63" x14ac:dyDescent="0.25" outlineLevel="1" collapsed="1">
      <c r="A200" s="301"/>
      <c r="B200" s="321"/>
      <c r="C200" s="302"/>
      <c r="D200" s="301"/>
      <c r="E200" s="301"/>
      <c r="F200" s="305"/>
      <c r="G200" s="313"/>
      <c r="H200" s="316"/>
      <c r="I200" s="302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  <c r="AD200" s="301"/>
      <c r="AE200" s="301"/>
      <c r="AF200" s="301"/>
      <c r="AG200" s="301"/>
      <c r="AH200" s="301"/>
      <c r="AI200" s="301"/>
      <c r="AJ200" s="301"/>
      <c r="AK200" s="301"/>
      <c r="AL200" s="301"/>
      <c r="AM200" s="301"/>
      <c r="AN200" s="301"/>
      <c r="AO200" s="301"/>
      <c r="AP200" s="301"/>
      <c r="AQ200" s="301"/>
      <c r="AR200" s="301"/>
      <c r="AS200" s="301"/>
      <c r="AT200" s="301"/>
      <c r="AU200" s="301"/>
      <c r="AV200" s="301"/>
      <c r="AW200" s="301"/>
      <c r="AX200" s="301"/>
      <c r="AY200" s="301"/>
      <c r="AZ200" s="301"/>
      <c r="BA200" s="301"/>
      <c r="BB200" s="301"/>
      <c r="BC200" s="301"/>
      <c r="BD200" s="301"/>
      <c r="BE200" s="301"/>
      <c r="BF200" s="301"/>
      <c r="BG200" s="301"/>
      <c r="BH200" s="301"/>
      <c r="BI200" s="301"/>
      <c r="BJ200" s="301"/>
      <c r="BK200" s="301"/>
    </row>
    <row r="201" ht="15" customHeight="1" hidden="1" spans="1:63" x14ac:dyDescent="0.25" outlineLevel="1" collapsed="1">
      <c r="A201" s="301" t="s">
        <v>320</v>
      </c>
      <c r="B201" s="321"/>
      <c r="C201" s="302">
        <v>12310</v>
      </c>
      <c r="D201" s="301" t="s">
        <v>110</v>
      </c>
      <c r="E201" s="301"/>
      <c r="F201" s="305"/>
      <c r="G201" s="313"/>
      <c r="H201" s="316"/>
      <c r="I201" s="302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  <c r="AE201" s="301"/>
      <c r="AF201" s="301"/>
      <c r="AG201" s="301"/>
      <c r="AH201" s="301"/>
      <c r="AI201" s="301"/>
      <c r="AJ201" s="301"/>
      <c r="AK201" s="301"/>
      <c r="AL201" s="301"/>
      <c r="AM201" s="301"/>
      <c r="AN201" s="301"/>
      <c r="AO201" s="301"/>
      <c r="AP201" s="301"/>
      <c r="AQ201" s="301"/>
      <c r="AR201" s="301"/>
      <c r="AS201" s="301"/>
      <c r="AT201" s="301"/>
      <c r="AU201" s="301"/>
      <c r="AV201" s="301"/>
      <c r="AW201" s="301"/>
      <c r="AX201" s="301"/>
      <c r="AY201" s="301"/>
      <c r="AZ201" s="301"/>
      <c r="BA201" s="301"/>
      <c r="BB201" s="301"/>
      <c r="BC201" s="301"/>
      <c r="BD201" s="301"/>
      <c r="BE201" s="301"/>
      <c r="BF201" s="301"/>
      <c r="BG201" s="301"/>
      <c r="BH201" s="301"/>
      <c r="BI201" s="301"/>
      <c r="BJ201" s="301"/>
      <c r="BK201" s="301"/>
    </row>
    <row r="202" ht="15" customHeight="1" hidden="1" spans="1:63" x14ac:dyDescent="0.25" outlineLevel="1" collapsed="1">
      <c r="A202" s="301" t="s">
        <v>320</v>
      </c>
      <c r="B202" s="321"/>
      <c r="C202" s="302">
        <v>12310</v>
      </c>
      <c r="D202" s="301" t="s">
        <v>110</v>
      </c>
      <c r="E202" s="301"/>
      <c r="F202" s="305"/>
      <c r="G202" s="313"/>
      <c r="H202" s="316"/>
      <c r="I202" s="302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  <c r="AE202" s="301"/>
      <c r="AF202" s="301"/>
      <c r="AG202" s="301"/>
      <c r="AH202" s="301"/>
      <c r="AI202" s="301"/>
      <c r="AJ202" s="301"/>
      <c r="AK202" s="301"/>
      <c r="AL202" s="301"/>
      <c r="AM202" s="301"/>
      <c r="AN202" s="301"/>
      <c r="AO202" s="301"/>
      <c r="AP202" s="301"/>
      <c r="AQ202" s="301"/>
      <c r="AR202" s="301"/>
      <c r="AS202" s="301"/>
      <c r="AT202" s="301"/>
      <c r="AU202" s="301"/>
      <c r="AV202" s="301"/>
      <c r="AW202" s="301"/>
      <c r="AX202" s="301"/>
      <c r="AY202" s="301"/>
      <c r="AZ202" s="301"/>
      <c r="BA202" s="301"/>
      <c r="BB202" s="301"/>
      <c r="BC202" s="301"/>
      <c r="BD202" s="301"/>
      <c r="BE202" s="301"/>
      <c r="BF202" s="301"/>
      <c r="BG202" s="301"/>
      <c r="BH202" s="301"/>
      <c r="BI202" s="301"/>
      <c r="BJ202" s="301"/>
      <c r="BK202" s="301"/>
    </row>
    <row r="203" hidden="1" spans="1:63" x14ac:dyDescent="0.25" outlineLevel="1" collapsed="1">
      <c r="A203" s="301"/>
      <c r="B203" s="321"/>
      <c r="C203" s="302"/>
      <c r="D203" s="301"/>
      <c r="E203" s="301"/>
      <c r="F203" s="305"/>
      <c r="G203" s="313"/>
      <c r="H203" s="316"/>
      <c r="I203" s="302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  <c r="AE203" s="301"/>
      <c r="AF203" s="301"/>
      <c r="AG203" s="301"/>
      <c r="AH203" s="301"/>
      <c r="AI203" s="301"/>
      <c r="AJ203" s="301"/>
      <c r="AK203" s="301"/>
      <c r="AL203" s="301"/>
      <c r="AM203" s="301"/>
      <c r="AN203" s="301"/>
      <c r="AO203" s="301"/>
      <c r="AP203" s="301"/>
      <c r="AQ203" s="301"/>
      <c r="AR203" s="301"/>
      <c r="AS203" s="301"/>
      <c r="AT203" s="301"/>
      <c r="AU203" s="301"/>
      <c r="AV203" s="301"/>
      <c r="AW203" s="301"/>
      <c r="AX203" s="301"/>
      <c r="AY203" s="301"/>
      <c r="AZ203" s="301"/>
      <c r="BA203" s="301"/>
      <c r="BB203" s="301"/>
      <c r="BC203" s="301"/>
      <c r="BD203" s="301"/>
      <c r="BE203" s="301"/>
      <c r="BF203" s="301"/>
      <c r="BG203" s="301"/>
      <c r="BH203" s="301"/>
      <c r="BI203" s="301"/>
      <c r="BJ203" s="301"/>
      <c r="BK203" s="301"/>
    </row>
    <row r="204" ht="15" customHeight="1" hidden="1" spans="1:63" x14ac:dyDescent="0.25" outlineLevel="1" collapsed="1">
      <c r="A204" s="301"/>
      <c r="B204" s="321"/>
      <c r="C204" s="302"/>
      <c r="D204" s="301" t="s">
        <v>395</v>
      </c>
      <c r="E204" s="301"/>
      <c r="F204" s="305"/>
      <c r="G204" s="317">
        <f>SUBTOTAL(9,G201:G203)</f>
      </c>
      <c r="H204" s="316"/>
      <c r="I204" s="302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  <c r="AE204" s="301"/>
      <c r="AF204" s="301"/>
      <c r="AG204" s="301"/>
      <c r="AH204" s="301"/>
      <c r="AI204" s="301"/>
      <c r="AJ204" s="301"/>
      <c r="AK204" s="301"/>
      <c r="AL204" s="301"/>
      <c r="AM204" s="301"/>
      <c r="AN204" s="301"/>
      <c r="AO204" s="301"/>
      <c r="AP204" s="301"/>
      <c r="AQ204" s="301"/>
      <c r="AR204" s="301"/>
      <c r="AS204" s="301"/>
      <c r="AT204" s="301"/>
      <c r="AU204" s="301"/>
      <c r="AV204" s="301"/>
      <c r="AW204" s="301"/>
      <c r="AX204" s="301"/>
      <c r="AY204" s="301"/>
      <c r="AZ204" s="301"/>
      <c r="BA204" s="301"/>
      <c r="BB204" s="301"/>
      <c r="BC204" s="301"/>
      <c r="BD204" s="301"/>
      <c r="BE204" s="301"/>
      <c r="BF204" s="301"/>
      <c r="BG204" s="301"/>
      <c r="BH204" s="301"/>
      <c r="BI204" s="301"/>
      <c r="BJ204" s="301"/>
      <c r="BK204" s="301"/>
    </row>
    <row r="205" hidden="1" spans="1:63" x14ac:dyDescent="0.25" outlineLevel="1" collapsed="1">
      <c r="A205" s="301"/>
      <c r="B205" s="321"/>
      <c r="C205" s="302"/>
      <c r="D205" s="301"/>
      <c r="E205" s="301"/>
      <c r="F205" s="305"/>
      <c r="G205" s="313"/>
      <c r="H205" s="316"/>
      <c r="I205" s="302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  <c r="AE205" s="301"/>
      <c r="AF205" s="301"/>
      <c r="AG205" s="301"/>
      <c r="AH205" s="301"/>
      <c r="AI205" s="301"/>
      <c r="AJ205" s="301"/>
      <c r="AK205" s="301"/>
      <c r="AL205" s="301"/>
      <c r="AM205" s="301"/>
      <c r="AN205" s="301"/>
      <c r="AO205" s="301"/>
      <c r="AP205" s="301"/>
      <c r="AQ205" s="301"/>
      <c r="AR205" s="301"/>
      <c r="AS205" s="301"/>
      <c r="AT205" s="301"/>
      <c r="AU205" s="301"/>
      <c r="AV205" s="301"/>
      <c r="AW205" s="301"/>
      <c r="AX205" s="301"/>
      <c r="AY205" s="301"/>
      <c r="AZ205" s="301"/>
      <c r="BA205" s="301"/>
      <c r="BB205" s="301"/>
      <c r="BC205" s="301"/>
      <c r="BD205" s="301"/>
      <c r="BE205" s="301"/>
      <c r="BF205" s="301"/>
      <c r="BG205" s="301"/>
      <c r="BH205" s="301"/>
      <c r="BI205" s="301"/>
      <c r="BJ205" s="301"/>
      <c r="BK205" s="301"/>
    </row>
    <row r="206" ht="15" customHeight="1" hidden="1" spans="1:63" x14ac:dyDescent="0.25" outlineLevel="1" collapsed="1">
      <c r="A206" s="301" t="s">
        <v>396</v>
      </c>
      <c r="B206" s="321"/>
      <c r="C206" s="302">
        <v>12381</v>
      </c>
      <c r="D206" s="301" t="s">
        <v>135</v>
      </c>
      <c r="E206" s="301"/>
      <c r="F206" s="305"/>
      <c r="G206" s="313"/>
      <c r="H206" s="316"/>
      <c r="I206" s="302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  <c r="AE206" s="301"/>
      <c r="AF206" s="301"/>
      <c r="AG206" s="301"/>
      <c r="AH206" s="301"/>
      <c r="AI206" s="301"/>
      <c r="AJ206" s="301"/>
      <c r="AK206" s="301"/>
      <c r="AL206" s="301"/>
      <c r="AM206" s="301"/>
      <c r="AN206" s="301"/>
      <c r="AO206" s="301"/>
      <c r="AP206" s="301"/>
      <c r="AQ206" s="301"/>
      <c r="AR206" s="301"/>
      <c r="AS206" s="301"/>
      <c r="AT206" s="301"/>
      <c r="AU206" s="301"/>
      <c r="AV206" s="301"/>
      <c r="AW206" s="301"/>
      <c r="AX206" s="301"/>
      <c r="AY206" s="301"/>
      <c r="AZ206" s="301"/>
      <c r="BA206" s="301"/>
      <c r="BB206" s="301"/>
      <c r="BC206" s="301"/>
      <c r="BD206" s="301"/>
      <c r="BE206" s="301"/>
      <c r="BF206" s="301"/>
      <c r="BG206" s="301"/>
      <c r="BH206" s="301"/>
      <c r="BI206" s="301"/>
      <c r="BJ206" s="301"/>
      <c r="BK206" s="301"/>
    </row>
    <row r="207" hidden="1" spans="1:63" x14ac:dyDescent="0.25" outlineLevel="1" collapsed="1">
      <c r="A207" s="301"/>
      <c r="B207" s="321"/>
      <c r="C207" s="302"/>
      <c r="D207" s="301"/>
      <c r="E207" s="301"/>
      <c r="F207" s="305"/>
      <c r="G207" s="313"/>
      <c r="H207" s="316"/>
      <c r="I207" s="302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1"/>
      <c r="AE207" s="301"/>
      <c r="AF207" s="301"/>
      <c r="AG207" s="301"/>
      <c r="AH207" s="301"/>
      <c r="AI207" s="301"/>
      <c r="AJ207" s="301"/>
      <c r="AK207" s="301"/>
      <c r="AL207" s="301"/>
      <c r="AM207" s="301"/>
      <c r="AN207" s="301"/>
      <c r="AO207" s="301"/>
      <c r="AP207" s="301"/>
      <c r="AQ207" s="301"/>
      <c r="AR207" s="301"/>
      <c r="AS207" s="301"/>
      <c r="AT207" s="301"/>
      <c r="AU207" s="301"/>
      <c r="AV207" s="301"/>
      <c r="AW207" s="301"/>
      <c r="AX207" s="301"/>
      <c r="AY207" s="301"/>
      <c r="AZ207" s="301"/>
      <c r="BA207" s="301"/>
      <c r="BB207" s="301"/>
      <c r="BC207" s="301"/>
      <c r="BD207" s="301"/>
      <c r="BE207" s="301"/>
      <c r="BF207" s="301"/>
      <c r="BG207" s="301"/>
      <c r="BH207" s="301"/>
      <c r="BI207" s="301"/>
      <c r="BJ207" s="301"/>
      <c r="BK207" s="301"/>
    </row>
    <row r="208" ht="15" customHeight="1" hidden="1" spans="1:63" x14ac:dyDescent="0.25">
      <c r="A208" s="301"/>
      <c r="B208" s="321"/>
      <c r="C208" s="302"/>
      <c r="D208" s="301" t="s">
        <v>397</v>
      </c>
      <c r="E208" s="301"/>
      <c r="F208" s="305"/>
      <c r="G208" s="317">
        <f>SUBTOTAL(9,G206:G207)</f>
      </c>
      <c r="H208" s="316"/>
      <c r="I208" s="302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  <c r="AD208" s="301"/>
      <c r="AE208" s="301"/>
      <c r="AF208" s="301"/>
      <c r="AG208" s="301"/>
      <c r="AH208" s="301"/>
      <c r="AI208" s="301"/>
      <c r="AJ208" s="301"/>
      <c r="AK208" s="301"/>
      <c r="AL208" s="301"/>
      <c r="AM208" s="301"/>
      <c r="AN208" s="301"/>
      <c r="AO208" s="301"/>
      <c r="AP208" s="301"/>
      <c r="AQ208" s="301"/>
      <c r="AR208" s="301"/>
      <c r="AS208" s="301"/>
      <c r="AT208" s="301"/>
      <c r="AU208" s="301"/>
      <c r="AV208" s="301"/>
      <c r="AW208" s="301"/>
      <c r="AX208" s="301"/>
      <c r="AY208" s="301"/>
      <c r="AZ208" s="301"/>
      <c r="BA208" s="301"/>
      <c r="BB208" s="301"/>
      <c r="BC208" s="301"/>
      <c r="BD208" s="301"/>
      <c r="BE208" s="301"/>
      <c r="BF208" s="301"/>
      <c r="BG208" s="301"/>
      <c r="BH208" s="301"/>
      <c r="BI208" s="301"/>
      <c r="BJ208" s="301"/>
      <c r="BK208" s="301"/>
    </row>
    <row r="209" hidden="1" spans="1:63" x14ac:dyDescent="0.25">
      <c r="A209" s="301"/>
      <c r="B209" s="315"/>
      <c r="C209" s="326"/>
      <c r="D209" s="301"/>
      <c r="E209" s="301"/>
      <c r="F209" s="331"/>
      <c r="G209" s="318"/>
      <c r="H209" s="316"/>
      <c r="I209" s="302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1"/>
      <c r="AG209" s="301"/>
      <c r="AH209" s="301"/>
      <c r="AI209" s="301"/>
      <c r="AJ209" s="301"/>
      <c r="AK209" s="301"/>
      <c r="AL209" s="301"/>
      <c r="AM209" s="301"/>
      <c r="AN209" s="301"/>
      <c r="AO209" s="301"/>
      <c r="AP209" s="301"/>
      <c r="AQ209" s="301"/>
      <c r="AR209" s="301"/>
      <c r="AS209" s="301"/>
      <c r="AT209" s="301"/>
      <c r="AU209" s="301"/>
      <c r="AV209" s="301"/>
      <c r="AW209" s="301"/>
      <c r="AX209" s="301"/>
      <c r="AY209" s="301"/>
      <c r="AZ209" s="301"/>
      <c r="BA209" s="301"/>
      <c r="BB209" s="301"/>
      <c r="BC209" s="301"/>
      <c r="BD209" s="301"/>
      <c r="BE209" s="301"/>
      <c r="BF209" s="301"/>
      <c r="BG209" s="301"/>
      <c r="BH209" s="301"/>
      <c r="BI209" s="301"/>
      <c r="BJ209" s="301"/>
      <c r="BK209" s="301"/>
    </row>
    <row r="210" ht="15" customHeight="1" hidden="1" spans="1:63" x14ac:dyDescent="0.25">
      <c r="A210" s="301" t="s">
        <v>320</v>
      </c>
      <c r="B210" s="315"/>
      <c r="C210" s="326">
        <v>12385</v>
      </c>
      <c r="D210" s="301" t="s">
        <v>124</v>
      </c>
      <c r="E210" s="301"/>
      <c r="F210" s="331"/>
      <c r="G210" s="318"/>
      <c r="H210" s="316"/>
      <c r="I210" s="302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1"/>
      <c r="AE210" s="301"/>
      <c r="AF210" s="301"/>
      <c r="AG210" s="301"/>
      <c r="AH210" s="301"/>
      <c r="AI210" s="301"/>
      <c r="AJ210" s="301"/>
      <c r="AK210" s="301"/>
      <c r="AL210" s="301"/>
      <c r="AM210" s="301"/>
      <c r="AN210" s="301"/>
      <c r="AO210" s="301"/>
      <c r="AP210" s="301"/>
      <c r="AQ210" s="301"/>
      <c r="AR210" s="301"/>
      <c r="AS210" s="301"/>
      <c r="AT210" s="301"/>
      <c r="AU210" s="301"/>
      <c r="AV210" s="301"/>
      <c r="AW210" s="301"/>
      <c r="AX210" s="301"/>
      <c r="AY210" s="301"/>
      <c r="AZ210" s="301"/>
      <c r="BA210" s="301"/>
      <c r="BB210" s="301"/>
      <c r="BC210" s="301"/>
      <c r="BD210" s="301"/>
      <c r="BE210" s="301"/>
      <c r="BF210" s="301"/>
      <c r="BG210" s="301"/>
      <c r="BH210" s="301"/>
      <c r="BI210" s="301"/>
      <c r="BJ210" s="301"/>
      <c r="BK210" s="301"/>
    </row>
    <row r="211" ht="15" customHeight="1" hidden="1" spans="1:63" x14ac:dyDescent="0.25">
      <c r="A211" s="301" t="s">
        <v>320</v>
      </c>
      <c r="B211" s="315"/>
      <c r="C211" s="302">
        <v>12385</v>
      </c>
      <c r="D211" s="301" t="s">
        <v>124</v>
      </c>
      <c r="E211" s="301"/>
      <c r="F211" s="305"/>
      <c r="G211" s="313"/>
      <c r="H211" s="316"/>
      <c r="I211" s="302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  <c r="AC211" s="301"/>
      <c r="AD211" s="301"/>
      <c r="AE211" s="301"/>
      <c r="AF211" s="301"/>
      <c r="AG211" s="301"/>
      <c r="AH211" s="301"/>
      <c r="AI211" s="301"/>
      <c r="AJ211" s="301"/>
      <c r="AK211" s="301"/>
      <c r="AL211" s="301"/>
      <c r="AM211" s="301"/>
      <c r="AN211" s="301"/>
      <c r="AO211" s="301"/>
      <c r="AP211" s="301"/>
      <c r="AQ211" s="301"/>
      <c r="AR211" s="301"/>
      <c r="AS211" s="301"/>
      <c r="AT211" s="301"/>
      <c r="AU211" s="301"/>
      <c r="AV211" s="301"/>
      <c r="AW211" s="301"/>
      <c r="AX211" s="301"/>
      <c r="AY211" s="301"/>
      <c r="AZ211" s="301"/>
      <c r="BA211" s="301"/>
      <c r="BB211" s="301"/>
      <c r="BC211" s="301"/>
      <c r="BD211" s="301"/>
      <c r="BE211" s="301"/>
      <c r="BF211" s="301"/>
      <c r="BG211" s="301"/>
      <c r="BH211" s="301"/>
      <c r="BI211" s="301"/>
      <c r="BJ211" s="301"/>
      <c r="BK211" s="301"/>
    </row>
    <row r="212" hidden="1" spans="1:63" x14ac:dyDescent="0.25">
      <c r="A212" s="301"/>
      <c r="B212" s="315"/>
      <c r="C212" s="302"/>
      <c r="D212" s="301"/>
      <c r="E212" s="301"/>
      <c r="F212" s="305"/>
      <c r="G212" s="313"/>
      <c r="H212" s="316"/>
      <c r="I212" s="302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  <c r="AD212" s="301"/>
      <c r="AE212" s="301"/>
      <c r="AF212" s="301"/>
      <c r="AG212" s="301"/>
      <c r="AH212" s="301"/>
      <c r="AI212" s="301"/>
      <c r="AJ212" s="301"/>
      <c r="AK212" s="301"/>
      <c r="AL212" s="301"/>
      <c r="AM212" s="301"/>
      <c r="AN212" s="301"/>
      <c r="AO212" s="301"/>
      <c r="AP212" s="301"/>
      <c r="AQ212" s="301"/>
      <c r="AR212" s="301"/>
      <c r="AS212" s="301"/>
      <c r="AT212" s="301"/>
      <c r="AU212" s="301"/>
      <c r="AV212" s="301"/>
      <c r="AW212" s="301"/>
      <c r="AX212" s="301"/>
      <c r="AY212" s="301"/>
      <c r="AZ212" s="301"/>
      <c r="BA212" s="301"/>
      <c r="BB212" s="301"/>
      <c r="BC212" s="301"/>
      <c r="BD212" s="301"/>
      <c r="BE212" s="301"/>
      <c r="BF212" s="301"/>
      <c r="BG212" s="301"/>
      <c r="BH212" s="301"/>
      <c r="BI212" s="301"/>
      <c r="BJ212" s="301"/>
      <c r="BK212" s="301"/>
    </row>
    <row r="213" ht="15" customHeight="1" hidden="1" spans="1:63" x14ac:dyDescent="0.25" outlineLevel="1" collapsed="1">
      <c r="A213" s="301"/>
      <c r="B213" s="321"/>
      <c r="C213" s="302"/>
      <c r="D213" s="301" t="s">
        <v>398</v>
      </c>
      <c r="E213" s="301"/>
      <c r="F213" s="305"/>
      <c r="G213" s="317">
        <f>SUBTOTAL(9,G210:G212)</f>
      </c>
      <c r="H213" s="316"/>
      <c r="I213" s="302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1"/>
      <c r="AE213" s="301"/>
      <c r="AF213" s="301"/>
      <c r="AG213" s="301"/>
      <c r="AH213" s="301"/>
      <c r="AI213" s="301"/>
      <c r="AJ213" s="301"/>
      <c r="AK213" s="301"/>
      <c r="AL213" s="301"/>
      <c r="AM213" s="301"/>
      <c r="AN213" s="301"/>
      <c r="AO213" s="301"/>
      <c r="AP213" s="301"/>
      <c r="AQ213" s="301"/>
      <c r="AR213" s="301"/>
      <c r="AS213" s="301"/>
      <c r="AT213" s="301"/>
      <c r="AU213" s="301"/>
      <c r="AV213" s="301"/>
      <c r="AW213" s="301"/>
      <c r="AX213" s="301"/>
      <c r="AY213" s="301"/>
      <c r="AZ213" s="301"/>
      <c r="BA213" s="301"/>
      <c r="BB213" s="301"/>
      <c r="BC213" s="301"/>
      <c r="BD213" s="301"/>
      <c r="BE213" s="301"/>
      <c r="BF213" s="301"/>
      <c r="BG213" s="301"/>
      <c r="BH213" s="301"/>
      <c r="BI213" s="301"/>
      <c r="BJ213" s="301"/>
      <c r="BK213" s="301"/>
    </row>
    <row r="214" hidden="1" spans="1:63" s="307" customFormat="1" x14ac:dyDescent="0.25" outlineLevel="1" collapsed="1">
      <c r="A214" s="301"/>
      <c r="B214" s="321"/>
      <c r="C214" s="302"/>
      <c r="D214" s="301"/>
      <c r="E214" s="304"/>
      <c r="F214" s="304"/>
      <c r="G214" s="313"/>
      <c r="H214" s="316"/>
      <c r="I214" s="302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7"/>
      <c r="AA214" s="307"/>
      <c r="AB214" s="307"/>
      <c r="AC214" s="307"/>
      <c r="AD214" s="307"/>
      <c r="AE214" s="307"/>
      <c r="AF214" s="307"/>
      <c r="AG214" s="307"/>
      <c r="AH214" s="307"/>
      <c r="AI214" s="307"/>
      <c r="AJ214" s="307"/>
      <c r="AK214" s="307"/>
      <c r="AL214" s="307"/>
      <c r="AM214" s="307"/>
      <c r="AN214" s="307"/>
      <c r="AO214" s="307"/>
      <c r="AP214" s="307"/>
      <c r="AQ214" s="307"/>
      <c r="AR214" s="307"/>
      <c r="AS214" s="307"/>
      <c r="AT214" s="307"/>
      <c r="AU214" s="307"/>
      <c r="AV214" s="307"/>
      <c r="AW214" s="307"/>
      <c r="AX214" s="307"/>
      <c r="AY214" s="307"/>
      <c r="AZ214" s="307"/>
      <c r="BA214" s="307"/>
      <c r="BB214" s="307"/>
      <c r="BC214" s="307"/>
      <c r="BD214" s="307"/>
      <c r="BE214" s="307"/>
      <c r="BF214" s="307"/>
      <c r="BG214" s="307"/>
      <c r="BH214" s="307"/>
      <c r="BI214" s="307"/>
      <c r="BJ214" s="307"/>
      <c r="BK214" s="307"/>
    </row>
    <row r="215" ht="15" customHeight="1" hidden="1" spans="1:63" s="307" customFormat="1" x14ac:dyDescent="0.25" outlineLevel="1" collapsed="1">
      <c r="A215" s="301" t="s">
        <v>320</v>
      </c>
      <c r="B215" s="321"/>
      <c r="C215" s="302">
        <v>12410</v>
      </c>
      <c r="D215" s="301" t="s">
        <v>399</v>
      </c>
      <c r="E215" s="304"/>
      <c r="F215" s="304"/>
      <c r="G215" s="313"/>
      <c r="H215" s="316"/>
      <c r="I215" s="302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7"/>
      <c r="AA215" s="307"/>
      <c r="AB215" s="307"/>
      <c r="AC215" s="307"/>
      <c r="AD215" s="307"/>
      <c r="AE215" s="307"/>
      <c r="AF215" s="307"/>
      <c r="AG215" s="307"/>
      <c r="AH215" s="307"/>
      <c r="AI215" s="307"/>
      <c r="AJ215" s="307"/>
      <c r="AK215" s="307"/>
      <c r="AL215" s="307"/>
      <c r="AM215" s="307"/>
      <c r="AN215" s="307"/>
      <c r="AO215" s="307"/>
      <c r="AP215" s="307"/>
      <c r="AQ215" s="307"/>
      <c r="AR215" s="307"/>
      <c r="AS215" s="307"/>
      <c r="AT215" s="307"/>
      <c r="AU215" s="307"/>
      <c r="AV215" s="307"/>
      <c r="AW215" s="307"/>
      <c r="AX215" s="307"/>
      <c r="AY215" s="307"/>
      <c r="AZ215" s="307"/>
      <c r="BA215" s="307"/>
      <c r="BB215" s="307"/>
      <c r="BC215" s="307"/>
      <c r="BD215" s="307"/>
      <c r="BE215" s="307"/>
      <c r="BF215" s="307"/>
      <c r="BG215" s="307"/>
      <c r="BH215" s="307"/>
      <c r="BI215" s="307"/>
      <c r="BJ215" s="307"/>
      <c r="BK215" s="307"/>
    </row>
    <row r="216" ht="15" customHeight="1" hidden="1" spans="1:63" s="307" customFormat="1" x14ac:dyDescent="0.25" outlineLevel="1" collapsed="1">
      <c r="A216" s="301" t="s">
        <v>320</v>
      </c>
      <c r="B216" s="315"/>
      <c r="C216" s="302">
        <v>12410</v>
      </c>
      <c r="D216" s="301" t="s">
        <v>399</v>
      </c>
      <c r="E216" s="301"/>
      <c r="F216" s="304"/>
      <c r="G216" s="313"/>
      <c r="H216" s="316"/>
      <c r="I216" s="302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7"/>
      <c r="AA216" s="307"/>
      <c r="AB216" s="307"/>
      <c r="AC216" s="307"/>
      <c r="AD216" s="307"/>
      <c r="AE216" s="307"/>
      <c r="AF216" s="307"/>
      <c r="AG216" s="307"/>
      <c r="AH216" s="307"/>
      <c r="AI216" s="307"/>
      <c r="AJ216" s="307"/>
      <c r="AK216" s="307"/>
      <c r="AL216" s="307"/>
      <c r="AM216" s="307"/>
      <c r="AN216" s="307"/>
      <c r="AO216" s="307"/>
      <c r="AP216" s="307"/>
      <c r="AQ216" s="307"/>
      <c r="AR216" s="307"/>
      <c r="AS216" s="307"/>
      <c r="AT216" s="307"/>
      <c r="AU216" s="307"/>
      <c r="AV216" s="307"/>
      <c r="AW216" s="307"/>
      <c r="AX216" s="307"/>
      <c r="AY216" s="307"/>
      <c r="AZ216" s="307"/>
      <c r="BA216" s="307"/>
      <c r="BB216" s="307"/>
      <c r="BC216" s="307"/>
      <c r="BD216" s="307"/>
      <c r="BE216" s="307"/>
      <c r="BF216" s="307"/>
      <c r="BG216" s="307"/>
      <c r="BH216" s="307"/>
      <c r="BI216" s="307"/>
      <c r="BJ216" s="307"/>
      <c r="BK216" s="307"/>
    </row>
    <row r="217" ht="15" customHeight="1" hidden="1" spans="1:63" s="307" customFormat="1" x14ac:dyDescent="0.25" outlineLevel="1" collapsed="1">
      <c r="A217" s="301" t="s">
        <v>320</v>
      </c>
      <c r="B217" s="315"/>
      <c r="C217" s="302">
        <v>12410</v>
      </c>
      <c r="D217" s="301" t="s">
        <v>399</v>
      </c>
      <c r="E217" s="301"/>
      <c r="F217" s="304"/>
      <c r="G217" s="313"/>
      <c r="H217" s="316"/>
      <c r="I217" s="302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7"/>
      <c r="AA217" s="307"/>
      <c r="AB217" s="307"/>
      <c r="AC217" s="307"/>
      <c r="AD217" s="307"/>
      <c r="AE217" s="307"/>
      <c r="AF217" s="307"/>
      <c r="AG217" s="307"/>
      <c r="AH217" s="307"/>
      <c r="AI217" s="307"/>
      <c r="AJ217" s="307"/>
      <c r="AK217" s="307"/>
      <c r="AL217" s="307"/>
      <c r="AM217" s="307"/>
      <c r="AN217" s="307"/>
      <c r="AO217" s="307"/>
      <c r="AP217" s="307"/>
      <c r="AQ217" s="307"/>
      <c r="AR217" s="307"/>
      <c r="AS217" s="307"/>
      <c r="AT217" s="307"/>
      <c r="AU217" s="307"/>
      <c r="AV217" s="307"/>
      <c r="AW217" s="307"/>
      <c r="AX217" s="307"/>
      <c r="AY217" s="307"/>
      <c r="AZ217" s="307"/>
      <c r="BA217" s="307"/>
      <c r="BB217" s="307"/>
      <c r="BC217" s="307"/>
      <c r="BD217" s="307"/>
      <c r="BE217" s="307"/>
      <c r="BF217" s="307"/>
      <c r="BG217" s="307"/>
      <c r="BH217" s="307"/>
      <c r="BI217" s="307"/>
      <c r="BJ217" s="307"/>
      <c r="BK217" s="307"/>
    </row>
    <row r="218" hidden="1" spans="1:63" s="307" customFormat="1" x14ac:dyDescent="0.25">
      <c r="A218" s="301"/>
      <c r="B218" s="315"/>
      <c r="C218" s="302"/>
      <c r="D218" s="301"/>
      <c r="E218" s="301"/>
      <c r="F218" s="304"/>
      <c r="G218" s="313"/>
      <c r="H218" s="316"/>
      <c r="I218" s="302"/>
      <c r="J218" s="301"/>
      <c r="K218" s="301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  <c r="AG218" s="307"/>
      <c r="AH218" s="307"/>
      <c r="AI218" s="307"/>
      <c r="AJ218" s="307"/>
      <c r="AK218" s="307"/>
      <c r="AL218" s="307"/>
      <c r="AM218" s="307"/>
      <c r="AN218" s="307"/>
      <c r="AO218" s="307"/>
      <c r="AP218" s="307"/>
      <c r="AQ218" s="307"/>
      <c r="AR218" s="307"/>
      <c r="AS218" s="307"/>
      <c r="AT218" s="307"/>
      <c r="AU218" s="307"/>
      <c r="AV218" s="307"/>
      <c r="AW218" s="307"/>
      <c r="AX218" s="307"/>
      <c r="AY218" s="307"/>
      <c r="AZ218" s="307"/>
      <c r="BA218" s="307"/>
      <c r="BB218" s="307"/>
      <c r="BC218" s="307"/>
      <c r="BD218" s="307"/>
      <c r="BE218" s="307"/>
      <c r="BF218" s="307"/>
      <c r="BG218" s="307"/>
      <c r="BH218" s="307"/>
      <c r="BI218" s="307"/>
      <c r="BJ218" s="307"/>
      <c r="BK218" s="307"/>
    </row>
    <row r="219" ht="15" customHeight="1" hidden="1" spans="1:63" s="307" customFormat="1" x14ac:dyDescent="0.25">
      <c r="A219" s="301"/>
      <c r="B219" s="315"/>
      <c r="C219" s="302"/>
      <c r="D219" s="301" t="s">
        <v>400</v>
      </c>
      <c r="E219" s="301"/>
      <c r="F219" s="304"/>
      <c r="G219" s="317">
        <f>SUBTOTAL(9,G215:G218)</f>
      </c>
      <c r="H219" s="316"/>
      <c r="I219" s="302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7"/>
      <c r="AA219" s="307"/>
      <c r="AB219" s="307"/>
      <c r="AC219" s="307"/>
      <c r="AD219" s="307"/>
      <c r="AE219" s="307"/>
      <c r="AF219" s="307"/>
      <c r="AG219" s="307"/>
      <c r="AH219" s="307"/>
      <c r="AI219" s="307"/>
      <c r="AJ219" s="307"/>
      <c r="AK219" s="307"/>
      <c r="AL219" s="307"/>
      <c r="AM219" s="307"/>
      <c r="AN219" s="307"/>
      <c r="AO219" s="307"/>
      <c r="AP219" s="307"/>
      <c r="AQ219" s="307"/>
      <c r="AR219" s="307"/>
      <c r="AS219" s="307"/>
      <c r="AT219" s="307"/>
      <c r="AU219" s="307"/>
      <c r="AV219" s="307"/>
      <c r="AW219" s="307"/>
      <c r="AX219" s="307"/>
      <c r="AY219" s="307"/>
      <c r="AZ219" s="307"/>
      <c r="BA219" s="307"/>
      <c r="BB219" s="307"/>
      <c r="BC219" s="307"/>
      <c r="BD219" s="307"/>
      <c r="BE219" s="307"/>
      <c r="BF219" s="307"/>
      <c r="BG219" s="307"/>
      <c r="BH219" s="307"/>
      <c r="BI219" s="307"/>
      <c r="BJ219" s="307"/>
      <c r="BK219" s="307"/>
    </row>
    <row r="220" hidden="1" spans="1:63" s="307" customFormat="1" x14ac:dyDescent="0.25">
      <c r="A220" s="301"/>
      <c r="B220" s="315"/>
      <c r="C220" s="302"/>
      <c r="D220" s="301"/>
      <c r="E220" s="301"/>
      <c r="F220" s="304"/>
      <c r="G220" s="313"/>
      <c r="H220" s="316"/>
      <c r="I220" s="302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7"/>
      <c r="AA220" s="307"/>
      <c r="AB220" s="307"/>
      <c r="AC220" s="307"/>
      <c r="AD220" s="307"/>
      <c r="AE220" s="307"/>
      <c r="AF220" s="307"/>
      <c r="AG220" s="307"/>
      <c r="AH220" s="307"/>
      <c r="AI220" s="307"/>
      <c r="AJ220" s="307"/>
      <c r="AK220" s="307"/>
      <c r="AL220" s="307"/>
      <c r="AM220" s="307"/>
      <c r="AN220" s="307"/>
      <c r="AO220" s="307"/>
      <c r="AP220" s="307"/>
      <c r="AQ220" s="307"/>
      <c r="AR220" s="307"/>
      <c r="AS220" s="307"/>
      <c r="AT220" s="307"/>
      <c r="AU220" s="307"/>
      <c r="AV220" s="307"/>
      <c r="AW220" s="307"/>
      <c r="AX220" s="307"/>
      <c r="AY220" s="307"/>
      <c r="AZ220" s="307"/>
      <c r="BA220" s="307"/>
      <c r="BB220" s="307"/>
      <c r="BC220" s="307"/>
      <c r="BD220" s="307"/>
      <c r="BE220" s="307"/>
      <c r="BF220" s="307"/>
      <c r="BG220" s="307"/>
      <c r="BH220" s="307"/>
      <c r="BI220" s="307"/>
      <c r="BJ220" s="307"/>
      <c r="BK220" s="307"/>
    </row>
    <row r="221" ht="15" customHeight="1" hidden="1" spans="1:63" s="307" customFormat="1" x14ac:dyDescent="0.25">
      <c r="A221" s="301" t="s">
        <v>320</v>
      </c>
      <c r="B221" s="315"/>
      <c r="C221" s="302">
        <v>12421</v>
      </c>
      <c r="D221" s="301" t="s">
        <v>126</v>
      </c>
      <c r="E221" s="301"/>
      <c r="F221" s="304"/>
      <c r="G221" s="313"/>
      <c r="H221" s="316"/>
      <c r="I221" s="302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7"/>
      <c r="AA221" s="307"/>
      <c r="AB221" s="307"/>
      <c r="AC221" s="307"/>
      <c r="AD221" s="307"/>
      <c r="AE221" s="307"/>
      <c r="AF221" s="307"/>
      <c r="AG221" s="307"/>
      <c r="AH221" s="307"/>
      <c r="AI221" s="307"/>
      <c r="AJ221" s="307"/>
      <c r="AK221" s="307"/>
      <c r="AL221" s="307"/>
      <c r="AM221" s="307"/>
      <c r="AN221" s="307"/>
      <c r="AO221" s="307"/>
      <c r="AP221" s="307"/>
      <c r="AQ221" s="307"/>
      <c r="AR221" s="307"/>
      <c r="AS221" s="307"/>
      <c r="AT221" s="307"/>
      <c r="AU221" s="307"/>
      <c r="AV221" s="307"/>
      <c r="AW221" s="307"/>
      <c r="AX221" s="307"/>
      <c r="AY221" s="307"/>
      <c r="AZ221" s="307"/>
      <c r="BA221" s="307"/>
      <c r="BB221" s="307"/>
      <c r="BC221" s="307"/>
      <c r="BD221" s="307"/>
      <c r="BE221" s="307"/>
      <c r="BF221" s="307"/>
      <c r="BG221" s="307"/>
      <c r="BH221" s="307"/>
      <c r="BI221" s="307"/>
      <c r="BJ221" s="307"/>
      <c r="BK221" s="307"/>
    </row>
    <row r="222" ht="15" customHeight="1" hidden="1" spans="1:63" s="307" customFormat="1" x14ac:dyDescent="0.25">
      <c r="A222" s="301" t="s">
        <v>320</v>
      </c>
      <c r="B222" s="315"/>
      <c r="C222" s="302">
        <v>12421</v>
      </c>
      <c r="D222" s="301" t="s">
        <v>126</v>
      </c>
      <c r="E222" s="301"/>
      <c r="F222" s="304"/>
      <c r="G222" s="313"/>
      <c r="H222" s="316"/>
      <c r="I222" s="302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7"/>
      <c r="AA222" s="307"/>
      <c r="AB222" s="307"/>
      <c r="AC222" s="307"/>
      <c r="AD222" s="307"/>
      <c r="AE222" s="307"/>
      <c r="AF222" s="307"/>
      <c r="AG222" s="307"/>
      <c r="AH222" s="307"/>
      <c r="AI222" s="307"/>
      <c r="AJ222" s="307"/>
      <c r="AK222" s="307"/>
      <c r="AL222" s="307"/>
      <c r="AM222" s="307"/>
      <c r="AN222" s="307"/>
      <c r="AO222" s="307"/>
      <c r="AP222" s="307"/>
      <c r="AQ222" s="307"/>
      <c r="AR222" s="307"/>
      <c r="AS222" s="307"/>
      <c r="AT222" s="307"/>
      <c r="AU222" s="307"/>
      <c r="AV222" s="307"/>
      <c r="AW222" s="307"/>
      <c r="AX222" s="307"/>
      <c r="AY222" s="307"/>
      <c r="AZ222" s="307"/>
      <c r="BA222" s="307"/>
      <c r="BB222" s="307"/>
      <c r="BC222" s="307"/>
      <c r="BD222" s="307"/>
      <c r="BE222" s="307"/>
      <c r="BF222" s="307"/>
      <c r="BG222" s="307"/>
      <c r="BH222" s="307"/>
      <c r="BI222" s="307"/>
      <c r="BJ222" s="307"/>
      <c r="BK222" s="307"/>
    </row>
    <row r="223" ht="15" customHeight="1" hidden="1" spans="1:63" s="307" customFormat="1" x14ac:dyDescent="0.25">
      <c r="A223" s="301" t="s">
        <v>320</v>
      </c>
      <c r="B223" s="315"/>
      <c r="C223" s="302">
        <v>12421</v>
      </c>
      <c r="D223" s="301" t="s">
        <v>126</v>
      </c>
      <c r="E223" s="301"/>
      <c r="F223" s="304"/>
      <c r="G223" s="313"/>
      <c r="H223" s="316"/>
      <c r="I223" s="302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7"/>
      <c r="AA223" s="307"/>
      <c r="AB223" s="307"/>
      <c r="AC223" s="307"/>
      <c r="AD223" s="307"/>
      <c r="AE223" s="307"/>
      <c r="AF223" s="307"/>
      <c r="AG223" s="307"/>
      <c r="AH223" s="307"/>
      <c r="AI223" s="307"/>
      <c r="AJ223" s="307"/>
      <c r="AK223" s="307"/>
      <c r="AL223" s="307"/>
      <c r="AM223" s="307"/>
      <c r="AN223" s="307"/>
      <c r="AO223" s="307"/>
      <c r="AP223" s="307"/>
      <c r="AQ223" s="307"/>
      <c r="AR223" s="307"/>
      <c r="AS223" s="307"/>
      <c r="AT223" s="307"/>
      <c r="AU223" s="307"/>
      <c r="AV223" s="307"/>
      <c r="AW223" s="307"/>
      <c r="AX223" s="307"/>
      <c r="AY223" s="307"/>
      <c r="AZ223" s="307"/>
      <c r="BA223" s="307"/>
      <c r="BB223" s="307"/>
      <c r="BC223" s="307"/>
      <c r="BD223" s="307"/>
      <c r="BE223" s="307"/>
      <c r="BF223" s="307"/>
      <c r="BG223" s="307"/>
      <c r="BH223" s="307"/>
      <c r="BI223" s="307"/>
      <c r="BJ223" s="307"/>
      <c r="BK223" s="307"/>
    </row>
    <row r="224" hidden="1" spans="1:63" s="307" customFormat="1" x14ac:dyDescent="0.25">
      <c r="A224" s="301"/>
      <c r="B224" s="315"/>
      <c r="C224" s="302"/>
      <c r="D224" s="301"/>
      <c r="E224" s="301"/>
      <c r="F224" s="304"/>
      <c r="G224" s="313"/>
      <c r="H224" s="316"/>
      <c r="I224" s="302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7"/>
      <c r="AA224" s="307"/>
      <c r="AB224" s="307"/>
      <c r="AC224" s="307"/>
      <c r="AD224" s="307"/>
      <c r="AE224" s="307"/>
      <c r="AF224" s="307"/>
      <c r="AG224" s="307"/>
      <c r="AH224" s="307"/>
      <c r="AI224" s="307"/>
      <c r="AJ224" s="307"/>
      <c r="AK224" s="307"/>
      <c r="AL224" s="307"/>
      <c r="AM224" s="307"/>
      <c r="AN224" s="307"/>
      <c r="AO224" s="307"/>
      <c r="AP224" s="307"/>
      <c r="AQ224" s="307"/>
      <c r="AR224" s="307"/>
      <c r="AS224" s="307"/>
      <c r="AT224" s="307"/>
      <c r="AU224" s="307"/>
      <c r="AV224" s="307"/>
      <c r="AW224" s="307"/>
      <c r="AX224" s="307"/>
      <c r="AY224" s="307"/>
      <c r="AZ224" s="307"/>
      <c r="BA224" s="307"/>
      <c r="BB224" s="307"/>
      <c r="BC224" s="307"/>
      <c r="BD224" s="307"/>
      <c r="BE224" s="307"/>
      <c r="BF224" s="307"/>
      <c r="BG224" s="307"/>
      <c r="BH224" s="307"/>
      <c r="BI224" s="307"/>
      <c r="BJ224" s="307"/>
      <c r="BK224" s="307"/>
    </row>
    <row r="225" ht="15" customHeight="1" hidden="1" spans="1:63" s="307" customFormat="1" x14ac:dyDescent="0.25">
      <c r="A225" s="301"/>
      <c r="B225" s="315"/>
      <c r="C225" s="302"/>
      <c r="D225" s="301" t="s">
        <v>401</v>
      </c>
      <c r="E225" s="301"/>
      <c r="F225" s="304"/>
      <c r="G225" s="317">
        <f>SUBTOTAL(9,G221:G224)</f>
      </c>
      <c r="H225" s="316"/>
      <c r="I225" s="302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7"/>
      <c r="AA225" s="307"/>
      <c r="AB225" s="307"/>
      <c r="AC225" s="307"/>
      <c r="AD225" s="307"/>
      <c r="AE225" s="307"/>
      <c r="AF225" s="307"/>
      <c r="AG225" s="307"/>
      <c r="AH225" s="307"/>
      <c r="AI225" s="307"/>
      <c r="AJ225" s="307"/>
      <c r="AK225" s="307"/>
      <c r="AL225" s="307"/>
      <c r="AM225" s="307"/>
      <c r="AN225" s="307"/>
      <c r="AO225" s="307"/>
      <c r="AP225" s="307"/>
      <c r="AQ225" s="307"/>
      <c r="AR225" s="307"/>
      <c r="AS225" s="307"/>
      <c r="AT225" s="307"/>
      <c r="AU225" s="307"/>
      <c r="AV225" s="307"/>
      <c r="AW225" s="307"/>
      <c r="AX225" s="307"/>
      <c r="AY225" s="307"/>
      <c r="AZ225" s="307"/>
      <c r="BA225" s="307"/>
      <c r="BB225" s="307"/>
      <c r="BC225" s="307"/>
      <c r="BD225" s="307"/>
      <c r="BE225" s="307"/>
      <c r="BF225" s="307"/>
      <c r="BG225" s="307"/>
      <c r="BH225" s="307"/>
      <c r="BI225" s="307"/>
      <c r="BJ225" s="307"/>
      <c r="BK225" s="307"/>
    </row>
    <row r="226" hidden="1" spans="1:63" s="307" customFormat="1" x14ac:dyDescent="0.25">
      <c r="A226" s="301"/>
      <c r="B226" s="315"/>
      <c r="C226" s="302"/>
      <c r="D226" s="301"/>
      <c r="E226" s="301"/>
      <c r="F226" s="304"/>
      <c r="G226" s="313"/>
      <c r="H226" s="316"/>
      <c r="I226" s="302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7"/>
      <c r="AA226" s="307"/>
      <c r="AB226" s="307"/>
      <c r="AC226" s="307"/>
      <c r="AD226" s="307"/>
      <c r="AE226" s="307"/>
      <c r="AF226" s="307"/>
      <c r="AG226" s="307"/>
      <c r="AH226" s="307"/>
      <c r="AI226" s="307"/>
      <c r="AJ226" s="307"/>
      <c r="AK226" s="307"/>
      <c r="AL226" s="307"/>
      <c r="AM226" s="307"/>
      <c r="AN226" s="307"/>
      <c r="AO226" s="307"/>
      <c r="AP226" s="307"/>
      <c r="AQ226" s="307"/>
      <c r="AR226" s="307"/>
      <c r="AS226" s="307"/>
      <c r="AT226" s="307"/>
      <c r="AU226" s="307"/>
      <c r="AV226" s="307"/>
      <c r="AW226" s="307"/>
      <c r="AX226" s="307"/>
      <c r="AY226" s="307"/>
      <c r="AZ226" s="307"/>
      <c r="BA226" s="307"/>
      <c r="BB226" s="307"/>
      <c r="BC226" s="307"/>
      <c r="BD226" s="307"/>
      <c r="BE226" s="307"/>
      <c r="BF226" s="307"/>
      <c r="BG226" s="307"/>
      <c r="BH226" s="307"/>
      <c r="BI226" s="307"/>
      <c r="BJ226" s="307"/>
      <c r="BK226" s="307"/>
    </row>
    <row r="227" ht="15" customHeight="1" spans="1:63" s="307" customFormat="1" x14ac:dyDescent="0.25">
      <c r="A227" s="301" t="s">
        <v>151</v>
      </c>
      <c r="B227" s="315"/>
      <c r="C227" s="302">
        <v>12594</v>
      </c>
      <c r="D227" s="301" t="s">
        <v>151</v>
      </c>
      <c r="E227" s="301" t="s">
        <v>402</v>
      </c>
      <c r="F227" s="304" t="s">
        <v>403</v>
      </c>
      <c r="G227" s="313">
        <v>135836.41</v>
      </c>
      <c r="H227" s="316" t="s">
        <v>262</v>
      </c>
      <c r="I227" s="302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7"/>
      <c r="AA227" s="307"/>
      <c r="AB227" s="307"/>
      <c r="AC227" s="307"/>
      <c r="AD227" s="307"/>
      <c r="AE227" s="307"/>
      <c r="AF227" s="307"/>
      <c r="AG227" s="307"/>
      <c r="AH227" s="307"/>
      <c r="AI227" s="307"/>
      <c r="AJ227" s="307"/>
      <c r="AK227" s="307"/>
      <c r="AL227" s="307"/>
      <c r="AM227" s="307"/>
      <c r="AN227" s="307"/>
      <c r="AO227" s="307"/>
      <c r="AP227" s="307"/>
      <c r="AQ227" s="307"/>
      <c r="AR227" s="307"/>
      <c r="AS227" s="307"/>
      <c r="AT227" s="307"/>
      <c r="AU227" s="307"/>
      <c r="AV227" s="307"/>
      <c r="AW227" s="307"/>
      <c r="AX227" s="307"/>
      <c r="AY227" s="307"/>
      <c r="AZ227" s="307"/>
      <c r="BA227" s="307"/>
      <c r="BB227" s="307"/>
      <c r="BC227" s="307"/>
      <c r="BD227" s="307"/>
      <c r="BE227" s="307"/>
      <c r="BF227" s="307"/>
      <c r="BG227" s="307"/>
      <c r="BH227" s="307"/>
      <c r="BI227" s="307"/>
      <c r="BJ227" s="307"/>
      <c r="BK227" s="307"/>
    </row>
    <row r="228" ht="15" customHeight="1" spans="1:63" s="307" customFormat="1" x14ac:dyDescent="0.25">
      <c r="A228" s="74" t="s">
        <v>151</v>
      </c>
      <c r="B228" s="74"/>
      <c r="C228" s="334">
        <v>12594</v>
      </c>
      <c r="D228" s="74" t="s">
        <v>151</v>
      </c>
      <c r="E228" s="74" t="s">
        <v>404</v>
      </c>
      <c r="F228" s="324" t="s">
        <v>405</v>
      </c>
      <c r="G228" s="313">
        <v>781350.43</v>
      </c>
      <c r="H228" s="305" t="s">
        <v>262</v>
      </c>
      <c r="I228" s="302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7"/>
      <c r="AA228" s="307"/>
      <c r="AB228" s="307"/>
      <c r="AC228" s="307"/>
      <c r="AD228" s="307"/>
      <c r="AE228" s="307"/>
      <c r="AF228" s="307"/>
      <c r="AG228" s="307"/>
      <c r="AH228" s="307"/>
      <c r="AI228" s="307"/>
      <c r="AJ228" s="307"/>
      <c r="AK228" s="307"/>
      <c r="AL228" s="307"/>
      <c r="AM228" s="307"/>
      <c r="AN228" s="307"/>
      <c r="AO228" s="307"/>
      <c r="AP228" s="307"/>
      <c r="AQ228" s="307"/>
      <c r="AR228" s="307"/>
      <c r="AS228" s="307"/>
      <c r="AT228" s="307"/>
      <c r="AU228" s="307"/>
      <c r="AV228" s="307"/>
      <c r="AW228" s="307"/>
      <c r="AX228" s="307"/>
      <c r="AY228" s="307"/>
      <c r="AZ228" s="307"/>
      <c r="BA228" s="307"/>
      <c r="BB228" s="307"/>
      <c r="BC228" s="307"/>
      <c r="BD228" s="307"/>
      <c r="BE228" s="307"/>
      <c r="BF228" s="307"/>
      <c r="BG228" s="307"/>
      <c r="BH228" s="307"/>
      <c r="BI228" s="307"/>
      <c r="BJ228" s="307"/>
      <c r="BK228" s="307"/>
    </row>
    <row r="229" ht="15" customHeight="1" hidden="1" spans="1:63" s="307" customFormat="1" x14ac:dyDescent="0.25">
      <c r="A229" s="74" t="s">
        <v>151</v>
      </c>
      <c r="B229" s="74"/>
      <c r="C229" s="334">
        <v>12594</v>
      </c>
      <c r="D229" s="301" t="s">
        <v>151</v>
      </c>
      <c r="E229" s="74" t="s">
        <v>402</v>
      </c>
      <c r="F229" s="324"/>
      <c r="G229" s="313"/>
      <c r="H229" s="305"/>
      <c r="I229" s="302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7"/>
      <c r="AA229" s="307"/>
      <c r="AB229" s="307"/>
      <c r="AC229" s="307"/>
      <c r="AD229" s="307"/>
      <c r="AE229" s="307"/>
      <c r="AF229" s="307"/>
      <c r="AG229" s="307"/>
      <c r="AH229" s="307"/>
      <c r="AI229" s="307"/>
      <c r="AJ229" s="307"/>
      <c r="AK229" s="307"/>
      <c r="AL229" s="307"/>
      <c r="AM229" s="307"/>
      <c r="AN229" s="307"/>
      <c r="AO229" s="307"/>
      <c r="AP229" s="307"/>
      <c r="AQ229" s="307"/>
      <c r="AR229" s="307"/>
      <c r="AS229" s="307"/>
      <c r="AT229" s="307"/>
      <c r="AU229" s="307"/>
      <c r="AV229" s="307"/>
      <c r="AW229" s="307"/>
      <c r="AX229" s="307"/>
      <c r="AY229" s="307"/>
      <c r="AZ229" s="307"/>
      <c r="BA229" s="307"/>
      <c r="BB229" s="307"/>
      <c r="BC229" s="307"/>
      <c r="BD229" s="307"/>
      <c r="BE229" s="307"/>
      <c r="BF229" s="307"/>
      <c r="BG229" s="307"/>
      <c r="BH229" s="307"/>
      <c r="BI229" s="307"/>
      <c r="BJ229" s="307"/>
      <c r="BK229" s="307"/>
    </row>
    <row r="230" ht="15" customHeight="1" hidden="1" spans="1:63" s="307" customFormat="1" x14ac:dyDescent="0.25">
      <c r="A230" s="74" t="s">
        <v>151</v>
      </c>
      <c r="B230" s="74"/>
      <c r="C230" s="334">
        <v>12594</v>
      </c>
      <c r="D230" s="301" t="s">
        <v>151</v>
      </c>
      <c r="E230" s="74" t="s">
        <v>404</v>
      </c>
      <c r="F230" s="324"/>
      <c r="G230" s="313"/>
      <c r="H230" s="305"/>
      <c r="I230" s="302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7"/>
      <c r="AA230" s="307"/>
      <c r="AB230" s="307"/>
      <c r="AC230" s="307"/>
      <c r="AD230" s="307"/>
      <c r="AE230" s="307"/>
      <c r="AF230" s="307"/>
      <c r="AG230" s="307"/>
      <c r="AH230" s="307"/>
      <c r="AI230" s="307"/>
      <c r="AJ230" s="307"/>
      <c r="AK230" s="307"/>
      <c r="AL230" s="307"/>
      <c r="AM230" s="307"/>
      <c r="AN230" s="307"/>
      <c r="AO230" s="307"/>
      <c r="AP230" s="307"/>
      <c r="AQ230" s="307"/>
      <c r="AR230" s="307"/>
      <c r="AS230" s="307"/>
      <c r="AT230" s="307"/>
      <c r="AU230" s="307"/>
      <c r="AV230" s="307"/>
      <c r="AW230" s="307"/>
      <c r="AX230" s="307"/>
      <c r="AY230" s="307"/>
      <c r="AZ230" s="307"/>
      <c r="BA230" s="307"/>
      <c r="BB230" s="307"/>
      <c r="BC230" s="307"/>
      <c r="BD230" s="307"/>
      <c r="BE230" s="307"/>
      <c r="BF230" s="307"/>
      <c r="BG230" s="307"/>
      <c r="BH230" s="307"/>
      <c r="BI230" s="307"/>
      <c r="BJ230" s="307"/>
      <c r="BK230" s="307"/>
    </row>
    <row r="231" hidden="1" spans="1:63" s="307" customFormat="1" x14ac:dyDescent="0.25">
      <c r="A231" s="301"/>
      <c r="B231" s="315"/>
      <c r="C231" s="302"/>
      <c r="D231" s="301"/>
      <c r="E231" s="301"/>
      <c r="F231" s="304"/>
      <c r="G231" s="313"/>
      <c r="H231" s="343"/>
      <c r="I231" s="302"/>
      <c r="J231" s="301"/>
      <c r="K231" s="301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307"/>
      <c r="AC231" s="307"/>
      <c r="AD231" s="307"/>
      <c r="AE231" s="307"/>
      <c r="AF231" s="307"/>
      <c r="AG231" s="307"/>
      <c r="AH231" s="307"/>
      <c r="AI231" s="307"/>
      <c r="AJ231" s="307"/>
      <c r="AK231" s="307"/>
      <c r="AL231" s="307"/>
      <c r="AM231" s="307"/>
      <c r="AN231" s="307"/>
      <c r="AO231" s="307"/>
      <c r="AP231" s="307"/>
      <c r="AQ231" s="307"/>
      <c r="AR231" s="307"/>
      <c r="AS231" s="307"/>
      <c r="AT231" s="307"/>
      <c r="AU231" s="307"/>
      <c r="AV231" s="307"/>
      <c r="AW231" s="307"/>
      <c r="AX231" s="307"/>
      <c r="AY231" s="307"/>
      <c r="AZ231" s="307"/>
      <c r="BA231" s="307"/>
      <c r="BB231" s="307"/>
      <c r="BC231" s="307"/>
      <c r="BD231" s="307"/>
      <c r="BE231" s="307"/>
      <c r="BF231" s="307"/>
      <c r="BG231" s="307"/>
      <c r="BH231" s="307"/>
      <c r="BI231" s="307"/>
      <c r="BJ231" s="307"/>
      <c r="BK231" s="307"/>
    </row>
    <row r="232" ht="15" customHeight="1" spans="1:63" s="307" customFormat="1" x14ac:dyDescent="0.25">
      <c r="A232" s="301"/>
      <c r="B232" s="315"/>
      <c r="C232" s="302"/>
      <c r="D232" s="301" t="s">
        <v>231</v>
      </c>
      <c r="E232" s="301"/>
      <c r="F232" s="304"/>
      <c r="G232" s="317">
        <f>SUBTOTAL(9,G227:G231)</f>
      </c>
      <c r="H232" s="343"/>
      <c r="I232" s="302"/>
      <c r="J232" s="301"/>
      <c r="K232" s="348"/>
      <c r="L232" s="349">
        <v>15059922.7</v>
      </c>
      <c r="M232" s="299" t="b">
        <f>ROUND(G232,2)=ROUND(L232,2)</f>
        <v>0</v>
      </c>
      <c r="N232" s="350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307"/>
      <c r="AC232" s="307"/>
      <c r="AD232" s="307"/>
      <c r="AE232" s="307"/>
      <c r="AF232" s="307"/>
      <c r="AG232" s="307"/>
      <c r="AH232" s="307"/>
      <c r="AI232" s="307"/>
      <c r="AJ232" s="307"/>
      <c r="AK232" s="307"/>
      <c r="AL232" s="307"/>
      <c r="AM232" s="307"/>
      <c r="AN232" s="307"/>
      <c r="AO232" s="307"/>
      <c r="AP232" s="307"/>
      <c r="AQ232" s="307"/>
      <c r="AR232" s="307"/>
      <c r="AS232" s="307"/>
      <c r="AT232" s="307"/>
      <c r="AU232" s="307"/>
      <c r="AV232" s="307"/>
      <c r="AW232" s="307"/>
      <c r="AX232" s="307"/>
      <c r="AY232" s="307"/>
      <c r="AZ232" s="307"/>
      <c r="BA232" s="307"/>
      <c r="BB232" s="307"/>
      <c r="BC232" s="307"/>
      <c r="BD232" s="307"/>
      <c r="BE232" s="307"/>
      <c r="BF232" s="307"/>
      <c r="BG232" s="307"/>
      <c r="BH232" s="307"/>
      <c r="BI232" s="307"/>
      <c r="BJ232" s="307"/>
      <c r="BK232" s="307"/>
    </row>
    <row r="233" ht="14.4" customHeight="1" hidden="1" spans="1:63" s="307" customFormat="1" x14ac:dyDescent="0.25">
      <c r="A233" s="301"/>
      <c r="B233" s="315"/>
      <c r="C233" s="302"/>
      <c r="D233" s="301"/>
      <c r="E233" s="301"/>
      <c r="F233" s="304"/>
      <c r="G233" s="313"/>
      <c r="H233" s="343"/>
      <c r="I233" s="302"/>
      <c r="J233" s="301"/>
      <c r="K233" s="301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307"/>
      <c r="AC233" s="307"/>
      <c r="AD233" s="307"/>
      <c r="AE233" s="307"/>
      <c r="AF233" s="307"/>
      <c r="AG233" s="307"/>
      <c r="AH233" s="307"/>
      <c r="AI233" s="307"/>
      <c r="AJ233" s="307"/>
      <c r="AK233" s="307"/>
      <c r="AL233" s="307"/>
      <c r="AM233" s="307"/>
      <c r="AN233" s="307"/>
      <c r="AO233" s="307"/>
      <c r="AP233" s="307"/>
      <c r="AQ233" s="307"/>
      <c r="AR233" s="307"/>
      <c r="AS233" s="307"/>
      <c r="AT233" s="307"/>
      <c r="AU233" s="307"/>
      <c r="AV233" s="307"/>
      <c r="AW233" s="307"/>
      <c r="AX233" s="307"/>
      <c r="AY233" s="307"/>
      <c r="AZ233" s="307"/>
      <c r="BA233" s="307"/>
      <c r="BB233" s="307"/>
      <c r="BC233" s="307"/>
      <c r="BD233" s="307"/>
      <c r="BE233" s="307"/>
      <c r="BF233" s="307"/>
      <c r="BG233" s="307"/>
      <c r="BH233" s="307"/>
      <c r="BI233" s="307"/>
      <c r="BJ233" s="307"/>
      <c r="BK233" s="307"/>
    </row>
    <row r="234" ht="15" customHeight="1" hidden="1" spans="1:63" s="307" customFormat="1" x14ac:dyDescent="0.25">
      <c r="A234" s="301" t="s">
        <v>396</v>
      </c>
      <c r="B234" s="315"/>
      <c r="C234" s="302">
        <v>12720</v>
      </c>
      <c r="D234" s="301" t="s">
        <v>134</v>
      </c>
      <c r="E234" s="301"/>
      <c r="F234" s="304"/>
      <c r="G234" s="313"/>
      <c r="H234" s="343"/>
      <c r="I234" s="302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7"/>
      <c r="AA234" s="307"/>
      <c r="AB234" s="307"/>
      <c r="AC234" s="307"/>
      <c r="AD234" s="307"/>
      <c r="AE234" s="307"/>
      <c r="AF234" s="307"/>
      <c r="AG234" s="307"/>
      <c r="AH234" s="307"/>
      <c r="AI234" s="307"/>
      <c r="AJ234" s="307"/>
      <c r="AK234" s="307"/>
      <c r="AL234" s="307"/>
      <c r="AM234" s="307"/>
      <c r="AN234" s="307"/>
      <c r="AO234" s="307"/>
      <c r="AP234" s="307"/>
      <c r="AQ234" s="307"/>
      <c r="AR234" s="307"/>
      <c r="AS234" s="307"/>
      <c r="AT234" s="307"/>
      <c r="AU234" s="307"/>
      <c r="AV234" s="307"/>
      <c r="AW234" s="307"/>
      <c r="AX234" s="307"/>
      <c r="AY234" s="307"/>
      <c r="AZ234" s="307"/>
      <c r="BA234" s="307"/>
      <c r="BB234" s="307"/>
      <c r="BC234" s="307"/>
      <c r="BD234" s="307"/>
      <c r="BE234" s="307"/>
      <c r="BF234" s="307"/>
      <c r="BG234" s="307"/>
      <c r="BH234" s="307"/>
      <c r="BI234" s="307"/>
      <c r="BJ234" s="307"/>
      <c r="BK234" s="307"/>
    </row>
    <row r="235" ht="15" customHeight="1" hidden="1" spans="1:63" s="307" customFormat="1" x14ac:dyDescent="0.25">
      <c r="A235" s="301" t="s">
        <v>396</v>
      </c>
      <c r="B235" s="315"/>
      <c r="C235" s="302">
        <v>12720</v>
      </c>
      <c r="D235" s="301" t="s">
        <v>134</v>
      </c>
      <c r="E235" s="301"/>
      <c r="F235" s="304"/>
      <c r="G235" s="313"/>
      <c r="H235" s="343"/>
      <c r="I235" s="302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7"/>
      <c r="AA235" s="307"/>
      <c r="AB235" s="307"/>
      <c r="AC235" s="307"/>
      <c r="AD235" s="307"/>
      <c r="AE235" s="307"/>
      <c r="AF235" s="307"/>
      <c r="AG235" s="307"/>
      <c r="AH235" s="307"/>
      <c r="AI235" s="307"/>
      <c r="AJ235" s="307"/>
      <c r="AK235" s="307"/>
      <c r="AL235" s="307"/>
      <c r="AM235" s="307"/>
      <c r="AN235" s="307"/>
      <c r="AO235" s="307"/>
      <c r="AP235" s="307"/>
      <c r="AQ235" s="307"/>
      <c r="AR235" s="307"/>
      <c r="AS235" s="307"/>
      <c r="AT235" s="307"/>
      <c r="AU235" s="307"/>
      <c r="AV235" s="307"/>
      <c r="AW235" s="307"/>
      <c r="AX235" s="307"/>
      <c r="AY235" s="307"/>
      <c r="AZ235" s="307"/>
      <c r="BA235" s="307"/>
      <c r="BB235" s="307"/>
      <c r="BC235" s="307"/>
      <c r="BD235" s="307"/>
      <c r="BE235" s="307"/>
      <c r="BF235" s="307"/>
      <c r="BG235" s="307"/>
      <c r="BH235" s="307"/>
      <c r="BI235" s="307"/>
      <c r="BJ235" s="307"/>
      <c r="BK235" s="307"/>
    </row>
    <row r="236" hidden="1" spans="1:63" s="307" customFormat="1" x14ac:dyDescent="0.25">
      <c r="A236" s="301"/>
      <c r="B236" s="315"/>
      <c r="C236" s="302"/>
      <c r="D236" s="301"/>
      <c r="E236" s="301"/>
      <c r="F236" s="304"/>
      <c r="G236" s="313"/>
      <c r="H236" s="343"/>
      <c r="I236" s="302"/>
      <c r="J236" s="301"/>
      <c r="K236" s="301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307"/>
      <c r="AC236" s="307"/>
      <c r="AD236" s="307"/>
      <c r="AE236" s="307"/>
      <c r="AF236" s="307"/>
      <c r="AG236" s="307"/>
      <c r="AH236" s="307"/>
      <c r="AI236" s="307"/>
      <c r="AJ236" s="307"/>
      <c r="AK236" s="307"/>
      <c r="AL236" s="307"/>
      <c r="AM236" s="307"/>
      <c r="AN236" s="307"/>
      <c r="AO236" s="307"/>
      <c r="AP236" s="307"/>
      <c r="AQ236" s="307"/>
      <c r="AR236" s="307"/>
      <c r="AS236" s="307"/>
      <c r="AT236" s="307"/>
      <c r="AU236" s="307"/>
      <c r="AV236" s="307"/>
      <c r="AW236" s="307"/>
      <c r="AX236" s="307"/>
      <c r="AY236" s="307"/>
      <c r="AZ236" s="307"/>
      <c r="BA236" s="307"/>
      <c r="BB236" s="307"/>
      <c r="BC236" s="307"/>
      <c r="BD236" s="307"/>
      <c r="BE236" s="307"/>
      <c r="BF236" s="307"/>
      <c r="BG236" s="307"/>
      <c r="BH236" s="307"/>
      <c r="BI236" s="307"/>
      <c r="BJ236" s="307"/>
      <c r="BK236" s="307"/>
    </row>
    <row r="237" ht="15" customHeight="1" hidden="1" spans="1:63" s="307" customFormat="1" x14ac:dyDescent="0.25">
      <c r="A237" s="301"/>
      <c r="B237" s="315"/>
      <c r="C237" s="302"/>
      <c r="D237" s="301" t="s">
        <v>406</v>
      </c>
      <c r="E237" s="301"/>
      <c r="F237" s="304"/>
      <c r="G237" s="317">
        <f>SUBTOTAL(9,G234:G236)</f>
      </c>
      <c r="H237" s="343"/>
      <c r="I237" s="302"/>
      <c r="J237" s="301"/>
      <c r="K237" s="301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307"/>
      <c r="AC237" s="307"/>
      <c r="AD237" s="307"/>
      <c r="AE237" s="307"/>
      <c r="AF237" s="307"/>
      <c r="AG237" s="307"/>
      <c r="AH237" s="307"/>
      <c r="AI237" s="307"/>
      <c r="AJ237" s="307"/>
      <c r="AK237" s="307"/>
      <c r="AL237" s="307"/>
      <c r="AM237" s="307"/>
      <c r="AN237" s="307"/>
      <c r="AO237" s="307"/>
      <c r="AP237" s="307"/>
      <c r="AQ237" s="307"/>
      <c r="AR237" s="307"/>
      <c r="AS237" s="307"/>
      <c r="AT237" s="307"/>
      <c r="AU237" s="307"/>
      <c r="AV237" s="307"/>
      <c r="AW237" s="307"/>
      <c r="AX237" s="307"/>
      <c r="AY237" s="307"/>
      <c r="AZ237" s="307"/>
      <c r="BA237" s="307"/>
      <c r="BB237" s="307"/>
      <c r="BC237" s="307"/>
      <c r="BD237" s="307"/>
      <c r="BE237" s="307"/>
      <c r="BF237" s="307"/>
      <c r="BG237" s="307"/>
      <c r="BH237" s="307"/>
      <c r="BI237" s="307"/>
      <c r="BJ237" s="307"/>
      <c r="BK237" s="307"/>
    </row>
    <row r="238" hidden="1" spans="1:63" s="307" customFormat="1" x14ac:dyDescent="0.25">
      <c r="A238" s="301"/>
      <c r="B238" s="315"/>
      <c r="C238" s="302"/>
      <c r="D238" s="301"/>
      <c r="E238" s="301"/>
      <c r="F238" s="304"/>
      <c r="G238" s="313"/>
      <c r="H238" s="343"/>
      <c r="I238" s="302"/>
      <c r="J238" s="301"/>
      <c r="K238" s="301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307"/>
      <c r="AC238" s="307"/>
      <c r="AD238" s="307"/>
      <c r="AE238" s="307"/>
      <c r="AF238" s="307"/>
      <c r="AG238" s="307"/>
      <c r="AH238" s="307"/>
      <c r="AI238" s="307"/>
      <c r="AJ238" s="307"/>
      <c r="AK238" s="307"/>
      <c r="AL238" s="307"/>
      <c r="AM238" s="307"/>
      <c r="AN238" s="307"/>
      <c r="AO238" s="307"/>
      <c r="AP238" s="307"/>
      <c r="AQ238" s="307"/>
      <c r="AR238" s="307"/>
      <c r="AS238" s="307"/>
      <c r="AT238" s="307"/>
      <c r="AU238" s="307"/>
      <c r="AV238" s="307"/>
      <c r="AW238" s="307"/>
      <c r="AX238" s="307"/>
      <c r="AY238" s="307"/>
      <c r="AZ238" s="307"/>
      <c r="BA238" s="307"/>
      <c r="BB238" s="307"/>
      <c r="BC238" s="307"/>
      <c r="BD238" s="307"/>
      <c r="BE238" s="307"/>
      <c r="BF238" s="307"/>
      <c r="BG238" s="307"/>
      <c r="BH238" s="307"/>
      <c r="BI238" s="307"/>
      <c r="BJ238" s="307"/>
      <c r="BK238" s="307"/>
    </row>
    <row r="239" ht="15" customHeight="1" spans="1:63" s="307" customFormat="1" x14ac:dyDescent="0.25">
      <c r="A239" s="301" t="s">
        <v>396</v>
      </c>
      <c r="B239" s="315"/>
      <c r="C239" s="302">
        <v>12913</v>
      </c>
      <c r="D239" s="301" t="s">
        <v>147</v>
      </c>
      <c r="E239" s="301" t="s">
        <v>407</v>
      </c>
      <c r="F239" s="304" t="s">
        <v>408</v>
      </c>
      <c r="G239" s="313">
        <v>51840.03</v>
      </c>
      <c r="H239" s="343" t="s">
        <v>262</v>
      </c>
      <c r="I239" s="302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7"/>
      <c r="AA239" s="307"/>
      <c r="AB239" s="307"/>
      <c r="AC239" s="307"/>
      <c r="AD239" s="307"/>
      <c r="AE239" s="307"/>
      <c r="AF239" s="307"/>
      <c r="AG239" s="307"/>
      <c r="AH239" s="307"/>
      <c r="AI239" s="307"/>
      <c r="AJ239" s="307"/>
      <c r="AK239" s="307"/>
      <c r="AL239" s="307"/>
      <c r="AM239" s="307"/>
      <c r="AN239" s="307"/>
      <c r="AO239" s="307"/>
      <c r="AP239" s="307"/>
      <c r="AQ239" s="307"/>
      <c r="AR239" s="307"/>
      <c r="AS239" s="307"/>
      <c r="AT239" s="307"/>
      <c r="AU239" s="307"/>
      <c r="AV239" s="307"/>
      <c r="AW239" s="307"/>
      <c r="AX239" s="307"/>
      <c r="AY239" s="307"/>
      <c r="AZ239" s="307"/>
      <c r="BA239" s="307"/>
      <c r="BB239" s="307"/>
      <c r="BC239" s="307"/>
      <c r="BD239" s="307"/>
      <c r="BE239" s="307"/>
      <c r="BF239" s="307"/>
      <c r="BG239" s="307"/>
      <c r="BH239" s="307"/>
      <c r="BI239" s="307"/>
      <c r="BJ239" s="307"/>
      <c r="BK239" s="307"/>
    </row>
    <row r="240" ht="15" customHeight="1" spans="1:63" x14ac:dyDescent="0.25">
      <c r="A240" s="301" t="s">
        <v>396</v>
      </c>
      <c r="B240" s="315"/>
      <c r="C240" s="302">
        <v>12913</v>
      </c>
      <c r="D240" s="301" t="s">
        <v>147</v>
      </c>
      <c r="E240" s="301" t="s">
        <v>407</v>
      </c>
      <c r="F240" s="304" t="s">
        <v>409</v>
      </c>
      <c r="G240" s="313">
        <v>46110.83</v>
      </c>
      <c r="H240" s="343" t="s">
        <v>275</v>
      </c>
      <c r="I240" s="302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  <c r="AE240" s="301"/>
      <c r="AF240" s="301"/>
      <c r="AG240" s="301"/>
      <c r="AH240" s="301"/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  <c r="BA240" s="301"/>
      <c r="BB240" s="301"/>
      <c r="BC240" s="301"/>
      <c r="BD240" s="301"/>
      <c r="BE240" s="301"/>
      <c r="BF240" s="301"/>
      <c r="BG240" s="301"/>
      <c r="BH240" s="301"/>
      <c r="BI240" s="301"/>
      <c r="BJ240" s="301"/>
      <c r="BK240" s="301"/>
    </row>
    <row r="241" ht="15" customHeight="1" spans="1:63" x14ac:dyDescent="0.25">
      <c r="A241" s="301" t="s">
        <v>396</v>
      </c>
      <c r="B241" s="315"/>
      <c r="C241" s="302">
        <v>12913</v>
      </c>
      <c r="D241" s="301" t="s">
        <v>147</v>
      </c>
      <c r="E241" s="301" t="s">
        <v>407</v>
      </c>
      <c r="F241" s="304" t="s">
        <v>410</v>
      </c>
      <c r="G241" s="313">
        <v>51807.45</v>
      </c>
      <c r="H241" s="343" t="s">
        <v>281</v>
      </c>
      <c r="I241" s="302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  <c r="AG241" s="301"/>
      <c r="AH241" s="301"/>
      <c r="AI241" s="301"/>
      <c r="AJ241" s="301"/>
      <c r="AK241" s="301"/>
      <c r="AL241" s="301"/>
      <c r="AM241" s="301"/>
      <c r="AN241" s="301"/>
      <c r="AO241" s="301"/>
      <c r="AP241" s="301"/>
      <c r="AQ241" s="301"/>
      <c r="AR241" s="301"/>
      <c r="AS241" s="301"/>
      <c r="AT241" s="301"/>
      <c r="AU241" s="301"/>
      <c r="AV241" s="301"/>
      <c r="AW241" s="301"/>
      <c r="AX241" s="301"/>
      <c r="AY241" s="301"/>
      <c r="AZ241" s="301"/>
      <c r="BA241" s="301"/>
      <c r="BB241" s="301"/>
      <c r="BC241" s="301"/>
      <c r="BD241" s="301"/>
      <c r="BE241" s="301"/>
      <c r="BF241" s="301"/>
      <c r="BG241" s="301"/>
      <c r="BH241" s="301"/>
      <c r="BI241" s="301"/>
      <c r="BJ241" s="301"/>
      <c r="BK241" s="301"/>
    </row>
    <row r="242" ht="15" customHeight="1" spans="1:63" x14ac:dyDescent="0.25">
      <c r="A242" s="301" t="s">
        <v>396</v>
      </c>
      <c r="B242" s="315"/>
      <c r="C242" s="302">
        <v>12913</v>
      </c>
      <c r="D242" s="301" t="s">
        <v>147</v>
      </c>
      <c r="E242" s="301" t="s">
        <v>407</v>
      </c>
      <c r="F242" s="304" t="s">
        <v>411</v>
      </c>
      <c r="G242" s="313">
        <v>43254.652400000006</v>
      </c>
      <c r="H242" s="343" t="s">
        <v>285</v>
      </c>
      <c r="I242" s="302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  <c r="AE242" s="301"/>
      <c r="AF242" s="301"/>
      <c r="AG242" s="301"/>
      <c r="AH242" s="301"/>
      <c r="AI242" s="301"/>
      <c r="AJ242" s="301"/>
      <c r="AK242" s="301"/>
      <c r="AL242" s="301"/>
      <c r="AM242" s="301"/>
      <c r="AN242" s="301"/>
      <c r="AO242" s="301"/>
      <c r="AP242" s="301"/>
      <c r="AQ242" s="301"/>
      <c r="AR242" s="301"/>
      <c r="AS242" s="301"/>
      <c r="AT242" s="301"/>
      <c r="AU242" s="301"/>
      <c r="AV242" s="301"/>
      <c r="AW242" s="301"/>
      <c r="AX242" s="301"/>
      <c r="AY242" s="301"/>
      <c r="AZ242" s="301"/>
      <c r="BA242" s="301"/>
      <c r="BB242" s="301"/>
      <c r="BC242" s="301"/>
      <c r="BD242" s="301"/>
      <c r="BE242" s="301"/>
      <c r="BF242" s="301"/>
      <c r="BG242" s="301"/>
      <c r="BH242" s="301"/>
      <c r="BI242" s="301"/>
      <c r="BJ242" s="301"/>
      <c r="BK242" s="301"/>
    </row>
    <row r="243" ht="15" customHeight="1" spans="1:63" x14ac:dyDescent="0.25">
      <c r="A243" s="301" t="s">
        <v>396</v>
      </c>
      <c r="B243" s="315"/>
      <c r="C243" s="302">
        <v>12913</v>
      </c>
      <c r="D243" s="301" t="s">
        <v>147</v>
      </c>
      <c r="E243" s="301" t="s">
        <v>407</v>
      </c>
      <c r="F243" s="304" t="s">
        <v>412</v>
      </c>
      <c r="G243" s="313">
        <v>28632.29</v>
      </c>
      <c r="H243" s="343" t="s">
        <v>298</v>
      </c>
      <c r="I243" s="302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/>
      <c r="AV243" s="301"/>
      <c r="AW243" s="301"/>
      <c r="AX243" s="301"/>
      <c r="AY243" s="301"/>
      <c r="AZ243" s="301"/>
      <c r="BA243" s="301"/>
      <c r="BB243" s="301"/>
      <c r="BC243" s="301"/>
      <c r="BD243" s="301"/>
      <c r="BE243" s="301"/>
      <c r="BF243" s="301"/>
      <c r="BG243" s="301"/>
      <c r="BH243" s="301"/>
      <c r="BI243" s="301"/>
      <c r="BJ243" s="301"/>
      <c r="BK243" s="301"/>
    </row>
    <row r="244" ht="15" customHeight="1" spans="1:63" x14ac:dyDescent="0.25">
      <c r="A244" s="301" t="s">
        <v>396</v>
      </c>
      <c r="B244" s="315"/>
      <c r="C244" s="302">
        <v>12913</v>
      </c>
      <c r="D244" s="301" t="s">
        <v>147</v>
      </c>
      <c r="E244" s="301" t="s">
        <v>407</v>
      </c>
      <c r="F244" s="304" t="s">
        <v>413</v>
      </c>
      <c r="G244" s="313">
        <v>26442.1548</v>
      </c>
      <c r="H244" s="343" t="s">
        <v>303</v>
      </c>
      <c r="I244" s="302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  <c r="BA244" s="301"/>
      <c r="BB244" s="301"/>
      <c r="BC244" s="301"/>
      <c r="BD244" s="301"/>
      <c r="BE244" s="301"/>
      <c r="BF244" s="301"/>
      <c r="BG244" s="301"/>
      <c r="BH244" s="301"/>
      <c r="BI244" s="301"/>
      <c r="BJ244" s="301"/>
      <c r="BK244" s="301"/>
    </row>
    <row r="245" ht="15" customHeight="1" spans="1:63" s="307" customFormat="1" x14ac:dyDescent="0.25">
      <c r="A245" s="301" t="s">
        <v>396</v>
      </c>
      <c r="B245" s="315"/>
      <c r="C245" s="302">
        <v>12913</v>
      </c>
      <c r="D245" s="301" t="s">
        <v>147</v>
      </c>
      <c r="E245" s="301" t="s">
        <v>407</v>
      </c>
      <c r="F245" s="304" t="s">
        <v>414</v>
      </c>
      <c r="G245" s="313">
        <v>24932.696</v>
      </c>
      <c r="H245" s="343" t="s">
        <v>307</v>
      </c>
      <c r="I245" s="302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7"/>
      <c r="AA245" s="307"/>
      <c r="AB245" s="307"/>
      <c r="AC245" s="307"/>
      <c r="AD245" s="307"/>
      <c r="AE245" s="307"/>
      <c r="AF245" s="307"/>
      <c r="AG245" s="307"/>
      <c r="AH245" s="307"/>
      <c r="AI245" s="307"/>
      <c r="AJ245" s="307"/>
      <c r="AK245" s="307"/>
      <c r="AL245" s="307"/>
      <c r="AM245" s="307"/>
      <c r="AN245" s="307"/>
      <c r="AO245" s="307"/>
      <c r="AP245" s="307"/>
      <c r="AQ245" s="307"/>
      <c r="AR245" s="307"/>
      <c r="AS245" s="307"/>
      <c r="AT245" s="307"/>
      <c r="AU245" s="307"/>
      <c r="AV245" s="307"/>
      <c r="AW245" s="307"/>
      <c r="AX245" s="307"/>
      <c r="AY245" s="307"/>
      <c r="AZ245" s="307"/>
      <c r="BA245" s="307"/>
      <c r="BB245" s="307"/>
      <c r="BC245" s="307"/>
      <c r="BD245" s="307"/>
      <c r="BE245" s="307"/>
      <c r="BF245" s="307"/>
      <c r="BG245" s="307"/>
      <c r="BH245" s="307"/>
      <c r="BI245" s="307"/>
      <c r="BJ245" s="307"/>
      <c r="BK245" s="307"/>
    </row>
    <row r="246" ht="15" customHeight="1" spans="1:63" s="307" customFormat="1" x14ac:dyDescent="0.25">
      <c r="A246" s="301" t="s">
        <v>396</v>
      </c>
      <c r="B246" s="315"/>
      <c r="C246" s="302">
        <v>12913</v>
      </c>
      <c r="D246" s="301" t="s">
        <v>147</v>
      </c>
      <c r="E246" s="301" t="s">
        <v>407</v>
      </c>
      <c r="F246" s="304" t="s">
        <v>415</v>
      </c>
      <c r="G246" s="313">
        <v>5232.31</v>
      </c>
      <c r="H246" s="343" t="s">
        <v>316</v>
      </c>
      <c r="I246" s="302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7"/>
      <c r="AA246" s="307"/>
      <c r="AB246" s="307"/>
      <c r="AC246" s="307"/>
      <c r="AD246" s="307"/>
      <c r="AE246" s="307"/>
      <c r="AF246" s="307"/>
      <c r="AG246" s="307"/>
      <c r="AH246" s="307"/>
      <c r="AI246" s="307"/>
      <c r="AJ246" s="307"/>
      <c r="AK246" s="307"/>
      <c r="AL246" s="307"/>
      <c r="AM246" s="307"/>
      <c r="AN246" s="307"/>
      <c r="AO246" s="307"/>
      <c r="AP246" s="307"/>
      <c r="AQ246" s="307"/>
      <c r="AR246" s="307"/>
      <c r="AS246" s="307"/>
      <c r="AT246" s="307"/>
      <c r="AU246" s="307"/>
      <c r="AV246" s="307"/>
      <c r="AW246" s="307"/>
      <c r="AX246" s="307"/>
      <c r="AY246" s="307"/>
      <c r="AZ246" s="307"/>
      <c r="BA246" s="307"/>
      <c r="BB246" s="307"/>
      <c r="BC246" s="307"/>
      <c r="BD246" s="307"/>
      <c r="BE246" s="307"/>
      <c r="BF246" s="307"/>
      <c r="BG246" s="307"/>
      <c r="BH246" s="307"/>
      <c r="BI246" s="307"/>
      <c r="BJ246" s="307"/>
      <c r="BK246" s="307"/>
    </row>
    <row r="247" ht="15" customHeight="1" spans="1:63" s="307" customFormat="1" x14ac:dyDescent="0.25">
      <c r="A247" s="301" t="s">
        <v>396</v>
      </c>
      <c r="B247" s="315"/>
      <c r="C247" s="302">
        <v>12913</v>
      </c>
      <c r="D247" s="301" t="s">
        <v>147</v>
      </c>
      <c r="E247" s="301" t="s">
        <v>407</v>
      </c>
      <c r="F247" s="304" t="s">
        <v>416</v>
      </c>
      <c r="G247" s="313">
        <v>2880.35</v>
      </c>
      <c r="H247" s="343" t="s">
        <v>371</v>
      </c>
      <c r="I247" s="302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7"/>
      <c r="AA247" s="307"/>
      <c r="AB247" s="307"/>
      <c r="AC247" s="307"/>
      <c r="AD247" s="307"/>
      <c r="AE247" s="307"/>
      <c r="AF247" s="307"/>
      <c r="AG247" s="307"/>
      <c r="AH247" s="307"/>
      <c r="AI247" s="307"/>
      <c r="AJ247" s="307"/>
      <c r="AK247" s="307"/>
      <c r="AL247" s="307"/>
      <c r="AM247" s="307"/>
      <c r="AN247" s="307"/>
      <c r="AO247" s="307"/>
      <c r="AP247" s="307"/>
      <c r="AQ247" s="307"/>
      <c r="AR247" s="307"/>
      <c r="AS247" s="307"/>
      <c r="AT247" s="307"/>
      <c r="AU247" s="307"/>
      <c r="AV247" s="307"/>
      <c r="AW247" s="307"/>
      <c r="AX247" s="307"/>
      <c r="AY247" s="307"/>
      <c r="AZ247" s="307"/>
      <c r="BA247" s="307"/>
      <c r="BB247" s="307"/>
      <c r="BC247" s="307"/>
      <c r="BD247" s="307"/>
      <c r="BE247" s="307"/>
      <c r="BF247" s="307"/>
      <c r="BG247" s="307"/>
      <c r="BH247" s="307"/>
      <c r="BI247" s="307"/>
      <c r="BJ247" s="307"/>
      <c r="BK247" s="307"/>
    </row>
    <row r="248" ht="15" customHeight="1" spans="1:63" x14ac:dyDescent="0.25">
      <c r="A248" s="301" t="s">
        <v>396</v>
      </c>
      <c r="B248" s="315"/>
      <c r="C248" s="302">
        <v>12913</v>
      </c>
      <c r="D248" s="301" t="s">
        <v>147</v>
      </c>
      <c r="E248" s="301" t="s">
        <v>407</v>
      </c>
      <c r="F248" s="304" t="s">
        <v>417</v>
      </c>
      <c r="G248" s="313">
        <v>10139.712000000001</v>
      </c>
      <c r="H248" s="343" t="s">
        <v>384</v>
      </c>
      <c r="I248" s="302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  <c r="AE248" s="301"/>
      <c r="AF248" s="301"/>
      <c r="AG248" s="301"/>
      <c r="AH248" s="301"/>
      <c r="AI248" s="301"/>
      <c r="AJ248" s="301"/>
      <c r="AK248" s="301"/>
      <c r="AL248" s="301"/>
      <c r="AM248" s="301"/>
      <c r="AN248" s="301"/>
      <c r="AO248" s="301"/>
      <c r="AP248" s="301"/>
      <c r="AQ248" s="301"/>
      <c r="AR248" s="301"/>
      <c r="AS248" s="301"/>
      <c r="AT248" s="301"/>
      <c r="AU248" s="301"/>
      <c r="AV248" s="301"/>
      <c r="AW248" s="301"/>
      <c r="AX248" s="301"/>
      <c r="AY248" s="301"/>
      <c r="AZ248" s="301"/>
      <c r="BA248" s="301"/>
      <c r="BB248" s="301"/>
      <c r="BC248" s="301"/>
      <c r="BD248" s="301"/>
      <c r="BE248" s="301"/>
      <c r="BF248" s="301"/>
      <c r="BG248" s="301"/>
      <c r="BH248" s="301"/>
      <c r="BI248" s="301"/>
      <c r="BJ248" s="301"/>
      <c r="BK248" s="301"/>
    </row>
    <row r="249" hidden="1" spans="1:63" x14ac:dyDescent="0.25">
      <c r="A249" s="301"/>
      <c r="B249" s="315"/>
      <c r="C249" s="302"/>
      <c r="D249" s="301"/>
      <c r="E249" s="301"/>
      <c r="F249" s="305"/>
      <c r="G249" s="313"/>
      <c r="H249" s="343"/>
      <c r="I249" s="302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  <c r="AE249" s="301"/>
      <c r="AF249" s="301"/>
      <c r="AG249" s="301"/>
      <c r="AH249" s="301"/>
      <c r="AI249" s="301"/>
      <c r="AJ249" s="301"/>
      <c r="AK249" s="301"/>
      <c r="AL249" s="301"/>
      <c r="AM249" s="301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1"/>
      <c r="AZ249" s="301"/>
      <c r="BA249" s="301"/>
      <c r="BB249" s="301"/>
      <c r="BC249" s="301"/>
      <c r="BD249" s="301"/>
      <c r="BE249" s="301"/>
      <c r="BF249" s="301"/>
      <c r="BG249" s="301"/>
      <c r="BH249" s="301"/>
      <c r="BI249" s="301"/>
      <c r="BJ249" s="301"/>
      <c r="BK249" s="301"/>
    </row>
    <row r="250" ht="15" customHeight="1" spans="1:63" x14ac:dyDescent="0.25">
      <c r="A250" s="301"/>
      <c r="B250" s="315"/>
      <c r="C250" s="302"/>
      <c r="D250" s="301" t="s">
        <v>418</v>
      </c>
      <c r="E250" s="301"/>
      <c r="F250" s="305"/>
      <c r="G250" s="317">
        <f>SUBTOTAL(9,G239:G249)</f>
      </c>
      <c r="H250" s="343"/>
      <c r="I250" s="302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  <c r="AE250" s="301"/>
      <c r="AF250" s="301"/>
      <c r="AG250" s="301"/>
      <c r="AH250" s="301"/>
      <c r="AI250" s="301"/>
      <c r="AJ250" s="301"/>
      <c r="AK250" s="301"/>
      <c r="AL250" s="301"/>
      <c r="AM250" s="301"/>
      <c r="AN250" s="301"/>
      <c r="AO250" s="301"/>
      <c r="AP250" s="301"/>
      <c r="AQ250" s="301"/>
      <c r="AR250" s="301"/>
      <c r="AS250" s="301"/>
      <c r="AT250" s="301"/>
      <c r="AU250" s="301"/>
      <c r="AV250" s="301"/>
      <c r="AW250" s="301"/>
      <c r="AX250" s="301"/>
      <c r="AY250" s="301"/>
      <c r="AZ250" s="301"/>
      <c r="BA250" s="301"/>
      <c r="BB250" s="301"/>
      <c r="BC250" s="301"/>
      <c r="BD250" s="301"/>
      <c r="BE250" s="301"/>
      <c r="BF250" s="301"/>
      <c r="BG250" s="301"/>
      <c r="BH250" s="301"/>
      <c r="BI250" s="301"/>
      <c r="BJ250" s="301"/>
      <c r="BK250" s="301"/>
    </row>
    <row r="251" hidden="1" spans="1:63" x14ac:dyDescent="0.25">
      <c r="A251" s="301"/>
      <c r="B251" s="315"/>
      <c r="C251" s="302"/>
      <c r="D251" s="301"/>
      <c r="E251" s="301"/>
      <c r="F251" s="305"/>
      <c r="G251" s="313"/>
      <c r="H251" s="343"/>
      <c r="I251" s="302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  <c r="AE251" s="301"/>
      <c r="AF251" s="301"/>
      <c r="AG251" s="301"/>
      <c r="AH251" s="301"/>
      <c r="AI251" s="301"/>
      <c r="AJ251" s="301"/>
      <c r="AK251" s="301"/>
      <c r="AL251" s="301"/>
      <c r="AM251" s="301"/>
      <c r="AN251" s="301"/>
      <c r="AO251" s="301"/>
      <c r="AP251" s="301"/>
      <c r="AQ251" s="301"/>
      <c r="AR251" s="301"/>
      <c r="AS251" s="301"/>
      <c r="AT251" s="301"/>
      <c r="AU251" s="301"/>
      <c r="AV251" s="301"/>
      <c r="AW251" s="301"/>
      <c r="AX251" s="301"/>
      <c r="AY251" s="301"/>
      <c r="AZ251" s="301"/>
      <c r="BA251" s="301"/>
      <c r="BB251" s="301"/>
      <c r="BC251" s="301"/>
      <c r="BD251" s="301"/>
      <c r="BE251" s="301"/>
      <c r="BF251" s="301"/>
      <c r="BG251" s="301"/>
      <c r="BH251" s="301"/>
      <c r="BI251" s="301"/>
      <c r="BJ251" s="301"/>
      <c r="BK251" s="301"/>
    </row>
    <row r="252" ht="15" customHeight="1" spans="1:63" x14ac:dyDescent="0.25">
      <c r="A252" s="301" t="s">
        <v>259</v>
      </c>
      <c r="B252" s="315"/>
      <c r="C252" s="302" t="s">
        <v>54</v>
      </c>
      <c r="D252" s="301" t="s">
        <v>419</v>
      </c>
      <c r="E252" s="301" t="s">
        <v>292</v>
      </c>
      <c r="F252" s="304" t="s">
        <v>297</v>
      </c>
      <c r="G252" s="313">
        <v>24404.4</v>
      </c>
      <c r="H252" s="343" t="s">
        <v>384</v>
      </c>
      <c r="I252" s="302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  <c r="AE252" s="301"/>
      <c r="AF252" s="301"/>
      <c r="AG252" s="301"/>
      <c r="AH252" s="301"/>
      <c r="AI252" s="301"/>
      <c r="AJ252" s="301"/>
      <c r="AK252" s="301"/>
      <c r="AL252" s="301"/>
      <c r="AM252" s="301"/>
      <c r="AN252" s="301"/>
      <c r="AO252" s="301"/>
      <c r="AP252" s="301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1"/>
      <c r="BA252" s="301"/>
      <c r="BB252" s="301"/>
      <c r="BC252" s="301"/>
      <c r="BD252" s="301"/>
      <c r="BE252" s="301"/>
      <c r="BF252" s="301"/>
      <c r="BG252" s="301"/>
      <c r="BH252" s="301"/>
      <c r="BI252" s="301"/>
      <c r="BJ252" s="301"/>
      <c r="BK252" s="301"/>
    </row>
    <row r="253" ht="15" customHeight="1" spans="1:63" x14ac:dyDescent="0.25">
      <c r="A253" s="301" t="s">
        <v>259</v>
      </c>
      <c r="B253" s="315"/>
      <c r="C253" s="302" t="s">
        <v>54</v>
      </c>
      <c r="D253" s="301" t="s">
        <v>419</v>
      </c>
      <c r="E253" s="301" t="s">
        <v>292</v>
      </c>
      <c r="F253" s="304" t="s">
        <v>299</v>
      </c>
      <c r="G253" s="313">
        <v>62450.7</v>
      </c>
      <c r="H253" s="343" t="s">
        <v>384</v>
      </c>
      <c r="I253" s="302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  <c r="AE253" s="301"/>
      <c r="AF253" s="301"/>
      <c r="AG253" s="301"/>
      <c r="AH253" s="301"/>
      <c r="AI253" s="301"/>
      <c r="AJ253" s="301"/>
      <c r="AK253" s="301"/>
      <c r="AL253" s="301"/>
      <c r="AM253" s="301"/>
      <c r="AN253" s="301"/>
      <c r="AO253" s="301"/>
      <c r="AP253" s="301"/>
      <c r="AQ253" s="301"/>
      <c r="AR253" s="301"/>
      <c r="AS253" s="301"/>
      <c r="AT253" s="301"/>
      <c r="AU253" s="301"/>
      <c r="AV253" s="301"/>
      <c r="AW253" s="301"/>
      <c r="AX253" s="301"/>
      <c r="AY253" s="301"/>
      <c r="AZ253" s="301"/>
      <c r="BA253" s="301"/>
      <c r="BB253" s="301"/>
      <c r="BC253" s="301"/>
      <c r="BD253" s="301"/>
      <c r="BE253" s="301"/>
      <c r="BF253" s="301"/>
      <c r="BG253" s="301"/>
      <c r="BH253" s="301"/>
      <c r="BI253" s="301"/>
      <c r="BJ253" s="301"/>
      <c r="BK253" s="301"/>
    </row>
    <row r="254" hidden="1" spans="1:63" x14ac:dyDescent="0.25">
      <c r="A254" s="301"/>
      <c r="B254" s="315"/>
      <c r="C254" s="302"/>
      <c r="D254" s="301"/>
      <c r="E254" s="301"/>
      <c r="F254" s="305"/>
      <c r="G254" s="313"/>
      <c r="H254" s="343"/>
      <c r="I254" s="302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  <c r="AE254" s="301"/>
      <c r="AF254" s="301"/>
      <c r="AG254" s="301"/>
      <c r="AH254" s="301"/>
      <c r="AI254" s="301"/>
      <c r="AJ254" s="301"/>
      <c r="AK254" s="301"/>
      <c r="AL254" s="301"/>
      <c r="AM254" s="301"/>
      <c r="AN254" s="301"/>
      <c r="AO254" s="301"/>
      <c r="AP254" s="301"/>
      <c r="AQ254" s="301"/>
      <c r="AR254" s="301"/>
      <c r="AS254" s="301"/>
      <c r="AT254" s="301"/>
      <c r="AU254" s="301"/>
      <c r="AV254" s="301"/>
      <c r="AW254" s="301"/>
      <c r="AX254" s="301"/>
      <c r="AY254" s="301"/>
      <c r="AZ254" s="301"/>
      <c r="BA254" s="301"/>
      <c r="BB254" s="301"/>
      <c r="BC254" s="301"/>
      <c r="BD254" s="301"/>
      <c r="BE254" s="301"/>
      <c r="BF254" s="301"/>
      <c r="BG254" s="301"/>
      <c r="BH254" s="301"/>
      <c r="BI254" s="301"/>
      <c r="BJ254" s="301"/>
      <c r="BK254" s="301"/>
    </row>
    <row r="255" spans="1:63" x14ac:dyDescent="0.25">
      <c r="A255" s="301"/>
      <c r="B255" s="315"/>
      <c r="C255" s="302"/>
      <c r="D255" s="301" t="s">
        <v>420</v>
      </c>
      <c r="E255" s="301"/>
      <c r="F255" s="305"/>
      <c r="G255" s="317">
        <f>SUBTOTAL(9,G252:G254)</f>
      </c>
      <c r="H255" s="343"/>
      <c r="I255" s="302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  <c r="AE255" s="301"/>
      <c r="AF255" s="301"/>
      <c r="AG255" s="301"/>
      <c r="AH255" s="301"/>
      <c r="AI255" s="301"/>
      <c r="AJ255" s="301"/>
      <c r="AK255" s="301"/>
      <c r="AL255" s="301"/>
      <c r="AM255" s="301"/>
      <c r="AN255" s="301"/>
      <c r="AO255" s="301"/>
      <c r="AP255" s="301"/>
      <c r="AQ255" s="301"/>
      <c r="AR255" s="301"/>
      <c r="AS255" s="301"/>
      <c r="AT255" s="301"/>
      <c r="AU255" s="301"/>
      <c r="AV255" s="301"/>
      <c r="AW255" s="301"/>
      <c r="AX255" s="301"/>
      <c r="AY255" s="301"/>
      <c r="AZ255" s="301"/>
      <c r="BA255" s="301"/>
      <c r="BB255" s="301"/>
      <c r="BC255" s="301"/>
      <c r="BD255" s="301"/>
      <c r="BE255" s="301"/>
      <c r="BF255" s="301"/>
      <c r="BG255" s="301"/>
      <c r="BH255" s="301"/>
      <c r="BI255" s="301"/>
      <c r="BJ255" s="301"/>
      <c r="BK255" s="301"/>
    </row>
    <row r="256" hidden="1" spans="1:63" x14ac:dyDescent="0.25">
      <c r="A256" s="301"/>
      <c r="B256" s="315"/>
      <c r="C256" s="302"/>
      <c r="D256" s="301"/>
      <c r="E256" s="301"/>
      <c r="F256" s="305"/>
      <c r="G256" s="325"/>
      <c r="H256" s="343"/>
      <c r="I256" s="302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  <c r="AE256" s="301"/>
      <c r="AF256" s="301"/>
      <c r="AG256" s="301"/>
      <c r="AH256" s="301"/>
      <c r="AI256" s="301"/>
      <c r="AJ256" s="301"/>
      <c r="AK256" s="301"/>
      <c r="AL256" s="301"/>
      <c r="AM256" s="301"/>
      <c r="AN256" s="301"/>
      <c r="AO256" s="301"/>
      <c r="AP256" s="301"/>
      <c r="AQ256" s="301"/>
      <c r="AR256" s="301"/>
      <c r="AS256" s="301"/>
      <c r="AT256" s="301"/>
      <c r="AU256" s="301"/>
      <c r="AV256" s="301"/>
      <c r="AW256" s="301"/>
      <c r="AX256" s="301"/>
      <c r="AY256" s="301"/>
      <c r="AZ256" s="301"/>
      <c r="BA256" s="301"/>
      <c r="BB256" s="301"/>
      <c r="BC256" s="301"/>
      <c r="BD256" s="301"/>
      <c r="BE256" s="301"/>
      <c r="BF256" s="301"/>
      <c r="BG256" s="301"/>
      <c r="BH256" s="301"/>
      <c r="BI256" s="301"/>
      <c r="BJ256" s="301"/>
      <c r="BK256" s="301"/>
    </row>
    <row r="257" ht="15" customHeight="1" spans="1:63" x14ac:dyDescent="0.25">
      <c r="A257" s="301" t="s">
        <v>259</v>
      </c>
      <c r="B257" s="315"/>
      <c r="C257" s="302" t="s">
        <v>58</v>
      </c>
      <c r="D257" s="301" t="s">
        <v>419</v>
      </c>
      <c r="E257" s="301" t="s">
        <v>279</v>
      </c>
      <c r="F257" s="304" t="s">
        <v>280</v>
      </c>
      <c r="G257" s="313">
        <v>65103.12</v>
      </c>
      <c r="H257" s="343" t="s">
        <v>384</v>
      </c>
      <c r="I257" s="302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  <c r="AE257" s="301"/>
      <c r="AF257" s="301"/>
      <c r="AG257" s="301"/>
      <c r="AH257" s="301"/>
      <c r="AI257" s="301"/>
      <c r="AJ257" s="301"/>
      <c r="AK257" s="301"/>
      <c r="AL257" s="301"/>
      <c r="AM257" s="301"/>
      <c r="AN257" s="301"/>
      <c r="AO257" s="301"/>
      <c r="AP257" s="301"/>
      <c r="AQ257" s="301"/>
      <c r="AR257" s="301"/>
      <c r="AS257" s="301"/>
      <c r="AT257" s="301"/>
      <c r="AU257" s="301"/>
      <c r="AV257" s="301"/>
      <c r="AW257" s="301"/>
      <c r="AX257" s="301"/>
      <c r="AY257" s="301"/>
      <c r="AZ257" s="301"/>
      <c r="BA257" s="301"/>
      <c r="BB257" s="301"/>
      <c r="BC257" s="301"/>
      <c r="BD257" s="301"/>
      <c r="BE257" s="301"/>
      <c r="BF257" s="301"/>
      <c r="BG257" s="301"/>
      <c r="BH257" s="301"/>
      <c r="BI257" s="301"/>
      <c r="BJ257" s="301"/>
      <c r="BK257" s="301"/>
    </row>
    <row r="258" ht="15" customHeight="1" spans="1:63" x14ac:dyDescent="0.25">
      <c r="A258" s="301" t="s">
        <v>259</v>
      </c>
      <c r="B258" s="315"/>
      <c r="C258" s="302" t="s">
        <v>58</v>
      </c>
      <c r="D258" s="301" t="s">
        <v>419</v>
      </c>
      <c r="E258" s="301" t="s">
        <v>279</v>
      </c>
      <c r="F258" s="304" t="s">
        <v>282</v>
      </c>
      <c r="G258" s="313">
        <v>30214.06</v>
      </c>
      <c r="H258" s="343" t="s">
        <v>384</v>
      </c>
      <c r="I258" s="302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  <c r="AE258" s="301"/>
      <c r="AF258" s="301"/>
      <c r="AG258" s="301"/>
      <c r="AH258" s="301"/>
      <c r="AI258" s="301"/>
      <c r="AJ258" s="301"/>
      <c r="AK258" s="301"/>
      <c r="AL258" s="301"/>
      <c r="AM258" s="301"/>
      <c r="AN258" s="301"/>
      <c r="AO258" s="301"/>
      <c r="AP258" s="301"/>
      <c r="AQ258" s="301"/>
      <c r="AR258" s="301"/>
      <c r="AS258" s="301"/>
      <c r="AT258" s="301"/>
      <c r="AU258" s="301"/>
      <c r="AV258" s="301"/>
      <c r="AW258" s="301"/>
      <c r="AX258" s="301"/>
      <c r="AY258" s="301"/>
      <c r="AZ258" s="301"/>
      <c r="BA258" s="301"/>
      <c r="BB258" s="301"/>
      <c r="BC258" s="301"/>
      <c r="BD258" s="301"/>
      <c r="BE258" s="301"/>
      <c r="BF258" s="301"/>
      <c r="BG258" s="301"/>
      <c r="BH258" s="301"/>
      <c r="BI258" s="301"/>
      <c r="BJ258" s="301"/>
      <c r="BK258" s="301"/>
    </row>
    <row r="259" hidden="1" spans="1:63" x14ac:dyDescent="0.25">
      <c r="A259" s="301"/>
      <c r="B259" s="315"/>
      <c r="C259" s="302"/>
      <c r="D259" s="301"/>
      <c r="E259" s="301"/>
      <c r="F259" s="305"/>
      <c r="G259" s="313"/>
      <c r="H259" s="343"/>
      <c r="I259" s="302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  <c r="AD259" s="301"/>
      <c r="AE259" s="301"/>
      <c r="AF259" s="301"/>
      <c r="AG259" s="301"/>
      <c r="AH259" s="301"/>
      <c r="AI259" s="301"/>
      <c r="AJ259" s="301"/>
      <c r="AK259" s="301"/>
      <c r="AL259" s="301"/>
      <c r="AM259" s="301"/>
      <c r="AN259" s="301"/>
      <c r="AO259" s="301"/>
      <c r="AP259" s="301"/>
      <c r="AQ259" s="301"/>
      <c r="AR259" s="301"/>
      <c r="AS259" s="301"/>
      <c r="AT259" s="301"/>
      <c r="AU259" s="301"/>
      <c r="AV259" s="301"/>
      <c r="AW259" s="301"/>
      <c r="AX259" s="301"/>
      <c r="AY259" s="301"/>
      <c r="AZ259" s="301"/>
      <c r="BA259" s="301"/>
      <c r="BB259" s="301"/>
      <c r="BC259" s="301"/>
      <c r="BD259" s="301"/>
      <c r="BE259" s="301"/>
      <c r="BF259" s="301"/>
      <c r="BG259" s="301"/>
      <c r="BH259" s="301"/>
      <c r="BI259" s="301"/>
      <c r="BJ259" s="301"/>
      <c r="BK259" s="301"/>
    </row>
    <row r="260" spans="1:63" s="307" customFormat="1" x14ac:dyDescent="0.25">
      <c r="A260" s="301"/>
      <c r="B260" s="315"/>
      <c r="C260" s="302"/>
      <c r="D260" s="301" t="s">
        <v>420</v>
      </c>
      <c r="E260" s="301"/>
      <c r="F260" s="304"/>
      <c r="G260" s="317">
        <f>SUBTOTAL(9,G257:G259)</f>
      </c>
      <c r="H260" s="343"/>
      <c r="I260" s="302"/>
      <c r="J260" s="301"/>
      <c r="K260" s="301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307"/>
      <c r="AC260" s="307"/>
      <c r="AD260" s="307"/>
      <c r="AE260" s="307"/>
      <c r="AF260" s="307"/>
      <c r="AG260" s="307"/>
      <c r="AH260" s="307"/>
      <c r="AI260" s="307"/>
      <c r="AJ260" s="307"/>
      <c r="AK260" s="307"/>
      <c r="AL260" s="307"/>
      <c r="AM260" s="307"/>
      <c r="AN260" s="307"/>
      <c r="AO260" s="307"/>
      <c r="AP260" s="307"/>
      <c r="AQ260" s="307"/>
      <c r="AR260" s="307"/>
      <c r="AS260" s="307"/>
      <c r="AT260" s="307"/>
      <c r="AU260" s="307"/>
      <c r="AV260" s="307"/>
      <c r="AW260" s="307"/>
      <c r="AX260" s="307"/>
      <c r="AY260" s="307"/>
      <c r="AZ260" s="307"/>
      <c r="BA260" s="307"/>
      <c r="BB260" s="307"/>
      <c r="BC260" s="307"/>
      <c r="BD260" s="307"/>
      <c r="BE260" s="307"/>
      <c r="BF260" s="307"/>
      <c r="BG260" s="307"/>
      <c r="BH260" s="307"/>
      <c r="BI260" s="307"/>
      <c r="BJ260" s="307"/>
      <c r="BK260" s="307"/>
    </row>
    <row r="261" hidden="1" spans="1:63" s="307" customFormat="1" x14ac:dyDescent="0.25">
      <c r="A261" s="301"/>
      <c r="B261" s="315"/>
      <c r="C261" s="302"/>
      <c r="D261" s="301"/>
      <c r="E261" s="301"/>
      <c r="F261" s="304"/>
      <c r="G261" s="325"/>
      <c r="H261" s="343"/>
      <c r="I261" s="302"/>
      <c r="J261" s="301"/>
      <c r="K261" s="301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7"/>
      <c r="AH261" s="307"/>
      <c r="AI261" s="307"/>
      <c r="AJ261" s="307"/>
      <c r="AK261" s="307"/>
      <c r="AL261" s="307"/>
      <c r="AM261" s="307"/>
      <c r="AN261" s="307"/>
      <c r="AO261" s="307"/>
      <c r="AP261" s="307"/>
      <c r="AQ261" s="307"/>
      <c r="AR261" s="307"/>
      <c r="AS261" s="307"/>
      <c r="AT261" s="307"/>
      <c r="AU261" s="307"/>
      <c r="AV261" s="307"/>
      <c r="AW261" s="307"/>
      <c r="AX261" s="307"/>
      <c r="AY261" s="307"/>
      <c r="AZ261" s="307"/>
      <c r="BA261" s="307"/>
      <c r="BB261" s="307"/>
      <c r="BC261" s="307"/>
      <c r="BD261" s="307"/>
      <c r="BE261" s="307"/>
      <c r="BF261" s="307"/>
      <c r="BG261" s="307"/>
      <c r="BH261" s="307"/>
      <c r="BI261" s="307"/>
      <c r="BJ261" s="307"/>
      <c r="BK261" s="307"/>
    </row>
    <row r="262" ht="15" customHeight="1" spans="1:63" s="307" customFormat="1" x14ac:dyDescent="0.25">
      <c r="A262" s="301"/>
      <c r="B262" s="315"/>
      <c r="C262" s="302"/>
      <c r="D262" s="301" t="s">
        <v>421</v>
      </c>
      <c r="E262" s="301"/>
      <c r="F262" s="304"/>
      <c r="G262" s="317">
        <f>SUBTOTAL(9,G3:G261)</f>
      </c>
      <c r="H262" s="343"/>
      <c r="I262" s="302"/>
      <c r="J262" s="301"/>
      <c r="K262" s="301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307"/>
      <c r="AC262" s="307"/>
      <c r="AD262" s="307"/>
      <c r="AE262" s="307"/>
      <c r="AF262" s="307"/>
      <c r="AG262" s="307"/>
      <c r="AH262" s="307"/>
      <c r="AI262" s="307"/>
      <c r="AJ262" s="307"/>
      <c r="AK262" s="307"/>
      <c r="AL262" s="307"/>
      <c r="AM262" s="307"/>
      <c r="AN262" s="307"/>
      <c r="AO262" s="307"/>
      <c r="AP262" s="307"/>
      <c r="AQ262" s="307"/>
      <c r="AR262" s="307"/>
      <c r="AS262" s="307"/>
      <c r="AT262" s="307"/>
      <c r="AU262" s="307"/>
      <c r="AV262" s="307"/>
      <c r="AW262" s="307"/>
      <c r="AX262" s="307"/>
      <c r="AY262" s="307"/>
      <c r="AZ262" s="307"/>
      <c r="BA262" s="307"/>
      <c r="BB262" s="307"/>
      <c r="BC262" s="307"/>
      <c r="BD262" s="307"/>
      <c r="BE262" s="307"/>
      <c r="BF262" s="307"/>
      <c r="BG262" s="307"/>
      <c r="BH262" s="307"/>
      <c r="BI262" s="307"/>
      <c r="BJ262" s="307"/>
      <c r="BK262" s="307"/>
    </row>
    <row r="263" spans="1:63" s="307" customFormat="1" x14ac:dyDescent="0.25">
      <c r="A263" s="301"/>
      <c r="B263" s="315"/>
      <c r="C263" s="302"/>
      <c r="D263" s="301"/>
      <c r="E263" s="301"/>
      <c r="F263" s="304"/>
      <c r="G263" s="325"/>
      <c r="H263" s="343"/>
      <c r="I263" s="302"/>
      <c r="J263" s="301"/>
      <c r="K263" s="301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  <c r="AE263" s="307"/>
      <c r="AF263" s="307"/>
      <c r="AG263" s="307"/>
      <c r="AH263" s="307"/>
      <c r="AI263" s="307"/>
      <c r="AJ263" s="307"/>
      <c r="AK263" s="307"/>
      <c r="AL263" s="307"/>
      <c r="AM263" s="307"/>
      <c r="AN263" s="307"/>
      <c r="AO263" s="307"/>
      <c r="AP263" s="307"/>
      <c r="AQ263" s="307"/>
      <c r="AR263" s="307"/>
      <c r="AS263" s="307"/>
      <c r="AT263" s="307"/>
      <c r="AU263" s="307"/>
      <c r="AV263" s="307"/>
      <c r="AW263" s="307"/>
      <c r="AX263" s="307"/>
      <c r="AY263" s="307"/>
      <c r="AZ263" s="307"/>
      <c r="BA263" s="307"/>
      <c r="BB263" s="307"/>
      <c r="BC263" s="307"/>
      <c r="BD263" s="307"/>
      <c r="BE263" s="307"/>
      <c r="BF263" s="307"/>
      <c r="BG263" s="307"/>
      <c r="BH263" s="307"/>
      <c r="BI263" s="307"/>
      <c r="BJ263" s="307"/>
      <c r="BK263" s="307"/>
    </row>
    <row r="264" spans="1:63" s="307" customFormat="1" x14ac:dyDescent="0.25">
      <c r="A264" s="301"/>
      <c r="B264" s="315"/>
      <c r="C264" s="302"/>
      <c r="D264" s="301"/>
      <c r="E264" s="301"/>
      <c r="F264" s="304"/>
      <c r="G264" s="325"/>
      <c r="H264" s="343"/>
      <c r="I264" s="302"/>
      <c r="J264" s="301"/>
      <c r="K264" s="301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307"/>
      <c r="AC264" s="307"/>
      <c r="AD264" s="307"/>
      <c r="AE264" s="307"/>
      <c r="AF264" s="307"/>
      <c r="AG264" s="307"/>
      <c r="AH264" s="307"/>
      <c r="AI264" s="307"/>
      <c r="AJ264" s="307"/>
      <c r="AK264" s="307"/>
      <c r="AL264" s="307"/>
      <c r="AM264" s="307"/>
      <c r="AN264" s="307"/>
      <c r="AO264" s="307"/>
      <c r="AP264" s="307"/>
      <c r="AQ264" s="307"/>
      <c r="AR264" s="307"/>
      <c r="AS264" s="307"/>
      <c r="AT264" s="307"/>
      <c r="AU264" s="307"/>
      <c r="AV264" s="307"/>
      <c r="AW264" s="307"/>
      <c r="AX264" s="307"/>
      <c r="AY264" s="307"/>
      <c r="AZ264" s="307"/>
      <c r="BA264" s="307"/>
      <c r="BB264" s="307"/>
      <c r="BC264" s="307"/>
      <c r="BD264" s="307"/>
      <c r="BE264" s="307"/>
      <c r="BF264" s="307"/>
      <c r="BG264" s="307"/>
      <c r="BH264" s="307"/>
      <c r="BI264" s="307"/>
      <c r="BJ264" s="307"/>
      <c r="BK264" s="307"/>
    </row>
    <row r="265" spans="1:63" s="307" customFormat="1" x14ac:dyDescent="0.25">
      <c r="A265" s="301"/>
      <c r="B265" s="315"/>
      <c r="C265" s="302"/>
      <c r="D265" s="301"/>
      <c r="E265" s="301"/>
      <c r="F265" s="304"/>
      <c r="G265" s="325"/>
      <c r="H265" s="343"/>
      <c r="I265" s="302"/>
      <c r="J265" s="301"/>
      <c r="K265" s="301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307"/>
      <c r="AC265" s="307"/>
      <c r="AD265" s="307"/>
      <c r="AE265" s="307"/>
      <c r="AF265" s="307"/>
      <c r="AG265" s="307"/>
      <c r="AH265" s="307"/>
      <c r="AI265" s="307"/>
      <c r="AJ265" s="307"/>
      <c r="AK265" s="307"/>
      <c r="AL265" s="307"/>
      <c r="AM265" s="307"/>
      <c r="AN265" s="307"/>
      <c r="AO265" s="307"/>
      <c r="AP265" s="307"/>
      <c r="AQ265" s="307"/>
      <c r="AR265" s="307"/>
      <c r="AS265" s="307"/>
      <c r="AT265" s="307"/>
      <c r="AU265" s="307"/>
      <c r="AV265" s="307"/>
      <c r="AW265" s="307"/>
      <c r="AX265" s="307"/>
      <c r="AY265" s="307"/>
      <c r="AZ265" s="307"/>
      <c r="BA265" s="307"/>
      <c r="BB265" s="307"/>
      <c r="BC265" s="307"/>
      <c r="BD265" s="307"/>
      <c r="BE265" s="307"/>
      <c r="BF265" s="307"/>
      <c r="BG265" s="307"/>
      <c r="BH265" s="307"/>
      <c r="BI265" s="307"/>
      <c r="BJ265" s="307"/>
      <c r="BK265" s="307"/>
    </row>
    <row r="266" spans="1:63" x14ac:dyDescent="0.25">
      <c r="A266" s="301"/>
      <c r="B266" s="315"/>
      <c r="C266" s="302"/>
      <c r="D266" s="301"/>
      <c r="E266" s="301"/>
      <c r="F266" s="305"/>
      <c r="G266" s="325"/>
      <c r="H266" s="343"/>
      <c r="I266" s="302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  <c r="BA266" s="301"/>
      <c r="BB266" s="301"/>
      <c r="BC266" s="301"/>
      <c r="BD266" s="301"/>
      <c r="BE266" s="301"/>
      <c r="BF266" s="301"/>
      <c r="BG266" s="301"/>
      <c r="BH266" s="301"/>
      <c r="BI266" s="301"/>
      <c r="BJ266" s="301"/>
      <c r="BK266" s="301"/>
    </row>
    <row r="267" spans="1:63" x14ac:dyDescent="0.25">
      <c r="A267" s="301"/>
      <c r="B267" s="315"/>
      <c r="C267" s="302"/>
      <c r="D267" s="301"/>
      <c r="E267" s="301"/>
      <c r="F267" s="305"/>
      <c r="G267" s="325"/>
      <c r="H267" s="343"/>
      <c r="I267" s="302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  <c r="AE267" s="301"/>
      <c r="AF267" s="301"/>
      <c r="AG267" s="301"/>
      <c r="AH267" s="301"/>
      <c r="AI267" s="301"/>
      <c r="AJ267" s="301"/>
      <c r="AK267" s="301"/>
      <c r="AL267" s="301"/>
      <c r="AM267" s="301"/>
      <c r="AN267" s="301"/>
      <c r="AO267" s="301"/>
      <c r="AP267" s="301"/>
      <c r="AQ267" s="301"/>
      <c r="AR267" s="301"/>
      <c r="AS267" s="301"/>
      <c r="AT267" s="301"/>
      <c r="AU267" s="301"/>
      <c r="AV267" s="301"/>
      <c r="AW267" s="301"/>
      <c r="AX267" s="301"/>
      <c r="AY267" s="301"/>
      <c r="AZ267" s="301"/>
      <c r="BA267" s="301"/>
      <c r="BB267" s="301"/>
      <c r="BC267" s="301"/>
      <c r="BD267" s="301"/>
      <c r="BE267" s="301"/>
      <c r="BF267" s="301"/>
      <c r="BG267" s="301"/>
      <c r="BH267" s="301"/>
      <c r="BI267" s="301"/>
      <c r="BJ267" s="301"/>
      <c r="BK267" s="301"/>
    </row>
    <row r="268" spans="1:63" s="307" customFormat="1" x14ac:dyDescent="0.25">
      <c r="A268" s="301"/>
      <c r="B268" s="315"/>
      <c r="C268" s="302"/>
      <c r="D268" s="301"/>
      <c r="E268" s="301"/>
      <c r="F268" s="304"/>
      <c r="G268" s="325"/>
      <c r="H268" s="343"/>
      <c r="I268" s="302"/>
      <c r="J268" s="301"/>
      <c r="K268" s="301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307"/>
      <c r="AC268" s="307"/>
      <c r="AD268" s="307"/>
      <c r="AE268" s="307"/>
      <c r="AF268" s="307"/>
      <c r="AG268" s="307"/>
      <c r="AH268" s="307"/>
      <c r="AI268" s="307"/>
      <c r="AJ268" s="307"/>
      <c r="AK268" s="307"/>
      <c r="AL268" s="307"/>
      <c r="AM268" s="307"/>
      <c r="AN268" s="307"/>
      <c r="AO268" s="307"/>
      <c r="AP268" s="307"/>
      <c r="AQ268" s="307"/>
      <c r="AR268" s="307"/>
      <c r="AS268" s="307"/>
      <c r="AT268" s="307"/>
      <c r="AU268" s="307"/>
      <c r="AV268" s="307"/>
      <c r="AW268" s="307"/>
      <c r="AX268" s="307"/>
      <c r="AY268" s="307"/>
      <c r="AZ268" s="307"/>
      <c r="BA268" s="307"/>
      <c r="BB268" s="307"/>
      <c r="BC268" s="307"/>
      <c r="BD268" s="307"/>
      <c r="BE268" s="307"/>
      <c r="BF268" s="307"/>
      <c r="BG268" s="307"/>
      <c r="BH268" s="307"/>
      <c r="BI268" s="307"/>
      <c r="BJ268" s="307"/>
      <c r="BK268" s="307"/>
    </row>
    <row r="269" spans="1:63" s="307" customFormat="1" x14ac:dyDescent="0.25">
      <c r="A269" s="301"/>
      <c r="B269" s="315"/>
      <c r="C269" s="302"/>
      <c r="D269" s="301"/>
      <c r="E269" s="301"/>
      <c r="F269" s="304"/>
      <c r="G269" s="325"/>
      <c r="H269" s="343"/>
      <c r="I269" s="302"/>
      <c r="J269" s="301"/>
      <c r="K269" s="301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307"/>
      <c r="AC269" s="307"/>
      <c r="AD269" s="307"/>
      <c r="AE269" s="307"/>
      <c r="AF269" s="307"/>
      <c r="AG269" s="307"/>
      <c r="AH269" s="307"/>
      <c r="AI269" s="307"/>
      <c r="AJ269" s="307"/>
      <c r="AK269" s="307"/>
      <c r="AL269" s="307"/>
      <c r="AM269" s="307"/>
      <c r="AN269" s="307"/>
      <c r="AO269" s="307"/>
      <c r="AP269" s="307"/>
      <c r="AQ269" s="307"/>
      <c r="AR269" s="307"/>
      <c r="AS269" s="307"/>
      <c r="AT269" s="307"/>
      <c r="AU269" s="307"/>
      <c r="AV269" s="307"/>
      <c r="AW269" s="307"/>
      <c r="AX269" s="307"/>
      <c r="AY269" s="307"/>
      <c r="AZ269" s="307"/>
      <c r="BA269" s="307"/>
      <c r="BB269" s="307"/>
      <c r="BC269" s="307"/>
      <c r="BD269" s="307"/>
      <c r="BE269" s="307"/>
      <c r="BF269" s="307"/>
      <c r="BG269" s="307"/>
      <c r="BH269" s="307"/>
      <c r="BI269" s="307"/>
      <c r="BJ269" s="307"/>
      <c r="BK269" s="307"/>
    </row>
    <row r="270" spans="1:63" s="307" customFormat="1" x14ac:dyDescent="0.25">
      <c r="A270" s="301"/>
      <c r="B270" s="315"/>
      <c r="C270" s="302"/>
      <c r="D270" s="301"/>
      <c r="E270" s="301"/>
      <c r="F270" s="304"/>
      <c r="G270" s="325"/>
      <c r="H270" s="343"/>
      <c r="I270" s="302"/>
      <c r="J270" s="301"/>
      <c r="K270" s="301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307"/>
      <c r="AC270" s="307"/>
      <c r="AD270" s="307"/>
      <c r="AE270" s="307"/>
      <c r="AF270" s="307"/>
      <c r="AG270" s="307"/>
      <c r="AH270" s="307"/>
      <c r="AI270" s="307"/>
      <c r="AJ270" s="307"/>
      <c r="AK270" s="307"/>
      <c r="AL270" s="307"/>
      <c r="AM270" s="307"/>
      <c r="AN270" s="307"/>
      <c r="AO270" s="307"/>
      <c r="AP270" s="307"/>
      <c r="AQ270" s="307"/>
      <c r="AR270" s="307"/>
      <c r="AS270" s="307"/>
      <c r="AT270" s="307"/>
      <c r="AU270" s="307"/>
      <c r="AV270" s="307"/>
      <c r="AW270" s="307"/>
      <c r="AX270" s="307"/>
      <c r="AY270" s="307"/>
      <c r="AZ270" s="307"/>
      <c r="BA270" s="307"/>
      <c r="BB270" s="307"/>
      <c r="BC270" s="307"/>
      <c r="BD270" s="307"/>
      <c r="BE270" s="307"/>
      <c r="BF270" s="307"/>
      <c r="BG270" s="307"/>
      <c r="BH270" s="307"/>
      <c r="BI270" s="307"/>
      <c r="BJ270" s="307"/>
      <c r="BK270" s="307"/>
    </row>
    <row r="271" spans="1:63" s="307" customFormat="1" x14ac:dyDescent="0.25">
      <c r="A271" s="301"/>
      <c r="B271" s="315"/>
      <c r="C271" s="302"/>
      <c r="D271" s="301"/>
      <c r="E271" s="301"/>
      <c r="F271" s="304"/>
      <c r="G271" s="325"/>
      <c r="H271" s="343"/>
      <c r="I271" s="302"/>
      <c r="J271" s="301"/>
      <c r="K271" s="301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307"/>
      <c r="AC271" s="307"/>
      <c r="AD271" s="307"/>
      <c r="AE271" s="307"/>
      <c r="AF271" s="307"/>
      <c r="AG271" s="307"/>
      <c r="AH271" s="307"/>
      <c r="AI271" s="307"/>
      <c r="AJ271" s="307"/>
      <c r="AK271" s="307"/>
      <c r="AL271" s="307"/>
      <c r="AM271" s="307"/>
      <c r="AN271" s="307"/>
      <c r="AO271" s="307"/>
      <c r="AP271" s="307"/>
      <c r="AQ271" s="307"/>
      <c r="AR271" s="307"/>
      <c r="AS271" s="307"/>
      <c r="AT271" s="307"/>
      <c r="AU271" s="307"/>
      <c r="AV271" s="307"/>
      <c r="AW271" s="307"/>
      <c r="AX271" s="307"/>
      <c r="AY271" s="307"/>
      <c r="AZ271" s="307"/>
      <c r="BA271" s="307"/>
      <c r="BB271" s="307"/>
      <c r="BC271" s="307"/>
      <c r="BD271" s="307"/>
      <c r="BE271" s="307"/>
      <c r="BF271" s="307"/>
      <c r="BG271" s="307"/>
      <c r="BH271" s="307"/>
      <c r="BI271" s="307"/>
      <c r="BJ271" s="307"/>
      <c r="BK271" s="307"/>
    </row>
    <row r="272" spans="1:63" s="307" customFormat="1" x14ac:dyDescent="0.25">
      <c r="A272" s="301"/>
      <c r="B272" s="315"/>
      <c r="C272" s="302"/>
      <c r="D272" s="301"/>
      <c r="E272" s="301"/>
      <c r="F272" s="304"/>
      <c r="G272" s="325"/>
      <c r="H272" s="343"/>
      <c r="I272" s="302"/>
      <c r="J272" s="301"/>
      <c r="K272" s="301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307"/>
      <c r="AC272" s="307"/>
      <c r="AD272" s="307"/>
      <c r="AE272" s="307"/>
      <c r="AF272" s="307"/>
      <c r="AG272" s="307"/>
      <c r="AH272" s="307"/>
      <c r="AI272" s="307"/>
      <c r="AJ272" s="307"/>
      <c r="AK272" s="307"/>
      <c r="AL272" s="307"/>
      <c r="AM272" s="307"/>
      <c r="AN272" s="307"/>
      <c r="AO272" s="307"/>
      <c r="AP272" s="307"/>
      <c r="AQ272" s="307"/>
      <c r="AR272" s="307"/>
      <c r="AS272" s="307"/>
      <c r="AT272" s="307"/>
      <c r="AU272" s="307"/>
      <c r="AV272" s="307"/>
      <c r="AW272" s="307"/>
      <c r="AX272" s="307"/>
      <c r="AY272" s="307"/>
      <c r="AZ272" s="307"/>
      <c r="BA272" s="307"/>
      <c r="BB272" s="307"/>
      <c r="BC272" s="307"/>
      <c r="BD272" s="307"/>
      <c r="BE272" s="307"/>
      <c r="BF272" s="307"/>
      <c r="BG272" s="307"/>
      <c r="BH272" s="307"/>
      <c r="BI272" s="307"/>
      <c r="BJ272" s="307"/>
      <c r="BK272" s="307"/>
    </row>
    <row r="273" spans="1:63" s="307" customFormat="1" x14ac:dyDescent="0.25">
      <c r="A273" s="301"/>
      <c r="B273" s="321"/>
      <c r="C273" s="302"/>
      <c r="D273" s="301"/>
      <c r="E273" s="301"/>
      <c r="F273" s="304"/>
      <c r="G273" s="325"/>
      <c r="H273" s="343"/>
      <c r="I273" s="302"/>
      <c r="J273" s="301"/>
      <c r="K273" s="301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307"/>
      <c r="AC273" s="307"/>
      <c r="AD273" s="307"/>
      <c r="AE273" s="307"/>
      <c r="AF273" s="307"/>
      <c r="AG273" s="307"/>
      <c r="AH273" s="307"/>
      <c r="AI273" s="307"/>
      <c r="AJ273" s="307"/>
      <c r="AK273" s="307"/>
      <c r="AL273" s="307"/>
      <c r="AM273" s="307"/>
      <c r="AN273" s="307"/>
      <c r="AO273" s="307"/>
      <c r="AP273" s="307"/>
      <c r="AQ273" s="307"/>
      <c r="AR273" s="307"/>
      <c r="AS273" s="307"/>
      <c r="AT273" s="307"/>
      <c r="AU273" s="307"/>
      <c r="AV273" s="307"/>
      <c r="AW273" s="307"/>
      <c r="AX273" s="307"/>
      <c r="AY273" s="307"/>
      <c r="AZ273" s="307"/>
      <c r="BA273" s="307"/>
      <c r="BB273" s="307"/>
      <c r="BC273" s="307"/>
      <c r="BD273" s="307"/>
      <c r="BE273" s="307"/>
      <c r="BF273" s="307"/>
      <c r="BG273" s="307"/>
      <c r="BH273" s="307"/>
      <c r="BI273" s="307"/>
      <c r="BJ273" s="307"/>
      <c r="BK273" s="307"/>
    </row>
    <row r="274" spans="1:63" s="307" customFormat="1" x14ac:dyDescent="0.25">
      <c r="A274" s="301"/>
      <c r="B274" s="321"/>
      <c r="C274" s="302"/>
      <c r="D274" s="301"/>
      <c r="E274" s="301"/>
      <c r="F274" s="304"/>
      <c r="G274" s="325"/>
      <c r="H274" s="343"/>
      <c r="I274" s="302"/>
      <c r="J274" s="301"/>
      <c r="K274" s="301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  <c r="AE274" s="307"/>
      <c r="AF274" s="307"/>
      <c r="AG274" s="307"/>
      <c r="AH274" s="307"/>
      <c r="AI274" s="307"/>
      <c r="AJ274" s="307"/>
      <c r="AK274" s="307"/>
      <c r="AL274" s="307"/>
      <c r="AM274" s="307"/>
      <c r="AN274" s="307"/>
      <c r="AO274" s="307"/>
      <c r="AP274" s="307"/>
      <c r="AQ274" s="307"/>
      <c r="AR274" s="307"/>
      <c r="AS274" s="307"/>
      <c r="AT274" s="307"/>
      <c r="AU274" s="307"/>
      <c r="AV274" s="307"/>
      <c r="AW274" s="307"/>
      <c r="AX274" s="307"/>
      <c r="AY274" s="307"/>
      <c r="AZ274" s="307"/>
      <c r="BA274" s="307"/>
      <c r="BB274" s="307"/>
      <c r="BC274" s="307"/>
      <c r="BD274" s="307"/>
      <c r="BE274" s="307"/>
      <c r="BF274" s="307"/>
      <c r="BG274" s="307"/>
      <c r="BH274" s="307"/>
      <c r="BI274" s="307"/>
      <c r="BJ274" s="307"/>
      <c r="BK274" s="307"/>
    </row>
    <row r="275" spans="1:63" s="307" customFormat="1" x14ac:dyDescent="0.25">
      <c r="A275" s="301"/>
      <c r="B275" s="321"/>
      <c r="C275" s="302"/>
      <c r="D275" s="301"/>
      <c r="E275" s="301"/>
      <c r="F275" s="304"/>
      <c r="G275" s="325"/>
      <c r="H275" s="343"/>
      <c r="I275" s="302"/>
      <c r="J275" s="301"/>
      <c r="K275" s="301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307"/>
      <c r="AF275" s="307"/>
      <c r="AG275" s="307"/>
      <c r="AH275" s="307"/>
      <c r="AI275" s="307"/>
      <c r="AJ275" s="307"/>
      <c r="AK275" s="307"/>
      <c r="AL275" s="307"/>
      <c r="AM275" s="307"/>
      <c r="AN275" s="307"/>
      <c r="AO275" s="307"/>
      <c r="AP275" s="307"/>
      <c r="AQ275" s="307"/>
      <c r="AR275" s="307"/>
      <c r="AS275" s="307"/>
      <c r="AT275" s="307"/>
      <c r="AU275" s="307"/>
      <c r="AV275" s="307"/>
      <c r="AW275" s="307"/>
      <c r="AX275" s="307"/>
      <c r="AY275" s="307"/>
      <c r="AZ275" s="307"/>
      <c r="BA275" s="307"/>
      <c r="BB275" s="307"/>
      <c r="BC275" s="307"/>
      <c r="BD275" s="307"/>
      <c r="BE275" s="307"/>
      <c r="BF275" s="307"/>
      <c r="BG275" s="307"/>
      <c r="BH275" s="307"/>
      <c r="BI275" s="307"/>
      <c r="BJ275" s="307"/>
      <c r="BK275" s="307"/>
    </row>
    <row r="276" spans="1:63" s="307" customFormat="1" x14ac:dyDescent="0.25">
      <c r="A276" s="301"/>
      <c r="B276" s="321"/>
      <c r="C276" s="302"/>
      <c r="D276" s="301"/>
      <c r="E276" s="301"/>
      <c r="F276" s="304"/>
      <c r="G276" s="325"/>
      <c r="H276" s="343"/>
      <c r="I276" s="302"/>
      <c r="J276" s="301"/>
      <c r="K276" s="301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  <c r="AE276" s="307"/>
      <c r="AF276" s="307"/>
      <c r="AG276" s="307"/>
      <c r="AH276" s="307"/>
      <c r="AI276" s="307"/>
      <c r="AJ276" s="307"/>
      <c r="AK276" s="307"/>
      <c r="AL276" s="307"/>
      <c r="AM276" s="307"/>
      <c r="AN276" s="307"/>
      <c r="AO276" s="307"/>
      <c r="AP276" s="307"/>
      <c r="AQ276" s="307"/>
      <c r="AR276" s="307"/>
      <c r="AS276" s="307"/>
      <c r="AT276" s="307"/>
      <c r="AU276" s="307"/>
      <c r="AV276" s="307"/>
      <c r="AW276" s="307"/>
      <c r="AX276" s="307"/>
      <c r="AY276" s="307"/>
      <c r="AZ276" s="307"/>
      <c r="BA276" s="307"/>
      <c r="BB276" s="307"/>
      <c r="BC276" s="307"/>
      <c r="BD276" s="307"/>
      <c r="BE276" s="307"/>
      <c r="BF276" s="307"/>
      <c r="BG276" s="307"/>
      <c r="BH276" s="307"/>
      <c r="BI276" s="307"/>
      <c r="BJ276" s="307"/>
      <c r="BK276" s="307"/>
    </row>
    <row r="277" spans="1:63" s="307" customFormat="1" x14ac:dyDescent="0.25">
      <c r="A277" s="301"/>
      <c r="B277" s="315"/>
      <c r="C277" s="302"/>
      <c r="D277" s="301"/>
      <c r="E277" s="301"/>
      <c r="F277" s="304"/>
      <c r="G277" s="325"/>
      <c r="H277" s="343"/>
      <c r="I277" s="302"/>
      <c r="J277" s="301"/>
      <c r="K277" s="301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  <c r="AE277" s="307"/>
      <c r="AF277" s="307"/>
      <c r="AG277" s="307"/>
      <c r="AH277" s="307"/>
      <c r="AI277" s="307"/>
      <c r="AJ277" s="307"/>
      <c r="AK277" s="307"/>
      <c r="AL277" s="307"/>
      <c r="AM277" s="307"/>
      <c r="AN277" s="307"/>
      <c r="AO277" s="307"/>
      <c r="AP277" s="307"/>
      <c r="AQ277" s="307"/>
      <c r="AR277" s="307"/>
      <c r="AS277" s="307"/>
      <c r="AT277" s="307"/>
      <c r="AU277" s="307"/>
      <c r="AV277" s="307"/>
      <c r="AW277" s="307"/>
      <c r="AX277" s="307"/>
      <c r="AY277" s="307"/>
      <c r="AZ277" s="307"/>
      <c r="BA277" s="307"/>
      <c r="BB277" s="307"/>
      <c r="BC277" s="307"/>
      <c r="BD277" s="307"/>
      <c r="BE277" s="307"/>
      <c r="BF277" s="307"/>
      <c r="BG277" s="307"/>
      <c r="BH277" s="307"/>
      <c r="BI277" s="307"/>
      <c r="BJ277" s="307"/>
      <c r="BK277" s="307"/>
    </row>
    <row r="278" spans="1:63" s="307" customFormat="1" x14ac:dyDescent="0.25">
      <c r="A278" s="301"/>
      <c r="B278" s="315"/>
      <c r="C278" s="302"/>
      <c r="D278" s="301"/>
      <c r="E278" s="301"/>
      <c r="F278" s="304"/>
      <c r="G278" s="325"/>
      <c r="H278" s="343"/>
      <c r="I278" s="302"/>
      <c r="J278" s="301"/>
      <c r="K278" s="301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307"/>
      <c r="AC278" s="307"/>
      <c r="AD278" s="307"/>
      <c r="AE278" s="307"/>
      <c r="AF278" s="307"/>
      <c r="AG278" s="307"/>
      <c r="AH278" s="307"/>
      <c r="AI278" s="307"/>
      <c r="AJ278" s="307"/>
      <c r="AK278" s="307"/>
      <c r="AL278" s="307"/>
      <c r="AM278" s="307"/>
      <c r="AN278" s="307"/>
      <c r="AO278" s="307"/>
      <c r="AP278" s="307"/>
      <c r="AQ278" s="307"/>
      <c r="AR278" s="307"/>
      <c r="AS278" s="307"/>
      <c r="AT278" s="307"/>
      <c r="AU278" s="307"/>
      <c r="AV278" s="307"/>
      <c r="AW278" s="307"/>
      <c r="AX278" s="307"/>
      <c r="AY278" s="307"/>
      <c r="AZ278" s="307"/>
      <c r="BA278" s="307"/>
      <c r="BB278" s="307"/>
      <c r="BC278" s="307"/>
      <c r="BD278" s="307"/>
      <c r="BE278" s="307"/>
      <c r="BF278" s="307"/>
      <c r="BG278" s="307"/>
      <c r="BH278" s="307"/>
      <c r="BI278" s="307"/>
      <c r="BJ278" s="307"/>
      <c r="BK278" s="307"/>
    </row>
    <row r="279" spans="1:63" s="307" customFormat="1" x14ac:dyDescent="0.25">
      <c r="A279" s="301"/>
      <c r="B279" s="315"/>
      <c r="C279" s="302"/>
      <c r="D279" s="301"/>
      <c r="E279" s="301"/>
      <c r="F279" s="304"/>
      <c r="G279" s="325"/>
      <c r="H279" s="343"/>
      <c r="I279" s="302"/>
      <c r="J279" s="301"/>
      <c r="K279" s="301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307"/>
      <c r="AC279" s="307"/>
      <c r="AD279" s="307"/>
      <c r="AE279" s="307"/>
      <c r="AF279" s="307"/>
      <c r="AG279" s="307"/>
      <c r="AH279" s="307"/>
      <c r="AI279" s="307"/>
      <c r="AJ279" s="307"/>
      <c r="AK279" s="307"/>
      <c r="AL279" s="307"/>
      <c r="AM279" s="307"/>
      <c r="AN279" s="307"/>
      <c r="AO279" s="307"/>
      <c r="AP279" s="307"/>
      <c r="AQ279" s="307"/>
      <c r="AR279" s="307"/>
      <c r="AS279" s="307"/>
      <c r="AT279" s="307"/>
      <c r="AU279" s="307"/>
      <c r="AV279" s="307"/>
      <c r="AW279" s="307"/>
      <c r="AX279" s="307"/>
      <c r="AY279" s="307"/>
      <c r="AZ279" s="307"/>
      <c r="BA279" s="307"/>
      <c r="BB279" s="307"/>
      <c r="BC279" s="307"/>
      <c r="BD279" s="307"/>
      <c r="BE279" s="307"/>
      <c r="BF279" s="307"/>
      <c r="BG279" s="307"/>
      <c r="BH279" s="307"/>
      <c r="BI279" s="307"/>
      <c r="BJ279" s="307"/>
      <c r="BK279" s="307"/>
    </row>
    <row r="280" spans="1:63" s="307" customFormat="1" x14ac:dyDescent="0.25">
      <c r="A280" s="301"/>
      <c r="B280" s="315"/>
      <c r="C280" s="302"/>
      <c r="D280" s="301"/>
      <c r="E280" s="301"/>
      <c r="F280" s="304"/>
      <c r="G280" s="325"/>
      <c r="H280" s="343"/>
      <c r="I280" s="302"/>
      <c r="J280" s="301"/>
      <c r="K280" s="301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307"/>
      <c r="AC280" s="307"/>
      <c r="AD280" s="307"/>
      <c r="AE280" s="307"/>
      <c r="AF280" s="307"/>
      <c r="AG280" s="307"/>
      <c r="AH280" s="307"/>
      <c r="AI280" s="307"/>
      <c r="AJ280" s="307"/>
      <c r="AK280" s="307"/>
      <c r="AL280" s="307"/>
      <c r="AM280" s="307"/>
      <c r="AN280" s="307"/>
      <c r="AO280" s="307"/>
      <c r="AP280" s="307"/>
      <c r="AQ280" s="307"/>
      <c r="AR280" s="307"/>
      <c r="AS280" s="307"/>
      <c r="AT280" s="307"/>
      <c r="AU280" s="307"/>
      <c r="AV280" s="307"/>
      <c r="AW280" s="307"/>
      <c r="AX280" s="307"/>
      <c r="AY280" s="307"/>
      <c r="AZ280" s="307"/>
      <c r="BA280" s="307"/>
      <c r="BB280" s="307"/>
      <c r="BC280" s="307"/>
      <c r="BD280" s="307"/>
      <c r="BE280" s="307"/>
      <c r="BF280" s="307"/>
      <c r="BG280" s="307"/>
      <c r="BH280" s="307"/>
      <c r="BI280" s="307"/>
      <c r="BJ280" s="307"/>
      <c r="BK280" s="307"/>
    </row>
    <row r="281" spans="1:63" s="307" customFormat="1" x14ac:dyDescent="0.25">
      <c r="A281" s="301"/>
      <c r="B281" s="315"/>
      <c r="C281" s="302"/>
      <c r="D281" s="301"/>
      <c r="E281" s="301"/>
      <c r="F281" s="304"/>
      <c r="G281" s="325"/>
      <c r="H281" s="343"/>
      <c r="I281" s="302"/>
      <c r="J281" s="301"/>
      <c r="K281" s="301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307"/>
      <c r="AC281" s="307"/>
      <c r="AD281" s="307"/>
      <c r="AE281" s="307"/>
      <c r="AF281" s="307"/>
      <c r="AG281" s="307"/>
      <c r="AH281" s="307"/>
      <c r="AI281" s="307"/>
      <c r="AJ281" s="307"/>
      <c r="AK281" s="307"/>
      <c r="AL281" s="307"/>
      <c r="AM281" s="307"/>
      <c r="AN281" s="307"/>
      <c r="AO281" s="307"/>
      <c r="AP281" s="307"/>
      <c r="AQ281" s="307"/>
      <c r="AR281" s="307"/>
      <c r="AS281" s="307"/>
      <c r="AT281" s="307"/>
      <c r="AU281" s="307"/>
      <c r="AV281" s="307"/>
      <c r="AW281" s="307"/>
      <c r="AX281" s="307"/>
      <c r="AY281" s="307"/>
      <c r="AZ281" s="307"/>
      <c r="BA281" s="307"/>
      <c r="BB281" s="307"/>
      <c r="BC281" s="307"/>
      <c r="BD281" s="307"/>
      <c r="BE281" s="307"/>
      <c r="BF281" s="307"/>
      <c r="BG281" s="307"/>
      <c r="BH281" s="307"/>
      <c r="BI281" s="307"/>
      <c r="BJ281" s="307"/>
      <c r="BK281" s="307"/>
    </row>
    <row r="282" spans="1:63" s="307" customFormat="1" x14ac:dyDescent="0.25">
      <c r="A282" s="301"/>
      <c r="B282" s="315"/>
      <c r="C282" s="302"/>
      <c r="D282" s="301"/>
      <c r="E282" s="301"/>
      <c r="F282" s="304"/>
      <c r="G282" s="325"/>
      <c r="H282" s="343"/>
      <c r="I282" s="302"/>
      <c r="J282" s="301"/>
      <c r="K282" s="301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307"/>
      <c r="AC282" s="307"/>
      <c r="AD282" s="307"/>
      <c r="AE282" s="307"/>
      <c r="AF282" s="307"/>
      <c r="AG282" s="307"/>
      <c r="AH282" s="307"/>
      <c r="AI282" s="307"/>
      <c r="AJ282" s="307"/>
      <c r="AK282" s="307"/>
      <c r="AL282" s="307"/>
      <c r="AM282" s="307"/>
      <c r="AN282" s="307"/>
      <c r="AO282" s="307"/>
      <c r="AP282" s="307"/>
      <c r="AQ282" s="307"/>
      <c r="AR282" s="307"/>
      <c r="AS282" s="307"/>
      <c r="AT282" s="307"/>
      <c r="AU282" s="307"/>
      <c r="AV282" s="307"/>
      <c r="AW282" s="307"/>
      <c r="AX282" s="307"/>
      <c r="AY282" s="307"/>
      <c r="AZ282" s="307"/>
      <c r="BA282" s="307"/>
      <c r="BB282" s="307"/>
      <c r="BC282" s="307"/>
      <c r="BD282" s="307"/>
      <c r="BE282" s="307"/>
      <c r="BF282" s="307"/>
      <c r="BG282" s="307"/>
      <c r="BH282" s="307"/>
      <c r="BI282" s="307"/>
      <c r="BJ282" s="307"/>
      <c r="BK282" s="307"/>
    </row>
    <row r="283" spans="1:63" s="307" customFormat="1" x14ac:dyDescent="0.25">
      <c r="A283" s="301"/>
      <c r="B283" s="321"/>
      <c r="C283" s="302"/>
      <c r="D283" s="301"/>
      <c r="E283" s="301"/>
      <c r="F283" s="304"/>
      <c r="G283" s="325"/>
      <c r="H283" s="343"/>
      <c r="I283" s="302"/>
      <c r="J283" s="301"/>
      <c r="K283" s="301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307"/>
      <c r="AC283" s="307"/>
      <c r="AD283" s="307"/>
      <c r="AE283" s="307"/>
      <c r="AF283" s="307"/>
      <c r="AG283" s="307"/>
      <c r="AH283" s="307"/>
      <c r="AI283" s="307"/>
      <c r="AJ283" s="307"/>
      <c r="AK283" s="307"/>
      <c r="AL283" s="307"/>
      <c r="AM283" s="307"/>
      <c r="AN283" s="307"/>
      <c r="AO283" s="307"/>
      <c r="AP283" s="307"/>
      <c r="AQ283" s="307"/>
      <c r="AR283" s="307"/>
      <c r="AS283" s="307"/>
      <c r="AT283" s="307"/>
      <c r="AU283" s="307"/>
      <c r="AV283" s="307"/>
      <c r="AW283" s="307"/>
      <c r="AX283" s="307"/>
      <c r="AY283" s="307"/>
      <c r="AZ283" s="307"/>
      <c r="BA283" s="307"/>
      <c r="BB283" s="307"/>
      <c r="BC283" s="307"/>
      <c r="BD283" s="307"/>
      <c r="BE283" s="307"/>
      <c r="BF283" s="307"/>
      <c r="BG283" s="307"/>
      <c r="BH283" s="307"/>
      <c r="BI283" s="307"/>
      <c r="BJ283" s="307"/>
      <c r="BK283" s="307"/>
    </row>
    <row r="284" spans="1:63" s="307" customFormat="1" x14ac:dyDescent="0.25">
      <c r="A284" s="301"/>
      <c r="B284" s="321"/>
      <c r="C284" s="302"/>
      <c r="D284" s="301"/>
      <c r="E284" s="301"/>
      <c r="F284" s="304"/>
      <c r="G284" s="325"/>
      <c r="H284" s="343"/>
      <c r="I284" s="302"/>
      <c r="J284" s="301"/>
      <c r="K284" s="301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307"/>
      <c r="AC284" s="307"/>
      <c r="AD284" s="307"/>
      <c r="AE284" s="307"/>
      <c r="AF284" s="307"/>
      <c r="AG284" s="307"/>
      <c r="AH284" s="307"/>
      <c r="AI284" s="307"/>
      <c r="AJ284" s="307"/>
      <c r="AK284" s="307"/>
      <c r="AL284" s="307"/>
      <c r="AM284" s="307"/>
      <c r="AN284" s="307"/>
      <c r="AO284" s="307"/>
      <c r="AP284" s="307"/>
      <c r="AQ284" s="307"/>
      <c r="AR284" s="307"/>
      <c r="AS284" s="307"/>
      <c r="AT284" s="307"/>
      <c r="AU284" s="307"/>
      <c r="AV284" s="307"/>
      <c r="AW284" s="307"/>
      <c r="AX284" s="307"/>
      <c r="AY284" s="307"/>
      <c r="AZ284" s="307"/>
      <c r="BA284" s="307"/>
      <c r="BB284" s="307"/>
      <c r="BC284" s="307"/>
      <c r="BD284" s="307"/>
      <c r="BE284" s="307"/>
      <c r="BF284" s="307"/>
      <c r="BG284" s="307"/>
      <c r="BH284" s="307"/>
      <c r="BI284" s="307"/>
      <c r="BJ284" s="307"/>
      <c r="BK284" s="307"/>
    </row>
    <row r="285" spans="1:63" s="307" customFormat="1" x14ac:dyDescent="0.25">
      <c r="A285" s="301"/>
      <c r="B285" s="321"/>
      <c r="C285" s="302"/>
      <c r="D285" s="301"/>
      <c r="E285" s="301"/>
      <c r="F285" s="304"/>
      <c r="G285" s="325"/>
      <c r="H285" s="343"/>
      <c r="I285" s="302"/>
      <c r="J285" s="301"/>
      <c r="K285" s="301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307"/>
      <c r="AC285" s="307"/>
      <c r="AD285" s="307"/>
      <c r="AE285" s="307"/>
      <c r="AF285" s="307"/>
      <c r="AG285" s="307"/>
      <c r="AH285" s="307"/>
      <c r="AI285" s="307"/>
      <c r="AJ285" s="307"/>
      <c r="AK285" s="307"/>
      <c r="AL285" s="307"/>
      <c r="AM285" s="307"/>
      <c r="AN285" s="307"/>
      <c r="AO285" s="307"/>
      <c r="AP285" s="307"/>
      <c r="AQ285" s="307"/>
      <c r="AR285" s="307"/>
      <c r="AS285" s="307"/>
      <c r="AT285" s="307"/>
      <c r="AU285" s="307"/>
      <c r="AV285" s="307"/>
      <c r="AW285" s="307"/>
      <c r="AX285" s="307"/>
      <c r="AY285" s="307"/>
      <c r="AZ285" s="307"/>
      <c r="BA285" s="307"/>
      <c r="BB285" s="307"/>
      <c r="BC285" s="307"/>
      <c r="BD285" s="307"/>
      <c r="BE285" s="307"/>
      <c r="BF285" s="307"/>
      <c r="BG285" s="307"/>
      <c r="BH285" s="307"/>
      <c r="BI285" s="307"/>
      <c r="BJ285" s="307"/>
      <c r="BK285" s="307"/>
    </row>
    <row r="286" spans="1:63" s="307" customFormat="1" x14ac:dyDescent="0.25">
      <c r="A286" s="301"/>
      <c r="B286" s="321"/>
      <c r="C286" s="302"/>
      <c r="D286" s="301"/>
      <c r="E286" s="301"/>
      <c r="F286" s="304"/>
      <c r="G286" s="325"/>
      <c r="H286" s="343"/>
      <c r="I286" s="302"/>
      <c r="J286" s="301"/>
      <c r="K286" s="301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307"/>
      <c r="AC286" s="307"/>
      <c r="AD286" s="307"/>
      <c r="AE286" s="307"/>
      <c r="AF286" s="307"/>
      <c r="AG286" s="307"/>
      <c r="AH286" s="307"/>
      <c r="AI286" s="307"/>
      <c r="AJ286" s="307"/>
      <c r="AK286" s="307"/>
      <c r="AL286" s="307"/>
      <c r="AM286" s="307"/>
      <c r="AN286" s="307"/>
      <c r="AO286" s="307"/>
      <c r="AP286" s="307"/>
      <c r="AQ286" s="307"/>
      <c r="AR286" s="307"/>
      <c r="AS286" s="307"/>
      <c r="AT286" s="307"/>
      <c r="AU286" s="307"/>
      <c r="AV286" s="307"/>
      <c r="AW286" s="307"/>
      <c r="AX286" s="307"/>
      <c r="AY286" s="307"/>
      <c r="AZ286" s="307"/>
      <c r="BA286" s="307"/>
      <c r="BB286" s="307"/>
      <c r="BC286" s="307"/>
      <c r="BD286" s="307"/>
      <c r="BE286" s="307"/>
      <c r="BF286" s="307"/>
      <c r="BG286" s="307"/>
      <c r="BH286" s="307"/>
      <c r="BI286" s="307"/>
      <c r="BJ286" s="307"/>
      <c r="BK286" s="307"/>
    </row>
    <row r="287" spans="1:63" s="307" customFormat="1" x14ac:dyDescent="0.25">
      <c r="A287" s="301"/>
      <c r="B287" s="321"/>
      <c r="C287" s="302"/>
      <c r="D287" s="301"/>
      <c r="E287" s="301"/>
      <c r="F287" s="304"/>
      <c r="G287" s="325"/>
      <c r="H287" s="343"/>
      <c r="I287" s="302"/>
      <c r="J287" s="301"/>
      <c r="K287" s="301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  <c r="AE287" s="307"/>
      <c r="AF287" s="307"/>
      <c r="AG287" s="307"/>
      <c r="AH287" s="307"/>
      <c r="AI287" s="307"/>
      <c r="AJ287" s="307"/>
      <c r="AK287" s="307"/>
      <c r="AL287" s="307"/>
      <c r="AM287" s="307"/>
      <c r="AN287" s="307"/>
      <c r="AO287" s="307"/>
      <c r="AP287" s="307"/>
      <c r="AQ287" s="307"/>
      <c r="AR287" s="307"/>
      <c r="AS287" s="307"/>
      <c r="AT287" s="307"/>
      <c r="AU287" s="307"/>
      <c r="AV287" s="307"/>
      <c r="AW287" s="307"/>
      <c r="AX287" s="307"/>
      <c r="AY287" s="307"/>
      <c r="AZ287" s="307"/>
      <c r="BA287" s="307"/>
      <c r="BB287" s="307"/>
      <c r="BC287" s="307"/>
      <c r="BD287" s="307"/>
      <c r="BE287" s="307"/>
      <c r="BF287" s="307"/>
      <c r="BG287" s="307"/>
      <c r="BH287" s="307"/>
      <c r="BI287" s="307"/>
      <c r="BJ287" s="307"/>
      <c r="BK287" s="307"/>
    </row>
    <row r="288" spans="1:63" s="307" customFormat="1" x14ac:dyDescent="0.25">
      <c r="A288" s="301"/>
      <c r="B288" s="321"/>
      <c r="C288" s="302"/>
      <c r="D288" s="301"/>
      <c r="E288" s="301"/>
      <c r="F288" s="304"/>
      <c r="G288" s="325"/>
      <c r="H288" s="343"/>
      <c r="I288" s="302"/>
      <c r="J288" s="301"/>
      <c r="K288" s="301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  <c r="AG288" s="307"/>
      <c r="AH288" s="307"/>
      <c r="AI288" s="307"/>
      <c r="AJ288" s="307"/>
      <c r="AK288" s="307"/>
      <c r="AL288" s="307"/>
      <c r="AM288" s="307"/>
      <c r="AN288" s="307"/>
      <c r="AO288" s="307"/>
      <c r="AP288" s="307"/>
      <c r="AQ288" s="307"/>
      <c r="AR288" s="307"/>
      <c r="AS288" s="307"/>
      <c r="AT288" s="307"/>
      <c r="AU288" s="307"/>
      <c r="AV288" s="307"/>
      <c r="AW288" s="307"/>
      <c r="AX288" s="307"/>
      <c r="AY288" s="307"/>
      <c r="AZ288" s="307"/>
      <c r="BA288" s="307"/>
      <c r="BB288" s="307"/>
      <c r="BC288" s="307"/>
      <c r="BD288" s="307"/>
      <c r="BE288" s="307"/>
      <c r="BF288" s="307"/>
      <c r="BG288" s="307"/>
      <c r="BH288" s="307"/>
      <c r="BI288" s="307"/>
      <c r="BJ288" s="307"/>
      <c r="BK288" s="307"/>
    </row>
    <row r="289" spans="1:63" s="307" customFormat="1" x14ac:dyDescent="0.25">
      <c r="A289" s="301"/>
      <c r="B289" s="321"/>
      <c r="C289" s="302"/>
      <c r="D289" s="301"/>
      <c r="E289" s="301"/>
      <c r="F289" s="304"/>
      <c r="G289" s="325"/>
      <c r="H289" s="343"/>
      <c r="I289" s="302"/>
      <c r="J289" s="301"/>
      <c r="K289" s="301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307"/>
      <c r="AC289" s="307"/>
      <c r="AD289" s="307"/>
      <c r="AE289" s="307"/>
      <c r="AF289" s="307"/>
      <c r="AG289" s="307"/>
      <c r="AH289" s="307"/>
      <c r="AI289" s="307"/>
      <c r="AJ289" s="307"/>
      <c r="AK289" s="307"/>
      <c r="AL289" s="307"/>
      <c r="AM289" s="307"/>
      <c r="AN289" s="307"/>
      <c r="AO289" s="307"/>
      <c r="AP289" s="307"/>
      <c r="AQ289" s="307"/>
      <c r="AR289" s="307"/>
      <c r="AS289" s="307"/>
      <c r="AT289" s="307"/>
      <c r="AU289" s="307"/>
      <c r="AV289" s="307"/>
      <c r="AW289" s="307"/>
      <c r="AX289" s="307"/>
      <c r="AY289" s="307"/>
      <c r="AZ289" s="307"/>
      <c r="BA289" s="307"/>
      <c r="BB289" s="307"/>
      <c r="BC289" s="307"/>
      <c r="BD289" s="307"/>
      <c r="BE289" s="307"/>
      <c r="BF289" s="307"/>
      <c r="BG289" s="307"/>
      <c r="BH289" s="307"/>
      <c r="BI289" s="307"/>
      <c r="BJ289" s="307"/>
      <c r="BK289" s="307"/>
    </row>
    <row r="290" spans="1:63" s="307" customFormat="1" x14ac:dyDescent="0.25">
      <c r="A290" s="301"/>
      <c r="B290" s="321"/>
      <c r="C290" s="302"/>
      <c r="D290" s="301"/>
      <c r="E290" s="301"/>
      <c r="F290" s="304"/>
      <c r="G290" s="325"/>
      <c r="H290" s="343"/>
      <c r="I290" s="302"/>
      <c r="J290" s="301"/>
      <c r="K290" s="301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307"/>
      <c r="AC290" s="307"/>
      <c r="AD290" s="307"/>
      <c r="AE290" s="307"/>
      <c r="AF290" s="307"/>
      <c r="AG290" s="307"/>
      <c r="AH290" s="307"/>
      <c r="AI290" s="307"/>
      <c r="AJ290" s="307"/>
      <c r="AK290" s="307"/>
      <c r="AL290" s="307"/>
      <c r="AM290" s="307"/>
      <c r="AN290" s="307"/>
      <c r="AO290" s="307"/>
      <c r="AP290" s="307"/>
      <c r="AQ290" s="307"/>
      <c r="AR290" s="307"/>
      <c r="AS290" s="307"/>
      <c r="AT290" s="307"/>
      <c r="AU290" s="307"/>
      <c r="AV290" s="307"/>
      <c r="AW290" s="307"/>
      <c r="AX290" s="307"/>
      <c r="AY290" s="307"/>
      <c r="AZ290" s="307"/>
      <c r="BA290" s="307"/>
      <c r="BB290" s="307"/>
      <c r="BC290" s="307"/>
      <c r="BD290" s="307"/>
      <c r="BE290" s="307"/>
      <c r="BF290" s="307"/>
      <c r="BG290" s="307"/>
      <c r="BH290" s="307"/>
      <c r="BI290" s="307"/>
      <c r="BJ290" s="307"/>
      <c r="BK290" s="307"/>
    </row>
    <row r="291" spans="1:63" s="307" customFormat="1" x14ac:dyDescent="0.25">
      <c r="A291" s="301"/>
      <c r="B291" s="321"/>
      <c r="C291" s="302"/>
      <c r="D291" s="301"/>
      <c r="E291" s="301"/>
      <c r="F291" s="304"/>
      <c r="G291" s="325"/>
      <c r="H291" s="343"/>
      <c r="I291" s="302"/>
      <c r="J291" s="301"/>
      <c r="K291" s="301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307"/>
      <c r="AC291" s="307"/>
      <c r="AD291" s="307"/>
      <c r="AE291" s="307"/>
      <c r="AF291" s="307"/>
      <c r="AG291" s="307"/>
      <c r="AH291" s="307"/>
      <c r="AI291" s="307"/>
      <c r="AJ291" s="307"/>
      <c r="AK291" s="307"/>
      <c r="AL291" s="307"/>
      <c r="AM291" s="307"/>
      <c r="AN291" s="307"/>
      <c r="AO291" s="307"/>
      <c r="AP291" s="307"/>
      <c r="AQ291" s="307"/>
      <c r="AR291" s="307"/>
      <c r="AS291" s="307"/>
      <c r="AT291" s="307"/>
      <c r="AU291" s="307"/>
      <c r="AV291" s="307"/>
      <c r="AW291" s="307"/>
      <c r="AX291" s="307"/>
      <c r="AY291" s="307"/>
      <c r="AZ291" s="307"/>
      <c r="BA291" s="307"/>
      <c r="BB291" s="307"/>
      <c r="BC291" s="307"/>
      <c r="BD291" s="307"/>
      <c r="BE291" s="307"/>
      <c r="BF291" s="307"/>
      <c r="BG291" s="307"/>
      <c r="BH291" s="307"/>
      <c r="BI291" s="307"/>
      <c r="BJ291" s="307"/>
      <c r="BK291" s="307"/>
    </row>
    <row r="292" spans="1:63" x14ac:dyDescent="0.25">
      <c r="A292" s="301"/>
      <c r="B292" s="321"/>
      <c r="C292" s="302"/>
      <c r="D292" s="301"/>
      <c r="E292" s="301"/>
      <c r="F292" s="305"/>
      <c r="G292" s="325"/>
      <c r="H292" s="343"/>
      <c r="I292" s="302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F292" s="301"/>
      <c r="AG292" s="301"/>
      <c r="AH292" s="301"/>
      <c r="AI292" s="301"/>
      <c r="AJ292" s="301"/>
      <c r="AK292" s="301"/>
      <c r="AL292" s="301"/>
      <c r="AM292" s="301"/>
      <c r="AN292" s="301"/>
      <c r="AO292" s="301"/>
      <c r="AP292" s="301"/>
      <c r="AQ292" s="301"/>
      <c r="AR292" s="301"/>
      <c r="AS292" s="301"/>
      <c r="AT292" s="301"/>
      <c r="AU292" s="301"/>
      <c r="AV292" s="301"/>
      <c r="AW292" s="301"/>
      <c r="AX292" s="301"/>
      <c r="AY292" s="301"/>
      <c r="AZ292" s="301"/>
      <c r="BA292" s="301"/>
      <c r="BB292" s="301"/>
      <c r="BC292" s="301"/>
      <c r="BD292" s="301"/>
      <c r="BE292" s="301"/>
      <c r="BF292" s="301"/>
      <c r="BG292" s="301"/>
      <c r="BH292" s="301"/>
      <c r="BI292" s="301"/>
      <c r="BJ292" s="301"/>
      <c r="BK292" s="301"/>
    </row>
    <row r="293" spans="1:63" s="307" customFormat="1" x14ac:dyDescent="0.25">
      <c r="A293" s="301"/>
      <c r="B293" s="321"/>
      <c r="C293" s="302"/>
      <c r="D293" s="301"/>
      <c r="E293" s="301"/>
      <c r="F293" s="304"/>
      <c r="G293" s="325"/>
      <c r="H293" s="343"/>
      <c r="I293" s="302"/>
      <c r="J293" s="301"/>
      <c r="K293" s="301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307"/>
      <c r="AC293" s="307"/>
      <c r="AD293" s="307"/>
      <c r="AE293" s="307"/>
      <c r="AF293" s="307"/>
      <c r="AG293" s="307"/>
      <c r="AH293" s="307"/>
      <c r="AI293" s="307"/>
      <c r="AJ293" s="307"/>
      <c r="AK293" s="307"/>
      <c r="AL293" s="307"/>
      <c r="AM293" s="307"/>
      <c r="AN293" s="307"/>
      <c r="AO293" s="307"/>
      <c r="AP293" s="307"/>
      <c r="AQ293" s="307"/>
      <c r="AR293" s="307"/>
      <c r="AS293" s="307"/>
      <c r="AT293" s="307"/>
      <c r="AU293" s="307"/>
      <c r="AV293" s="307"/>
      <c r="AW293" s="307"/>
      <c r="AX293" s="307"/>
      <c r="AY293" s="307"/>
      <c r="AZ293" s="307"/>
      <c r="BA293" s="307"/>
      <c r="BB293" s="307"/>
      <c r="BC293" s="307"/>
      <c r="BD293" s="307"/>
      <c r="BE293" s="307"/>
      <c r="BF293" s="307"/>
      <c r="BG293" s="307"/>
      <c r="BH293" s="307"/>
      <c r="BI293" s="307"/>
      <c r="BJ293" s="307"/>
      <c r="BK293" s="307"/>
    </row>
    <row r="294" spans="1:63" x14ac:dyDescent="0.25">
      <c r="A294" s="301"/>
      <c r="B294" s="321"/>
      <c r="C294" s="302"/>
      <c r="D294" s="301"/>
      <c r="E294" s="301"/>
      <c r="F294" s="305"/>
      <c r="G294" s="325"/>
      <c r="H294" s="343"/>
      <c r="I294" s="302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F294" s="301"/>
      <c r="AG294" s="301"/>
      <c r="AH294" s="301"/>
      <c r="AI294" s="301"/>
      <c r="AJ294" s="301"/>
      <c r="AK294" s="301"/>
      <c r="AL294" s="301"/>
      <c r="AM294" s="301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1"/>
      <c r="AZ294" s="301"/>
      <c r="BA294" s="301"/>
      <c r="BB294" s="301"/>
      <c r="BC294" s="301"/>
      <c r="BD294" s="301"/>
      <c r="BE294" s="301"/>
      <c r="BF294" s="301"/>
      <c r="BG294" s="301"/>
      <c r="BH294" s="301"/>
      <c r="BI294" s="301"/>
      <c r="BJ294" s="301"/>
      <c r="BK294" s="301"/>
    </row>
    <row r="295" spans="1:63" s="307" customFormat="1" x14ac:dyDescent="0.25">
      <c r="A295" s="301"/>
      <c r="B295" s="321"/>
      <c r="C295" s="302"/>
      <c r="D295" s="301"/>
      <c r="E295" s="301"/>
      <c r="F295" s="304"/>
      <c r="G295" s="325"/>
      <c r="H295" s="343"/>
      <c r="I295" s="302"/>
      <c r="J295" s="301"/>
      <c r="K295" s="301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307"/>
      <c r="AC295" s="307"/>
      <c r="AD295" s="307"/>
      <c r="AE295" s="307"/>
      <c r="AF295" s="307"/>
      <c r="AG295" s="307"/>
      <c r="AH295" s="307"/>
      <c r="AI295" s="307"/>
      <c r="AJ295" s="307"/>
      <c r="AK295" s="307"/>
      <c r="AL295" s="307"/>
      <c r="AM295" s="307"/>
      <c r="AN295" s="307"/>
      <c r="AO295" s="307"/>
      <c r="AP295" s="307"/>
      <c r="AQ295" s="307"/>
      <c r="AR295" s="307"/>
      <c r="AS295" s="307"/>
      <c r="AT295" s="307"/>
      <c r="AU295" s="307"/>
      <c r="AV295" s="307"/>
      <c r="AW295" s="307"/>
      <c r="AX295" s="307"/>
      <c r="AY295" s="307"/>
      <c r="AZ295" s="307"/>
      <c r="BA295" s="307"/>
      <c r="BB295" s="307"/>
      <c r="BC295" s="307"/>
      <c r="BD295" s="307"/>
      <c r="BE295" s="307"/>
      <c r="BF295" s="307"/>
      <c r="BG295" s="307"/>
      <c r="BH295" s="307"/>
      <c r="BI295" s="307"/>
      <c r="BJ295" s="307"/>
      <c r="BK295" s="307"/>
    </row>
    <row r="296" spans="1:63" x14ac:dyDescent="0.25">
      <c r="A296" s="301"/>
      <c r="B296" s="321"/>
      <c r="C296" s="302"/>
      <c r="D296" s="301"/>
      <c r="E296" s="301"/>
      <c r="F296" s="305"/>
      <c r="G296" s="325"/>
      <c r="H296" s="343"/>
      <c r="I296" s="302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  <c r="AG296" s="301"/>
      <c r="AH296" s="301"/>
      <c r="AI296" s="301"/>
      <c r="AJ296" s="301"/>
      <c r="AK296" s="301"/>
      <c r="AL296" s="301"/>
      <c r="AM296" s="301"/>
      <c r="AN296" s="301"/>
      <c r="AO296" s="301"/>
      <c r="AP296" s="301"/>
      <c r="AQ296" s="301"/>
      <c r="AR296" s="301"/>
      <c r="AS296" s="301"/>
      <c r="AT296" s="301"/>
      <c r="AU296" s="301"/>
      <c r="AV296" s="301"/>
      <c r="AW296" s="301"/>
      <c r="AX296" s="301"/>
      <c r="AY296" s="301"/>
      <c r="AZ296" s="301"/>
      <c r="BA296" s="301"/>
      <c r="BB296" s="301"/>
      <c r="BC296" s="301"/>
      <c r="BD296" s="301"/>
      <c r="BE296" s="301"/>
      <c r="BF296" s="301"/>
      <c r="BG296" s="301"/>
      <c r="BH296" s="301"/>
      <c r="BI296" s="301"/>
      <c r="BJ296" s="301"/>
      <c r="BK296" s="301"/>
    </row>
    <row r="297" spans="1:63" s="307" customFormat="1" x14ac:dyDescent="0.25">
      <c r="A297" s="301"/>
      <c r="B297" s="321"/>
      <c r="C297" s="302"/>
      <c r="D297" s="301"/>
      <c r="E297" s="301"/>
      <c r="F297" s="304"/>
      <c r="G297" s="325"/>
      <c r="H297" s="343"/>
      <c r="I297" s="302"/>
      <c r="J297" s="301"/>
      <c r="K297" s="301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  <c r="AE297" s="307"/>
      <c r="AF297" s="307"/>
      <c r="AG297" s="307"/>
      <c r="AH297" s="307"/>
      <c r="AI297" s="307"/>
      <c r="AJ297" s="307"/>
      <c r="AK297" s="307"/>
      <c r="AL297" s="307"/>
      <c r="AM297" s="307"/>
      <c r="AN297" s="307"/>
      <c r="AO297" s="307"/>
      <c r="AP297" s="307"/>
      <c r="AQ297" s="307"/>
      <c r="AR297" s="307"/>
      <c r="AS297" s="307"/>
      <c r="AT297" s="307"/>
      <c r="AU297" s="307"/>
      <c r="AV297" s="307"/>
      <c r="AW297" s="307"/>
      <c r="AX297" s="307"/>
      <c r="AY297" s="307"/>
      <c r="AZ297" s="307"/>
      <c r="BA297" s="307"/>
      <c r="BB297" s="307"/>
      <c r="BC297" s="307"/>
      <c r="BD297" s="307"/>
      <c r="BE297" s="307"/>
      <c r="BF297" s="307"/>
      <c r="BG297" s="307"/>
      <c r="BH297" s="307"/>
      <c r="BI297" s="307"/>
      <c r="BJ297" s="307"/>
      <c r="BK297" s="307"/>
    </row>
    <row r="298" spans="1:63" s="307" customFormat="1" x14ac:dyDescent="0.25">
      <c r="A298" s="301"/>
      <c r="B298" s="321"/>
      <c r="C298" s="302"/>
      <c r="D298" s="301"/>
      <c r="E298" s="301"/>
      <c r="F298" s="304"/>
      <c r="G298" s="325"/>
      <c r="H298" s="343"/>
      <c r="I298" s="302"/>
      <c r="J298" s="301"/>
      <c r="K298" s="301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AF298" s="307"/>
      <c r="AG298" s="307"/>
      <c r="AH298" s="307"/>
      <c r="AI298" s="307"/>
      <c r="AJ298" s="307"/>
      <c r="AK298" s="307"/>
      <c r="AL298" s="307"/>
      <c r="AM298" s="307"/>
      <c r="AN298" s="307"/>
      <c r="AO298" s="307"/>
      <c r="AP298" s="307"/>
      <c r="AQ298" s="307"/>
      <c r="AR298" s="307"/>
      <c r="AS298" s="307"/>
      <c r="AT298" s="307"/>
      <c r="AU298" s="307"/>
      <c r="AV298" s="307"/>
      <c r="AW298" s="307"/>
      <c r="AX298" s="307"/>
      <c r="AY298" s="307"/>
      <c r="AZ298" s="307"/>
      <c r="BA298" s="307"/>
      <c r="BB298" s="307"/>
      <c r="BC298" s="307"/>
      <c r="BD298" s="307"/>
      <c r="BE298" s="307"/>
      <c r="BF298" s="307"/>
      <c r="BG298" s="307"/>
      <c r="BH298" s="307"/>
      <c r="BI298" s="307"/>
      <c r="BJ298" s="307"/>
      <c r="BK298" s="307"/>
    </row>
    <row r="299" spans="1:63" s="307" customFormat="1" x14ac:dyDescent="0.25">
      <c r="A299" s="301"/>
      <c r="B299" s="321"/>
      <c r="C299" s="302"/>
      <c r="D299" s="301"/>
      <c r="E299" s="301"/>
      <c r="F299" s="304"/>
      <c r="G299" s="325"/>
      <c r="H299" s="343"/>
      <c r="I299" s="302"/>
      <c r="J299" s="301"/>
      <c r="K299" s="301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AF299" s="307"/>
      <c r="AG299" s="307"/>
      <c r="AH299" s="307"/>
      <c r="AI299" s="307"/>
      <c r="AJ299" s="307"/>
      <c r="AK299" s="307"/>
      <c r="AL299" s="307"/>
      <c r="AM299" s="307"/>
      <c r="AN299" s="307"/>
      <c r="AO299" s="307"/>
      <c r="AP299" s="307"/>
      <c r="AQ299" s="307"/>
      <c r="AR299" s="307"/>
      <c r="AS299" s="307"/>
      <c r="AT299" s="307"/>
      <c r="AU299" s="307"/>
      <c r="AV299" s="307"/>
      <c r="AW299" s="307"/>
      <c r="AX299" s="307"/>
      <c r="AY299" s="307"/>
      <c r="AZ299" s="307"/>
      <c r="BA299" s="307"/>
      <c r="BB299" s="307"/>
      <c r="BC299" s="307"/>
      <c r="BD299" s="307"/>
      <c r="BE299" s="307"/>
      <c r="BF299" s="307"/>
      <c r="BG299" s="307"/>
      <c r="BH299" s="307"/>
      <c r="BI299" s="307"/>
      <c r="BJ299" s="307"/>
      <c r="BK299" s="307"/>
    </row>
    <row r="300" spans="1:63" x14ac:dyDescent="0.25">
      <c r="A300" s="301"/>
      <c r="B300" s="321"/>
      <c r="C300" s="302"/>
      <c r="D300" s="301"/>
      <c r="E300" s="301"/>
      <c r="F300" s="305"/>
      <c r="G300" s="325"/>
      <c r="H300" s="343"/>
      <c r="I300" s="302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  <c r="AE300" s="301"/>
      <c r="AF300" s="301"/>
      <c r="AG300" s="301"/>
      <c r="AH300" s="301"/>
      <c r="AI300" s="301"/>
      <c r="AJ300" s="301"/>
      <c r="AK300" s="301"/>
      <c r="AL300" s="301"/>
      <c r="AM300" s="301"/>
      <c r="AN300" s="301"/>
      <c r="AO300" s="301"/>
      <c r="AP300" s="301"/>
      <c r="AQ300" s="301"/>
      <c r="AR300" s="301"/>
      <c r="AS300" s="301"/>
      <c r="AT300" s="301"/>
      <c r="AU300" s="301"/>
      <c r="AV300" s="301"/>
      <c r="AW300" s="301"/>
      <c r="AX300" s="301"/>
      <c r="AY300" s="301"/>
      <c r="AZ300" s="301"/>
      <c r="BA300" s="301"/>
      <c r="BB300" s="301"/>
      <c r="BC300" s="301"/>
      <c r="BD300" s="301"/>
      <c r="BE300" s="301"/>
      <c r="BF300" s="301"/>
      <c r="BG300" s="301"/>
      <c r="BH300" s="301"/>
      <c r="BI300" s="301"/>
      <c r="BJ300" s="301"/>
      <c r="BK300" s="301"/>
    </row>
    <row r="301" spans="1:63" x14ac:dyDescent="0.25">
      <c r="A301" s="301"/>
      <c r="B301" s="315"/>
      <c r="C301" s="302"/>
      <c r="D301" s="301"/>
      <c r="E301" s="301"/>
      <c r="F301" s="305"/>
      <c r="G301" s="325"/>
      <c r="H301" s="343"/>
      <c r="I301" s="302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  <c r="AE301" s="301"/>
      <c r="AF301" s="301"/>
      <c r="AG301" s="301"/>
      <c r="AH301" s="301"/>
      <c r="AI301" s="301"/>
      <c r="AJ301" s="301"/>
      <c r="AK301" s="301"/>
      <c r="AL301" s="301"/>
      <c r="AM301" s="301"/>
      <c r="AN301" s="301"/>
      <c r="AO301" s="301"/>
      <c r="AP301" s="301"/>
      <c r="AQ301" s="301"/>
      <c r="AR301" s="301"/>
      <c r="AS301" s="301"/>
      <c r="AT301" s="301"/>
      <c r="AU301" s="301"/>
      <c r="AV301" s="301"/>
      <c r="AW301" s="301"/>
      <c r="AX301" s="301"/>
      <c r="AY301" s="301"/>
      <c r="AZ301" s="301"/>
      <c r="BA301" s="301"/>
      <c r="BB301" s="301"/>
      <c r="BC301" s="301"/>
      <c r="BD301" s="301"/>
      <c r="BE301" s="301"/>
      <c r="BF301" s="301"/>
      <c r="BG301" s="301"/>
      <c r="BH301" s="301"/>
      <c r="BI301" s="301"/>
      <c r="BJ301" s="301"/>
      <c r="BK301" s="301"/>
    </row>
    <row r="302" spans="1:63" s="307" customFormat="1" x14ac:dyDescent="0.25">
      <c r="A302" s="301"/>
      <c r="B302" s="315"/>
      <c r="C302" s="302"/>
      <c r="D302" s="301"/>
      <c r="E302" s="301"/>
      <c r="F302" s="304"/>
      <c r="G302" s="325"/>
      <c r="H302" s="343"/>
      <c r="I302" s="302"/>
      <c r="J302" s="301"/>
      <c r="K302" s="301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AF302" s="307"/>
      <c r="AG302" s="307"/>
      <c r="AH302" s="307"/>
      <c r="AI302" s="307"/>
      <c r="AJ302" s="307"/>
      <c r="AK302" s="307"/>
      <c r="AL302" s="307"/>
      <c r="AM302" s="307"/>
      <c r="AN302" s="307"/>
      <c r="AO302" s="307"/>
      <c r="AP302" s="307"/>
      <c r="AQ302" s="307"/>
      <c r="AR302" s="307"/>
      <c r="AS302" s="307"/>
      <c r="AT302" s="307"/>
      <c r="AU302" s="307"/>
      <c r="AV302" s="307"/>
      <c r="AW302" s="307"/>
      <c r="AX302" s="307"/>
      <c r="AY302" s="307"/>
      <c r="AZ302" s="307"/>
      <c r="BA302" s="307"/>
      <c r="BB302" s="307"/>
      <c r="BC302" s="307"/>
      <c r="BD302" s="307"/>
      <c r="BE302" s="307"/>
      <c r="BF302" s="307"/>
      <c r="BG302" s="307"/>
      <c r="BH302" s="307"/>
      <c r="BI302" s="307"/>
      <c r="BJ302" s="307"/>
      <c r="BK302" s="307"/>
    </row>
    <row r="303" spans="1:63" s="307" customFormat="1" x14ac:dyDescent="0.25">
      <c r="A303" s="301"/>
      <c r="B303" s="315"/>
      <c r="C303" s="302"/>
      <c r="D303" s="301"/>
      <c r="E303" s="301"/>
      <c r="F303" s="304"/>
      <c r="G303" s="325"/>
      <c r="H303" s="343"/>
      <c r="I303" s="302"/>
      <c r="J303" s="301"/>
      <c r="K303" s="301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AF303" s="307"/>
      <c r="AG303" s="307"/>
      <c r="AH303" s="307"/>
      <c r="AI303" s="307"/>
      <c r="AJ303" s="307"/>
      <c r="AK303" s="307"/>
      <c r="AL303" s="307"/>
      <c r="AM303" s="307"/>
      <c r="AN303" s="307"/>
      <c r="AO303" s="307"/>
      <c r="AP303" s="307"/>
      <c r="AQ303" s="307"/>
      <c r="AR303" s="307"/>
      <c r="AS303" s="307"/>
      <c r="AT303" s="307"/>
      <c r="AU303" s="307"/>
      <c r="AV303" s="307"/>
      <c r="AW303" s="307"/>
      <c r="AX303" s="307"/>
      <c r="AY303" s="307"/>
      <c r="AZ303" s="307"/>
      <c r="BA303" s="307"/>
      <c r="BB303" s="307"/>
      <c r="BC303" s="307"/>
      <c r="BD303" s="307"/>
      <c r="BE303" s="307"/>
      <c r="BF303" s="307"/>
      <c r="BG303" s="307"/>
      <c r="BH303" s="307"/>
      <c r="BI303" s="307"/>
      <c r="BJ303" s="307"/>
      <c r="BK303" s="307"/>
    </row>
    <row r="304" spans="1:63" x14ac:dyDescent="0.25">
      <c r="A304" s="301"/>
      <c r="B304" s="315"/>
      <c r="C304" s="302"/>
      <c r="D304" s="301"/>
      <c r="E304" s="301"/>
      <c r="F304" s="305"/>
      <c r="G304" s="325"/>
      <c r="H304" s="343"/>
      <c r="I304" s="302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  <c r="AD304" s="301"/>
      <c r="AE304" s="301"/>
      <c r="AF304" s="301"/>
      <c r="AG304" s="301"/>
      <c r="AH304" s="301"/>
      <c r="AI304" s="301"/>
      <c r="AJ304" s="301"/>
      <c r="AK304" s="301"/>
      <c r="AL304" s="301"/>
      <c r="AM304" s="301"/>
      <c r="AN304" s="301"/>
      <c r="AO304" s="301"/>
      <c r="AP304" s="301"/>
      <c r="AQ304" s="301"/>
      <c r="AR304" s="301"/>
      <c r="AS304" s="301"/>
      <c r="AT304" s="301"/>
      <c r="AU304" s="301"/>
      <c r="AV304" s="301"/>
      <c r="AW304" s="301"/>
      <c r="AX304" s="301"/>
      <c r="AY304" s="301"/>
      <c r="AZ304" s="301"/>
      <c r="BA304" s="301"/>
      <c r="BB304" s="301"/>
      <c r="BC304" s="301"/>
      <c r="BD304" s="301"/>
      <c r="BE304" s="301"/>
      <c r="BF304" s="301"/>
      <c r="BG304" s="301"/>
      <c r="BH304" s="301"/>
      <c r="BI304" s="301"/>
      <c r="BJ304" s="301"/>
      <c r="BK304" s="301"/>
    </row>
    <row r="305" spans="1:63" s="307" customFormat="1" x14ac:dyDescent="0.25">
      <c r="A305" s="301"/>
      <c r="B305" s="321"/>
      <c r="C305" s="302"/>
      <c r="D305" s="301"/>
      <c r="E305" s="301"/>
      <c r="F305" s="304"/>
      <c r="G305" s="325"/>
      <c r="H305" s="343"/>
      <c r="I305" s="302"/>
      <c r="J305" s="301"/>
      <c r="K305" s="301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  <c r="AE305" s="307"/>
      <c r="AF305" s="307"/>
      <c r="AG305" s="307"/>
      <c r="AH305" s="307"/>
      <c r="AI305" s="307"/>
      <c r="AJ305" s="307"/>
      <c r="AK305" s="307"/>
      <c r="AL305" s="307"/>
      <c r="AM305" s="307"/>
      <c r="AN305" s="307"/>
      <c r="AO305" s="307"/>
      <c r="AP305" s="307"/>
      <c r="AQ305" s="307"/>
      <c r="AR305" s="307"/>
      <c r="AS305" s="307"/>
      <c r="AT305" s="307"/>
      <c r="AU305" s="307"/>
      <c r="AV305" s="307"/>
      <c r="AW305" s="307"/>
      <c r="AX305" s="307"/>
      <c r="AY305" s="307"/>
      <c r="AZ305" s="307"/>
      <c r="BA305" s="307"/>
      <c r="BB305" s="307"/>
      <c r="BC305" s="307"/>
      <c r="BD305" s="307"/>
      <c r="BE305" s="307"/>
      <c r="BF305" s="307"/>
      <c r="BG305" s="307"/>
      <c r="BH305" s="307"/>
      <c r="BI305" s="307"/>
      <c r="BJ305" s="307"/>
      <c r="BK305" s="307"/>
    </row>
    <row r="306" spans="1:63" s="307" customFormat="1" x14ac:dyDescent="0.25">
      <c r="A306" s="301"/>
      <c r="B306" s="315"/>
      <c r="C306" s="302"/>
      <c r="D306" s="301"/>
      <c r="E306" s="301"/>
      <c r="F306" s="304"/>
      <c r="G306" s="325"/>
      <c r="H306" s="343"/>
      <c r="I306" s="302"/>
      <c r="J306" s="301"/>
      <c r="K306" s="301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  <c r="AE306" s="307"/>
      <c r="AF306" s="307"/>
      <c r="AG306" s="307"/>
      <c r="AH306" s="307"/>
      <c r="AI306" s="307"/>
      <c r="AJ306" s="307"/>
      <c r="AK306" s="307"/>
      <c r="AL306" s="307"/>
      <c r="AM306" s="307"/>
      <c r="AN306" s="307"/>
      <c r="AO306" s="307"/>
      <c r="AP306" s="307"/>
      <c r="AQ306" s="307"/>
      <c r="AR306" s="307"/>
      <c r="AS306" s="307"/>
      <c r="AT306" s="307"/>
      <c r="AU306" s="307"/>
      <c r="AV306" s="307"/>
      <c r="AW306" s="307"/>
      <c r="AX306" s="307"/>
      <c r="AY306" s="307"/>
      <c r="AZ306" s="307"/>
      <c r="BA306" s="307"/>
      <c r="BB306" s="307"/>
      <c r="BC306" s="307"/>
      <c r="BD306" s="307"/>
      <c r="BE306" s="307"/>
      <c r="BF306" s="307"/>
      <c r="BG306" s="307"/>
      <c r="BH306" s="307"/>
      <c r="BI306" s="307"/>
      <c r="BJ306" s="307"/>
      <c r="BK306" s="307"/>
    </row>
    <row r="307" spans="1:63" s="307" customFormat="1" x14ac:dyDescent="0.25">
      <c r="A307" s="301"/>
      <c r="B307" s="321"/>
      <c r="C307" s="302"/>
      <c r="D307" s="301"/>
      <c r="E307" s="301"/>
      <c r="F307" s="304"/>
      <c r="G307" s="325"/>
      <c r="H307" s="343"/>
      <c r="I307" s="302"/>
      <c r="J307" s="301"/>
      <c r="K307" s="301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  <c r="AE307" s="307"/>
      <c r="AF307" s="307"/>
      <c r="AG307" s="307"/>
      <c r="AH307" s="307"/>
      <c r="AI307" s="307"/>
      <c r="AJ307" s="307"/>
      <c r="AK307" s="307"/>
      <c r="AL307" s="307"/>
      <c r="AM307" s="307"/>
      <c r="AN307" s="307"/>
      <c r="AO307" s="307"/>
      <c r="AP307" s="307"/>
      <c r="AQ307" s="307"/>
      <c r="AR307" s="307"/>
      <c r="AS307" s="307"/>
      <c r="AT307" s="307"/>
      <c r="AU307" s="307"/>
      <c r="AV307" s="307"/>
      <c r="AW307" s="307"/>
      <c r="AX307" s="307"/>
      <c r="AY307" s="307"/>
      <c r="AZ307" s="307"/>
      <c r="BA307" s="307"/>
      <c r="BB307" s="307"/>
      <c r="BC307" s="307"/>
      <c r="BD307" s="307"/>
      <c r="BE307" s="307"/>
      <c r="BF307" s="307"/>
      <c r="BG307" s="307"/>
      <c r="BH307" s="307"/>
      <c r="BI307" s="307"/>
      <c r="BJ307" s="307"/>
      <c r="BK307" s="307"/>
    </row>
    <row r="308" spans="1:63" s="307" customFormat="1" x14ac:dyDescent="0.25">
      <c r="A308" s="301"/>
      <c r="B308" s="321"/>
      <c r="C308" s="302"/>
      <c r="D308" s="301"/>
      <c r="E308" s="301"/>
      <c r="F308" s="304"/>
      <c r="G308" s="325"/>
      <c r="H308" s="343"/>
      <c r="I308" s="302"/>
      <c r="J308" s="301"/>
      <c r="K308" s="301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  <c r="AE308" s="307"/>
      <c r="AF308" s="307"/>
      <c r="AG308" s="307"/>
      <c r="AH308" s="307"/>
      <c r="AI308" s="307"/>
      <c r="AJ308" s="307"/>
      <c r="AK308" s="307"/>
      <c r="AL308" s="307"/>
      <c r="AM308" s="307"/>
      <c r="AN308" s="307"/>
      <c r="AO308" s="307"/>
      <c r="AP308" s="307"/>
      <c r="AQ308" s="307"/>
      <c r="AR308" s="307"/>
      <c r="AS308" s="307"/>
      <c r="AT308" s="307"/>
      <c r="AU308" s="307"/>
      <c r="AV308" s="307"/>
      <c r="AW308" s="307"/>
      <c r="AX308" s="307"/>
      <c r="AY308" s="307"/>
      <c r="AZ308" s="307"/>
      <c r="BA308" s="307"/>
      <c r="BB308" s="307"/>
      <c r="BC308" s="307"/>
      <c r="BD308" s="307"/>
      <c r="BE308" s="307"/>
      <c r="BF308" s="307"/>
      <c r="BG308" s="307"/>
      <c r="BH308" s="307"/>
      <c r="BI308" s="307"/>
      <c r="BJ308" s="307"/>
      <c r="BK308" s="307"/>
    </row>
    <row r="309" spans="1:63" x14ac:dyDescent="0.25">
      <c r="A309" s="301"/>
      <c r="B309" s="315"/>
      <c r="C309" s="302"/>
      <c r="D309" s="301"/>
      <c r="E309" s="301"/>
      <c r="F309" s="305"/>
      <c r="G309" s="325"/>
      <c r="H309" s="343"/>
      <c r="I309" s="302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  <c r="AD309" s="301"/>
      <c r="AE309" s="301"/>
      <c r="AF309" s="301"/>
      <c r="AG309" s="301"/>
      <c r="AH309" s="301"/>
      <c r="AI309" s="301"/>
      <c r="AJ309" s="301"/>
      <c r="AK309" s="301"/>
      <c r="AL309" s="301"/>
      <c r="AM309" s="301"/>
      <c r="AN309" s="301"/>
      <c r="AO309" s="301"/>
      <c r="AP309" s="301"/>
      <c r="AQ309" s="301"/>
      <c r="AR309" s="301"/>
      <c r="AS309" s="301"/>
      <c r="AT309" s="301"/>
      <c r="AU309" s="301"/>
      <c r="AV309" s="301"/>
      <c r="AW309" s="301"/>
      <c r="AX309" s="301"/>
      <c r="AY309" s="301"/>
      <c r="AZ309" s="301"/>
      <c r="BA309" s="301"/>
      <c r="BB309" s="301"/>
      <c r="BC309" s="301"/>
      <c r="BD309" s="301"/>
      <c r="BE309" s="301"/>
      <c r="BF309" s="301"/>
      <c r="BG309" s="301"/>
      <c r="BH309" s="301"/>
      <c r="BI309" s="301"/>
      <c r="BJ309" s="301"/>
      <c r="BK309" s="301"/>
    </row>
    <row r="310" spans="1:63" x14ac:dyDescent="0.25">
      <c r="A310" s="301"/>
      <c r="B310" s="315"/>
      <c r="C310" s="302"/>
      <c r="D310" s="301"/>
      <c r="E310" s="301"/>
      <c r="F310" s="305"/>
      <c r="G310" s="325"/>
      <c r="H310" s="343"/>
      <c r="I310" s="302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  <c r="AE310" s="301"/>
      <c r="AF310" s="301"/>
      <c r="AG310" s="301"/>
      <c r="AH310" s="301"/>
      <c r="AI310" s="301"/>
      <c r="AJ310" s="301"/>
      <c r="AK310" s="301"/>
      <c r="AL310" s="301"/>
      <c r="AM310" s="301"/>
      <c r="AN310" s="301"/>
      <c r="AO310" s="301"/>
      <c r="AP310" s="301"/>
      <c r="AQ310" s="301"/>
      <c r="AR310" s="301"/>
      <c r="AS310" s="301"/>
      <c r="AT310" s="301"/>
      <c r="AU310" s="301"/>
      <c r="AV310" s="301"/>
      <c r="AW310" s="301"/>
      <c r="AX310" s="301"/>
      <c r="AY310" s="301"/>
      <c r="AZ310" s="301"/>
      <c r="BA310" s="301"/>
      <c r="BB310" s="301"/>
      <c r="BC310" s="301"/>
      <c r="BD310" s="301"/>
      <c r="BE310" s="301"/>
      <c r="BF310" s="301"/>
      <c r="BG310" s="301"/>
      <c r="BH310" s="301"/>
      <c r="BI310" s="301"/>
      <c r="BJ310" s="301"/>
      <c r="BK310" s="301"/>
    </row>
    <row r="311" spans="1:63" x14ac:dyDescent="0.25">
      <c r="A311" s="301"/>
      <c r="B311" s="315"/>
      <c r="C311" s="302"/>
      <c r="D311" s="301"/>
      <c r="E311" s="301"/>
      <c r="F311" s="305"/>
      <c r="G311" s="325"/>
      <c r="H311" s="343"/>
      <c r="I311" s="302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  <c r="AD311" s="301"/>
      <c r="AE311" s="301"/>
      <c r="AF311" s="301"/>
      <c r="AG311" s="301"/>
      <c r="AH311" s="301"/>
      <c r="AI311" s="301"/>
      <c r="AJ311" s="301"/>
      <c r="AK311" s="301"/>
      <c r="AL311" s="301"/>
      <c r="AM311" s="301"/>
      <c r="AN311" s="301"/>
      <c r="AO311" s="301"/>
      <c r="AP311" s="301"/>
      <c r="AQ311" s="301"/>
      <c r="AR311" s="301"/>
      <c r="AS311" s="301"/>
      <c r="AT311" s="301"/>
      <c r="AU311" s="301"/>
      <c r="AV311" s="301"/>
      <c r="AW311" s="301"/>
      <c r="AX311" s="301"/>
      <c r="AY311" s="301"/>
      <c r="AZ311" s="301"/>
      <c r="BA311" s="301"/>
      <c r="BB311" s="301"/>
      <c r="BC311" s="301"/>
      <c r="BD311" s="301"/>
      <c r="BE311" s="301"/>
      <c r="BF311" s="301"/>
      <c r="BG311" s="301"/>
      <c r="BH311" s="301"/>
      <c r="BI311" s="301"/>
      <c r="BJ311" s="301"/>
      <c r="BK311" s="301"/>
    </row>
    <row r="312" spans="1:63" x14ac:dyDescent="0.25">
      <c r="A312" s="301"/>
      <c r="B312" s="315"/>
      <c r="C312" s="311"/>
      <c r="D312" s="301"/>
      <c r="E312" s="301"/>
      <c r="F312" s="305"/>
      <c r="G312" s="325"/>
      <c r="H312" s="343"/>
      <c r="I312" s="302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  <c r="AD312" s="301"/>
      <c r="AE312" s="301"/>
      <c r="AF312" s="301"/>
      <c r="AG312" s="301"/>
      <c r="AH312" s="301"/>
      <c r="AI312" s="301"/>
      <c r="AJ312" s="301"/>
      <c r="AK312" s="301"/>
      <c r="AL312" s="301"/>
      <c r="AM312" s="301"/>
      <c r="AN312" s="301"/>
      <c r="AO312" s="301"/>
      <c r="AP312" s="301"/>
      <c r="AQ312" s="301"/>
      <c r="AR312" s="301"/>
      <c r="AS312" s="301"/>
      <c r="AT312" s="301"/>
      <c r="AU312" s="301"/>
      <c r="AV312" s="301"/>
      <c r="AW312" s="301"/>
      <c r="AX312" s="301"/>
      <c r="AY312" s="301"/>
      <c r="AZ312" s="301"/>
      <c r="BA312" s="301"/>
      <c r="BB312" s="301"/>
      <c r="BC312" s="301"/>
      <c r="BD312" s="301"/>
      <c r="BE312" s="301"/>
      <c r="BF312" s="301"/>
      <c r="BG312" s="301"/>
      <c r="BH312" s="301"/>
      <c r="BI312" s="301"/>
      <c r="BJ312" s="301"/>
      <c r="BK312" s="301"/>
    </row>
    <row r="313" spans="1:63" x14ac:dyDescent="0.25">
      <c r="A313" s="303"/>
      <c r="B313" s="315"/>
      <c r="C313" s="311"/>
      <c r="D313" s="301"/>
      <c r="E313" s="301"/>
      <c r="F313" s="305"/>
      <c r="G313" s="325"/>
      <c r="H313" s="343"/>
      <c r="I313" s="302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1"/>
      <c r="AG313" s="301"/>
      <c r="AH313" s="301"/>
      <c r="AI313" s="301"/>
      <c r="AJ313" s="301"/>
      <c r="AK313" s="301"/>
      <c r="AL313" s="301"/>
      <c r="AM313" s="301"/>
      <c r="AN313" s="301"/>
      <c r="AO313" s="301"/>
      <c r="AP313" s="301"/>
      <c r="AQ313" s="301"/>
      <c r="AR313" s="301"/>
      <c r="AS313" s="301"/>
      <c r="AT313" s="301"/>
      <c r="AU313" s="301"/>
      <c r="AV313" s="301"/>
      <c r="AW313" s="301"/>
      <c r="AX313" s="301"/>
      <c r="AY313" s="301"/>
      <c r="AZ313" s="301"/>
      <c r="BA313" s="301"/>
      <c r="BB313" s="301"/>
      <c r="BC313" s="301"/>
      <c r="BD313" s="301"/>
      <c r="BE313" s="301"/>
      <c r="BF313" s="301"/>
      <c r="BG313" s="301"/>
      <c r="BH313" s="301"/>
      <c r="BI313" s="301"/>
      <c r="BJ313" s="301"/>
      <c r="BK313" s="301"/>
    </row>
    <row r="314" spans="1:63" x14ac:dyDescent="0.25">
      <c r="A314" s="301"/>
      <c r="B314" s="315"/>
      <c r="C314" s="302"/>
      <c r="D314" s="301"/>
      <c r="E314" s="301"/>
      <c r="F314" s="305"/>
      <c r="G314" s="325"/>
      <c r="H314" s="343"/>
      <c r="I314" s="302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  <c r="AD314" s="301"/>
      <c r="AE314" s="301"/>
      <c r="AF314" s="301"/>
      <c r="AG314" s="301"/>
      <c r="AH314" s="301"/>
      <c r="AI314" s="301"/>
      <c r="AJ314" s="301"/>
      <c r="AK314" s="301"/>
      <c r="AL314" s="301"/>
      <c r="AM314" s="301"/>
      <c r="AN314" s="301"/>
      <c r="AO314" s="301"/>
      <c r="AP314" s="301"/>
      <c r="AQ314" s="301"/>
      <c r="AR314" s="301"/>
      <c r="AS314" s="301"/>
      <c r="AT314" s="301"/>
      <c r="AU314" s="301"/>
      <c r="AV314" s="301"/>
      <c r="AW314" s="301"/>
      <c r="AX314" s="301"/>
      <c r="AY314" s="301"/>
      <c r="AZ314" s="301"/>
      <c r="BA314" s="301"/>
      <c r="BB314" s="301"/>
      <c r="BC314" s="301"/>
      <c r="BD314" s="301"/>
      <c r="BE314" s="301"/>
      <c r="BF314" s="301"/>
      <c r="BG314" s="301"/>
      <c r="BH314" s="301"/>
      <c r="BI314" s="301"/>
      <c r="BJ314" s="301"/>
      <c r="BK314" s="301"/>
    </row>
    <row r="315" spans="1:63" x14ac:dyDescent="0.25">
      <c r="A315" s="301"/>
      <c r="B315" s="315"/>
      <c r="C315" s="302"/>
      <c r="D315" s="301"/>
      <c r="E315" s="301"/>
      <c r="F315" s="305"/>
      <c r="G315" s="325"/>
      <c r="H315" s="343"/>
      <c r="I315" s="302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  <c r="AD315" s="301"/>
      <c r="AE315" s="301"/>
      <c r="AF315" s="301"/>
      <c r="AG315" s="301"/>
      <c r="AH315" s="301"/>
      <c r="AI315" s="301"/>
      <c r="AJ315" s="301"/>
      <c r="AK315" s="301"/>
      <c r="AL315" s="301"/>
      <c r="AM315" s="301"/>
      <c r="AN315" s="301"/>
      <c r="AO315" s="301"/>
      <c r="AP315" s="301"/>
      <c r="AQ315" s="301"/>
      <c r="AR315" s="301"/>
      <c r="AS315" s="301"/>
      <c r="AT315" s="301"/>
      <c r="AU315" s="301"/>
      <c r="AV315" s="301"/>
      <c r="AW315" s="301"/>
      <c r="AX315" s="301"/>
      <c r="AY315" s="301"/>
      <c r="AZ315" s="301"/>
      <c r="BA315" s="301"/>
      <c r="BB315" s="301"/>
      <c r="BC315" s="301"/>
      <c r="BD315" s="301"/>
      <c r="BE315" s="301"/>
      <c r="BF315" s="301"/>
      <c r="BG315" s="301"/>
      <c r="BH315" s="301"/>
      <c r="BI315" s="301"/>
      <c r="BJ315" s="301"/>
      <c r="BK315" s="301"/>
    </row>
    <row r="316" spans="1:63" x14ac:dyDescent="0.25">
      <c r="A316" s="301"/>
      <c r="B316" s="315"/>
      <c r="C316" s="302"/>
      <c r="D316" s="301"/>
      <c r="E316" s="301"/>
      <c r="F316" s="305"/>
      <c r="G316" s="325"/>
      <c r="H316" s="343"/>
      <c r="I316" s="302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  <c r="AD316" s="301"/>
      <c r="AE316" s="301"/>
      <c r="AF316" s="301"/>
      <c r="AG316" s="301"/>
      <c r="AH316" s="301"/>
      <c r="AI316" s="301"/>
      <c r="AJ316" s="301"/>
      <c r="AK316" s="301"/>
      <c r="AL316" s="301"/>
      <c r="AM316" s="301"/>
      <c r="AN316" s="301"/>
      <c r="AO316" s="301"/>
      <c r="AP316" s="301"/>
      <c r="AQ316" s="301"/>
      <c r="AR316" s="301"/>
      <c r="AS316" s="301"/>
      <c r="AT316" s="301"/>
      <c r="AU316" s="301"/>
      <c r="AV316" s="301"/>
      <c r="AW316" s="301"/>
      <c r="AX316" s="301"/>
      <c r="AY316" s="301"/>
      <c r="AZ316" s="301"/>
      <c r="BA316" s="301"/>
      <c r="BB316" s="301"/>
      <c r="BC316" s="301"/>
      <c r="BD316" s="301"/>
      <c r="BE316" s="301"/>
      <c r="BF316" s="301"/>
      <c r="BG316" s="301"/>
      <c r="BH316" s="301"/>
      <c r="BI316" s="301"/>
      <c r="BJ316" s="301"/>
      <c r="BK316" s="301"/>
    </row>
    <row r="317" spans="1:63" x14ac:dyDescent="0.25">
      <c r="A317" s="301"/>
      <c r="B317" s="315"/>
      <c r="C317" s="311"/>
      <c r="D317" s="301"/>
      <c r="E317" s="301"/>
      <c r="F317" s="305"/>
      <c r="G317" s="325"/>
      <c r="H317" s="343"/>
      <c r="I317" s="302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  <c r="AC317" s="301"/>
      <c r="AD317" s="301"/>
      <c r="AE317" s="301"/>
      <c r="AF317" s="301"/>
      <c r="AG317" s="301"/>
      <c r="AH317" s="301"/>
      <c r="AI317" s="301"/>
      <c r="AJ317" s="301"/>
      <c r="AK317" s="301"/>
      <c r="AL317" s="301"/>
      <c r="AM317" s="301"/>
      <c r="AN317" s="301"/>
      <c r="AO317" s="301"/>
      <c r="AP317" s="301"/>
      <c r="AQ317" s="301"/>
      <c r="AR317" s="301"/>
      <c r="AS317" s="301"/>
      <c r="AT317" s="301"/>
      <c r="AU317" s="301"/>
      <c r="AV317" s="301"/>
      <c r="AW317" s="301"/>
      <c r="AX317" s="301"/>
      <c r="AY317" s="301"/>
      <c r="AZ317" s="301"/>
      <c r="BA317" s="301"/>
      <c r="BB317" s="301"/>
      <c r="BC317" s="301"/>
      <c r="BD317" s="301"/>
      <c r="BE317" s="301"/>
      <c r="BF317" s="301"/>
      <c r="BG317" s="301"/>
      <c r="BH317" s="301"/>
      <c r="BI317" s="301"/>
      <c r="BJ317" s="301"/>
      <c r="BK317" s="301"/>
    </row>
    <row r="318" spans="1:63" x14ac:dyDescent="0.25">
      <c r="A318" s="303"/>
      <c r="B318" s="315"/>
      <c r="C318" s="311"/>
      <c r="D318" s="301"/>
      <c r="E318" s="301"/>
      <c r="F318" s="305"/>
      <c r="G318" s="325"/>
      <c r="H318" s="343"/>
      <c r="I318" s="302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  <c r="AD318" s="301"/>
      <c r="AE318" s="301"/>
      <c r="AF318" s="301"/>
      <c r="AG318" s="301"/>
      <c r="AH318" s="301"/>
      <c r="AI318" s="301"/>
      <c r="AJ318" s="301"/>
      <c r="AK318" s="301"/>
      <c r="AL318" s="301"/>
      <c r="AM318" s="301"/>
      <c r="AN318" s="301"/>
      <c r="AO318" s="301"/>
      <c r="AP318" s="301"/>
      <c r="AQ318" s="301"/>
      <c r="AR318" s="301"/>
      <c r="AS318" s="301"/>
      <c r="AT318" s="301"/>
      <c r="AU318" s="301"/>
      <c r="AV318" s="301"/>
      <c r="AW318" s="301"/>
      <c r="AX318" s="301"/>
      <c r="AY318" s="301"/>
      <c r="AZ318" s="301"/>
      <c r="BA318" s="301"/>
      <c r="BB318" s="301"/>
      <c r="BC318" s="301"/>
      <c r="BD318" s="301"/>
      <c r="BE318" s="301"/>
      <c r="BF318" s="301"/>
      <c r="BG318" s="301"/>
      <c r="BH318" s="301"/>
      <c r="BI318" s="301"/>
      <c r="BJ318" s="301"/>
      <c r="BK318" s="301"/>
    </row>
    <row r="319" spans="1:63" x14ac:dyDescent="0.25">
      <c r="A319" s="301"/>
      <c r="B319" s="315"/>
      <c r="C319" s="302"/>
      <c r="D319" s="301"/>
      <c r="E319" s="301"/>
      <c r="F319" s="305"/>
      <c r="G319" s="325"/>
      <c r="H319" s="343"/>
      <c r="I319" s="302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  <c r="AE319" s="301"/>
      <c r="AF319" s="301"/>
      <c r="AG319" s="301"/>
      <c r="AH319" s="301"/>
      <c r="AI319" s="301"/>
      <c r="AJ319" s="301"/>
      <c r="AK319" s="301"/>
      <c r="AL319" s="301"/>
      <c r="AM319" s="301"/>
      <c r="AN319" s="301"/>
      <c r="AO319" s="301"/>
      <c r="AP319" s="301"/>
      <c r="AQ319" s="301"/>
      <c r="AR319" s="301"/>
      <c r="AS319" s="301"/>
      <c r="AT319" s="301"/>
      <c r="AU319" s="301"/>
      <c r="AV319" s="301"/>
      <c r="AW319" s="301"/>
      <c r="AX319" s="301"/>
      <c r="AY319" s="301"/>
      <c r="AZ319" s="301"/>
      <c r="BA319" s="301"/>
      <c r="BB319" s="301"/>
      <c r="BC319" s="301"/>
      <c r="BD319" s="301"/>
      <c r="BE319" s="301"/>
      <c r="BF319" s="301"/>
      <c r="BG319" s="301"/>
      <c r="BH319" s="301"/>
      <c r="BI319" s="301"/>
      <c r="BJ319" s="301"/>
      <c r="BK319" s="301"/>
    </row>
    <row r="320" spans="1:63" x14ac:dyDescent="0.25">
      <c r="A320" s="301"/>
      <c r="B320" s="315"/>
      <c r="C320" s="302"/>
      <c r="D320" s="301"/>
      <c r="E320" s="301"/>
      <c r="F320" s="305"/>
      <c r="G320" s="325"/>
      <c r="H320" s="343"/>
      <c r="I320" s="302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  <c r="AD320" s="301"/>
      <c r="AE320" s="301"/>
      <c r="AF320" s="301"/>
      <c r="AG320" s="301"/>
      <c r="AH320" s="301"/>
      <c r="AI320" s="301"/>
      <c r="AJ320" s="301"/>
      <c r="AK320" s="301"/>
      <c r="AL320" s="301"/>
      <c r="AM320" s="301"/>
      <c r="AN320" s="301"/>
      <c r="AO320" s="301"/>
      <c r="AP320" s="301"/>
      <c r="AQ320" s="301"/>
      <c r="AR320" s="301"/>
      <c r="AS320" s="301"/>
      <c r="AT320" s="301"/>
      <c r="AU320" s="301"/>
      <c r="AV320" s="301"/>
      <c r="AW320" s="301"/>
      <c r="AX320" s="301"/>
      <c r="AY320" s="301"/>
      <c r="AZ320" s="301"/>
      <c r="BA320" s="301"/>
      <c r="BB320" s="301"/>
      <c r="BC320" s="301"/>
      <c r="BD320" s="301"/>
      <c r="BE320" s="301"/>
      <c r="BF320" s="301"/>
      <c r="BG320" s="301"/>
      <c r="BH320" s="301"/>
      <c r="BI320" s="301"/>
      <c r="BJ320" s="301"/>
      <c r="BK320" s="301"/>
    </row>
    <row r="321" spans="1:63" s="307" customFormat="1" x14ac:dyDescent="0.25">
      <c r="A321" s="301"/>
      <c r="B321" s="315"/>
      <c r="C321" s="302"/>
      <c r="D321" s="301"/>
      <c r="E321" s="301"/>
      <c r="F321" s="304"/>
      <c r="G321" s="325"/>
      <c r="H321" s="343"/>
      <c r="I321" s="302"/>
      <c r="J321" s="301"/>
      <c r="K321" s="301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  <c r="AE321" s="307"/>
      <c r="AF321" s="307"/>
      <c r="AG321" s="307"/>
      <c r="AH321" s="307"/>
      <c r="AI321" s="307"/>
      <c r="AJ321" s="307"/>
      <c r="AK321" s="307"/>
      <c r="AL321" s="307"/>
      <c r="AM321" s="307"/>
      <c r="AN321" s="307"/>
      <c r="AO321" s="307"/>
      <c r="AP321" s="307"/>
      <c r="AQ321" s="307"/>
      <c r="AR321" s="307"/>
      <c r="AS321" s="307"/>
      <c r="AT321" s="307"/>
      <c r="AU321" s="307"/>
      <c r="AV321" s="307"/>
      <c r="AW321" s="307"/>
      <c r="AX321" s="307"/>
      <c r="AY321" s="307"/>
      <c r="AZ321" s="307"/>
      <c r="BA321" s="307"/>
      <c r="BB321" s="307"/>
      <c r="BC321" s="307"/>
      <c r="BD321" s="307"/>
      <c r="BE321" s="307"/>
      <c r="BF321" s="307"/>
      <c r="BG321" s="307"/>
      <c r="BH321" s="307"/>
      <c r="BI321" s="307"/>
      <c r="BJ321" s="307"/>
      <c r="BK321" s="307"/>
    </row>
    <row r="322" spans="1:63" s="307" customFormat="1" x14ac:dyDescent="0.25">
      <c r="A322" s="301"/>
      <c r="B322" s="315"/>
      <c r="C322" s="302"/>
      <c r="D322" s="301"/>
      <c r="E322" s="301"/>
      <c r="F322" s="304"/>
      <c r="G322" s="325"/>
      <c r="H322" s="343"/>
      <c r="I322" s="302"/>
      <c r="J322" s="301"/>
      <c r="K322" s="301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AF322" s="307"/>
      <c r="AG322" s="307"/>
      <c r="AH322" s="307"/>
      <c r="AI322" s="307"/>
      <c r="AJ322" s="307"/>
      <c r="AK322" s="307"/>
      <c r="AL322" s="307"/>
      <c r="AM322" s="307"/>
      <c r="AN322" s="307"/>
      <c r="AO322" s="307"/>
      <c r="AP322" s="307"/>
      <c r="AQ322" s="307"/>
      <c r="AR322" s="307"/>
      <c r="AS322" s="307"/>
      <c r="AT322" s="307"/>
      <c r="AU322" s="307"/>
      <c r="AV322" s="307"/>
      <c r="AW322" s="307"/>
      <c r="AX322" s="307"/>
      <c r="AY322" s="307"/>
      <c r="AZ322" s="307"/>
      <c r="BA322" s="307"/>
      <c r="BB322" s="307"/>
      <c r="BC322" s="307"/>
      <c r="BD322" s="307"/>
      <c r="BE322" s="307"/>
      <c r="BF322" s="307"/>
      <c r="BG322" s="307"/>
      <c r="BH322" s="307"/>
      <c r="BI322" s="307"/>
      <c r="BJ322" s="307"/>
      <c r="BK322" s="307"/>
    </row>
    <row r="323" spans="1:63" s="307" customFormat="1" x14ac:dyDescent="0.25">
      <c r="A323" s="301"/>
      <c r="B323" s="315"/>
      <c r="C323" s="302"/>
      <c r="D323" s="301"/>
      <c r="E323" s="301"/>
      <c r="F323" s="304"/>
      <c r="G323" s="325"/>
      <c r="H323" s="343"/>
      <c r="I323" s="302"/>
      <c r="J323" s="301"/>
      <c r="K323" s="301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  <c r="AE323" s="307"/>
      <c r="AF323" s="307"/>
      <c r="AG323" s="307"/>
      <c r="AH323" s="307"/>
      <c r="AI323" s="307"/>
      <c r="AJ323" s="307"/>
      <c r="AK323" s="307"/>
      <c r="AL323" s="307"/>
      <c r="AM323" s="307"/>
      <c r="AN323" s="307"/>
      <c r="AO323" s="307"/>
      <c r="AP323" s="307"/>
      <c r="AQ323" s="307"/>
      <c r="AR323" s="307"/>
      <c r="AS323" s="307"/>
      <c r="AT323" s="307"/>
      <c r="AU323" s="307"/>
      <c r="AV323" s="307"/>
      <c r="AW323" s="307"/>
      <c r="AX323" s="307"/>
      <c r="AY323" s="307"/>
      <c r="AZ323" s="307"/>
      <c r="BA323" s="307"/>
      <c r="BB323" s="307"/>
      <c r="BC323" s="307"/>
      <c r="BD323" s="307"/>
      <c r="BE323" s="307"/>
      <c r="BF323" s="307"/>
      <c r="BG323" s="307"/>
      <c r="BH323" s="307"/>
      <c r="BI323" s="307"/>
      <c r="BJ323" s="307"/>
      <c r="BK323" s="307"/>
    </row>
    <row r="324" spans="1:63" s="307" customFormat="1" x14ac:dyDescent="0.25">
      <c r="A324" s="301"/>
      <c r="B324" s="315"/>
      <c r="C324" s="302"/>
      <c r="D324" s="301"/>
      <c r="E324" s="301"/>
      <c r="F324" s="304"/>
      <c r="G324" s="325"/>
      <c r="H324" s="343"/>
      <c r="I324" s="302"/>
      <c r="J324" s="301"/>
      <c r="K324" s="301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  <c r="AE324" s="307"/>
      <c r="AF324" s="307"/>
      <c r="AG324" s="307"/>
      <c r="AH324" s="307"/>
      <c r="AI324" s="307"/>
      <c r="AJ324" s="307"/>
      <c r="AK324" s="307"/>
      <c r="AL324" s="307"/>
      <c r="AM324" s="307"/>
      <c r="AN324" s="307"/>
      <c r="AO324" s="307"/>
      <c r="AP324" s="307"/>
      <c r="AQ324" s="307"/>
      <c r="AR324" s="307"/>
      <c r="AS324" s="307"/>
      <c r="AT324" s="307"/>
      <c r="AU324" s="307"/>
      <c r="AV324" s="307"/>
      <c r="AW324" s="307"/>
      <c r="AX324" s="307"/>
      <c r="AY324" s="307"/>
      <c r="AZ324" s="307"/>
      <c r="BA324" s="307"/>
      <c r="BB324" s="307"/>
      <c r="BC324" s="307"/>
      <c r="BD324" s="307"/>
      <c r="BE324" s="307"/>
      <c r="BF324" s="307"/>
      <c r="BG324" s="307"/>
      <c r="BH324" s="307"/>
      <c r="BI324" s="307"/>
      <c r="BJ324" s="307"/>
      <c r="BK324" s="307"/>
    </row>
    <row r="325" spans="1:63" s="307" customFormat="1" x14ac:dyDescent="0.25">
      <c r="A325" s="301"/>
      <c r="B325" s="315"/>
      <c r="C325" s="302"/>
      <c r="D325" s="301"/>
      <c r="E325" s="301"/>
      <c r="F325" s="304"/>
      <c r="G325" s="325"/>
      <c r="H325" s="343"/>
      <c r="I325" s="302"/>
      <c r="J325" s="301"/>
      <c r="K325" s="301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AF325" s="307"/>
      <c r="AG325" s="307"/>
      <c r="AH325" s="307"/>
      <c r="AI325" s="307"/>
      <c r="AJ325" s="307"/>
      <c r="AK325" s="307"/>
      <c r="AL325" s="307"/>
      <c r="AM325" s="307"/>
      <c r="AN325" s="307"/>
      <c r="AO325" s="307"/>
      <c r="AP325" s="307"/>
      <c r="AQ325" s="307"/>
      <c r="AR325" s="307"/>
      <c r="AS325" s="307"/>
      <c r="AT325" s="307"/>
      <c r="AU325" s="307"/>
      <c r="AV325" s="307"/>
      <c r="AW325" s="307"/>
      <c r="AX325" s="307"/>
      <c r="AY325" s="307"/>
      <c r="AZ325" s="307"/>
      <c r="BA325" s="307"/>
      <c r="BB325" s="307"/>
      <c r="BC325" s="307"/>
      <c r="BD325" s="307"/>
      <c r="BE325" s="307"/>
      <c r="BF325" s="307"/>
      <c r="BG325" s="307"/>
      <c r="BH325" s="307"/>
      <c r="BI325" s="307"/>
      <c r="BJ325" s="307"/>
      <c r="BK325" s="307"/>
    </row>
    <row r="326" spans="1:63" s="307" customFormat="1" x14ac:dyDescent="0.25">
      <c r="A326" s="301"/>
      <c r="B326" s="315"/>
      <c r="C326" s="302"/>
      <c r="D326" s="301"/>
      <c r="E326" s="301"/>
      <c r="F326" s="304"/>
      <c r="G326" s="325"/>
      <c r="H326" s="343"/>
      <c r="I326" s="302"/>
      <c r="J326" s="301"/>
      <c r="K326" s="301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  <c r="AI326" s="307"/>
      <c r="AJ326" s="307"/>
      <c r="AK326" s="307"/>
      <c r="AL326" s="307"/>
      <c r="AM326" s="307"/>
      <c r="AN326" s="307"/>
      <c r="AO326" s="307"/>
      <c r="AP326" s="307"/>
      <c r="AQ326" s="307"/>
      <c r="AR326" s="307"/>
      <c r="AS326" s="307"/>
      <c r="AT326" s="307"/>
      <c r="AU326" s="307"/>
      <c r="AV326" s="307"/>
      <c r="AW326" s="307"/>
      <c r="AX326" s="307"/>
      <c r="AY326" s="307"/>
      <c r="AZ326" s="307"/>
      <c r="BA326" s="307"/>
      <c r="BB326" s="307"/>
      <c r="BC326" s="307"/>
      <c r="BD326" s="307"/>
      <c r="BE326" s="307"/>
      <c r="BF326" s="307"/>
      <c r="BG326" s="307"/>
      <c r="BH326" s="307"/>
      <c r="BI326" s="307"/>
      <c r="BJ326" s="307"/>
      <c r="BK326" s="307"/>
    </row>
    <row r="327" spans="1:63" s="307" customFormat="1" x14ac:dyDescent="0.25">
      <c r="A327" s="301"/>
      <c r="B327" s="321"/>
      <c r="C327" s="302"/>
      <c r="D327" s="301"/>
      <c r="E327" s="301"/>
      <c r="F327" s="304"/>
      <c r="G327" s="303"/>
      <c r="H327" s="343"/>
      <c r="I327" s="302"/>
      <c r="J327" s="301"/>
      <c r="K327" s="301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  <c r="AE327" s="307"/>
      <c r="AF327" s="307"/>
      <c r="AG327" s="307"/>
      <c r="AH327" s="307"/>
      <c r="AI327" s="307"/>
      <c r="AJ327" s="307"/>
      <c r="AK327" s="307"/>
      <c r="AL327" s="307"/>
      <c r="AM327" s="307"/>
      <c r="AN327" s="307"/>
      <c r="AO327" s="307"/>
      <c r="AP327" s="307"/>
      <c r="AQ327" s="307"/>
      <c r="AR327" s="307"/>
      <c r="AS327" s="307"/>
      <c r="AT327" s="307"/>
      <c r="AU327" s="307"/>
      <c r="AV327" s="307"/>
      <c r="AW327" s="307"/>
      <c r="AX327" s="307"/>
      <c r="AY327" s="307"/>
      <c r="AZ327" s="307"/>
      <c r="BA327" s="307"/>
      <c r="BB327" s="307"/>
      <c r="BC327" s="307"/>
      <c r="BD327" s="307"/>
      <c r="BE327" s="307"/>
      <c r="BF327" s="307"/>
      <c r="BG327" s="307"/>
      <c r="BH327" s="307"/>
      <c r="BI327" s="307"/>
      <c r="BJ327" s="307"/>
      <c r="BK327" s="307"/>
    </row>
    <row r="328" spans="1:63" x14ac:dyDescent="0.25">
      <c r="A328" s="301"/>
      <c r="B328" s="315"/>
      <c r="C328" s="302"/>
      <c r="D328" s="301"/>
      <c r="E328" s="301"/>
      <c r="F328" s="305"/>
      <c r="G328" s="325"/>
      <c r="H328" s="343"/>
      <c r="I328" s="302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  <c r="AC328" s="301"/>
      <c r="AD328" s="301"/>
      <c r="AE328" s="301"/>
      <c r="AF328" s="301"/>
      <c r="AG328" s="301"/>
      <c r="AH328" s="301"/>
      <c r="AI328" s="301"/>
      <c r="AJ328" s="301"/>
      <c r="AK328" s="301"/>
      <c r="AL328" s="301"/>
      <c r="AM328" s="301"/>
      <c r="AN328" s="301"/>
      <c r="AO328" s="301"/>
      <c r="AP328" s="301"/>
      <c r="AQ328" s="301"/>
      <c r="AR328" s="301"/>
      <c r="AS328" s="301"/>
      <c r="AT328" s="301"/>
      <c r="AU328" s="301"/>
      <c r="AV328" s="301"/>
      <c r="AW328" s="301"/>
      <c r="AX328" s="301"/>
      <c r="AY328" s="301"/>
      <c r="AZ328" s="301"/>
      <c r="BA328" s="301"/>
      <c r="BB328" s="301"/>
      <c r="BC328" s="301"/>
      <c r="BD328" s="301"/>
      <c r="BE328" s="301"/>
      <c r="BF328" s="301"/>
      <c r="BG328" s="301"/>
      <c r="BH328" s="301"/>
      <c r="BI328" s="301"/>
      <c r="BJ328" s="301"/>
      <c r="BK328" s="301"/>
    </row>
    <row r="329" spans="1:63" x14ac:dyDescent="0.25">
      <c r="A329" s="301"/>
      <c r="B329" s="315"/>
      <c r="C329" s="311"/>
      <c r="D329" s="301"/>
      <c r="E329" s="301"/>
      <c r="F329" s="305"/>
      <c r="G329" s="325"/>
      <c r="H329" s="343"/>
      <c r="I329" s="302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  <c r="AD329" s="301"/>
      <c r="AE329" s="301"/>
      <c r="AF329" s="301"/>
      <c r="AG329" s="301"/>
      <c r="AH329" s="301"/>
      <c r="AI329" s="301"/>
      <c r="AJ329" s="301"/>
      <c r="AK329" s="301"/>
      <c r="AL329" s="301"/>
      <c r="AM329" s="301"/>
      <c r="AN329" s="301"/>
      <c r="AO329" s="301"/>
      <c r="AP329" s="301"/>
      <c r="AQ329" s="301"/>
      <c r="AR329" s="301"/>
      <c r="AS329" s="301"/>
      <c r="AT329" s="301"/>
      <c r="AU329" s="301"/>
      <c r="AV329" s="301"/>
      <c r="AW329" s="301"/>
      <c r="AX329" s="301"/>
      <c r="AY329" s="301"/>
      <c r="AZ329" s="301"/>
      <c r="BA329" s="301"/>
      <c r="BB329" s="301"/>
      <c r="BC329" s="301"/>
      <c r="BD329" s="301"/>
      <c r="BE329" s="301"/>
      <c r="BF329" s="301"/>
      <c r="BG329" s="301"/>
      <c r="BH329" s="301"/>
      <c r="BI329" s="301"/>
      <c r="BJ329" s="301"/>
      <c r="BK329" s="301"/>
    </row>
    <row r="330" spans="1:63" x14ac:dyDescent="0.25">
      <c r="A330" s="301"/>
      <c r="B330" s="301"/>
      <c r="C330" s="302"/>
      <c r="D330" s="301"/>
      <c r="E330" s="301"/>
      <c r="F330" s="305"/>
      <c r="G330" s="325"/>
      <c r="H330" s="343"/>
      <c r="I330" s="302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  <c r="AD330" s="301"/>
      <c r="AE330" s="301"/>
      <c r="AF330" s="301"/>
      <c r="AG330" s="301"/>
      <c r="AH330" s="301"/>
      <c r="AI330" s="301"/>
      <c r="AJ330" s="301"/>
      <c r="AK330" s="301"/>
      <c r="AL330" s="301"/>
      <c r="AM330" s="301"/>
      <c r="AN330" s="301"/>
      <c r="AO330" s="301"/>
      <c r="AP330" s="301"/>
      <c r="AQ330" s="301"/>
      <c r="AR330" s="301"/>
      <c r="AS330" s="301"/>
      <c r="AT330" s="301"/>
      <c r="AU330" s="301"/>
      <c r="AV330" s="301"/>
      <c r="AW330" s="301"/>
      <c r="AX330" s="301"/>
      <c r="AY330" s="301"/>
      <c r="AZ330" s="301"/>
      <c r="BA330" s="301"/>
      <c r="BB330" s="301"/>
      <c r="BC330" s="301"/>
      <c r="BD330" s="301"/>
      <c r="BE330" s="301"/>
      <c r="BF330" s="301"/>
      <c r="BG330" s="301"/>
      <c r="BH330" s="301"/>
      <c r="BI330" s="301"/>
      <c r="BJ330" s="301"/>
      <c r="BK330" s="301"/>
    </row>
    <row r="331" spans="1:63" x14ac:dyDescent="0.25">
      <c r="A331" s="301"/>
      <c r="B331" s="301"/>
      <c r="C331" s="302"/>
      <c r="D331" s="301"/>
      <c r="E331" s="301"/>
      <c r="F331" s="305"/>
      <c r="G331" s="325"/>
      <c r="H331" s="343"/>
      <c r="I331" s="302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  <c r="AD331" s="301"/>
      <c r="AE331" s="301"/>
      <c r="AF331" s="301"/>
      <c r="AG331" s="301"/>
      <c r="AH331" s="301"/>
      <c r="AI331" s="301"/>
      <c r="AJ331" s="301"/>
      <c r="AK331" s="301"/>
      <c r="AL331" s="301"/>
      <c r="AM331" s="301"/>
      <c r="AN331" s="301"/>
      <c r="AO331" s="301"/>
      <c r="AP331" s="301"/>
      <c r="AQ331" s="301"/>
      <c r="AR331" s="301"/>
      <c r="AS331" s="301"/>
      <c r="AT331" s="301"/>
      <c r="AU331" s="301"/>
      <c r="AV331" s="301"/>
      <c r="AW331" s="301"/>
      <c r="AX331" s="301"/>
      <c r="AY331" s="301"/>
      <c r="AZ331" s="301"/>
      <c r="BA331" s="301"/>
      <c r="BB331" s="301"/>
      <c r="BC331" s="301"/>
      <c r="BD331" s="301"/>
      <c r="BE331" s="301"/>
      <c r="BF331" s="301"/>
      <c r="BG331" s="301"/>
      <c r="BH331" s="301"/>
      <c r="BI331" s="301"/>
      <c r="BJ331" s="301"/>
      <c r="BK331" s="301"/>
    </row>
    <row r="332" spans="1:63" x14ac:dyDescent="0.25">
      <c r="A332" s="301"/>
      <c r="B332" s="301"/>
      <c r="C332" s="302"/>
      <c r="D332" s="301"/>
      <c r="E332" s="301"/>
      <c r="F332" s="305"/>
      <c r="G332" s="325"/>
      <c r="H332" s="343"/>
      <c r="I332" s="302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  <c r="AD332" s="301"/>
      <c r="AE332" s="301"/>
      <c r="AF332" s="301"/>
      <c r="AG332" s="301"/>
      <c r="AH332" s="301"/>
      <c r="AI332" s="301"/>
      <c r="AJ332" s="301"/>
      <c r="AK332" s="301"/>
      <c r="AL332" s="301"/>
      <c r="AM332" s="301"/>
      <c r="AN332" s="301"/>
      <c r="AO332" s="301"/>
      <c r="AP332" s="301"/>
      <c r="AQ332" s="301"/>
      <c r="AR332" s="301"/>
      <c r="AS332" s="301"/>
      <c r="AT332" s="301"/>
      <c r="AU332" s="301"/>
      <c r="AV332" s="301"/>
      <c r="AW332" s="301"/>
      <c r="AX332" s="301"/>
      <c r="AY332" s="301"/>
      <c r="AZ332" s="301"/>
      <c r="BA332" s="301"/>
      <c r="BB332" s="301"/>
      <c r="BC332" s="301"/>
      <c r="BD332" s="301"/>
      <c r="BE332" s="301"/>
      <c r="BF332" s="301"/>
      <c r="BG332" s="301"/>
      <c r="BH332" s="301"/>
      <c r="BI332" s="301"/>
      <c r="BJ332" s="301"/>
      <c r="BK332" s="301"/>
    </row>
    <row r="333" spans="1:63" x14ac:dyDescent="0.25">
      <c r="A333" s="301"/>
      <c r="B333" s="301"/>
      <c r="C333" s="302"/>
      <c r="D333" s="301"/>
      <c r="E333" s="301"/>
      <c r="F333" s="305"/>
      <c r="G333" s="325"/>
      <c r="H333" s="343"/>
      <c r="I333" s="302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  <c r="AD333" s="301"/>
      <c r="AE333" s="301"/>
      <c r="AF333" s="301"/>
      <c r="AG333" s="301"/>
      <c r="AH333" s="301"/>
      <c r="AI333" s="301"/>
      <c r="AJ333" s="301"/>
      <c r="AK333" s="301"/>
      <c r="AL333" s="301"/>
      <c r="AM333" s="301"/>
      <c r="AN333" s="301"/>
      <c r="AO333" s="301"/>
      <c r="AP333" s="301"/>
      <c r="AQ333" s="301"/>
      <c r="AR333" s="301"/>
      <c r="AS333" s="301"/>
      <c r="AT333" s="301"/>
      <c r="AU333" s="301"/>
      <c r="AV333" s="301"/>
      <c r="AW333" s="301"/>
      <c r="AX333" s="301"/>
      <c r="AY333" s="301"/>
      <c r="AZ333" s="301"/>
      <c r="BA333" s="301"/>
      <c r="BB333" s="301"/>
      <c r="BC333" s="301"/>
      <c r="BD333" s="301"/>
      <c r="BE333" s="301"/>
      <c r="BF333" s="301"/>
      <c r="BG333" s="301"/>
      <c r="BH333" s="301"/>
      <c r="BI333" s="301"/>
      <c r="BJ333" s="301"/>
      <c r="BK333" s="301"/>
    </row>
    <row r="334" spans="1:63" x14ac:dyDescent="0.25">
      <c r="A334" s="301"/>
      <c r="B334" s="301"/>
      <c r="C334" s="302"/>
      <c r="D334" s="301"/>
      <c r="E334" s="301"/>
      <c r="F334" s="305"/>
      <c r="G334" s="325"/>
      <c r="H334" s="343"/>
      <c r="I334" s="302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  <c r="AD334" s="301"/>
      <c r="AE334" s="301"/>
      <c r="AF334" s="301"/>
      <c r="AG334" s="301"/>
      <c r="AH334" s="301"/>
      <c r="AI334" s="301"/>
      <c r="AJ334" s="301"/>
      <c r="AK334" s="301"/>
      <c r="AL334" s="301"/>
      <c r="AM334" s="301"/>
      <c r="AN334" s="301"/>
      <c r="AO334" s="301"/>
      <c r="AP334" s="301"/>
      <c r="AQ334" s="301"/>
      <c r="AR334" s="301"/>
      <c r="AS334" s="301"/>
      <c r="AT334" s="301"/>
      <c r="AU334" s="301"/>
      <c r="AV334" s="301"/>
      <c r="AW334" s="301"/>
      <c r="AX334" s="301"/>
      <c r="AY334" s="301"/>
      <c r="AZ334" s="301"/>
      <c r="BA334" s="301"/>
      <c r="BB334" s="301"/>
      <c r="BC334" s="301"/>
      <c r="BD334" s="301"/>
      <c r="BE334" s="301"/>
      <c r="BF334" s="301"/>
      <c r="BG334" s="301"/>
      <c r="BH334" s="301"/>
      <c r="BI334" s="301"/>
      <c r="BJ334" s="301"/>
      <c r="BK334" s="301"/>
    </row>
    <row r="335" spans="1:63" x14ac:dyDescent="0.25">
      <c r="A335" s="301"/>
      <c r="B335" s="301"/>
      <c r="C335" s="302"/>
      <c r="D335" s="301"/>
      <c r="E335" s="301"/>
      <c r="F335" s="305"/>
      <c r="G335" s="325"/>
      <c r="H335" s="343"/>
      <c r="I335" s="302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  <c r="AE335" s="301"/>
      <c r="AF335" s="301"/>
      <c r="AG335" s="301"/>
      <c r="AH335" s="301"/>
      <c r="AI335" s="301"/>
      <c r="AJ335" s="301"/>
      <c r="AK335" s="301"/>
      <c r="AL335" s="301"/>
      <c r="AM335" s="301"/>
      <c r="AN335" s="301"/>
      <c r="AO335" s="301"/>
      <c r="AP335" s="301"/>
      <c r="AQ335" s="301"/>
      <c r="AR335" s="301"/>
      <c r="AS335" s="301"/>
      <c r="AT335" s="301"/>
      <c r="AU335" s="301"/>
      <c r="AV335" s="301"/>
      <c r="AW335" s="301"/>
      <c r="AX335" s="301"/>
      <c r="AY335" s="301"/>
      <c r="AZ335" s="301"/>
      <c r="BA335" s="301"/>
      <c r="BB335" s="301"/>
      <c r="BC335" s="301"/>
      <c r="BD335" s="301"/>
      <c r="BE335" s="301"/>
      <c r="BF335" s="301"/>
      <c r="BG335" s="301"/>
      <c r="BH335" s="301"/>
      <c r="BI335" s="301"/>
      <c r="BJ335" s="301"/>
      <c r="BK335" s="301"/>
    </row>
    <row r="336" spans="1:63" x14ac:dyDescent="0.25">
      <c r="A336" s="301"/>
      <c r="B336" s="301"/>
      <c r="C336" s="302"/>
      <c r="D336" s="301"/>
      <c r="E336" s="301"/>
      <c r="F336" s="305"/>
      <c r="G336" s="351"/>
      <c r="H336" s="343"/>
      <c r="I336" s="302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  <c r="AD336" s="301"/>
      <c r="AE336" s="301"/>
      <c r="AF336" s="301"/>
      <c r="AG336" s="301"/>
      <c r="AH336" s="301"/>
      <c r="AI336" s="301"/>
      <c r="AJ336" s="301"/>
      <c r="AK336" s="301"/>
      <c r="AL336" s="301"/>
      <c r="AM336" s="301"/>
      <c r="AN336" s="301"/>
      <c r="AO336" s="301"/>
      <c r="AP336" s="301"/>
      <c r="AQ336" s="301"/>
      <c r="AR336" s="301"/>
      <c r="AS336" s="301"/>
      <c r="AT336" s="301"/>
      <c r="AU336" s="301"/>
      <c r="AV336" s="301"/>
      <c r="AW336" s="301"/>
      <c r="AX336" s="301"/>
      <c r="AY336" s="301"/>
      <c r="AZ336" s="301"/>
      <c r="BA336" s="301"/>
      <c r="BB336" s="301"/>
      <c r="BC336" s="301"/>
      <c r="BD336" s="301"/>
      <c r="BE336" s="301"/>
      <c r="BF336" s="301"/>
      <c r="BG336" s="301"/>
      <c r="BH336" s="301"/>
      <c r="BI336" s="301"/>
      <c r="BJ336" s="301"/>
      <c r="BK336" s="301"/>
    </row>
    <row r="337" spans="1:63" x14ac:dyDescent="0.25">
      <c r="A337" s="301"/>
      <c r="B337" s="315"/>
      <c r="C337" s="302"/>
      <c r="D337" s="301"/>
      <c r="E337" s="301"/>
      <c r="F337" s="305"/>
      <c r="G337" s="325"/>
      <c r="H337" s="343"/>
      <c r="I337" s="302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  <c r="AD337" s="301"/>
      <c r="AE337" s="301"/>
      <c r="AF337" s="301"/>
      <c r="AG337" s="301"/>
      <c r="AH337" s="301"/>
      <c r="AI337" s="301"/>
      <c r="AJ337" s="301"/>
      <c r="AK337" s="301"/>
      <c r="AL337" s="301"/>
      <c r="AM337" s="301"/>
      <c r="AN337" s="301"/>
      <c r="AO337" s="301"/>
      <c r="AP337" s="301"/>
      <c r="AQ337" s="301"/>
      <c r="AR337" s="301"/>
      <c r="AS337" s="301"/>
      <c r="AT337" s="301"/>
      <c r="AU337" s="301"/>
      <c r="AV337" s="301"/>
      <c r="AW337" s="301"/>
      <c r="AX337" s="301"/>
      <c r="AY337" s="301"/>
      <c r="AZ337" s="301"/>
      <c r="BA337" s="301"/>
      <c r="BB337" s="301"/>
      <c r="BC337" s="301"/>
      <c r="BD337" s="301"/>
      <c r="BE337" s="301"/>
      <c r="BF337" s="301"/>
      <c r="BG337" s="301"/>
      <c r="BH337" s="301"/>
      <c r="BI337" s="301"/>
      <c r="BJ337" s="301"/>
      <c r="BK337" s="301"/>
    </row>
    <row r="338" spans="1:63" x14ac:dyDescent="0.25">
      <c r="A338" s="301"/>
      <c r="B338" s="315"/>
      <c r="C338" s="301"/>
      <c r="D338" s="301"/>
      <c r="E338" s="301"/>
      <c r="F338" s="305"/>
      <c r="G338" s="325"/>
      <c r="H338" s="343"/>
      <c r="I338" s="302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  <c r="AD338" s="301"/>
      <c r="AE338" s="301"/>
      <c r="AF338" s="301"/>
      <c r="AG338" s="301"/>
      <c r="AH338" s="301"/>
      <c r="AI338" s="301"/>
      <c r="AJ338" s="301"/>
      <c r="AK338" s="301"/>
      <c r="AL338" s="301"/>
      <c r="AM338" s="301"/>
      <c r="AN338" s="301"/>
      <c r="AO338" s="301"/>
      <c r="AP338" s="301"/>
      <c r="AQ338" s="301"/>
      <c r="AR338" s="301"/>
      <c r="AS338" s="301"/>
      <c r="AT338" s="301"/>
      <c r="AU338" s="301"/>
      <c r="AV338" s="301"/>
      <c r="AW338" s="301"/>
      <c r="AX338" s="301"/>
      <c r="AY338" s="301"/>
      <c r="AZ338" s="301"/>
      <c r="BA338" s="301"/>
      <c r="BB338" s="301"/>
      <c r="BC338" s="301"/>
      <c r="BD338" s="301"/>
      <c r="BE338" s="301"/>
      <c r="BF338" s="301"/>
      <c r="BG338" s="301"/>
      <c r="BH338" s="301"/>
      <c r="BI338" s="301"/>
      <c r="BJ338" s="301"/>
      <c r="BK338" s="301"/>
    </row>
    <row r="339" spans="1:63" x14ac:dyDescent="0.25">
      <c r="A339" s="301"/>
      <c r="B339" s="315"/>
      <c r="C339" s="302"/>
      <c r="D339" s="301"/>
      <c r="E339" s="301"/>
      <c r="F339" s="305"/>
      <c r="G339" s="325"/>
      <c r="H339" s="343"/>
      <c r="I339" s="302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  <c r="AD339" s="301"/>
      <c r="AE339" s="301"/>
      <c r="AF339" s="301"/>
      <c r="AG339" s="301"/>
      <c r="AH339" s="301"/>
      <c r="AI339" s="301"/>
      <c r="AJ339" s="301"/>
      <c r="AK339" s="301"/>
      <c r="AL339" s="301"/>
      <c r="AM339" s="301"/>
      <c r="AN339" s="301"/>
      <c r="AO339" s="301"/>
      <c r="AP339" s="301"/>
      <c r="AQ339" s="301"/>
      <c r="AR339" s="301"/>
      <c r="AS339" s="301"/>
      <c r="AT339" s="301"/>
      <c r="AU339" s="301"/>
      <c r="AV339" s="301"/>
      <c r="AW339" s="301"/>
      <c r="AX339" s="301"/>
      <c r="AY339" s="301"/>
      <c r="AZ339" s="301"/>
      <c r="BA339" s="301"/>
      <c r="BB339" s="301"/>
      <c r="BC339" s="301"/>
      <c r="BD339" s="301"/>
      <c r="BE339" s="301"/>
      <c r="BF339" s="301"/>
      <c r="BG339" s="301"/>
      <c r="BH339" s="301"/>
      <c r="BI339" s="301"/>
      <c r="BJ339" s="301"/>
      <c r="BK339" s="301"/>
    </row>
    <row r="340" spans="1:63" x14ac:dyDescent="0.25">
      <c r="A340" s="301"/>
      <c r="B340" s="315"/>
      <c r="C340" s="302"/>
      <c r="D340" s="301"/>
      <c r="E340" s="301"/>
      <c r="F340" s="305"/>
      <c r="G340" s="325"/>
      <c r="H340" s="343"/>
      <c r="I340" s="302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  <c r="AD340" s="301"/>
      <c r="AE340" s="301"/>
      <c r="AF340" s="301"/>
      <c r="AG340" s="301"/>
      <c r="AH340" s="301"/>
      <c r="AI340" s="301"/>
      <c r="AJ340" s="301"/>
      <c r="AK340" s="301"/>
      <c r="AL340" s="301"/>
      <c r="AM340" s="301"/>
      <c r="AN340" s="301"/>
      <c r="AO340" s="301"/>
      <c r="AP340" s="301"/>
      <c r="AQ340" s="301"/>
      <c r="AR340" s="301"/>
      <c r="AS340" s="301"/>
      <c r="AT340" s="301"/>
      <c r="AU340" s="301"/>
      <c r="AV340" s="301"/>
      <c r="AW340" s="301"/>
      <c r="AX340" s="301"/>
      <c r="AY340" s="301"/>
      <c r="AZ340" s="301"/>
      <c r="BA340" s="301"/>
      <c r="BB340" s="301"/>
      <c r="BC340" s="301"/>
      <c r="BD340" s="301"/>
      <c r="BE340" s="301"/>
      <c r="BF340" s="301"/>
      <c r="BG340" s="301"/>
      <c r="BH340" s="301"/>
      <c r="BI340" s="301"/>
      <c r="BJ340" s="301"/>
      <c r="BK340" s="301"/>
    </row>
    <row r="341" spans="1:63" x14ac:dyDescent="0.25">
      <c r="A341" s="301"/>
      <c r="B341" s="315"/>
      <c r="C341" s="301"/>
      <c r="D341" s="301"/>
      <c r="E341" s="301"/>
      <c r="F341" s="305"/>
      <c r="G341" s="325"/>
      <c r="H341" s="343"/>
      <c r="I341" s="302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  <c r="AD341" s="301"/>
      <c r="AE341" s="301"/>
      <c r="AF341" s="301"/>
      <c r="AG341" s="301"/>
      <c r="AH341" s="301"/>
      <c r="AI341" s="301"/>
      <c r="AJ341" s="301"/>
      <c r="AK341" s="301"/>
      <c r="AL341" s="301"/>
      <c r="AM341" s="301"/>
      <c r="AN341" s="301"/>
      <c r="AO341" s="301"/>
      <c r="AP341" s="301"/>
      <c r="AQ341" s="301"/>
      <c r="AR341" s="301"/>
      <c r="AS341" s="301"/>
      <c r="AT341" s="301"/>
      <c r="AU341" s="301"/>
      <c r="AV341" s="301"/>
      <c r="AW341" s="301"/>
      <c r="AX341" s="301"/>
      <c r="AY341" s="301"/>
      <c r="AZ341" s="301"/>
      <c r="BA341" s="301"/>
      <c r="BB341" s="301"/>
      <c r="BC341" s="301"/>
      <c r="BD341" s="301"/>
      <c r="BE341" s="301"/>
      <c r="BF341" s="301"/>
      <c r="BG341" s="301"/>
      <c r="BH341" s="301"/>
      <c r="BI341" s="301"/>
      <c r="BJ341" s="301"/>
      <c r="BK341" s="301"/>
    </row>
    <row r="342" spans="1:63" s="344" customFormat="1" x14ac:dyDescent="0.25">
      <c r="A342" s="301"/>
      <c r="B342" s="321"/>
      <c r="C342" s="302"/>
      <c r="D342" s="301"/>
      <c r="E342" s="304"/>
      <c r="F342" s="304"/>
      <c r="G342" s="325"/>
      <c r="H342" s="343"/>
      <c r="I342" s="302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  <c r="AD342" s="301"/>
      <c r="AE342" s="301"/>
      <c r="AF342" s="301"/>
      <c r="AG342" s="301"/>
      <c r="AH342" s="301"/>
      <c r="AI342" s="301"/>
      <c r="AJ342" s="301"/>
      <c r="AK342" s="301"/>
      <c r="AL342" s="301"/>
      <c r="AM342" s="301"/>
      <c r="AN342" s="301"/>
      <c r="AO342" s="301"/>
      <c r="AP342" s="301"/>
      <c r="AQ342" s="301"/>
      <c r="AR342" s="301"/>
      <c r="AS342" s="301"/>
      <c r="AT342" s="301"/>
      <c r="AU342" s="301"/>
      <c r="AV342" s="301"/>
      <c r="AW342" s="301"/>
      <c r="AX342" s="301"/>
      <c r="AY342" s="301"/>
      <c r="AZ342" s="301"/>
      <c r="BA342" s="301"/>
      <c r="BB342" s="301"/>
      <c r="BC342" s="301"/>
      <c r="BD342" s="301"/>
      <c r="BE342" s="301"/>
      <c r="BF342" s="301"/>
      <c r="BG342" s="301"/>
      <c r="BH342" s="301"/>
      <c r="BI342" s="301"/>
      <c r="BJ342" s="301"/>
      <c r="BK342" s="301"/>
    </row>
    <row r="343" spans="1:63" s="344" customFormat="1" x14ac:dyDescent="0.25">
      <c r="A343" s="301"/>
      <c r="B343" s="321"/>
      <c r="C343" s="302"/>
      <c r="D343" s="301"/>
      <c r="E343" s="304"/>
      <c r="F343" s="304"/>
      <c r="G343" s="325"/>
      <c r="H343" s="343"/>
      <c r="I343" s="302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  <c r="AD343" s="301"/>
      <c r="AE343" s="301"/>
      <c r="AF343" s="301"/>
      <c r="AG343" s="301"/>
      <c r="AH343" s="301"/>
      <c r="AI343" s="301"/>
      <c r="AJ343" s="301"/>
      <c r="AK343" s="301"/>
      <c r="AL343" s="301"/>
      <c r="AM343" s="301"/>
      <c r="AN343" s="301"/>
      <c r="AO343" s="301"/>
      <c r="AP343" s="301"/>
      <c r="AQ343" s="301"/>
      <c r="AR343" s="301"/>
      <c r="AS343" s="301"/>
      <c r="AT343" s="301"/>
      <c r="AU343" s="301"/>
      <c r="AV343" s="301"/>
      <c r="AW343" s="301"/>
      <c r="AX343" s="301"/>
      <c r="AY343" s="301"/>
      <c r="AZ343" s="301"/>
      <c r="BA343" s="301"/>
      <c r="BB343" s="301"/>
      <c r="BC343" s="301"/>
      <c r="BD343" s="301"/>
      <c r="BE343" s="301"/>
      <c r="BF343" s="301"/>
      <c r="BG343" s="301"/>
      <c r="BH343" s="301"/>
      <c r="BI343" s="301"/>
      <c r="BJ343" s="301"/>
      <c r="BK343" s="301"/>
    </row>
    <row r="344" spans="1:63" s="344" customFormat="1" x14ac:dyDescent="0.25">
      <c r="A344" s="301"/>
      <c r="B344" s="321"/>
      <c r="C344" s="302"/>
      <c r="D344" s="301"/>
      <c r="E344" s="304"/>
      <c r="F344" s="304"/>
      <c r="G344" s="325"/>
      <c r="H344" s="343"/>
      <c r="I344" s="302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  <c r="AD344" s="301"/>
      <c r="AE344" s="301"/>
      <c r="AF344" s="301"/>
      <c r="AG344" s="301"/>
      <c r="AH344" s="301"/>
      <c r="AI344" s="301"/>
      <c r="AJ344" s="301"/>
      <c r="AK344" s="301"/>
      <c r="AL344" s="301"/>
      <c r="AM344" s="301"/>
      <c r="AN344" s="301"/>
      <c r="AO344" s="301"/>
      <c r="AP344" s="301"/>
      <c r="AQ344" s="301"/>
      <c r="AR344" s="301"/>
      <c r="AS344" s="301"/>
      <c r="AT344" s="301"/>
      <c r="AU344" s="301"/>
      <c r="AV344" s="301"/>
      <c r="AW344" s="301"/>
      <c r="AX344" s="301"/>
      <c r="AY344" s="301"/>
      <c r="AZ344" s="301"/>
      <c r="BA344" s="301"/>
      <c r="BB344" s="301"/>
      <c r="BC344" s="301"/>
      <c r="BD344" s="301"/>
      <c r="BE344" s="301"/>
      <c r="BF344" s="301"/>
      <c r="BG344" s="301"/>
      <c r="BH344" s="301"/>
      <c r="BI344" s="301"/>
      <c r="BJ344" s="301"/>
      <c r="BK344" s="301"/>
    </row>
    <row r="345" spans="1:63" s="344" customFormat="1" x14ac:dyDescent="0.25">
      <c r="A345" s="301"/>
      <c r="B345" s="321"/>
      <c r="C345" s="302"/>
      <c r="D345" s="301"/>
      <c r="E345" s="304"/>
      <c r="F345" s="304"/>
      <c r="G345" s="325"/>
      <c r="H345" s="343"/>
      <c r="I345" s="302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  <c r="AD345" s="301"/>
      <c r="AE345" s="301"/>
      <c r="AF345" s="301"/>
      <c r="AG345" s="301"/>
      <c r="AH345" s="301"/>
      <c r="AI345" s="301"/>
      <c r="AJ345" s="301"/>
      <c r="AK345" s="301"/>
      <c r="AL345" s="301"/>
      <c r="AM345" s="301"/>
      <c r="AN345" s="301"/>
      <c r="AO345" s="301"/>
      <c r="AP345" s="301"/>
      <c r="AQ345" s="301"/>
      <c r="AR345" s="301"/>
      <c r="AS345" s="301"/>
      <c r="AT345" s="301"/>
      <c r="AU345" s="301"/>
      <c r="AV345" s="301"/>
      <c r="AW345" s="301"/>
      <c r="AX345" s="301"/>
      <c r="AY345" s="301"/>
      <c r="AZ345" s="301"/>
      <c r="BA345" s="301"/>
      <c r="BB345" s="301"/>
      <c r="BC345" s="301"/>
      <c r="BD345" s="301"/>
      <c r="BE345" s="301"/>
      <c r="BF345" s="301"/>
      <c r="BG345" s="301"/>
      <c r="BH345" s="301"/>
      <c r="BI345" s="301"/>
      <c r="BJ345" s="301"/>
      <c r="BK345" s="301"/>
    </row>
    <row r="346" spans="1:63" x14ac:dyDescent="0.25">
      <c r="A346" s="301"/>
      <c r="B346" s="321"/>
      <c r="C346" s="302"/>
      <c r="D346" s="301"/>
      <c r="E346" s="301"/>
      <c r="F346" s="305"/>
      <c r="G346" s="325"/>
      <c r="H346" s="343"/>
      <c r="I346" s="302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  <c r="AD346" s="301"/>
      <c r="AE346" s="301"/>
      <c r="AF346" s="301"/>
      <c r="AG346" s="301"/>
      <c r="AH346" s="301"/>
      <c r="AI346" s="301"/>
      <c r="AJ346" s="301"/>
      <c r="AK346" s="301"/>
      <c r="AL346" s="301"/>
      <c r="AM346" s="301"/>
      <c r="AN346" s="301"/>
      <c r="AO346" s="301"/>
      <c r="AP346" s="301"/>
      <c r="AQ346" s="301"/>
      <c r="AR346" s="301"/>
      <c r="AS346" s="301"/>
      <c r="AT346" s="301"/>
      <c r="AU346" s="301"/>
      <c r="AV346" s="301"/>
      <c r="AW346" s="301"/>
      <c r="AX346" s="301"/>
      <c r="AY346" s="301"/>
      <c r="AZ346" s="301"/>
      <c r="BA346" s="301"/>
      <c r="BB346" s="301"/>
      <c r="BC346" s="301"/>
      <c r="BD346" s="301"/>
      <c r="BE346" s="301"/>
      <c r="BF346" s="301"/>
      <c r="BG346" s="301"/>
      <c r="BH346" s="301"/>
      <c r="BI346" s="301"/>
      <c r="BJ346" s="301"/>
      <c r="BK346" s="301"/>
    </row>
    <row r="347" spans="1:63" s="344" customFormat="1" x14ac:dyDescent="0.25">
      <c r="A347" s="301"/>
      <c r="B347" s="315"/>
      <c r="C347" s="302"/>
      <c r="D347" s="301"/>
      <c r="E347" s="301"/>
      <c r="F347" s="304"/>
      <c r="G347" s="325"/>
      <c r="H347" s="343"/>
      <c r="I347" s="302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  <c r="AD347" s="301"/>
      <c r="AE347" s="301"/>
      <c r="AF347" s="301"/>
      <c r="AG347" s="301"/>
      <c r="AH347" s="301"/>
      <c r="AI347" s="301"/>
      <c r="AJ347" s="301"/>
      <c r="AK347" s="301"/>
      <c r="AL347" s="301"/>
      <c r="AM347" s="301"/>
      <c r="AN347" s="301"/>
      <c r="AO347" s="301"/>
      <c r="AP347" s="301"/>
      <c r="AQ347" s="301"/>
      <c r="AR347" s="301"/>
      <c r="AS347" s="301"/>
      <c r="AT347" s="301"/>
      <c r="AU347" s="301"/>
      <c r="AV347" s="301"/>
      <c r="AW347" s="301"/>
      <c r="AX347" s="301"/>
      <c r="AY347" s="301"/>
      <c r="AZ347" s="301"/>
      <c r="BA347" s="301"/>
      <c r="BB347" s="301"/>
      <c r="BC347" s="301"/>
      <c r="BD347" s="301"/>
      <c r="BE347" s="301"/>
      <c r="BF347" s="301"/>
      <c r="BG347" s="301"/>
      <c r="BH347" s="301"/>
      <c r="BI347" s="301"/>
      <c r="BJ347" s="301"/>
      <c r="BK347" s="301"/>
    </row>
    <row r="348" spans="1:63" s="344" customFormat="1" x14ac:dyDescent="0.25">
      <c r="A348" s="301"/>
      <c r="B348" s="315"/>
      <c r="C348" s="301"/>
      <c r="D348" s="301"/>
      <c r="E348" s="301"/>
      <c r="F348" s="304"/>
      <c r="G348" s="325"/>
      <c r="H348" s="343"/>
      <c r="I348" s="302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  <c r="AD348" s="301"/>
      <c r="AE348" s="301"/>
      <c r="AF348" s="301"/>
      <c r="AG348" s="301"/>
      <c r="AH348" s="301"/>
      <c r="AI348" s="301"/>
      <c r="AJ348" s="301"/>
      <c r="AK348" s="301"/>
      <c r="AL348" s="301"/>
      <c r="AM348" s="301"/>
      <c r="AN348" s="301"/>
      <c r="AO348" s="301"/>
      <c r="AP348" s="301"/>
      <c r="AQ348" s="301"/>
      <c r="AR348" s="301"/>
      <c r="AS348" s="301"/>
      <c r="AT348" s="301"/>
      <c r="AU348" s="301"/>
      <c r="AV348" s="301"/>
      <c r="AW348" s="301"/>
      <c r="AX348" s="301"/>
      <c r="AY348" s="301"/>
      <c r="AZ348" s="301"/>
      <c r="BA348" s="301"/>
      <c r="BB348" s="301"/>
      <c r="BC348" s="301"/>
      <c r="BD348" s="301"/>
      <c r="BE348" s="301"/>
      <c r="BF348" s="301"/>
      <c r="BG348" s="301"/>
      <c r="BH348" s="301"/>
      <c r="BI348" s="301"/>
      <c r="BJ348" s="301"/>
      <c r="BK348" s="301"/>
    </row>
    <row r="349" spans="1:63" s="344" customFormat="1" x14ac:dyDescent="0.25">
      <c r="A349" s="301"/>
      <c r="B349" s="315"/>
      <c r="C349" s="302"/>
      <c r="D349" s="301"/>
      <c r="E349" s="301"/>
      <c r="F349" s="304"/>
      <c r="G349" s="325"/>
      <c r="H349" s="343"/>
      <c r="I349" s="302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  <c r="AD349" s="301"/>
      <c r="AE349" s="301"/>
      <c r="AF349" s="301"/>
      <c r="AG349" s="301"/>
      <c r="AH349" s="301"/>
      <c r="AI349" s="301"/>
      <c r="AJ349" s="301"/>
      <c r="AK349" s="301"/>
      <c r="AL349" s="301"/>
      <c r="AM349" s="301"/>
      <c r="AN349" s="301"/>
      <c r="AO349" s="301"/>
      <c r="AP349" s="301"/>
      <c r="AQ349" s="301"/>
      <c r="AR349" s="301"/>
      <c r="AS349" s="301"/>
      <c r="AT349" s="301"/>
      <c r="AU349" s="301"/>
      <c r="AV349" s="301"/>
      <c r="AW349" s="301"/>
      <c r="AX349" s="301"/>
      <c r="AY349" s="301"/>
      <c r="AZ349" s="301"/>
      <c r="BA349" s="301"/>
      <c r="BB349" s="301"/>
      <c r="BC349" s="301"/>
      <c r="BD349" s="301"/>
      <c r="BE349" s="301"/>
      <c r="BF349" s="301"/>
      <c r="BG349" s="301"/>
      <c r="BH349" s="301"/>
      <c r="BI349" s="301"/>
      <c r="BJ349" s="301"/>
      <c r="BK349" s="301"/>
    </row>
    <row r="350" spans="1:63" s="344" customFormat="1" x14ac:dyDescent="0.25">
      <c r="A350" s="301"/>
      <c r="B350" s="315"/>
      <c r="C350" s="302"/>
      <c r="D350" s="301"/>
      <c r="E350" s="301"/>
      <c r="F350" s="304"/>
      <c r="G350" s="325"/>
      <c r="H350" s="343"/>
      <c r="I350" s="302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  <c r="AD350" s="301"/>
      <c r="AE350" s="301"/>
      <c r="AF350" s="301"/>
      <c r="AG350" s="301"/>
      <c r="AH350" s="301"/>
      <c r="AI350" s="301"/>
      <c r="AJ350" s="301"/>
      <c r="AK350" s="301"/>
      <c r="AL350" s="301"/>
      <c r="AM350" s="301"/>
      <c r="AN350" s="301"/>
      <c r="AO350" s="301"/>
      <c r="AP350" s="301"/>
      <c r="AQ350" s="301"/>
      <c r="AR350" s="301"/>
      <c r="AS350" s="301"/>
      <c r="AT350" s="301"/>
      <c r="AU350" s="301"/>
      <c r="AV350" s="301"/>
      <c r="AW350" s="301"/>
      <c r="AX350" s="301"/>
      <c r="AY350" s="301"/>
      <c r="AZ350" s="301"/>
      <c r="BA350" s="301"/>
      <c r="BB350" s="301"/>
      <c r="BC350" s="301"/>
      <c r="BD350" s="301"/>
      <c r="BE350" s="301"/>
      <c r="BF350" s="301"/>
      <c r="BG350" s="301"/>
      <c r="BH350" s="301"/>
      <c r="BI350" s="301"/>
      <c r="BJ350" s="301"/>
      <c r="BK350" s="301"/>
    </row>
    <row r="351" spans="1:63" s="344" customFormat="1" x14ac:dyDescent="0.25">
      <c r="A351" s="301"/>
      <c r="B351" s="315"/>
      <c r="C351" s="302"/>
      <c r="D351" s="301"/>
      <c r="E351" s="301"/>
      <c r="F351" s="304"/>
      <c r="G351" s="325"/>
      <c r="H351" s="343"/>
      <c r="I351" s="302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  <c r="AD351" s="301"/>
      <c r="AE351" s="301"/>
      <c r="AF351" s="301"/>
      <c r="AG351" s="301"/>
      <c r="AH351" s="301"/>
      <c r="AI351" s="301"/>
      <c r="AJ351" s="301"/>
      <c r="AK351" s="301"/>
      <c r="AL351" s="301"/>
      <c r="AM351" s="301"/>
      <c r="AN351" s="301"/>
      <c r="AO351" s="301"/>
      <c r="AP351" s="301"/>
      <c r="AQ351" s="301"/>
      <c r="AR351" s="301"/>
      <c r="AS351" s="301"/>
      <c r="AT351" s="301"/>
      <c r="AU351" s="301"/>
      <c r="AV351" s="301"/>
      <c r="AW351" s="301"/>
      <c r="AX351" s="301"/>
      <c r="AY351" s="301"/>
      <c r="AZ351" s="301"/>
      <c r="BA351" s="301"/>
      <c r="BB351" s="301"/>
      <c r="BC351" s="301"/>
      <c r="BD351" s="301"/>
      <c r="BE351" s="301"/>
      <c r="BF351" s="301"/>
      <c r="BG351" s="301"/>
      <c r="BH351" s="301"/>
      <c r="BI351" s="301"/>
      <c r="BJ351" s="301"/>
      <c r="BK351" s="301"/>
    </row>
    <row r="352" spans="1:63" s="344" customFormat="1" x14ac:dyDescent="0.25">
      <c r="A352" s="301"/>
      <c r="B352" s="315"/>
      <c r="C352" s="302"/>
      <c r="D352" s="301"/>
      <c r="E352" s="301"/>
      <c r="F352" s="304"/>
      <c r="G352" s="325"/>
      <c r="H352" s="343"/>
      <c r="I352" s="302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  <c r="AD352" s="301"/>
      <c r="AE352" s="301"/>
      <c r="AF352" s="301"/>
      <c r="AG352" s="301"/>
      <c r="AH352" s="301"/>
      <c r="AI352" s="301"/>
      <c r="AJ352" s="301"/>
      <c r="AK352" s="301"/>
      <c r="AL352" s="301"/>
      <c r="AM352" s="301"/>
      <c r="AN352" s="301"/>
      <c r="AO352" s="301"/>
      <c r="AP352" s="301"/>
      <c r="AQ352" s="301"/>
      <c r="AR352" s="301"/>
      <c r="AS352" s="301"/>
      <c r="AT352" s="301"/>
      <c r="AU352" s="301"/>
      <c r="AV352" s="301"/>
      <c r="AW352" s="301"/>
      <c r="AX352" s="301"/>
      <c r="AY352" s="301"/>
      <c r="AZ352" s="301"/>
      <c r="BA352" s="301"/>
      <c r="BB352" s="301"/>
      <c r="BC352" s="301"/>
      <c r="BD352" s="301"/>
      <c r="BE352" s="301"/>
      <c r="BF352" s="301"/>
      <c r="BG352" s="301"/>
      <c r="BH352" s="301"/>
      <c r="BI352" s="301"/>
      <c r="BJ352" s="301"/>
      <c r="BK352" s="301"/>
    </row>
    <row r="353" spans="1:63" s="344" customFormat="1" x14ac:dyDescent="0.25">
      <c r="A353" s="301"/>
      <c r="B353" s="315"/>
      <c r="C353" s="302"/>
      <c r="D353" s="301"/>
      <c r="E353" s="301"/>
      <c r="F353" s="304"/>
      <c r="G353" s="325"/>
      <c r="H353" s="343"/>
      <c r="I353" s="302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  <c r="AD353" s="301"/>
      <c r="AE353" s="301"/>
      <c r="AF353" s="301"/>
      <c r="AG353" s="301"/>
      <c r="AH353" s="301"/>
      <c r="AI353" s="301"/>
      <c r="AJ353" s="301"/>
      <c r="AK353" s="301"/>
      <c r="AL353" s="301"/>
      <c r="AM353" s="301"/>
      <c r="AN353" s="301"/>
      <c r="AO353" s="301"/>
      <c r="AP353" s="301"/>
      <c r="AQ353" s="301"/>
      <c r="AR353" s="301"/>
      <c r="AS353" s="301"/>
      <c r="AT353" s="301"/>
      <c r="AU353" s="301"/>
      <c r="AV353" s="301"/>
      <c r="AW353" s="301"/>
      <c r="AX353" s="301"/>
      <c r="AY353" s="301"/>
      <c r="AZ353" s="301"/>
      <c r="BA353" s="301"/>
      <c r="BB353" s="301"/>
      <c r="BC353" s="301"/>
      <c r="BD353" s="301"/>
      <c r="BE353" s="301"/>
      <c r="BF353" s="301"/>
      <c r="BG353" s="301"/>
      <c r="BH353" s="301"/>
      <c r="BI353" s="301"/>
      <c r="BJ353" s="301"/>
      <c r="BK353" s="301"/>
    </row>
    <row r="354" spans="1:63" s="344" customFormat="1" x14ac:dyDescent="0.25">
      <c r="A354" s="303"/>
      <c r="B354" s="315"/>
      <c r="C354" s="301"/>
      <c r="D354" s="301"/>
      <c r="E354" s="301"/>
      <c r="F354" s="301"/>
      <c r="G354" s="325"/>
      <c r="H354" s="343"/>
      <c r="I354" s="302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  <c r="AD354" s="301"/>
      <c r="AE354" s="301"/>
      <c r="AF354" s="301"/>
      <c r="AG354" s="301"/>
      <c r="AH354" s="301"/>
      <c r="AI354" s="301"/>
      <c r="AJ354" s="301"/>
      <c r="AK354" s="301"/>
      <c r="AL354" s="301"/>
      <c r="AM354" s="301"/>
      <c r="AN354" s="301"/>
      <c r="AO354" s="301"/>
      <c r="AP354" s="301"/>
      <c r="AQ354" s="301"/>
      <c r="AR354" s="301"/>
      <c r="AS354" s="301"/>
      <c r="AT354" s="301"/>
      <c r="AU354" s="301"/>
      <c r="AV354" s="301"/>
      <c r="AW354" s="301"/>
      <c r="AX354" s="301"/>
      <c r="AY354" s="301"/>
      <c r="AZ354" s="301"/>
      <c r="BA354" s="301"/>
      <c r="BB354" s="301"/>
      <c r="BC354" s="301"/>
      <c r="BD354" s="301"/>
      <c r="BE354" s="301"/>
      <c r="BF354" s="301"/>
      <c r="BG354" s="301"/>
      <c r="BH354" s="301"/>
      <c r="BI354" s="301"/>
      <c r="BJ354" s="301"/>
      <c r="BK354" s="301"/>
    </row>
    <row r="355" spans="1:63" s="344" customFormat="1" x14ac:dyDescent="0.25">
      <c r="A355" s="301"/>
      <c r="B355" s="315"/>
      <c r="C355" s="302"/>
      <c r="D355" s="301"/>
      <c r="E355" s="301"/>
      <c r="F355" s="304"/>
      <c r="G355" s="325"/>
      <c r="H355" s="343"/>
      <c r="I355" s="302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  <c r="AD355" s="301"/>
      <c r="AE355" s="301"/>
      <c r="AF355" s="301"/>
      <c r="AG355" s="301"/>
      <c r="AH355" s="301"/>
      <c r="AI355" s="301"/>
      <c r="AJ355" s="301"/>
      <c r="AK355" s="301"/>
      <c r="AL355" s="301"/>
      <c r="AM355" s="301"/>
      <c r="AN355" s="301"/>
      <c r="AO355" s="301"/>
      <c r="AP355" s="301"/>
      <c r="AQ355" s="301"/>
      <c r="AR355" s="301"/>
      <c r="AS355" s="301"/>
      <c r="AT355" s="301"/>
      <c r="AU355" s="301"/>
      <c r="AV355" s="301"/>
      <c r="AW355" s="301"/>
      <c r="AX355" s="301"/>
      <c r="AY355" s="301"/>
      <c r="AZ355" s="301"/>
      <c r="BA355" s="301"/>
      <c r="BB355" s="301"/>
      <c r="BC355" s="301"/>
      <c r="BD355" s="301"/>
      <c r="BE355" s="301"/>
      <c r="BF355" s="301"/>
      <c r="BG355" s="301"/>
      <c r="BH355" s="301"/>
      <c r="BI355" s="301"/>
      <c r="BJ355" s="301"/>
      <c r="BK355" s="301"/>
    </row>
    <row r="356" spans="1:63" s="344" customFormat="1" x14ac:dyDescent="0.25">
      <c r="A356" s="301"/>
      <c r="B356" s="315"/>
      <c r="C356" s="302"/>
      <c r="D356" s="301"/>
      <c r="E356" s="301"/>
      <c r="F356" s="304"/>
      <c r="G356" s="325"/>
      <c r="H356" s="343"/>
      <c r="I356" s="302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  <c r="AD356" s="301"/>
      <c r="AE356" s="301"/>
      <c r="AF356" s="301"/>
      <c r="AG356" s="301"/>
      <c r="AH356" s="301"/>
      <c r="AI356" s="301"/>
      <c r="AJ356" s="301"/>
      <c r="AK356" s="301"/>
      <c r="AL356" s="301"/>
      <c r="AM356" s="301"/>
      <c r="AN356" s="301"/>
      <c r="AO356" s="301"/>
      <c r="AP356" s="301"/>
      <c r="AQ356" s="301"/>
      <c r="AR356" s="301"/>
      <c r="AS356" s="301"/>
      <c r="AT356" s="301"/>
      <c r="AU356" s="301"/>
      <c r="AV356" s="301"/>
      <c r="AW356" s="301"/>
      <c r="AX356" s="301"/>
      <c r="AY356" s="301"/>
      <c r="AZ356" s="301"/>
      <c r="BA356" s="301"/>
      <c r="BB356" s="301"/>
      <c r="BC356" s="301"/>
      <c r="BD356" s="301"/>
      <c r="BE356" s="301"/>
      <c r="BF356" s="301"/>
      <c r="BG356" s="301"/>
      <c r="BH356" s="301"/>
      <c r="BI356" s="301"/>
      <c r="BJ356" s="301"/>
      <c r="BK356" s="301"/>
    </row>
    <row r="357" spans="1:63" s="344" customFormat="1" x14ac:dyDescent="0.25">
      <c r="A357" s="301"/>
      <c r="B357" s="315"/>
      <c r="C357" s="302"/>
      <c r="D357" s="301"/>
      <c r="E357" s="301"/>
      <c r="F357" s="304"/>
      <c r="G357" s="325"/>
      <c r="H357" s="343"/>
      <c r="I357" s="302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  <c r="AD357" s="301"/>
      <c r="AE357" s="301"/>
      <c r="AF357" s="301"/>
      <c r="AG357" s="301"/>
      <c r="AH357" s="301"/>
      <c r="AI357" s="301"/>
      <c r="AJ357" s="301"/>
      <c r="AK357" s="301"/>
      <c r="AL357" s="301"/>
      <c r="AM357" s="301"/>
      <c r="AN357" s="301"/>
      <c r="AO357" s="301"/>
      <c r="AP357" s="301"/>
      <c r="AQ357" s="301"/>
      <c r="AR357" s="301"/>
      <c r="AS357" s="301"/>
      <c r="AT357" s="301"/>
      <c r="AU357" s="301"/>
      <c r="AV357" s="301"/>
      <c r="AW357" s="301"/>
      <c r="AX357" s="301"/>
      <c r="AY357" s="301"/>
      <c r="AZ357" s="301"/>
      <c r="BA357" s="301"/>
      <c r="BB357" s="301"/>
      <c r="BC357" s="301"/>
      <c r="BD357" s="301"/>
      <c r="BE357" s="301"/>
      <c r="BF357" s="301"/>
      <c r="BG357" s="301"/>
      <c r="BH357" s="301"/>
      <c r="BI357" s="301"/>
      <c r="BJ357" s="301"/>
      <c r="BK357" s="301"/>
    </row>
    <row r="358" spans="1:63" s="344" customFormat="1" x14ac:dyDescent="0.25">
      <c r="A358" s="301"/>
      <c r="B358" s="315"/>
      <c r="C358" s="301"/>
      <c r="D358" s="301"/>
      <c r="E358" s="301"/>
      <c r="F358" s="304"/>
      <c r="G358" s="325"/>
      <c r="H358" s="343"/>
      <c r="I358" s="302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  <c r="AD358" s="301"/>
      <c r="AE358" s="301"/>
      <c r="AF358" s="301"/>
      <c r="AG358" s="301"/>
      <c r="AH358" s="301"/>
      <c r="AI358" s="301"/>
      <c r="AJ358" s="301"/>
      <c r="AK358" s="301"/>
      <c r="AL358" s="301"/>
      <c r="AM358" s="301"/>
      <c r="AN358" s="301"/>
      <c r="AO358" s="301"/>
      <c r="AP358" s="301"/>
      <c r="AQ358" s="301"/>
      <c r="AR358" s="301"/>
      <c r="AS358" s="301"/>
      <c r="AT358" s="301"/>
      <c r="AU358" s="301"/>
      <c r="AV358" s="301"/>
      <c r="AW358" s="301"/>
      <c r="AX358" s="301"/>
      <c r="AY358" s="301"/>
      <c r="AZ358" s="301"/>
      <c r="BA358" s="301"/>
      <c r="BB358" s="301"/>
      <c r="BC358" s="301"/>
      <c r="BD358" s="301"/>
      <c r="BE358" s="301"/>
      <c r="BF358" s="301"/>
      <c r="BG358" s="301"/>
      <c r="BH358" s="301"/>
      <c r="BI358" s="301"/>
      <c r="BJ358" s="301"/>
      <c r="BK358" s="301"/>
    </row>
    <row r="359" spans="1:63" s="344" customFormat="1" x14ac:dyDescent="0.25">
      <c r="A359" s="301"/>
      <c r="B359" s="315"/>
      <c r="C359" s="302"/>
      <c r="D359" s="301"/>
      <c r="E359" s="301"/>
      <c r="F359" s="304"/>
      <c r="G359" s="325"/>
      <c r="H359" s="343"/>
      <c r="I359" s="302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  <c r="AD359" s="301"/>
      <c r="AE359" s="301"/>
      <c r="AF359" s="301"/>
      <c r="AG359" s="301"/>
      <c r="AH359" s="301"/>
      <c r="AI359" s="301"/>
      <c r="AJ359" s="301"/>
      <c r="AK359" s="301"/>
      <c r="AL359" s="301"/>
      <c r="AM359" s="301"/>
      <c r="AN359" s="301"/>
      <c r="AO359" s="301"/>
      <c r="AP359" s="301"/>
      <c r="AQ359" s="301"/>
      <c r="AR359" s="301"/>
      <c r="AS359" s="301"/>
      <c r="AT359" s="301"/>
      <c r="AU359" s="301"/>
      <c r="AV359" s="301"/>
      <c r="AW359" s="301"/>
      <c r="AX359" s="301"/>
      <c r="AY359" s="301"/>
      <c r="AZ359" s="301"/>
      <c r="BA359" s="301"/>
      <c r="BB359" s="301"/>
      <c r="BC359" s="301"/>
      <c r="BD359" s="301"/>
      <c r="BE359" s="301"/>
      <c r="BF359" s="301"/>
      <c r="BG359" s="301"/>
      <c r="BH359" s="301"/>
      <c r="BI359" s="301"/>
      <c r="BJ359" s="301"/>
      <c r="BK359" s="301"/>
    </row>
    <row r="360" spans="1:63" s="344" customFormat="1" x14ac:dyDescent="0.25">
      <c r="A360" s="301"/>
      <c r="B360" s="315"/>
      <c r="C360" s="302"/>
      <c r="D360" s="301"/>
      <c r="E360" s="301"/>
      <c r="F360" s="304"/>
      <c r="G360" s="325"/>
      <c r="H360" s="343"/>
      <c r="I360" s="302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  <c r="AC360" s="301"/>
      <c r="AD360" s="301"/>
      <c r="AE360" s="301"/>
      <c r="AF360" s="301"/>
      <c r="AG360" s="301"/>
      <c r="AH360" s="301"/>
      <c r="AI360" s="301"/>
      <c r="AJ360" s="301"/>
      <c r="AK360" s="301"/>
      <c r="AL360" s="301"/>
      <c r="AM360" s="301"/>
      <c r="AN360" s="301"/>
      <c r="AO360" s="301"/>
      <c r="AP360" s="301"/>
      <c r="AQ360" s="301"/>
      <c r="AR360" s="301"/>
      <c r="AS360" s="301"/>
      <c r="AT360" s="301"/>
      <c r="AU360" s="301"/>
      <c r="AV360" s="301"/>
      <c r="AW360" s="301"/>
      <c r="AX360" s="301"/>
      <c r="AY360" s="301"/>
      <c r="AZ360" s="301"/>
      <c r="BA360" s="301"/>
      <c r="BB360" s="301"/>
      <c r="BC360" s="301"/>
      <c r="BD360" s="301"/>
      <c r="BE360" s="301"/>
      <c r="BF360" s="301"/>
      <c r="BG360" s="301"/>
      <c r="BH360" s="301"/>
      <c r="BI360" s="301"/>
      <c r="BJ360" s="301"/>
      <c r="BK360" s="301"/>
    </row>
    <row r="361" spans="1:63" s="344" customFormat="1" x14ac:dyDescent="0.25">
      <c r="A361" s="301"/>
      <c r="B361" s="315"/>
      <c r="C361" s="302"/>
      <c r="D361" s="301"/>
      <c r="E361" s="301"/>
      <c r="F361" s="304"/>
      <c r="G361" s="325"/>
      <c r="H361" s="343"/>
      <c r="I361" s="302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  <c r="AC361" s="301"/>
      <c r="AD361" s="301"/>
      <c r="AE361" s="301"/>
      <c r="AF361" s="301"/>
      <c r="AG361" s="301"/>
      <c r="AH361" s="301"/>
      <c r="AI361" s="301"/>
      <c r="AJ361" s="301"/>
      <c r="AK361" s="301"/>
      <c r="AL361" s="301"/>
      <c r="AM361" s="301"/>
      <c r="AN361" s="301"/>
      <c r="AO361" s="301"/>
      <c r="AP361" s="301"/>
      <c r="AQ361" s="301"/>
      <c r="AR361" s="301"/>
      <c r="AS361" s="301"/>
      <c r="AT361" s="301"/>
      <c r="AU361" s="301"/>
      <c r="AV361" s="301"/>
      <c r="AW361" s="301"/>
      <c r="AX361" s="301"/>
      <c r="AY361" s="301"/>
      <c r="AZ361" s="301"/>
      <c r="BA361" s="301"/>
      <c r="BB361" s="301"/>
      <c r="BC361" s="301"/>
      <c r="BD361" s="301"/>
      <c r="BE361" s="301"/>
      <c r="BF361" s="301"/>
      <c r="BG361" s="301"/>
      <c r="BH361" s="301"/>
      <c r="BI361" s="301"/>
      <c r="BJ361" s="301"/>
      <c r="BK361" s="301"/>
    </row>
    <row r="362" spans="1:63" s="344" customFormat="1" x14ac:dyDescent="0.25">
      <c r="A362" s="301"/>
      <c r="B362" s="315"/>
      <c r="C362" s="302"/>
      <c r="D362" s="301"/>
      <c r="E362" s="301"/>
      <c r="F362" s="304"/>
      <c r="G362" s="325"/>
      <c r="H362" s="343"/>
      <c r="I362" s="302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  <c r="AC362" s="301"/>
      <c r="AD362" s="301"/>
      <c r="AE362" s="301"/>
      <c r="AF362" s="301"/>
      <c r="AG362" s="301"/>
      <c r="AH362" s="301"/>
      <c r="AI362" s="301"/>
      <c r="AJ362" s="301"/>
      <c r="AK362" s="301"/>
      <c r="AL362" s="301"/>
      <c r="AM362" s="301"/>
      <c r="AN362" s="301"/>
      <c r="AO362" s="301"/>
      <c r="AP362" s="301"/>
      <c r="AQ362" s="301"/>
      <c r="AR362" s="301"/>
      <c r="AS362" s="301"/>
      <c r="AT362" s="301"/>
      <c r="AU362" s="301"/>
      <c r="AV362" s="301"/>
      <c r="AW362" s="301"/>
      <c r="AX362" s="301"/>
      <c r="AY362" s="301"/>
      <c r="AZ362" s="301"/>
      <c r="BA362" s="301"/>
      <c r="BB362" s="301"/>
      <c r="BC362" s="301"/>
      <c r="BD362" s="301"/>
      <c r="BE362" s="301"/>
      <c r="BF362" s="301"/>
      <c r="BG362" s="301"/>
      <c r="BH362" s="301"/>
      <c r="BI362" s="301"/>
      <c r="BJ362" s="301"/>
      <c r="BK362" s="301"/>
    </row>
    <row r="363" spans="1:63" x14ac:dyDescent="0.25">
      <c r="A363" s="301"/>
      <c r="B363" s="315"/>
      <c r="C363" s="302"/>
      <c r="D363" s="301"/>
      <c r="E363" s="301"/>
      <c r="F363" s="305"/>
      <c r="G363" s="325"/>
      <c r="H363" s="343"/>
      <c r="I363" s="302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  <c r="AC363" s="301"/>
      <c r="AD363" s="301"/>
      <c r="AE363" s="301"/>
      <c r="AF363" s="301"/>
      <c r="AG363" s="301"/>
      <c r="AH363" s="301"/>
      <c r="AI363" s="301"/>
      <c r="AJ363" s="301"/>
      <c r="AK363" s="301"/>
      <c r="AL363" s="301"/>
      <c r="AM363" s="301"/>
      <c r="AN363" s="301"/>
      <c r="AO363" s="301"/>
      <c r="AP363" s="301"/>
      <c r="AQ363" s="301"/>
      <c r="AR363" s="301"/>
      <c r="AS363" s="301"/>
      <c r="AT363" s="301"/>
      <c r="AU363" s="301"/>
      <c r="AV363" s="301"/>
      <c r="AW363" s="301"/>
      <c r="AX363" s="301"/>
      <c r="AY363" s="301"/>
      <c r="AZ363" s="301"/>
      <c r="BA363" s="301"/>
      <c r="BB363" s="301"/>
      <c r="BC363" s="301"/>
      <c r="BD363" s="301"/>
      <c r="BE363" s="301"/>
      <c r="BF363" s="301"/>
      <c r="BG363" s="301"/>
      <c r="BH363" s="301"/>
      <c r="BI363" s="301"/>
      <c r="BJ363" s="301"/>
      <c r="BK363" s="301"/>
    </row>
    <row r="364" spans="1:63" x14ac:dyDescent="0.25">
      <c r="A364" s="301"/>
      <c r="B364" s="315"/>
      <c r="C364" s="302"/>
      <c r="D364" s="301"/>
      <c r="E364" s="301"/>
      <c r="F364" s="305"/>
      <c r="G364" s="325"/>
      <c r="H364" s="343"/>
      <c r="I364" s="302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  <c r="AC364" s="301"/>
      <c r="AD364" s="301"/>
      <c r="AE364" s="301"/>
      <c r="AF364" s="301"/>
      <c r="AG364" s="301"/>
      <c r="AH364" s="301"/>
      <c r="AI364" s="301"/>
      <c r="AJ364" s="301"/>
      <c r="AK364" s="301"/>
      <c r="AL364" s="301"/>
      <c r="AM364" s="301"/>
      <c r="AN364" s="301"/>
      <c r="AO364" s="301"/>
      <c r="AP364" s="301"/>
      <c r="AQ364" s="301"/>
      <c r="AR364" s="301"/>
      <c r="AS364" s="301"/>
      <c r="AT364" s="301"/>
      <c r="AU364" s="301"/>
      <c r="AV364" s="301"/>
      <c r="AW364" s="301"/>
      <c r="AX364" s="301"/>
      <c r="AY364" s="301"/>
      <c r="AZ364" s="301"/>
      <c r="BA364" s="301"/>
      <c r="BB364" s="301"/>
      <c r="BC364" s="301"/>
      <c r="BD364" s="301"/>
      <c r="BE364" s="301"/>
      <c r="BF364" s="301"/>
      <c r="BG364" s="301"/>
      <c r="BH364" s="301"/>
      <c r="BI364" s="301"/>
      <c r="BJ364" s="301"/>
      <c r="BK364" s="301"/>
    </row>
    <row r="365" spans="1:63" x14ac:dyDescent="0.25">
      <c r="A365" s="301"/>
      <c r="B365" s="315"/>
      <c r="C365" s="302"/>
      <c r="D365" s="301"/>
      <c r="E365" s="301"/>
      <c r="F365" s="305"/>
      <c r="G365" s="325"/>
      <c r="H365" s="343"/>
      <c r="I365" s="302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  <c r="AC365" s="301"/>
      <c r="AD365" s="301"/>
      <c r="AE365" s="301"/>
      <c r="AF365" s="301"/>
      <c r="AG365" s="301"/>
      <c r="AH365" s="301"/>
      <c r="AI365" s="301"/>
      <c r="AJ365" s="301"/>
      <c r="AK365" s="301"/>
      <c r="AL365" s="301"/>
      <c r="AM365" s="301"/>
      <c r="AN365" s="301"/>
      <c r="AO365" s="301"/>
      <c r="AP365" s="301"/>
      <c r="AQ365" s="301"/>
      <c r="AR365" s="301"/>
      <c r="AS365" s="301"/>
      <c r="AT365" s="301"/>
      <c r="AU365" s="301"/>
      <c r="AV365" s="301"/>
      <c r="AW365" s="301"/>
      <c r="AX365" s="301"/>
      <c r="AY365" s="301"/>
      <c r="AZ365" s="301"/>
      <c r="BA365" s="301"/>
      <c r="BB365" s="301"/>
      <c r="BC365" s="301"/>
      <c r="BD365" s="301"/>
      <c r="BE365" s="301"/>
      <c r="BF365" s="301"/>
      <c r="BG365" s="301"/>
      <c r="BH365" s="301"/>
      <c r="BI365" s="301"/>
      <c r="BJ365" s="301"/>
      <c r="BK365" s="301"/>
    </row>
    <row r="366" spans="1:63" x14ac:dyDescent="0.25">
      <c r="A366" s="301"/>
      <c r="B366" s="315"/>
      <c r="C366" s="302"/>
      <c r="D366" s="301"/>
      <c r="E366" s="301"/>
      <c r="F366" s="305"/>
      <c r="G366" s="325"/>
      <c r="H366" s="343"/>
      <c r="I366" s="302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  <c r="AC366" s="301"/>
      <c r="AD366" s="301"/>
      <c r="AE366" s="301"/>
      <c r="AF366" s="301"/>
      <c r="AG366" s="301"/>
      <c r="AH366" s="301"/>
      <c r="AI366" s="301"/>
      <c r="AJ366" s="301"/>
      <c r="AK366" s="301"/>
      <c r="AL366" s="301"/>
      <c r="AM366" s="301"/>
      <c r="AN366" s="301"/>
      <c r="AO366" s="301"/>
      <c r="AP366" s="301"/>
      <c r="AQ366" s="301"/>
      <c r="AR366" s="301"/>
      <c r="AS366" s="301"/>
      <c r="AT366" s="301"/>
      <c r="AU366" s="301"/>
      <c r="AV366" s="301"/>
      <c r="AW366" s="301"/>
      <c r="AX366" s="301"/>
      <c r="AY366" s="301"/>
      <c r="AZ366" s="301"/>
      <c r="BA366" s="301"/>
      <c r="BB366" s="301"/>
      <c r="BC366" s="301"/>
      <c r="BD366" s="301"/>
      <c r="BE366" s="301"/>
      <c r="BF366" s="301"/>
      <c r="BG366" s="301"/>
      <c r="BH366" s="301"/>
      <c r="BI366" s="301"/>
      <c r="BJ366" s="301"/>
      <c r="BK366" s="301"/>
    </row>
    <row r="367" spans="1:63" x14ac:dyDescent="0.25">
      <c r="A367" s="301"/>
      <c r="B367" s="315"/>
      <c r="C367" s="302"/>
      <c r="D367" s="301"/>
      <c r="E367" s="301"/>
      <c r="F367" s="305"/>
      <c r="G367" s="325"/>
      <c r="H367" s="343"/>
      <c r="I367" s="302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  <c r="AC367" s="301"/>
      <c r="AD367" s="301"/>
      <c r="AE367" s="301"/>
      <c r="AF367" s="301"/>
      <c r="AG367" s="301"/>
      <c r="AH367" s="301"/>
      <c r="AI367" s="301"/>
      <c r="AJ367" s="301"/>
      <c r="AK367" s="301"/>
      <c r="AL367" s="301"/>
      <c r="AM367" s="301"/>
      <c r="AN367" s="301"/>
      <c r="AO367" s="301"/>
      <c r="AP367" s="301"/>
      <c r="AQ367" s="301"/>
      <c r="AR367" s="301"/>
      <c r="AS367" s="301"/>
      <c r="AT367" s="301"/>
      <c r="AU367" s="301"/>
      <c r="AV367" s="301"/>
      <c r="AW367" s="301"/>
      <c r="AX367" s="301"/>
      <c r="AY367" s="301"/>
      <c r="AZ367" s="301"/>
      <c r="BA367" s="301"/>
      <c r="BB367" s="301"/>
      <c r="BC367" s="301"/>
      <c r="BD367" s="301"/>
      <c r="BE367" s="301"/>
      <c r="BF367" s="301"/>
      <c r="BG367" s="301"/>
      <c r="BH367" s="301"/>
      <c r="BI367" s="301"/>
      <c r="BJ367" s="301"/>
      <c r="BK367" s="301"/>
    </row>
    <row r="368" spans="1:63" x14ac:dyDescent="0.25">
      <c r="A368" s="301"/>
      <c r="B368" s="315"/>
      <c r="C368" s="302"/>
      <c r="D368" s="301"/>
      <c r="E368" s="301"/>
      <c r="F368" s="305"/>
      <c r="G368" s="325"/>
      <c r="H368" s="343"/>
      <c r="I368" s="302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  <c r="AC368" s="301"/>
      <c r="AD368" s="301"/>
      <c r="AE368" s="301"/>
      <c r="AF368" s="301"/>
      <c r="AG368" s="301"/>
      <c r="AH368" s="301"/>
      <c r="AI368" s="301"/>
      <c r="AJ368" s="301"/>
      <c r="AK368" s="301"/>
      <c r="AL368" s="301"/>
      <c r="AM368" s="301"/>
      <c r="AN368" s="301"/>
      <c r="AO368" s="301"/>
      <c r="AP368" s="301"/>
      <c r="AQ368" s="301"/>
      <c r="AR368" s="301"/>
      <c r="AS368" s="301"/>
      <c r="AT368" s="301"/>
      <c r="AU368" s="301"/>
      <c r="AV368" s="301"/>
      <c r="AW368" s="301"/>
      <c r="AX368" s="301"/>
      <c r="AY368" s="301"/>
      <c r="AZ368" s="301"/>
      <c r="BA368" s="301"/>
      <c r="BB368" s="301"/>
      <c r="BC368" s="301"/>
      <c r="BD368" s="301"/>
      <c r="BE368" s="301"/>
      <c r="BF368" s="301"/>
      <c r="BG368" s="301"/>
      <c r="BH368" s="301"/>
      <c r="BI368" s="301"/>
      <c r="BJ368" s="301"/>
      <c r="BK368" s="301"/>
    </row>
    <row r="369" spans="1:63" x14ac:dyDescent="0.25">
      <c r="A369" s="301"/>
      <c r="B369" s="315"/>
      <c r="C369" s="302"/>
      <c r="D369" s="301"/>
      <c r="E369" s="301"/>
      <c r="F369" s="305"/>
      <c r="G369" s="325"/>
      <c r="H369" s="343"/>
      <c r="I369" s="302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  <c r="AC369" s="301"/>
      <c r="AD369" s="301"/>
      <c r="AE369" s="301"/>
      <c r="AF369" s="301"/>
      <c r="AG369" s="301"/>
      <c r="AH369" s="301"/>
      <c r="AI369" s="301"/>
      <c r="AJ369" s="301"/>
      <c r="AK369" s="301"/>
      <c r="AL369" s="301"/>
      <c r="AM369" s="301"/>
      <c r="AN369" s="301"/>
      <c r="AO369" s="301"/>
      <c r="AP369" s="301"/>
      <c r="AQ369" s="301"/>
      <c r="AR369" s="301"/>
      <c r="AS369" s="301"/>
      <c r="AT369" s="301"/>
      <c r="AU369" s="301"/>
      <c r="AV369" s="301"/>
      <c r="AW369" s="301"/>
      <c r="AX369" s="301"/>
      <c r="AY369" s="301"/>
      <c r="AZ369" s="301"/>
      <c r="BA369" s="301"/>
      <c r="BB369" s="301"/>
      <c r="BC369" s="301"/>
      <c r="BD369" s="301"/>
      <c r="BE369" s="301"/>
      <c r="BF369" s="301"/>
      <c r="BG369" s="301"/>
      <c r="BH369" s="301"/>
      <c r="BI369" s="301"/>
      <c r="BJ369" s="301"/>
      <c r="BK369" s="301"/>
    </row>
    <row r="370" spans="1:63" x14ac:dyDescent="0.25">
      <c r="A370" s="301"/>
      <c r="B370" s="315"/>
      <c r="C370" s="302"/>
      <c r="D370" s="301"/>
      <c r="E370" s="301"/>
      <c r="F370" s="305"/>
      <c r="G370" s="325"/>
      <c r="H370" s="343"/>
      <c r="I370" s="302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  <c r="AC370" s="301"/>
      <c r="AD370" s="301"/>
      <c r="AE370" s="301"/>
      <c r="AF370" s="301"/>
      <c r="AG370" s="301"/>
      <c r="AH370" s="301"/>
      <c r="AI370" s="301"/>
      <c r="AJ370" s="301"/>
      <c r="AK370" s="301"/>
      <c r="AL370" s="301"/>
      <c r="AM370" s="301"/>
      <c r="AN370" s="301"/>
      <c r="AO370" s="301"/>
      <c r="AP370" s="301"/>
      <c r="AQ370" s="301"/>
      <c r="AR370" s="301"/>
      <c r="AS370" s="301"/>
      <c r="AT370" s="301"/>
      <c r="AU370" s="301"/>
      <c r="AV370" s="301"/>
      <c r="AW370" s="301"/>
      <c r="AX370" s="301"/>
      <c r="AY370" s="301"/>
      <c r="AZ370" s="301"/>
      <c r="BA370" s="301"/>
      <c r="BB370" s="301"/>
      <c r="BC370" s="301"/>
      <c r="BD370" s="301"/>
      <c r="BE370" s="301"/>
      <c r="BF370" s="301"/>
      <c r="BG370" s="301"/>
      <c r="BH370" s="301"/>
      <c r="BI370" s="301"/>
      <c r="BJ370" s="301"/>
      <c r="BK370" s="301"/>
    </row>
    <row r="371" spans="1:63" x14ac:dyDescent="0.25">
      <c r="A371" s="301"/>
      <c r="B371" s="315"/>
      <c r="C371" s="302"/>
      <c r="D371" s="301"/>
      <c r="E371" s="301"/>
      <c r="F371" s="305"/>
      <c r="G371" s="325"/>
      <c r="H371" s="343"/>
      <c r="I371" s="302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  <c r="AC371" s="301"/>
      <c r="AD371" s="301"/>
      <c r="AE371" s="301"/>
      <c r="AF371" s="301"/>
      <c r="AG371" s="301"/>
      <c r="AH371" s="301"/>
      <c r="AI371" s="301"/>
      <c r="AJ371" s="301"/>
      <c r="AK371" s="301"/>
      <c r="AL371" s="301"/>
      <c r="AM371" s="301"/>
      <c r="AN371" s="301"/>
      <c r="AO371" s="301"/>
      <c r="AP371" s="301"/>
      <c r="AQ371" s="301"/>
      <c r="AR371" s="301"/>
      <c r="AS371" s="301"/>
      <c r="AT371" s="301"/>
      <c r="AU371" s="301"/>
      <c r="AV371" s="301"/>
      <c r="AW371" s="301"/>
      <c r="AX371" s="301"/>
      <c r="AY371" s="301"/>
      <c r="AZ371" s="301"/>
      <c r="BA371" s="301"/>
      <c r="BB371" s="301"/>
      <c r="BC371" s="301"/>
      <c r="BD371" s="301"/>
      <c r="BE371" s="301"/>
      <c r="BF371" s="301"/>
      <c r="BG371" s="301"/>
      <c r="BH371" s="301"/>
      <c r="BI371" s="301"/>
      <c r="BJ371" s="301"/>
      <c r="BK371" s="301"/>
    </row>
    <row r="372" spans="1:63" x14ac:dyDescent="0.25">
      <c r="A372" s="301"/>
      <c r="B372" s="315"/>
      <c r="C372" s="302"/>
      <c r="D372" s="301"/>
      <c r="E372" s="301"/>
      <c r="F372" s="305"/>
      <c r="G372" s="325"/>
      <c r="H372" s="343"/>
      <c r="I372" s="302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  <c r="AC372" s="301"/>
      <c r="AD372" s="301"/>
      <c r="AE372" s="301"/>
      <c r="AF372" s="301"/>
      <c r="AG372" s="301"/>
      <c r="AH372" s="301"/>
      <c r="AI372" s="301"/>
      <c r="AJ372" s="301"/>
      <c r="AK372" s="301"/>
      <c r="AL372" s="301"/>
      <c r="AM372" s="301"/>
      <c r="AN372" s="301"/>
      <c r="AO372" s="301"/>
      <c r="AP372" s="301"/>
      <c r="AQ372" s="301"/>
      <c r="AR372" s="301"/>
      <c r="AS372" s="301"/>
      <c r="AT372" s="301"/>
      <c r="AU372" s="301"/>
      <c r="AV372" s="301"/>
      <c r="AW372" s="301"/>
      <c r="AX372" s="301"/>
      <c r="AY372" s="301"/>
      <c r="AZ372" s="301"/>
      <c r="BA372" s="301"/>
      <c r="BB372" s="301"/>
      <c r="BC372" s="301"/>
      <c r="BD372" s="301"/>
      <c r="BE372" s="301"/>
      <c r="BF372" s="301"/>
      <c r="BG372" s="301"/>
      <c r="BH372" s="301"/>
      <c r="BI372" s="301"/>
      <c r="BJ372" s="301"/>
      <c r="BK372" s="301"/>
    </row>
    <row r="373" spans="1:63" x14ac:dyDescent="0.25">
      <c r="A373" s="301"/>
      <c r="B373" s="315"/>
      <c r="C373" s="302"/>
      <c r="D373" s="301"/>
      <c r="E373" s="301"/>
      <c r="F373" s="305"/>
      <c r="G373" s="325"/>
      <c r="H373" s="343"/>
      <c r="I373" s="302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  <c r="AD373" s="301"/>
      <c r="AE373" s="301"/>
      <c r="AF373" s="301"/>
      <c r="AG373" s="301"/>
      <c r="AH373" s="301"/>
      <c r="AI373" s="301"/>
      <c r="AJ373" s="301"/>
      <c r="AK373" s="301"/>
      <c r="AL373" s="301"/>
      <c r="AM373" s="301"/>
      <c r="AN373" s="301"/>
      <c r="AO373" s="301"/>
      <c r="AP373" s="301"/>
      <c r="AQ373" s="301"/>
      <c r="AR373" s="301"/>
      <c r="AS373" s="301"/>
      <c r="AT373" s="301"/>
      <c r="AU373" s="301"/>
      <c r="AV373" s="301"/>
      <c r="AW373" s="301"/>
      <c r="AX373" s="301"/>
      <c r="AY373" s="301"/>
      <c r="AZ373" s="301"/>
      <c r="BA373" s="301"/>
      <c r="BB373" s="301"/>
      <c r="BC373" s="301"/>
      <c r="BD373" s="301"/>
      <c r="BE373" s="301"/>
      <c r="BF373" s="301"/>
      <c r="BG373" s="301"/>
      <c r="BH373" s="301"/>
      <c r="BI373" s="301"/>
      <c r="BJ373" s="301"/>
      <c r="BK373" s="301"/>
    </row>
    <row r="374" spans="1:63" x14ac:dyDescent="0.25">
      <c r="A374" s="301"/>
      <c r="B374" s="315"/>
      <c r="C374" s="302"/>
      <c r="D374" s="301"/>
      <c r="E374" s="301"/>
      <c r="F374" s="305"/>
      <c r="G374" s="325"/>
      <c r="H374" s="343"/>
      <c r="I374" s="302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  <c r="AD374" s="301"/>
      <c r="AE374" s="301"/>
      <c r="AF374" s="301"/>
      <c r="AG374" s="301"/>
      <c r="AH374" s="301"/>
      <c r="AI374" s="301"/>
      <c r="AJ374" s="301"/>
      <c r="AK374" s="301"/>
      <c r="AL374" s="301"/>
      <c r="AM374" s="301"/>
      <c r="AN374" s="301"/>
      <c r="AO374" s="301"/>
      <c r="AP374" s="301"/>
      <c r="AQ374" s="301"/>
      <c r="AR374" s="301"/>
      <c r="AS374" s="301"/>
      <c r="AT374" s="301"/>
      <c r="AU374" s="301"/>
      <c r="AV374" s="301"/>
      <c r="AW374" s="301"/>
      <c r="AX374" s="301"/>
      <c r="AY374" s="301"/>
      <c r="AZ374" s="301"/>
      <c r="BA374" s="301"/>
      <c r="BB374" s="301"/>
      <c r="BC374" s="301"/>
      <c r="BD374" s="301"/>
      <c r="BE374" s="301"/>
      <c r="BF374" s="301"/>
      <c r="BG374" s="301"/>
      <c r="BH374" s="301"/>
      <c r="BI374" s="301"/>
      <c r="BJ374" s="301"/>
      <c r="BK374" s="301"/>
    </row>
    <row r="375" spans="1:63" x14ac:dyDescent="0.25">
      <c r="A375" s="301"/>
      <c r="B375" s="315"/>
      <c r="C375" s="302"/>
      <c r="D375" s="301"/>
      <c r="E375" s="301"/>
      <c r="F375" s="305"/>
      <c r="G375" s="325"/>
      <c r="H375" s="343"/>
      <c r="I375" s="302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  <c r="AC375" s="301"/>
      <c r="AD375" s="301"/>
      <c r="AE375" s="301"/>
      <c r="AF375" s="301"/>
      <c r="AG375" s="301"/>
      <c r="AH375" s="301"/>
      <c r="AI375" s="301"/>
      <c r="AJ375" s="301"/>
      <c r="AK375" s="301"/>
      <c r="AL375" s="301"/>
      <c r="AM375" s="301"/>
      <c r="AN375" s="301"/>
      <c r="AO375" s="301"/>
      <c r="AP375" s="301"/>
      <c r="AQ375" s="301"/>
      <c r="AR375" s="301"/>
      <c r="AS375" s="301"/>
      <c r="AT375" s="301"/>
      <c r="AU375" s="301"/>
      <c r="AV375" s="301"/>
      <c r="AW375" s="301"/>
      <c r="AX375" s="301"/>
      <c r="AY375" s="301"/>
      <c r="AZ375" s="301"/>
      <c r="BA375" s="301"/>
      <c r="BB375" s="301"/>
      <c r="BC375" s="301"/>
      <c r="BD375" s="301"/>
      <c r="BE375" s="301"/>
      <c r="BF375" s="301"/>
      <c r="BG375" s="301"/>
      <c r="BH375" s="301"/>
      <c r="BI375" s="301"/>
      <c r="BJ375" s="301"/>
      <c r="BK375" s="301"/>
    </row>
    <row r="376" spans="1:63" x14ac:dyDescent="0.25">
      <c r="A376" s="301"/>
      <c r="B376" s="315"/>
      <c r="C376" s="302"/>
      <c r="D376" s="301"/>
      <c r="E376" s="301"/>
      <c r="F376" s="305"/>
      <c r="G376" s="325"/>
      <c r="H376" s="343"/>
      <c r="I376" s="302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  <c r="AC376" s="301"/>
      <c r="AD376" s="301"/>
      <c r="AE376" s="301"/>
      <c r="AF376" s="301"/>
      <c r="AG376" s="301"/>
      <c r="AH376" s="301"/>
      <c r="AI376" s="301"/>
      <c r="AJ376" s="301"/>
      <c r="AK376" s="301"/>
      <c r="AL376" s="301"/>
      <c r="AM376" s="301"/>
      <c r="AN376" s="301"/>
      <c r="AO376" s="301"/>
      <c r="AP376" s="301"/>
      <c r="AQ376" s="301"/>
      <c r="AR376" s="301"/>
      <c r="AS376" s="301"/>
      <c r="AT376" s="301"/>
      <c r="AU376" s="301"/>
      <c r="AV376" s="301"/>
      <c r="AW376" s="301"/>
      <c r="AX376" s="301"/>
      <c r="AY376" s="301"/>
      <c r="AZ376" s="301"/>
      <c r="BA376" s="301"/>
      <c r="BB376" s="301"/>
      <c r="BC376" s="301"/>
      <c r="BD376" s="301"/>
      <c r="BE376" s="301"/>
      <c r="BF376" s="301"/>
      <c r="BG376" s="301"/>
      <c r="BH376" s="301"/>
      <c r="BI376" s="301"/>
      <c r="BJ376" s="301"/>
      <c r="BK376" s="301"/>
    </row>
    <row r="377" spans="1:63" x14ac:dyDescent="0.25">
      <c r="A377" s="301"/>
      <c r="B377" s="315"/>
      <c r="C377" s="302"/>
      <c r="D377" s="301"/>
      <c r="E377" s="301"/>
      <c r="F377" s="305"/>
      <c r="G377" s="325"/>
      <c r="H377" s="343"/>
      <c r="I377" s="302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  <c r="AD377" s="301"/>
      <c r="AE377" s="301"/>
      <c r="AF377" s="301"/>
      <c r="AG377" s="301"/>
      <c r="AH377" s="301"/>
      <c r="AI377" s="301"/>
      <c r="AJ377" s="301"/>
      <c r="AK377" s="301"/>
      <c r="AL377" s="301"/>
      <c r="AM377" s="301"/>
      <c r="AN377" s="301"/>
      <c r="AO377" s="301"/>
      <c r="AP377" s="301"/>
      <c r="AQ377" s="301"/>
      <c r="AR377" s="301"/>
      <c r="AS377" s="301"/>
      <c r="AT377" s="301"/>
      <c r="AU377" s="301"/>
      <c r="AV377" s="301"/>
      <c r="AW377" s="301"/>
      <c r="AX377" s="301"/>
      <c r="AY377" s="301"/>
      <c r="AZ377" s="301"/>
      <c r="BA377" s="301"/>
      <c r="BB377" s="301"/>
      <c r="BC377" s="301"/>
      <c r="BD377" s="301"/>
      <c r="BE377" s="301"/>
      <c r="BF377" s="301"/>
      <c r="BG377" s="301"/>
      <c r="BH377" s="301"/>
      <c r="BI377" s="301"/>
      <c r="BJ377" s="301"/>
      <c r="BK377" s="301"/>
    </row>
    <row r="378" spans="1:63" x14ac:dyDescent="0.25">
      <c r="A378" s="301"/>
      <c r="B378" s="315"/>
      <c r="C378" s="302"/>
      <c r="D378" s="301"/>
      <c r="E378" s="301"/>
      <c r="F378" s="305"/>
      <c r="G378" s="325"/>
      <c r="H378" s="343"/>
      <c r="I378" s="302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  <c r="AD378" s="301"/>
      <c r="AE378" s="301"/>
      <c r="AF378" s="301"/>
      <c r="AG378" s="301"/>
      <c r="AH378" s="301"/>
      <c r="AI378" s="301"/>
      <c r="AJ378" s="301"/>
      <c r="AK378" s="301"/>
      <c r="AL378" s="301"/>
      <c r="AM378" s="301"/>
      <c r="AN378" s="301"/>
      <c r="AO378" s="301"/>
      <c r="AP378" s="301"/>
      <c r="AQ378" s="301"/>
      <c r="AR378" s="301"/>
      <c r="AS378" s="301"/>
      <c r="AT378" s="301"/>
      <c r="AU378" s="301"/>
      <c r="AV378" s="301"/>
      <c r="AW378" s="301"/>
      <c r="AX378" s="301"/>
      <c r="AY378" s="301"/>
      <c r="AZ378" s="301"/>
      <c r="BA378" s="301"/>
      <c r="BB378" s="301"/>
      <c r="BC378" s="301"/>
      <c r="BD378" s="301"/>
      <c r="BE378" s="301"/>
      <c r="BF378" s="301"/>
      <c r="BG378" s="301"/>
      <c r="BH378" s="301"/>
      <c r="BI378" s="301"/>
      <c r="BJ378" s="301"/>
      <c r="BK378" s="301"/>
    </row>
    <row r="379" spans="1:63" x14ac:dyDescent="0.25">
      <c r="A379" s="301"/>
      <c r="B379" s="315"/>
      <c r="C379" s="302"/>
      <c r="D379" s="301"/>
      <c r="E379" s="301"/>
      <c r="F379" s="305"/>
      <c r="G379" s="325"/>
      <c r="H379" s="343"/>
      <c r="I379" s="302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  <c r="AC379" s="301"/>
      <c r="AD379" s="301"/>
      <c r="AE379" s="301"/>
      <c r="AF379" s="301"/>
      <c r="AG379" s="301"/>
      <c r="AH379" s="301"/>
      <c r="AI379" s="301"/>
      <c r="AJ379" s="301"/>
      <c r="AK379" s="301"/>
      <c r="AL379" s="301"/>
      <c r="AM379" s="301"/>
      <c r="AN379" s="301"/>
      <c r="AO379" s="301"/>
      <c r="AP379" s="301"/>
      <c r="AQ379" s="301"/>
      <c r="AR379" s="301"/>
      <c r="AS379" s="301"/>
      <c r="AT379" s="301"/>
      <c r="AU379" s="301"/>
      <c r="AV379" s="301"/>
      <c r="AW379" s="301"/>
      <c r="AX379" s="301"/>
      <c r="AY379" s="301"/>
      <c r="AZ379" s="301"/>
      <c r="BA379" s="301"/>
      <c r="BB379" s="301"/>
      <c r="BC379" s="301"/>
      <c r="BD379" s="301"/>
      <c r="BE379" s="301"/>
      <c r="BF379" s="301"/>
      <c r="BG379" s="301"/>
      <c r="BH379" s="301"/>
      <c r="BI379" s="301"/>
      <c r="BJ379" s="301"/>
      <c r="BK379" s="301"/>
    </row>
    <row r="380" spans="1:63" x14ac:dyDescent="0.25">
      <c r="A380" s="301"/>
      <c r="B380" s="315"/>
      <c r="C380" s="302"/>
      <c r="D380" s="301"/>
      <c r="E380" s="301"/>
      <c r="F380" s="305"/>
      <c r="G380" s="325"/>
      <c r="H380" s="343"/>
      <c r="I380" s="302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  <c r="AC380" s="301"/>
      <c r="AD380" s="301"/>
      <c r="AE380" s="301"/>
      <c r="AF380" s="301"/>
      <c r="AG380" s="301"/>
      <c r="AH380" s="301"/>
      <c r="AI380" s="301"/>
      <c r="AJ380" s="301"/>
      <c r="AK380" s="301"/>
      <c r="AL380" s="301"/>
      <c r="AM380" s="301"/>
      <c r="AN380" s="301"/>
      <c r="AO380" s="301"/>
      <c r="AP380" s="301"/>
      <c r="AQ380" s="301"/>
      <c r="AR380" s="301"/>
      <c r="AS380" s="301"/>
      <c r="AT380" s="301"/>
      <c r="AU380" s="301"/>
      <c r="AV380" s="301"/>
      <c r="AW380" s="301"/>
      <c r="AX380" s="301"/>
      <c r="AY380" s="301"/>
      <c r="AZ380" s="301"/>
      <c r="BA380" s="301"/>
      <c r="BB380" s="301"/>
      <c r="BC380" s="301"/>
      <c r="BD380" s="301"/>
      <c r="BE380" s="301"/>
      <c r="BF380" s="301"/>
      <c r="BG380" s="301"/>
      <c r="BH380" s="301"/>
      <c r="BI380" s="301"/>
      <c r="BJ380" s="301"/>
      <c r="BK380" s="301"/>
    </row>
    <row r="381" spans="1:63" x14ac:dyDescent="0.25">
      <c r="A381" s="301"/>
      <c r="B381" s="315"/>
      <c r="C381" s="302"/>
      <c r="D381" s="301"/>
      <c r="E381" s="301"/>
      <c r="F381" s="305"/>
      <c r="G381" s="325"/>
      <c r="H381" s="343"/>
      <c r="I381" s="302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  <c r="AD381" s="301"/>
      <c r="AE381" s="301"/>
      <c r="AF381" s="301"/>
      <c r="AG381" s="301"/>
      <c r="AH381" s="301"/>
      <c r="AI381" s="301"/>
      <c r="AJ381" s="301"/>
      <c r="AK381" s="301"/>
      <c r="AL381" s="301"/>
      <c r="AM381" s="301"/>
      <c r="AN381" s="301"/>
      <c r="AO381" s="301"/>
      <c r="AP381" s="301"/>
      <c r="AQ381" s="301"/>
      <c r="AR381" s="301"/>
      <c r="AS381" s="301"/>
      <c r="AT381" s="301"/>
      <c r="AU381" s="301"/>
      <c r="AV381" s="301"/>
      <c r="AW381" s="301"/>
      <c r="AX381" s="301"/>
      <c r="AY381" s="301"/>
      <c r="AZ381" s="301"/>
      <c r="BA381" s="301"/>
      <c r="BB381" s="301"/>
      <c r="BC381" s="301"/>
      <c r="BD381" s="301"/>
      <c r="BE381" s="301"/>
      <c r="BF381" s="301"/>
      <c r="BG381" s="301"/>
      <c r="BH381" s="301"/>
      <c r="BI381" s="301"/>
      <c r="BJ381" s="301"/>
      <c r="BK381" s="301"/>
    </row>
    <row r="382" spans="1:63" x14ac:dyDescent="0.25">
      <c r="A382" s="301"/>
      <c r="B382" s="315"/>
      <c r="C382" s="302"/>
      <c r="D382" s="301"/>
      <c r="E382" s="301"/>
      <c r="F382" s="305"/>
      <c r="G382" s="325"/>
      <c r="H382" s="343"/>
      <c r="I382" s="302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  <c r="AC382" s="301"/>
      <c r="AD382" s="301"/>
      <c r="AE382" s="301"/>
      <c r="AF382" s="301"/>
      <c r="AG382" s="301"/>
      <c r="AH382" s="301"/>
      <c r="AI382" s="301"/>
      <c r="AJ382" s="301"/>
      <c r="AK382" s="301"/>
      <c r="AL382" s="301"/>
      <c r="AM382" s="301"/>
      <c r="AN382" s="301"/>
      <c r="AO382" s="301"/>
      <c r="AP382" s="301"/>
      <c r="AQ382" s="301"/>
      <c r="AR382" s="301"/>
      <c r="AS382" s="301"/>
      <c r="AT382" s="301"/>
      <c r="AU382" s="301"/>
      <c r="AV382" s="301"/>
      <c r="AW382" s="301"/>
      <c r="AX382" s="301"/>
      <c r="AY382" s="301"/>
      <c r="AZ382" s="301"/>
      <c r="BA382" s="301"/>
      <c r="BB382" s="301"/>
      <c r="BC382" s="301"/>
      <c r="BD382" s="301"/>
      <c r="BE382" s="301"/>
      <c r="BF382" s="301"/>
      <c r="BG382" s="301"/>
      <c r="BH382" s="301"/>
      <c r="BI382" s="301"/>
      <c r="BJ382" s="301"/>
      <c r="BK382" s="301"/>
    </row>
    <row r="383" spans="1:63" x14ac:dyDescent="0.25">
      <c r="A383" s="301"/>
      <c r="B383" s="315"/>
      <c r="C383" s="302"/>
      <c r="D383" s="301"/>
      <c r="E383" s="301"/>
      <c r="F383" s="305"/>
      <c r="G383" s="325"/>
      <c r="H383" s="343"/>
      <c r="I383" s="302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  <c r="AC383" s="301"/>
      <c r="AD383" s="301"/>
      <c r="AE383" s="301"/>
      <c r="AF383" s="301"/>
      <c r="AG383" s="301"/>
      <c r="AH383" s="301"/>
      <c r="AI383" s="301"/>
      <c r="AJ383" s="301"/>
      <c r="AK383" s="301"/>
      <c r="AL383" s="301"/>
      <c r="AM383" s="301"/>
      <c r="AN383" s="301"/>
      <c r="AO383" s="301"/>
      <c r="AP383" s="301"/>
      <c r="AQ383" s="301"/>
      <c r="AR383" s="301"/>
      <c r="AS383" s="301"/>
      <c r="AT383" s="301"/>
      <c r="AU383" s="301"/>
      <c r="AV383" s="301"/>
      <c r="AW383" s="301"/>
      <c r="AX383" s="301"/>
      <c r="AY383" s="301"/>
      <c r="AZ383" s="301"/>
      <c r="BA383" s="301"/>
      <c r="BB383" s="301"/>
      <c r="BC383" s="301"/>
      <c r="BD383" s="301"/>
      <c r="BE383" s="301"/>
      <c r="BF383" s="301"/>
      <c r="BG383" s="301"/>
      <c r="BH383" s="301"/>
      <c r="BI383" s="301"/>
      <c r="BJ383" s="301"/>
      <c r="BK383" s="301"/>
    </row>
    <row r="384" spans="1:63" x14ac:dyDescent="0.25">
      <c r="A384" s="301"/>
      <c r="B384" s="315"/>
      <c r="C384" s="302"/>
      <c r="D384" s="301"/>
      <c r="E384" s="301"/>
      <c r="F384" s="305"/>
      <c r="G384" s="325"/>
      <c r="H384" s="343"/>
      <c r="I384" s="302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  <c r="AC384" s="301"/>
      <c r="AD384" s="301"/>
      <c r="AE384" s="301"/>
      <c r="AF384" s="301"/>
      <c r="AG384" s="301"/>
      <c r="AH384" s="301"/>
      <c r="AI384" s="301"/>
      <c r="AJ384" s="301"/>
      <c r="AK384" s="301"/>
      <c r="AL384" s="301"/>
      <c r="AM384" s="301"/>
      <c r="AN384" s="301"/>
      <c r="AO384" s="301"/>
      <c r="AP384" s="301"/>
      <c r="AQ384" s="301"/>
      <c r="AR384" s="301"/>
      <c r="AS384" s="301"/>
      <c r="AT384" s="301"/>
      <c r="AU384" s="301"/>
      <c r="AV384" s="301"/>
      <c r="AW384" s="301"/>
      <c r="AX384" s="301"/>
      <c r="AY384" s="301"/>
      <c r="AZ384" s="301"/>
      <c r="BA384" s="301"/>
      <c r="BB384" s="301"/>
      <c r="BC384" s="301"/>
      <c r="BD384" s="301"/>
      <c r="BE384" s="301"/>
      <c r="BF384" s="301"/>
      <c r="BG384" s="301"/>
      <c r="BH384" s="301"/>
      <c r="BI384" s="301"/>
      <c r="BJ384" s="301"/>
      <c r="BK384" s="301"/>
    </row>
    <row r="385" spans="1:63" x14ac:dyDescent="0.25">
      <c r="A385" s="301"/>
      <c r="B385" s="315"/>
      <c r="C385" s="302"/>
      <c r="D385" s="301"/>
      <c r="E385" s="301"/>
      <c r="F385" s="305"/>
      <c r="G385" s="325"/>
      <c r="H385" s="343"/>
      <c r="I385" s="302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  <c r="AC385" s="301"/>
      <c r="AD385" s="301"/>
      <c r="AE385" s="301"/>
      <c r="AF385" s="301"/>
      <c r="AG385" s="301"/>
      <c r="AH385" s="301"/>
      <c r="AI385" s="301"/>
      <c r="AJ385" s="301"/>
      <c r="AK385" s="301"/>
      <c r="AL385" s="301"/>
      <c r="AM385" s="301"/>
      <c r="AN385" s="301"/>
      <c r="AO385" s="301"/>
      <c r="AP385" s="301"/>
      <c r="AQ385" s="301"/>
      <c r="AR385" s="301"/>
      <c r="AS385" s="301"/>
      <c r="AT385" s="301"/>
      <c r="AU385" s="301"/>
      <c r="AV385" s="301"/>
      <c r="AW385" s="301"/>
      <c r="AX385" s="301"/>
      <c r="AY385" s="301"/>
      <c r="AZ385" s="301"/>
      <c r="BA385" s="301"/>
      <c r="BB385" s="301"/>
      <c r="BC385" s="301"/>
      <c r="BD385" s="301"/>
      <c r="BE385" s="301"/>
      <c r="BF385" s="301"/>
      <c r="BG385" s="301"/>
      <c r="BH385" s="301"/>
      <c r="BI385" s="301"/>
      <c r="BJ385" s="301"/>
      <c r="BK385" s="301"/>
    </row>
    <row r="386" spans="1:63" x14ac:dyDescent="0.25">
      <c r="A386" s="301"/>
      <c r="B386" s="315"/>
      <c r="C386" s="302"/>
      <c r="D386" s="301"/>
      <c r="E386" s="301"/>
      <c r="F386" s="305"/>
      <c r="G386" s="325"/>
      <c r="H386" s="343"/>
      <c r="I386" s="302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  <c r="AC386" s="301"/>
      <c r="AD386" s="301"/>
      <c r="AE386" s="301"/>
      <c r="AF386" s="301"/>
      <c r="AG386" s="301"/>
      <c r="AH386" s="301"/>
      <c r="AI386" s="301"/>
      <c r="AJ386" s="301"/>
      <c r="AK386" s="301"/>
      <c r="AL386" s="301"/>
      <c r="AM386" s="301"/>
      <c r="AN386" s="301"/>
      <c r="AO386" s="301"/>
      <c r="AP386" s="301"/>
      <c r="AQ386" s="301"/>
      <c r="AR386" s="301"/>
      <c r="AS386" s="301"/>
      <c r="AT386" s="301"/>
      <c r="AU386" s="301"/>
      <c r="AV386" s="301"/>
      <c r="AW386" s="301"/>
      <c r="AX386" s="301"/>
      <c r="AY386" s="301"/>
      <c r="AZ386" s="301"/>
      <c r="BA386" s="301"/>
      <c r="BB386" s="301"/>
      <c r="BC386" s="301"/>
      <c r="BD386" s="301"/>
      <c r="BE386" s="301"/>
      <c r="BF386" s="301"/>
      <c r="BG386" s="301"/>
      <c r="BH386" s="301"/>
      <c r="BI386" s="301"/>
      <c r="BJ386" s="301"/>
      <c r="BK386" s="301"/>
    </row>
    <row r="387" spans="1:63" x14ac:dyDescent="0.25">
      <c r="A387" s="301"/>
      <c r="B387" s="315"/>
      <c r="C387" s="302"/>
      <c r="D387" s="301"/>
      <c r="E387" s="301"/>
      <c r="F387" s="305"/>
      <c r="G387" s="325"/>
      <c r="H387" s="343"/>
      <c r="I387" s="302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  <c r="AC387" s="301"/>
      <c r="AD387" s="301"/>
      <c r="AE387" s="301"/>
      <c r="AF387" s="301"/>
      <c r="AG387" s="301"/>
      <c r="AH387" s="301"/>
      <c r="AI387" s="301"/>
      <c r="AJ387" s="301"/>
      <c r="AK387" s="301"/>
      <c r="AL387" s="301"/>
      <c r="AM387" s="301"/>
      <c r="AN387" s="301"/>
      <c r="AO387" s="301"/>
      <c r="AP387" s="301"/>
      <c r="AQ387" s="301"/>
      <c r="AR387" s="301"/>
      <c r="AS387" s="301"/>
      <c r="AT387" s="301"/>
      <c r="AU387" s="301"/>
      <c r="AV387" s="301"/>
      <c r="AW387" s="301"/>
      <c r="AX387" s="301"/>
      <c r="AY387" s="301"/>
      <c r="AZ387" s="301"/>
      <c r="BA387" s="301"/>
      <c r="BB387" s="301"/>
      <c r="BC387" s="301"/>
      <c r="BD387" s="301"/>
      <c r="BE387" s="301"/>
      <c r="BF387" s="301"/>
      <c r="BG387" s="301"/>
      <c r="BH387" s="301"/>
      <c r="BI387" s="301"/>
      <c r="BJ387" s="301"/>
      <c r="BK387" s="301"/>
    </row>
    <row r="388" spans="1:63" x14ac:dyDescent="0.25">
      <c r="A388" s="301"/>
      <c r="B388" s="315"/>
      <c r="C388" s="302"/>
      <c r="D388" s="301"/>
      <c r="E388" s="301"/>
      <c r="F388" s="305"/>
      <c r="G388" s="325"/>
      <c r="H388" s="343"/>
      <c r="I388" s="302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  <c r="AD388" s="301"/>
      <c r="AE388" s="301"/>
      <c r="AF388" s="301"/>
      <c r="AG388" s="301"/>
      <c r="AH388" s="301"/>
      <c r="AI388" s="301"/>
      <c r="AJ388" s="301"/>
      <c r="AK388" s="301"/>
      <c r="AL388" s="301"/>
      <c r="AM388" s="301"/>
      <c r="AN388" s="301"/>
      <c r="AO388" s="301"/>
      <c r="AP388" s="301"/>
      <c r="AQ388" s="301"/>
      <c r="AR388" s="301"/>
      <c r="AS388" s="301"/>
      <c r="AT388" s="301"/>
      <c r="AU388" s="301"/>
      <c r="AV388" s="301"/>
      <c r="AW388" s="301"/>
      <c r="AX388" s="301"/>
      <c r="AY388" s="301"/>
      <c r="AZ388" s="301"/>
      <c r="BA388" s="301"/>
      <c r="BB388" s="301"/>
      <c r="BC388" s="301"/>
      <c r="BD388" s="301"/>
      <c r="BE388" s="301"/>
      <c r="BF388" s="301"/>
      <c r="BG388" s="301"/>
      <c r="BH388" s="301"/>
      <c r="BI388" s="301"/>
      <c r="BJ388" s="301"/>
      <c r="BK388" s="301"/>
    </row>
    <row r="389" spans="1:63" x14ac:dyDescent="0.25">
      <c r="A389" s="301"/>
      <c r="B389" s="315"/>
      <c r="C389" s="302"/>
      <c r="D389" s="301"/>
      <c r="E389" s="301"/>
      <c r="F389" s="305"/>
      <c r="G389" s="325"/>
      <c r="H389" s="343"/>
      <c r="I389" s="302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  <c r="AD389" s="301"/>
      <c r="AE389" s="301"/>
      <c r="AF389" s="301"/>
      <c r="AG389" s="301"/>
      <c r="AH389" s="301"/>
      <c r="AI389" s="301"/>
      <c r="AJ389" s="301"/>
      <c r="AK389" s="301"/>
      <c r="AL389" s="301"/>
      <c r="AM389" s="301"/>
      <c r="AN389" s="301"/>
      <c r="AO389" s="301"/>
      <c r="AP389" s="301"/>
      <c r="AQ389" s="301"/>
      <c r="AR389" s="301"/>
      <c r="AS389" s="301"/>
      <c r="AT389" s="301"/>
      <c r="AU389" s="301"/>
      <c r="AV389" s="301"/>
      <c r="AW389" s="301"/>
      <c r="AX389" s="301"/>
      <c r="AY389" s="301"/>
      <c r="AZ389" s="301"/>
      <c r="BA389" s="301"/>
      <c r="BB389" s="301"/>
      <c r="BC389" s="301"/>
      <c r="BD389" s="301"/>
      <c r="BE389" s="301"/>
      <c r="BF389" s="301"/>
      <c r="BG389" s="301"/>
      <c r="BH389" s="301"/>
      <c r="BI389" s="301"/>
      <c r="BJ389" s="301"/>
      <c r="BK389" s="301"/>
    </row>
    <row r="390" spans="1:63" x14ac:dyDescent="0.25">
      <c r="A390" s="301"/>
      <c r="B390" s="315"/>
      <c r="C390" s="302"/>
      <c r="D390" s="301"/>
      <c r="E390" s="301"/>
      <c r="F390" s="305"/>
      <c r="G390" s="325"/>
      <c r="H390" s="343"/>
      <c r="I390" s="302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  <c r="AC390" s="301"/>
      <c r="AD390" s="301"/>
      <c r="AE390" s="301"/>
      <c r="AF390" s="301"/>
      <c r="AG390" s="301"/>
      <c r="AH390" s="301"/>
      <c r="AI390" s="301"/>
      <c r="AJ390" s="301"/>
      <c r="AK390" s="301"/>
      <c r="AL390" s="301"/>
      <c r="AM390" s="301"/>
      <c r="AN390" s="301"/>
      <c r="AO390" s="301"/>
      <c r="AP390" s="301"/>
      <c r="AQ390" s="301"/>
      <c r="AR390" s="301"/>
      <c r="AS390" s="301"/>
      <c r="AT390" s="301"/>
      <c r="AU390" s="301"/>
      <c r="AV390" s="301"/>
      <c r="AW390" s="301"/>
      <c r="AX390" s="301"/>
      <c r="AY390" s="301"/>
      <c r="AZ390" s="301"/>
      <c r="BA390" s="301"/>
      <c r="BB390" s="301"/>
      <c r="BC390" s="301"/>
      <c r="BD390" s="301"/>
      <c r="BE390" s="301"/>
      <c r="BF390" s="301"/>
      <c r="BG390" s="301"/>
      <c r="BH390" s="301"/>
      <c r="BI390" s="301"/>
      <c r="BJ390" s="301"/>
      <c r="BK390" s="301"/>
    </row>
    <row r="391" spans="1:63" x14ac:dyDescent="0.25">
      <c r="A391" s="301"/>
      <c r="B391" s="315"/>
      <c r="C391" s="302"/>
      <c r="D391" s="301"/>
      <c r="E391" s="301"/>
      <c r="F391" s="305"/>
      <c r="G391" s="325"/>
      <c r="H391" s="343"/>
      <c r="I391" s="302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  <c r="AD391" s="301"/>
      <c r="AE391" s="301"/>
      <c r="AF391" s="301"/>
      <c r="AG391" s="301"/>
      <c r="AH391" s="301"/>
      <c r="AI391" s="301"/>
      <c r="AJ391" s="301"/>
      <c r="AK391" s="301"/>
      <c r="AL391" s="301"/>
      <c r="AM391" s="301"/>
      <c r="AN391" s="301"/>
      <c r="AO391" s="301"/>
      <c r="AP391" s="301"/>
      <c r="AQ391" s="301"/>
      <c r="AR391" s="301"/>
      <c r="AS391" s="301"/>
      <c r="AT391" s="301"/>
      <c r="AU391" s="301"/>
      <c r="AV391" s="301"/>
      <c r="AW391" s="301"/>
      <c r="AX391" s="301"/>
      <c r="AY391" s="301"/>
      <c r="AZ391" s="301"/>
      <c r="BA391" s="301"/>
      <c r="BB391" s="301"/>
      <c r="BC391" s="301"/>
      <c r="BD391" s="301"/>
      <c r="BE391" s="301"/>
      <c r="BF391" s="301"/>
      <c r="BG391" s="301"/>
      <c r="BH391" s="301"/>
      <c r="BI391" s="301"/>
      <c r="BJ391" s="301"/>
      <c r="BK391" s="301"/>
    </row>
    <row r="392" spans="1:63" x14ac:dyDescent="0.25">
      <c r="A392" s="301"/>
      <c r="B392" s="315"/>
      <c r="C392" s="302"/>
      <c r="D392" s="301"/>
      <c r="E392" s="301"/>
      <c r="F392" s="305"/>
      <c r="G392" s="325"/>
      <c r="H392" s="343"/>
      <c r="I392" s="302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  <c r="AE392" s="301"/>
      <c r="AF392" s="301"/>
      <c r="AG392" s="301"/>
      <c r="AH392" s="301"/>
      <c r="AI392" s="301"/>
      <c r="AJ392" s="301"/>
      <c r="AK392" s="301"/>
      <c r="AL392" s="301"/>
      <c r="AM392" s="301"/>
      <c r="AN392" s="301"/>
      <c r="AO392" s="301"/>
      <c r="AP392" s="301"/>
      <c r="AQ392" s="301"/>
      <c r="AR392" s="301"/>
      <c r="AS392" s="301"/>
      <c r="AT392" s="301"/>
      <c r="AU392" s="301"/>
      <c r="AV392" s="301"/>
      <c r="AW392" s="301"/>
      <c r="AX392" s="301"/>
      <c r="AY392" s="301"/>
      <c r="AZ392" s="301"/>
      <c r="BA392" s="301"/>
      <c r="BB392" s="301"/>
      <c r="BC392" s="301"/>
      <c r="BD392" s="301"/>
      <c r="BE392" s="301"/>
      <c r="BF392" s="301"/>
      <c r="BG392" s="301"/>
      <c r="BH392" s="301"/>
      <c r="BI392" s="301"/>
      <c r="BJ392" s="301"/>
      <c r="BK392" s="301"/>
    </row>
    <row r="393" spans="1:63" x14ac:dyDescent="0.25">
      <c r="A393" s="301"/>
      <c r="B393" s="315"/>
      <c r="C393" s="302"/>
      <c r="D393" s="301"/>
      <c r="E393" s="301"/>
      <c r="F393" s="305"/>
      <c r="G393" s="325"/>
      <c r="H393" s="343"/>
      <c r="I393" s="302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  <c r="AE393" s="301"/>
      <c r="AF393" s="301"/>
      <c r="AG393" s="301"/>
      <c r="AH393" s="301"/>
      <c r="AI393" s="301"/>
      <c r="AJ393" s="301"/>
      <c r="AK393" s="301"/>
      <c r="AL393" s="301"/>
      <c r="AM393" s="301"/>
      <c r="AN393" s="301"/>
      <c r="AO393" s="301"/>
      <c r="AP393" s="301"/>
      <c r="AQ393" s="301"/>
      <c r="AR393" s="301"/>
      <c r="AS393" s="301"/>
      <c r="AT393" s="301"/>
      <c r="AU393" s="301"/>
      <c r="AV393" s="301"/>
      <c r="AW393" s="301"/>
      <c r="AX393" s="301"/>
      <c r="AY393" s="301"/>
      <c r="AZ393" s="301"/>
      <c r="BA393" s="301"/>
      <c r="BB393" s="301"/>
      <c r="BC393" s="301"/>
      <c r="BD393" s="301"/>
      <c r="BE393" s="301"/>
      <c r="BF393" s="301"/>
      <c r="BG393" s="301"/>
      <c r="BH393" s="301"/>
      <c r="BI393" s="301"/>
      <c r="BJ393" s="301"/>
      <c r="BK393" s="301"/>
    </row>
    <row r="394" spans="1:63" x14ac:dyDescent="0.25">
      <c r="A394" s="301"/>
      <c r="B394" s="315"/>
      <c r="C394" s="302"/>
      <c r="D394" s="301"/>
      <c r="E394" s="301"/>
      <c r="F394" s="305"/>
      <c r="G394" s="325"/>
      <c r="H394" s="343"/>
      <c r="I394" s="302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  <c r="AE394" s="301"/>
      <c r="AF394" s="301"/>
      <c r="AG394" s="301"/>
      <c r="AH394" s="301"/>
      <c r="AI394" s="301"/>
      <c r="AJ394" s="301"/>
      <c r="AK394" s="301"/>
      <c r="AL394" s="301"/>
      <c r="AM394" s="301"/>
      <c r="AN394" s="301"/>
      <c r="AO394" s="301"/>
      <c r="AP394" s="301"/>
      <c r="AQ394" s="301"/>
      <c r="AR394" s="301"/>
      <c r="AS394" s="301"/>
      <c r="AT394" s="301"/>
      <c r="AU394" s="301"/>
      <c r="AV394" s="301"/>
      <c r="AW394" s="301"/>
      <c r="AX394" s="301"/>
      <c r="AY394" s="301"/>
      <c r="AZ394" s="301"/>
      <c r="BA394" s="301"/>
      <c r="BB394" s="301"/>
      <c r="BC394" s="301"/>
      <c r="BD394" s="301"/>
      <c r="BE394" s="301"/>
      <c r="BF394" s="301"/>
      <c r="BG394" s="301"/>
      <c r="BH394" s="301"/>
      <c r="BI394" s="301"/>
      <c r="BJ394" s="301"/>
      <c r="BK394" s="301"/>
    </row>
    <row r="395" spans="1:63" x14ac:dyDescent="0.25">
      <c r="A395" s="301"/>
      <c r="B395" s="315"/>
      <c r="C395" s="302"/>
      <c r="D395" s="301"/>
      <c r="E395" s="301"/>
      <c r="F395" s="305"/>
      <c r="G395" s="325"/>
      <c r="H395" s="343"/>
      <c r="I395" s="302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  <c r="AI395" s="301"/>
      <c r="AJ395" s="301"/>
      <c r="AK395" s="301"/>
      <c r="AL395" s="301"/>
      <c r="AM395" s="301"/>
      <c r="AN395" s="301"/>
      <c r="AO395" s="301"/>
      <c r="AP395" s="301"/>
      <c r="AQ395" s="301"/>
      <c r="AR395" s="301"/>
      <c r="AS395" s="301"/>
      <c r="AT395" s="301"/>
      <c r="AU395" s="301"/>
      <c r="AV395" s="301"/>
      <c r="AW395" s="301"/>
      <c r="AX395" s="301"/>
      <c r="AY395" s="301"/>
      <c r="AZ395" s="301"/>
      <c r="BA395" s="301"/>
      <c r="BB395" s="301"/>
      <c r="BC395" s="301"/>
      <c r="BD395" s="301"/>
      <c r="BE395" s="301"/>
      <c r="BF395" s="301"/>
      <c r="BG395" s="301"/>
      <c r="BH395" s="301"/>
      <c r="BI395" s="301"/>
      <c r="BJ395" s="301"/>
      <c r="BK395" s="301"/>
    </row>
    <row r="396" spans="1:63" x14ac:dyDescent="0.25">
      <c r="A396" s="301"/>
      <c r="B396" s="315"/>
      <c r="C396" s="302"/>
      <c r="D396" s="301"/>
      <c r="E396" s="301"/>
      <c r="F396" s="305"/>
      <c r="G396" s="325"/>
      <c r="H396" s="343"/>
      <c r="I396" s="302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  <c r="AI396" s="301"/>
      <c r="AJ396" s="301"/>
      <c r="AK396" s="301"/>
      <c r="AL396" s="301"/>
      <c r="AM396" s="301"/>
      <c r="AN396" s="301"/>
      <c r="AO396" s="301"/>
      <c r="AP396" s="301"/>
      <c r="AQ396" s="301"/>
      <c r="AR396" s="301"/>
      <c r="AS396" s="301"/>
      <c r="AT396" s="301"/>
      <c r="AU396" s="301"/>
      <c r="AV396" s="301"/>
      <c r="AW396" s="301"/>
      <c r="AX396" s="301"/>
      <c r="AY396" s="301"/>
      <c r="AZ396" s="301"/>
      <c r="BA396" s="301"/>
      <c r="BB396" s="301"/>
      <c r="BC396" s="301"/>
      <c r="BD396" s="301"/>
      <c r="BE396" s="301"/>
      <c r="BF396" s="301"/>
      <c r="BG396" s="301"/>
      <c r="BH396" s="301"/>
      <c r="BI396" s="301"/>
      <c r="BJ396" s="301"/>
      <c r="BK396" s="301"/>
    </row>
    <row r="397" spans="1:63" x14ac:dyDescent="0.25">
      <c r="A397" s="301"/>
      <c r="B397" s="315"/>
      <c r="C397" s="302"/>
      <c r="D397" s="301"/>
      <c r="E397" s="301"/>
      <c r="F397" s="305"/>
      <c r="G397" s="325"/>
      <c r="H397" s="343"/>
      <c r="I397" s="302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  <c r="AI397" s="301"/>
      <c r="AJ397" s="301"/>
      <c r="AK397" s="301"/>
      <c r="AL397" s="301"/>
      <c r="AM397" s="301"/>
      <c r="AN397" s="301"/>
      <c r="AO397" s="301"/>
      <c r="AP397" s="301"/>
      <c r="AQ397" s="301"/>
      <c r="AR397" s="301"/>
      <c r="AS397" s="301"/>
      <c r="AT397" s="301"/>
      <c r="AU397" s="301"/>
      <c r="AV397" s="301"/>
      <c r="AW397" s="301"/>
      <c r="AX397" s="301"/>
      <c r="AY397" s="301"/>
      <c r="AZ397" s="301"/>
      <c r="BA397" s="301"/>
      <c r="BB397" s="301"/>
      <c r="BC397" s="301"/>
      <c r="BD397" s="301"/>
      <c r="BE397" s="301"/>
      <c r="BF397" s="301"/>
      <c r="BG397" s="301"/>
      <c r="BH397" s="301"/>
      <c r="BI397" s="301"/>
      <c r="BJ397" s="301"/>
      <c r="BK397" s="301"/>
    </row>
    <row r="398" spans="1:63" x14ac:dyDescent="0.25">
      <c r="A398" s="301"/>
      <c r="B398" s="315"/>
      <c r="C398" s="302"/>
      <c r="D398" s="301"/>
      <c r="E398" s="301"/>
      <c r="F398" s="305"/>
      <c r="G398" s="325"/>
      <c r="H398" s="343"/>
      <c r="I398" s="302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  <c r="AI398" s="301"/>
      <c r="AJ398" s="301"/>
      <c r="AK398" s="301"/>
      <c r="AL398" s="301"/>
      <c r="AM398" s="301"/>
      <c r="AN398" s="301"/>
      <c r="AO398" s="301"/>
      <c r="AP398" s="301"/>
      <c r="AQ398" s="301"/>
      <c r="AR398" s="301"/>
      <c r="AS398" s="301"/>
      <c r="AT398" s="301"/>
      <c r="AU398" s="301"/>
      <c r="AV398" s="301"/>
      <c r="AW398" s="301"/>
      <c r="AX398" s="301"/>
      <c r="AY398" s="301"/>
      <c r="AZ398" s="301"/>
      <c r="BA398" s="301"/>
      <c r="BB398" s="301"/>
      <c r="BC398" s="301"/>
      <c r="BD398" s="301"/>
      <c r="BE398" s="301"/>
      <c r="BF398" s="301"/>
      <c r="BG398" s="301"/>
      <c r="BH398" s="301"/>
      <c r="BI398" s="301"/>
      <c r="BJ398" s="301"/>
      <c r="BK398" s="301"/>
    </row>
    <row r="399" spans="1:63" x14ac:dyDescent="0.25">
      <c r="A399" s="301"/>
      <c r="B399" s="315"/>
      <c r="C399" s="302"/>
      <c r="D399" s="301"/>
      <c r="E399" s="301"/>
      <c r="F399" s="305"/>
      <c r="G399" s="325"/>
      <c r="H399" s="343"/>
      <c r="I399" s="302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  <c r="AI399" s="301"/>
      <c r="AJ399" s="301"/>
      <c r="AK399" s="301"/>
      <c r="AL399" s="301"/>
      <c r="AM399" s="301"/>
      <c r="AN399" s="301"/>
      <c r="AO399" s="301"/>
      <c r="AP399" s="301"/>
      <c r="AQ399" s="301"/>
      <c r="AR399" s="301"/>
      <c r="AS399" s="301"/>
      <c r="AT399" s="301"/>
      <c r="AU399" s="301"/>
      <c r="AV399" s="301"/>
      <c r="AW399" s="301"/>
      <c r="AX399" s="301"/>
      <c r="AY399" s="301"/>
      <c r="AZ399" s="301"/>
      <c r="BA399" s="301"/>
      <c r="BB399" s="301"/>
      <c r="BC399" s="301"/>
      <c r="BD399" s="301"/>
      <c r="BE399" s="301"/>
      <c r="BF399" s="301"/>
      <c r="BG399" s="301"/>
      <c r="BH399" s="301"/>
      <c r="BI399" s="301"/>
      <c r="BJ399" s="301"/>
      <c r="BK399" s="301"/>
    </row>
    <row r="400" spans="1:63" x14ac:dyDescent="0.25">
      <c r="A400" s="301"/>
      <c r="B400" s="315"/>
      <c r="C400" s="302"/>
      <c r="D400" s="301"/>
      <c r="E400" s="301"/>
      <c r="F400" s="305"/>
      <c r="G400" s="325"/>
      <c r="H400" s="343"/>
      <c r="I400" s="302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  <c r="AI400" s="301"/>
      <c r="AJ400" s="301"/>
      <c r="AK400" s="301"/>
      <c r="AL400" s="301"/>
      <c r="AM400" s="301"/>
      <c r="AN400" s="301"/>
      <c r="AO400" s="301"/>
      <c r="AP400" s="301"/>
      <c r="AQ400" s="301"/>
      <c r="AR400" s="301"/>
      <c r="AS400" s="301"/>
      <c r="AT400" s="301"/>
      <c r="AU400" s="301"/>
      <c r="AV400" s="301"/>
      <c r="AW400" s="301"/>
      <c r="AX400" s="301"/>
      <c r="AY400" s="301"/>
      <c r="AZ400" s="301"/>
      <c r="BA400" s="301"/>
      <c r="BB400" s="301"/>
      <c r="BC400" s="301"/>
      <c r="BD400" s="301"/>
      <c r="BE400" s="301"/>
      <c r="BF400" s="301"/>
      <c r="BG400" s="301"/>
      <c r="BH400" s="301"/>
      <c r="BI400" s="301"/>
      <c r="BJ400" s="301"/>
      <c r="BK400" s="301"/>
    </row>
    <row r="401" spans="1:63" x14ac:dyDescent="0.25">
      <c r="A401" s="301"/>
      <c r="B401" s="315"/>
      <c r="C401" s="302"/>
      <c r="D401" s="301"/>
      <c r="E401" s="301"/>
      <c r="F401" s="305"/>
      <c r="G401" s="325"/>
      <c r="H401" s="343"/>
      <c r="I401" s="302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  <c r="AI401" s="301"/>
      <c r="AJ401" s="301"/>
      <c r="AK401" s="301"/>
      <c r="AL401" s="301"/>
      <c r="AM401" s="301"/>
      <c r="AN401" s="301"/>
      <c r="AO401" s="301"/>
      <c r="AP401" s="301"/>
      <c r="AQ401" s="301"/>
      <c r="AR401" s="301"/>
      <c r="AS401" s="301"/>
      <c r="AT401" s="301"/>
      <c r="AU401" s="301"/>
      <c r="AV401" s="301"/>
      <c r="AW401" s="301"/>
      <c r="AX401" s="301"/>
      <c r="AY401" s="301"/>
      <c r="AZ401" s="301"/>
      <c r="BA401" s="301"/>
      <c r="BB401" s="301"/>
      <c r="BC401" s="301"/>
      <c r="BD401" s="301"/>
      <c r="BE401" s="301"/>
      <c r="BF401" s="301"/>
      <c r="BG401" s="301"/>
      <c r="BH401" s="301"/>
      <c r="BI401" s="301"/>
      <c r="BJ401" s="301"/>
      <c r="BK401" s="301"/>
    </row>
    <row r="402" spans="1:63" x14ac:dyDescent="0.25">
      <c r="A402" s="301"/>
      <c r="B402" s="315"/>
      <c r="C402" s="302"/>
      <c r="D402" s="301"/>
      <c r="E402" s="301"/>
      <c r="F402" s="305"/>
      <c r="G402" s="325"/>
      <c r="H402" s="343"/>
      <c r="I402" s="302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  <c r="AI402" s="301"/>
      <c r="AJ402" s="301"/>
      <c r="AK402" s="301"/>
      <c r="AL402" s="301"/>
      <c r="AM402" s="301"/>
      <c r="AN402" s="301"/>
      <c r="AO402" s="301"/>
      <c r="AP402" s="301"/>
      <c r="AQ402" s="301"/>
      <c r="AR402" s="301"/>
      <c r="AS402" s="301"/>
      <c r="AT402" s="301"/>
      <c r="AU402" s="301"/>
      <c r="AV402" s="301"/>
      <c r="AW402" s="301"/>
      <c r="AX402" s="301"/>
      <c r="AY402" s="301"/>
      <c r="AZ402" s="301"/>
      <c r="BA402" s="301"/>
      <c r="BB402" s="301"/>
      <c r="BC402" s="301"/>
      <c r="BD402" s="301"/>
      <c r="BE402" s="301"/>
      <c r="BF402" s="301"/>
      <c r="BG402" s="301"/>
      <c r="BH402" s="301"/>
      <c r="BI402" s="301"/>
      <c r="BJ402" s="301"/>
      <c r="BK402" s="301"/>
    </row>
    <row r="403" spans="1:63" x14ac:dyDescent="0.25">
      <c r="A403" s="301"/>
      <c r="B403" s="315"/>
      <c r="C403" s="302"/>
      <c r="D403" s="301"/>
      <c r="E403" s="301"/>
      <c r="F403" s="305"/>
      <c r="G403" s="325"/>
      <c r="H403" s="343"/>
      <c r="I403" s="302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  <c r="AI403" s="301"/>
      <c r="AJ403" s="301"/>
      <c r="AK403" s="301"/>
      <c r="AL403" s="301"/>
      <c r="AM403" s="301"/>
      <c r="AN403" s="301"/>
      <c r="AO403" s="301"/>
      <c r="AP403" s="301"/>
      <c r="AQ403" s="301"/>
      <c r="AR403" s="301"/>
      <c r="AS403" s="301"/>
      <c r="AT403" s="301"/>
      <c r="AU403" s="301"/>
      <c r="AV403" s="301"/>
      <c r="AW403" s="301"/>
      <c r="AX403" s="301"/>
      <c r="AY403" s="301"/>
      <c r="AZ403" s="301"/>
      <c r="BA403" s="301"/>
      <c r="BB403" s="301"/>
      <c r="BC403" s="301"/>
      <c r="BD403" s="301"/>
      <c r="BE403" s="301"/>
      <c r="BF403" s="301"/>
      <c r="BG403" s="301"/>
      <c r="BH403" s="301"/>
      <c r="BI403" s="301"/>
      <c r="BJ403" s="301"/>
      <c r="BK403" s="301"/>
    </row>
    <row r="404" spans="1:63" x14ac:dyDescent="0.25">
      <c r="A404" s="301"/>
      <c r="B404" s="315"/>
      <c r="C404" s="302"/>
      <c r="D404" s="301"/>
      <c r="E404" s="301"/>
      <c r="F404" s="305"/>
      <c r="G404" s="325"/>
      <c r="H404" s="343"/>
      <c r="I404" s="302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  <c r="AE404" s="301"/>
      <c r="AF404" s="301"/>
      <c r="AG404" s="301"/>
      <c r="AH404" s="301"/>
      <c r="AI404" s="301"/>
      <c r="AJ404" s="301"/>
      <c r="AK404" s="301"/>
      <c r="AL404" s="301"/>
      <c r="AM404" s="301"/>
      <c r="AN404" s="301"/>
      <c r="AO404" s="301"/>
      <c r="AP404" s="301"/>
      <c r="AQ404" s="301"/>
      <c r="AR404" s="301"/>
      <c r="AS404" s="301"/>
      <c r="AT404" s="301"/>
      <c r="AU404" s="301"/>
      <c r="AV404" s="301"/>
      <c r="AW404" s="301"/>
      <c r="AX404" s="301"/>
      <c r="AY404" s="301"/>
      <c r="AZ404" s="301"/>
      <c r="BA404" s="301"/>
      <c r="BB404" s="301"/>
      <c r="BC404" s="301"/>
      <c r="BD404" s="301"/>
      <c r="BE404" s="301"/>
      <c r="BF404" s="301"/>
      <c r="BG404" s="301"/>
      <c r="BH404" s="301"/>
      <c r="BI404" s="301"/>
      <c r="BJ404" s="301"/>
      <c r="BK404" s="301"/>
    </row>
    <row r="405" spans="1:63" x14ac:dyDescent="0.25">
      <c r="A405" s="301"/>
      <c r="B405" s="321"/>
      <c r="C405" s="302"/>
      <c r="D405" s="301"/>
      <c r="E405" s="301"/>
      <c r="F405" s="305"/>
      <c r="G405" s="325"/>
      <c r="H405" s="343"/>
      <c r="I405" s="302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  <c r="AE405" s="301"/>
      <c r="AF405" s="301"/>
      <c r="AG405" s="301"/>
      <c r="AH405" s="301"/>
      <c r="AI405" s="301"/>
      <c r="AJ405" s="301"/>
      <c r="AK405" s="301"/>
      <c r="AL405" s="301"/>
      <c r="AM405" s="301"/>
      <c r="AN405" s="301"/>
      <c r="AO405" s="301"/>
      <c r="AP405" s="301"/>
      <c r="AQ405" s="301"/>
      <c r="AR405" s="301"/>
      <c r="AS405" s="301"/>
      <c r="AT405" s="301"/>
      <c r="AU405" s="301"/>
      <c r="AV405" s="301"/>
      <c r="AW405" s="301"/>
      <c r="AX405" s="301"/>
      <c r="AY405" s="301"/>
      <c r="AZ405" s="301"/>
      <c r="BA405" s="301"/>
      <c r="BB405" s="301"/>
      <c r="BC405" s="301"/>
      <c r="BD405" s="301"/>
      <c r="BE405" s="301"/>
      <c r="BF405" s="301"/>
      <c r="BG405" s="301"/>
      <c r="BH405" s="301"/>
      <c r="BI405" s="301"/>
      <c r="BJ405" s="301"/>
      <c r="BK405" s="301"/>
    </row>
    <row r="406" spans="1:63" x14ac:dyDescent="0.25">
      <c r="A406" s="301"/>
      <c r="B406" s="321"/>
      <c r="C406" s="302"/>
      <c r="D406" s="301"/>
      <c r="E406" s="301"/>
      <c r="F406" s="305"/>
      <c r="G406" s="325"/>
      <c r="H406" s="343"/>
      <c r="I406" s="302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  <c r="AD406" s="301"/>
      <c r="AE406" s="301"/>
      <c r="AF406" s="301"/>
      <c r="AG406" s="301"/>
      <c r="AH406" s="301"/>
      <c r="AI406" s="301"/>
      <c r="AJ406" s="301"/>
      <c r="AK406" s="301"/>
      <c r="AL406" s="301"/>
      <c r="AM406" s="301"/>
      <c r="AN406" s="301"/>
      <c r="AO406" s="301"/>
      <c r="AP406" s="301"/>
      <c r="AQ406" s="301"/>
      <c r="AR406" s="301"/>
      <c r="AS406" s="301"/>
      <c r="AT406" s="301"/>
      <c r="AU406" s="301"/>
      <c r="AV406" s="301"/>
      <c r="AW406" s="301"/>
      <c r="AX406" s="301"/>
      <c r="AY406" s="301"/>
      <c r="AZ406" s="301"/>
      <c r="BA406" s="301"/>
      <c r="BB406" s="301"/>
      <c r="BC406" s="301"/>
      <c r="BD406" s="301"/>
      <c r="BE406" s="301"/>
      <c r="BF406" s="301"/>
      <c r="BG406" s="301"/>
      <c r="BH406" s="301"/>
      <c r="BI406" s="301"/>
      <c r="BJ406" s="301"/>
      <c r="BK406" s="301"/>
    </row>
    <row r="407" spans="1:63" x14ac:dyDescent="0.25">
      <c r="A407" s="301"/>
      <c r="B407" s="321"/>
      <c r="C407" s="302"/>
      <c r="D407" s="301"/>
      <c r="E407" s="301"/>
      <c r="F407" s="305"/>
      <c r="G407" s="325"/>
      <c r="H407" s="343"/>
      <c r="I407" s="302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  <c r="AE407" s="301"/>
      <c r="AF407" s="301"/>
      <c r="AG407" s="301"/>
      <c r="AH407" s="301"/>
      <c r="AI407" s="301"/>
      <c r="AJ407" s="301"/>
      <c r="AK407" s="301"/>
      <c r="AL407" s="301"/>
      <c r="AM407" s="301"/>
      <c r="AN407" s="301"/>
      <c r="AO407" s="301"/>
      <c r="AP407" s="301"/>
      <c r="AQ407" s="301"/>
      <c r="AR407" s="301"/>
      <c r="AS407" s="301"/>
      <c r="AT407" s="301"/>
      <c r="AU407" s="301"/>
      <c r="AV407" s="301"/>
      <c r="AW407" s="301"/>
      <c r="AX407" s="301"/>
      <c r="AY407" s="301"/>
      <c r="AZ407" s="301"/>
      <c r="BA407" s="301"/>
      <c r="BB407" s="301"/>
      <c r="BC407" s="301"/>
      <c r="BD407" s="301"/>
      <c r="BE407" s="301"/>
      <c r="BF407" s="301"/>
      <c r="BG407" s="301"/>
      <c r="BH407" s="301"/>
      <c r="BI407" s="301"/>
      <c r="BJ407" s="301"/>
      <c r="BK407" s="301"/>
    </row>
    <row r="408" spans="1:63" x14ac:dyDescent="0.25">
      <c r="A408" s="301"/>
      <c r="B408" s="321"/>
      <c r="C408" s="302"/>
      <c r="D408" s="301"/>
      <c r="E408" s="301"/>
      <c r="F408" s="305"/>
      <c r="G408" s="325"/>
      <c r="H408" s="343"/>
      <c r="I408" s="302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/>
      <c r="AF408" s="301"/>
      <c r="AG408" s="301"/>
      <c r="AH408" s="301"/>
      <c r="AI408" s="301"/>
      <c r="AJ408" s="301"/>
      <c r="AK408" s="301"/>
      <c r="AL408" s="301"/>
      <c r="AM408" s="301"/>
      <c r="AN408" s="301"/>
      <c r="AO408" s="301"/>
      <c r="AP408" s="301"/>
      <c r="AQ408" s="301"/>
      <c r="AR408" s="301"/>
      <c r="AS408" s="301"/>
      <c r="AT408" s="301"/>
      <c r="AU408" s="301"/>
      <c r="AV408" s="301"/>
      <c r="AW408" s="301"/>
      <c r="AX408" s="301"/>
      <c r="AY408" s="301"/>
      <c r="AZ408" s="301"/>
      <c r="BA408" s="301"/>
      <c r="BB408" s="301"/>
      <c r="BC408" s="301"/>
      <c r="BD408" s="301"/>
      <c r="BE408" s="301"/>
      <c r="BF408" s="301"/>
      <c r="BG408" s="301"/>
      <c r="BH408" s="301"/>
      <c r="BI408" s="301"/>
      <c r="BJ408" s="301"/>
      <c r="BK408" s="301"/>
    </row>
    <row r="409" spans="1:63" x14ac:dyDescent="0.25">
      <c r="A409" s="301"/>
      <c r="B409" s="321"/>
      <c r="C409" s="302"/>
      <c r="D409" s="301"/>
      <c r="E409" s="301"/>
      <c r="F409" s="305"/>
      <c r="G409" s="325"/>
      <c r="H409" s="343"/>
      <c r="I409" s="302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  <c r="AE409" s="301"/>
      <c r="AF409" s="301"/>
      <c r="AG409" s="301"/>
      <c r="AH409" s="301"/>
      <c r="AI409" s="301"/>
      <c r="AJ409" s="301"/>
      <c r="AK409" s="301"/>
      <c r="AL409" s="301"/>
      <c r="AM409" s="301"/>
      <c r="AN409" s="301"/>
      <c r="AO409" s="301"/>
      <c r="AP409" s="301"/>
      <c r="AQ409" s="301"/>
      <c r="AR409" s="301"/>
      <c r="AS409" s="301"/>
      <c r="AT409" s="301"/>
      <c r="AU409" s="301"/>
      <c r="AV409" s="301"/>
      <c r="AW409" s="301"/>
      <c r="AX409" s="301"/>
      <c r="AY409" s="301"/>
      <c r="AZ409" s="301"/>
      <c r="BA409" s="301"/>
      <c r="BB409" s="301"/>
      <c r="BC409" s="301"/>
      <c r="BD409" s="301"/>
      <c r="BE409" s="301"/>
      <c r="BF409" s="301"/>
      <c r="BG409" s="301"/>
      <c r="BH409" s="301"/>
      <c r="BI409" s="301"/>
      <c r="BJ409" s="301"/>
      <c r="BK409" s="301"/>
    </row>
    <row r="410" spans="1:63" x14ac:dyDescent="0.25">
      <c r="A410" s="301"/>
      <c r="B410" s="315"/>
      <c r="C410" s="302"/>
      <c r="D410" s="301"/>
      <c r="E410" s="301"/>
      <c r="F410" s="305"/>
      <c r="G410" s="325"/>
      <c r="H410" s="343"/>
      <c r="I410" s="302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  <c r="AD410" s="301"/>
      <c r="AE410" s="301"/>
      <c r="AF410" s="301"/>
      <c r="AG410" s="301"/>
      <c r="AH410" s="301"/>
      <c r="AI410" s="301"/>
      <c r="AJ410" s="301"/>
      <c r="AK410" s="301"/>
      <c r="AL410" s="301"/>
      <c r="AM410" s="301"/>
      <c r="AN410" s="301"/>
      <c r="AO410" s="301"/>
      <c r="AP410" s="301"/>
      <c r="AQ410" s="301"/>
      <c r="AR410" s="301"/>
      <c r="AS410" s="301"/>
      <c r="AT410" s="301"/>
      <c r="AU410" s="301"/>
      <c r="AV410" s="301"/>
      <c r="AW410" s="301"/>
      <c r="AX410" s="301"/>
      <c r="AY410" s="301"/>
      <c r="AZ410" s="301"/>
      <c r="BA410" s="301"/>
      <c r="BB410" s="301"/>
      <c r="BC410" s="301"/>
      <c r="BD410" s="301"/>
      <c r="BE410" s="301"/>
      <c r="BF410" s="301"/>
      <c r="BG410" s="301"/>
      <c r="BH410" s="301"/>
      <c r="BI410" s="301"/>
      <c r="BJ410" s="301"/>
      <c r="BK410" s="301"/>
    </row>
    <row r="411" spans="1:63" x14ac:dyDescent="0.25">
      <c r="A411" s="301"/>
      <c r="B411" s="315"/>
      <c r="C411" s="302"/>
      <c r="D411" s="301"/>
      <c r="E411" s="301"/>
      <c r="F411" s="305"/>
      <c r="G411" s="325"/>
      <c r="H411" s="343"/>
      <c r="I411" s="302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  <c r="AE411" s="301"/>
      <c r="AF411" s="301"/>
      <c r="AG411" s="301"/>
      <c r="AH411" s="301"/>
      <c r="AI411" s="301"/>
      <c r="AJ411" s="301"/>
      <c r="AK411" s="301"/>
      <c r="AL411" s="301"/>
      <c r="AM411" s="301"/>
      <c r="AN411" s="301"/>
      <c r="AO411" s="301"/>
      <c r="AP411" s="301"/>
      <c r="AQ411" s="301"/>
      <c r="AR411" s="301"/>
      <c r="AS411" s="301"/>
      <c r="AT411" s="301"/>
      <c r="AU411" s="301"/>
      <c r="AV411" s="301"/>
      <c r="AW411" s="301"/>
      <c r="AX411" s="301"/>
      <c r="AY411" s="301"/>
      <c r="AZ411" s="301"/>
      <c r="BA411" s="301"/>
      <c r="BB411" s="301"/>
      <c r="BC411" s="301"/>
      <c r="BD411" s="301"/>
      <c r="BE411" s="301"/>
      <c r="BF411" s="301"/>
      <c r="BG411" s="301"/>
      <c r="BH411" s="301"/>
      <c r="BI411" s="301"/>
      <c r="BJ411" s="301"/>
      <c r="BK411" s="301"/>
    </row>
    <row r="412" spans="1:63" x14ac:dyDescent="0.25">
      <c r="A412" s="301"/>
      <c r="B412" s="321"/>
      <c r="C412" s="302"/>
      <c r="D412" s="301"/>
      <c r="E412" s="301"/>
      <c r="F412" s="305"/>
      <c r="G412" s="325"/>
      <c r="H412" s="343"/>
      <c r="I412" s="302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  <c r="AE412" s="301"/>
      <c r="AF412" s="301"/>
      <c r="AG412" s="301"/>
      <c r="AH412" s="301"/>
      <c r="AI412" s="301"/>
      <c r="AJ412" s="301"/>
      <c r="AK412" s="301"/>
      <c r="AL412" s="301"/>
      <c r="AM412" s="301"/>
      <c r="AN412" s="301"/>
      <c r="AO412" s="301"/>
      <c r="AP412" s="301"/>
      <c r="AQ412" s="301"/>
      <c r="AR412" s="301"/>
      <c r="AS412" s="301"/>
      <c r="AT412" s="301"/>
      <c r="AU412" s="301"/>
      <c r="AV412" s="301"/>
      <c r="AW412" s="301"/>
      <c r="AX412" s="301"/>
      <c r="AY412" s="301"/>
      <c r="AZ412" s="301"/>
      <c r="BA412" s="301"/>
      <c r="BB412" s="301"/>
      <c r="BC412" s="301"/>
      <c r="BD412" s="301"/>
      <c r="BE412" s="301"/>
      <c r="BF412" s="301"/>
      <c r="BG412" s="301"/>
      <c r="BH412" s="301"/>
      <c r="BI412" s="301"/>
      <c r="BJ412" s="301"/>
      <c r="BK412" s="301"/>
    </row>
    <row r="413" spans="1:63" x14ac:dyDescent="0.25">
      <c r="A413" s="301"/>
      <c r="B413" s="321"/>
      <c r="C413" s="302"/>
      <c r="D413" s="301"/>
      <c r="E413" s="301"/>
      <c r="F413" s="305"/>
      <c r="G413" s="325"/>
      <c r="H413" s="343"/>
      <c r="I413" s="302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  <c r="AE413" s="301"/>
      <c r="AF413" s="301"/>
      <c r="AG413" s="301"/>
      <c r="AH413" s="301"/>
      <c r="AI413" s="301"/>
      <c r="AJ413" s="301"/>
      <c r="AK413" s="301"/>
      <c r="AL413" s="301"/>
      <c r="AM413" s="301"/>
      <c r="AN413" s="301"/>
      <c r="AO413" s="301"/>
      <c r="AP413" s="301"/>
      <c r="AQ413" s="301"/>
      <c r="AR413" s="301"/>
      <c r="AS413" s="301"/>
      <c r="AT413" s="301"/>
      <c r="AU413" s="301"/>
      <c r="AV413" s="301"/>
      <c r="AW413" s="301"/>
      <c r="AX413" s="301"/>
      <c r="AY413" s="301"/>
      <c r="AZ413" s="301"/>
      <c r="BA413" s="301"/>
      <c r="BB413" s="301"/>
      <c r="BC413" s="301"/>
      <c r="BD413" s="301"/>
      <c r="BE413" s="301"/>
      <c r="BF413" s="301"/>
      <c r="BG413" s="301"/>
      <c r="BH413" s="301"/>
      <c r="BI413" s="301"/>
      <c r="BJ413" s="301"/>
      <c r="BK413" s="301"/>
    </row>
    <row r="414" spans="1:63" x14ac:dyDescent="0.25">
      <c r="A414" s="301"/>
      <c r="B414" s="321"/>
      <c r="C414" s="302"/>
      <c r="D414" s="301"/>
      <c r="E414" s="301"/>
      <c r="F414" s="305"/>
      <c r="G414" s="325"/>
      <c r="H414" s="343"/>
      <c r="I414" s="302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  <c r="AE414" s="301"/>
      <c r="AF414" s="301"/>
      <c r="AG414" s="301"/>
      <c r="AH414" s="301"/>
      <c r="AI414" s="301"/>
      <c r="AJ414" s="301"/>
      <c r="AK414" s="301"/>
      <c r="AL414" s="301"/>
      <c r="AM414" s="301"/>
      <c r="AN414" s="301"/>
      <c r="AO414" s="301"/>
      <c r="AP414" s="301"/>
      <c r="AQ414" s="301"/>
      <c r="AR414" s="301"/>
      <c r="AS414" s="301"/>
      <c r="AT414" s="301"/>
      <c r="AU414" s="301"/>
      <c r="AV414" s="301"/>
      <c r="AW414" s="301"/>
      <c r="AX414" s="301"/>
      <c r="AY414" s="301"/>
      <c r="AZ414" s="301"/>
      <c r="BA414" s="301"/>
      <c r="BB414" s="301"/>
      <c r="BC414" s="301"/>
      <c r="BD414" s="301"/>
      <c r="BE414" s="301"/>
      <c r="BF414" s="301"/>
      <c r="BG414" s="301"/>
      <c r="BH414" s="301"/>
      <c r="BI414" s="301"/>
      <c r="BJ414" s="301"/>
      <c r="BK414" s="301"/>
    </row>
    <row r="415" spans="1:63" x14ac:dyDescent="0.25">
      <c r="A415" s="301"/>
      <c r="B415" s="321"/>
      <c r="C415" s="302"/>
      <c r="D415" s="301"/>
      <c r="E415" s="301"/>
      <c r="F415" s="305"/>
      <c r="G415" s="325"/>
      <c r="H415" s="343"/>
      <c r="I415" s="302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  <c r="AE415" s="301"/>
      <c r="AF415" s="301"/>
      <c r="AG415" s="301"/>
      <c r="AH415" s="301"/>
      <c r="AI415" s="301"/>
      <c r="AJ415" s="301"/>
      <c r="AK415" s="301"/>
      <c r="AL415" s="301"/>
      <c r="AM415" s="301"/>
      <c r="AN415" s="301"/>
      <c r="AO415" s="301"/>
      <c r="AP415" s="301"/>
      <c r="AQ415" s="301"/>
      <c r="AR415" s="301"/>
      <c r="AS415" s="301"/>
      <c r="AT415" s="301"/>
      <c r="AU415" s="301"/>
      <c r="AV415" s="301"/>
      <c r="AW415" s="301"/>
      <c r="AX415" s="301"/>
      <c r="AY415" s="301"/>
      <c r="AZ415" s="301"/>
      <c r="BA415" s="301"/>
      <c r="BB415" s="301"/>
      <c r="BC415" s="301"/>
      <c r="BD415" s="301"/>
      <c r="BE415" s="301"/>
      <c r="BF415" s="301"/>
      <c r="BG415" s="301"/>
      <c r="BH415" s="301"/>
      <c r="BI415" s="301"/>
      <c r="BJ415" s="301"/>
      <c r="BK415" s="301"/>
    </row>
    <row r="416" spans="1:63" x14ac:dyDescent="0.25">
      <c r="A416" s="301"/>
      <c r="B416" s="321"/>
      <c r="C416" s="302"/>
      <c r="D416" s="301"/>
      <c r="E416" s="301"/>
      <c r="F416" s="305"/>
      <c r="G416" s="325"/>
      <c r="H416" s="343"/>
      <c r="I416" s="302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  <c r="AE416" s="301"/>
      <c r="AF416" s="301"/>
      <c r="AG416" s="301"/>
      <c r="AH416" s="301"/>
      <c r="AI416" s="301"/>
      <c r="AJ416" s="301"/>
      <c r="AK416" s="301"/>
      <c r="AL416" s="301"/>
      <c r="AM416" s="301"/>
      <c r="AN416" s="301"/>
      <c r="AO416" s="301"/>
      <c r="AP416" s="301"/>
      <c r="AQ416" s="301"/>
      <c r="AR416" s="301"/>
      <c r="AS416" s="301"/>
      <c r="AT416" s="301"/>
      <c r="AU416" s="301"/>
      <c r="AV416" s="301"/>
      <c r="AW416" s="301"/>
      <c r="AX416" s="301"/>
      <c r="AY416" s="301"/>
      <c r="AZ416" s="301"/>
      <c r="BA416" s="301"/>
      <c r="BB416" s="301"/>
      <c r="BC416" s="301"/>
      <c r="BD416" s="301"/>
      <c r="BE416" s="301"/>
      <c r="BF416" s="301"/>
      <c r="BG416" s="301"/>
      <c r="BH416" s="301"/>
      <c r="BI416" s="301"/>
      <c r="BJ416" s="301"/>
      <c r="BK416" s="301"/>
    </row>
    <row r="417" spans="1:63" x14ac:dyDescent="0.25">
      <c r="A417" s="301"/>
      <c r="B417" s="321"/>
      <c r="C417" s="302"/>
      <c r="D417" s="301"/>
      <c r="E417" s="301"/>
      <c r="F417" s="305"/>
      <c r="G417" s="325"/>
      <c r="H417" s="343"/>
      <c r="I417" s="302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1"/>
      <c r="AG417" s="301"/>
      <c r="AH417" s="301"/>
      <c r="AI417" s="301"/>
      <c r="AJ417" s="301"/>
      <c r="AK417" s="301"/>
      <c r="AL417" s="301"/>
      <c r="AM417" s="301"/>
      <c r="AN417" s="301"/>
      <c r="AO417" s="301"/>
      <c r="AP417" s="301"/>
      <c r="AQ417" s="301"/>
      <c r="AR417" s="301"/>
      <c r="AS417" s="301"/>
      <c r="AT417" s="301"/>
      <c r="AU417" s="301"/>
      <c r="AV417" s="301"/>
      <c r="AW417" s="301"/>
      <c r="AX417" s="301"/>
      <c r="AY417" s="301"/>
      <c r="AZ417" s="301"/>
      <c r="BA417" s="301"/>
      <c r="BB417" s="301"/>
      <c r="BC417" s="301"/>
      <c r="BD417" s="301"/>
      <c r="BE417" s="301"/>
      <c r="BF417" s="301"/>
      <c r="BG417" s="301"/>
      <c r="BH417" s="301"/>
      <c r="BI417" s="301"/>
      <c r="BJ417" s="301"/>
      <c r="BK417" s="301"/>
    </row>
    <row r="418" spans="1:63" x14ac:dyDescent="0.25">
      <c r="A418" s="301"/>
      <c r="B418" s="321"/>
      <c r="C418" s="302"/>
      <c r="D418" s="301"/>
      <c r="E418" s="301"/>
      <c r="F418" s="305"/>
      <c r="G418" s="325"/>
      <c r="H418" s="343"/>
      <c r="I418" s="302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  <c r="AE418" s="301"/>
      <c r="AF418" s="301"/>
      <c r="AG418" s="301"/>
      <c r="AH418" s="301"/>
      <c r="AI418" s="301"/>
      <c r="AJ418" s="301"/>
      <c r="AK418" s="301"/>
      <c r="AL418" s="301"/>
      <c r="AM418" s="301"/>
      <c r="AN418" s="301"/>
      <c r="AO418" s="301"/>
      <c r="AP418" s="301"/>
      <c r="AQ418" s="301"/>
      <c r="AR418" s="301"/>
      <c r="AS418" s="301"/>
      <c r="AT418" s="301"/>
      <c r="AU418" s="301"/>
      <c r="AV418" s="301"/>
      <c r="AW418" s="301"/>
      <c r="AX418" s="301"/>
      <c r="AY418" s="301"/>
      <c r="AZ418" s="301"/>
      <c r="BA418" s="301"/>
      <c r="BB418" s="301"/>
      <c r="BC418" s="301"/>
      <c r="BD418" s="301"/>
      <c r="BE418" s="301"/>
      <c r="BF418" s="301"/>
      <c r="BG418" s="301"/>
      <c r="BH418" s="301"/>
      <c r="BI418" s="301"/>
      <c r="BJ418" s="301"/>
      <c r="BK418" s="301"/>
    </row>
    <row r="419" spans="1:63" x14ac:dyDescent="0.25">
      <c r="A419" s="301"/>
      <c r="B419" s="321"/>
      <c r="C419" s="302"/>
      <c r="D419" s="301"/>
      <c r="E419" s="301"/>
      <c r="F419" s="305"/>
      <c r="G419" s="325"/>
      <c r="H419" s="343"/>
      <c r="I419" s="302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  <c r="AE419" s="301"/>
      <c r="AF419" s="301"/>
      <c r="AG419" s="301"/>
      <c r="AH419" s="301"/>
      <c r="AI419" s="301"/>
      <c r="AJ419" s="301"/>
      <c r="AK419" s="301"/>
      <c r="AL419" s="301"/>
      <c r="AM419" s="301"/>
      <c r="AN419" s="301"/>
      <c r="AO419" s="301"/>
      <c r="AP419" s="301"/>
      <c r="AQ419" s="301"/>
      <c r="AR419" s="301"/>
      <c r="AS419" s="301"/>
      <c r="AT419" s="301"/>
      <c r="AU419" s="301"/>
      <c r="AV419" s="301"/>
      <c r="AW419" s="301"/>
      <c r="AX419" s="301"/>
      <c r="AY419" s="301"/>
      <c r="AZ419" s="301"/>
      <c r="BA419" s="301"/>
      <c r="BB419" s="301"/>
      <c r="BC419" s="301"/>
      <c r="BD419" s="301"/>
      <c r="BE419" s="301"/>
      <c r="BF419" s="301"/>
      <c r="BG419" s="301"/>
      <c r="BH419" s="301"/>
      <c r="BI419" s="301"/>
      <c r="BJ419" s="301"/>
      <c r="BK419" s="301"/>
    </row>
    <row r="420" spans="1:63" x14ac:dyDescent="0.25">
      <c r="A420" s="301"/>
      <c r="B420" s="321"/>
      <c r="C420" s="302"/>
      <c r="D420" s="301"/>
      <c r="E420" s="301"/>
      <c r="F420" s="305"/>
      <c r="G420" s="325"/>
      <c r="H420" s="343"/>
      <c r="I420" s="302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  <c r="AE420" s="301"/>
      <c r="AF420" s="301"/>
      <c r="AG420" s="301"/>
      <c r="AH420" s="301"/>
      <c r="AI420" s="301"/>
      <c r="AJ420" s="301"/>
      <c r="AK420" s="301"/>
      <c r="AL420" s="301"/>
      <c r="AM420" s="301"/>
      <c r="AN420" s="301"/>
      <c r="AO420" s="301"/>
      <c r="AP420" s="301"/>
      <c r="AQ420" s="301"/>
      <c r="AR420" s="301"/>
      <c r="AS420" s="301"/>
      <c r="AT420" s="301"/>
      <c r="AU420" s="301"/>
      <c r="AV420" s="301"/>
      <c r="AW420" s="301"/>
      <c r="AX420" s="301"/>
      <c r="AY420" s="301"/>
      <c r="AZ420" s="301"/>
      <c r="BA420" s="301"/>
      <c r="BB420" s="301"/>
      <c r="BC420" s="301"/>
      <c r="BD420" s="301"/>
      <c r="BE420" s="301"/>
      <c r="BF420" s="301"/>
      <c r="BG420" s="301"/>
      <c r="BH420" s="301"/>
      <c r="BI420" s="301"/>
      <c r="BJ420" s="301"/>
      <c r="BK420" s="301"/>
    </row>
    <row r="421" spans="1:63" x14ac:dyDescent="0.25">
      <c r="A421" s="301"/>
      <c r="B421" s="321"/>
      <c r="C421" s="302"/>
      <c r="D421" s="301"/>
      <c r="E421" s="301"/>
      <c r="F421" s="305"/>
      <c r="G421" s="325"/>
      <c r="H421" s="343"/>
      <c r="I421" s="302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  <c r="AD421" s="301"/>
      <c r="AE421" s="301"/>
      <c r="AF421" s="301"/>
      <c r="AG421" s="301"/>
      <c r="AH421" s="301"/>
      <c r="AI421" s="301"/>
      <c r="AJ421" s="301"/>
      <c r="AK421" s="301"/>
      <c r="AL421" s="301"/>
      <c r="AM421" s="301"/>
      <c r="AN421" s="301"/>
      <c r="AO421" s="301"/>
      <c r="AP421" s="301"/>
      <c r="AQ421" s="301"/>
      <c r="AR421" s="301"/>
      <c r="AS421" s="301"/>
      <c r="AT421" s="301"/>
      <c r="AU421" s="301"/>
      <c r="AV421" s="301"/>
      <c r="AW421" s="301"/>
      <c r="AX421" s="301"/>
      <c r="AY421" s="301"/>
      <c r="AZ421" s="301"/>
      <c r="BA421" s="301"/>
      <c r="BB421" s="301"/>
      <c r="BC421" s="301"/>
      <c r="BD421" s="301"/>
      <c r="BE421" s="301"/>
      <c r="BF421" s="301"/>
      <c r="BG421" s="301"/>
      <c r="BH421" s="301"/>
      <c r="BI421" s="301"/>
      <c r="BJ421" s="301"/>
      <c r="BK421" s="301"/>
    </row>
    <row r="422" spans="1:63" x14ac:dyDescent="0.25">
      <c r="A422" s="301"/>
      <c r="B422" s="321"/>
      <c r="C422" s="302"/>
      <c r="D422" s="301"/>
      <c r="E422" s="301"/>
      <c r="F422" s="305"/>
      <c r="G422" s="325"/>
      <c r="H422" s="343"/>
      <c r="I422" s="302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  <c r="AE422" s="301"/>
      <c r="AF422" s="301"/>
      <c r="AG422" s="301"/>
      <c r="AH422" s="301"/>
      <c r="AI422" s="301"/>
      <c r="AJ422" s="301"/>
      <c r="AK422" s="301"/>
      <c r="AL422" s="301"/>
      <c r="AM422" s="301"/>
      <c r="AN422" s="301"/>
      <c r="AO422" s="301"/>
      <c r="AP422" s="301"/>
      <c r="AQ422" s="301"/>
      <c r="AR422" s="301"/>
      <c r="AS422" s="301"/>
      <c r="AT422" s="301"/>
      <c r="AU422" s="301"/>
      <c r="AV422" s="301"/>
      <c r="AW422" s="301"/>
      <c r="AX422" s="301"/>
      <c r="AY422" s="301"/>
      <c r="AZ422" s="301"/>
      <c r="BA422" s="301"/>
      <c r="BB422" s="301"/>
      <c r="BC422" s="301"/>
      <c r="BD422" s="301"/>
      <c r="BE422" s="301"/>
      <c r="BF422" s="301"/>
      <c r="BG422" s="301"/>
      <c r="BH422" s="301"/>
      <c r="BI422" s="301"/>
      <c r="BJ422" s="301"/>
      <c r="BK422" s="301"/>
    </row>
    <row r="423" spans="1:63" x14ac:dyDescent="0.25">
      <c r="A423" s="301"/>
      <c r="B423" s="321"/>
      <c r="C423" s="302"/>
      <c r="D423" s="301"/>
      <c r="E423" s="301"/>
      <c r="F423" s="305"/>
      <c r="G423" s="325"/>
      <c r="H423" s="343"/>
      <c r="I423" s="302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  <c r="AE423" s="301"/>
      <c r="AF423" s="301"/>
      <c r="AG423" s="301"/>
      <c r="AH423" s="301"/>
      <c r="AI423" s="301"/>
      <c r="AJ423" s="301"/>
      <c r="AK423" s="301"/>
      <c r="AL423" s="301"/>
      <c r="AM423" s="301"/>
      <c r="AN423" s="301"/>
      <c r="AO423" s="301"/>
      <c r="AP423" s="301"/>
      <c r="AQ423" s="301"/>
      <c r="AR423" s="301"/>
      <c r="AS423" s="301"/>
      <c r="AT423" s="301"/>
      <c r="AU423" s="301"/>
      <c r="AV423" s="301"/>
      <c r="AW423" s="301"/>
      <c r="AX423" s="301"/>
      <c r="AY423" s="301"/>
      <c r="AZ423" s="301"/>
      <c r="BA423" s="301"/>
      <c r="BB423" s="301"/>
      <c r="BC423" s="301"/>
      <c r="BD423" s="301"/>
      <c r="BE423" s="301"/>
      <c r="BF423" s="301"/>
      <c r="BG423" s="301"/>
      <c r="BH423" s="301"/>
      <c r="BI423" s="301"/>
      <c r="BJ423" s="301"/>
      <c r="BK423" s="301"/>
    </row>
    <row r="424" spans="1:63" x14ac:dyDescent="0.25">
      <c r="A424" s="301"/>
      <c r="B424" s="321"/>
      <c r="C424" s="302"/>
      <c r="D424" s="301"/>
      <c r="E424" s="301"/>
      <c r="F424" s="305"/>
      <c r="G424" s="325"/>
      <c r="H424" s="343"/>
      <c r="I424" s="302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  <c r="AE424" s="301"/>
      <c r="AF424" s="301"/>
      <c r="AG424" s="301"/>
      <c r="AH424" s="301"/>
      <c r="AI424" s="301"/>
      <c r="AJ424" s="301"/>
      <c r="AK424" s="301"/>
      <c r="AL424" s="301"/>
      <c r="AM424" s="301"/>
      <c r="AN424" s="301"/>
      <c r="AO424" s="301"/>
      <c r="AP424" s="301"/>
      <c r="AQ424" s="301"/>
      <c r="AR424" s="301"/>
      <c r="AS424" s="301"/>
      <c r="AT424" s="301"/>
      <c r="AU424" s="301"/>
      <c r="AV424" s="301"/>
      <c r="AW424" s="301"/>
      <c r="AX424" s="301"/>
      <c r="AY424" s="301"/>
      <c r="AZ424" s="301"/>
      <c r="BA424" s="301"/>
      <c r="BB424" s="301"/>
      <c r="BC424" s="301"/>
      <c r="BD424" s="301"/>
      <c r="BE424" s="301"/>
      <c r="BF424" s="301"/>
      <c r="BG424" s="301"/>
      <c r="BH424" s="301"/>
      <c r="BI424" s="301"/>
      <c r="BJ424" s="301"/>
      <c r="BK424" s="301"/>
    </row>
    <row r="425" spans="1:63" x14ac:dyDescent="0.25">
      <c r="A425" s="301"/>
      <c r="B425" s="321"/>
      <c r="C425" s="302"/>
      <c r="D425" s="301"/>
      <c r="E425" s="301"/>
      <c r="F425" s="305"/>
      <c r="G425" s="325"/>
      <c r="H425" s="343"/>
      <c r="I425" s="302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  <c r="AE425" s="301"/>
      <c r="AF425" s="301"/>
      <c r="AG425" s="301"/>
      <c r="AH425" s="301"/>
      <c r="AI425" s="301"/>
      <c r="AJ425" s="301"/>
      <c r="AK425" s="301"/>
      <c r="AL425" s="301"/>
      <c r="AM425" s="301"/>
      <c r="AN425" s="301"/>
      <c r="AO425" s="301"/>
      <c r="AP425" s="301"/>
      <c r="AQ425" s="301"/>
      <c r="AR425" s="301"/>
      <c r="AS425" s="301"/>
      <c r="AT425" s="301"/>
      <c r="AU425" s="301"/>
      <c r="AV425" s="301"/>
      <c r="AW425" s="301"/>
      <c r="AX425" s="301"/>
      <c r="AY425" s="301"/>
      <c r="AZ425" s="301"/>
      <c r="BA425" s="301"/>
      <c r="BB425" s="301"/>
      <c r="BC425" s="301"/>
      <c r="BD425" s="301"/>
      <c r="BE425" s="301"/>
      <c r="BF425" s="301"/>
      <c r="BG425" s="301"/>
      <c r="BH425" s="301"/>
      <c r="BI425" s="301"/>
      <c r="BJ425" s="301"/>
      <c r="BK425" s="301"/>
    </row>
    <row r="426" spans="1:63" x14ac:dyDescent="0.25">
      <c r="A426" s="301"/>
      <c r="B426" s="321"/>
      <c r="C426" s="302"/>
      <c r="D426" s="301"/>
      <c r="E426" s="301"/>
      <c r="F426" s="305"/>
      <c r="G426" s="325"/>
      <c r="H426" s="343"/>
      <c r="I426" s="302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  <c r="AE426" s="301"/>
      <c r="AF426" s="301"/>
      <c r="AG426" s="301"/>
      <c r="AH426" s="301"/>
      <c r="AI426" s="301"/>
      <c r="AJ426" s="301"/>
      <c r="AK426" s="301"/>
      <c r="AL426" s="301"/>
      <c r="AM426" s="301"/>
      <c r="AN426" s="301"/>
      <c r="AO426" s="301"/>
      <c r="AP426" s="301"/>
      <c r="AQ426" s="301"/>
      <c r="AR426" s="301"/>
      <c r="AS426" s="301"/>
      <c r="AT426" s="301"/>
      <c r="AU426" s="301"/>
      <c r="AV426" s="301"/>
      <c r="AW426" s="301"/>
      <c r="AX426" s="301"/>
      <c r="AY426" s="301"/>
      <c r="AZ426" s="301"/>
      <c r="BA426" s="301"/>
      <c r="BB426" s="301"/>
      <c r="BC426" s="301"/>
      <c r="BD426" s="301"/>
      <c r="BE426" s="301"/>
      <c r="BF426" s="301"/>
      <c r="BG426" s="301"/>
      <c r="BH426" s="301"/>
      <c r="BI426" s="301"/>
      <c r="BJ426" s="301"/>
      <c r="BK426" s="301"/>
    </row>
    <row r="427" spans="1:63" x14ac:dyDescent="0.25">
      <c r="A427" s="301"/>
      <c r="B427" s="321"/>
      <c r="C427" s="302"/>
      <c r="D427" s="301"/>
      <c r="E427" s="301"/>
      <c r="F427" s="305"/>
      <c r="G427" s="325"/>
      <c r="H427" s="343"/>
      <c r="I427" s="302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  <c r="AE427" s="301"/>
      <c r="AF427" s="301"/>
      <c r="AG427" s="301"/>
      <c r="AH427" s="301"/>
      <c r="AI427" s="301"/>
      <c r="AJ427" s="301"/>
      <c r="AK427" s="301"/>
      <c r="AL427" s="301"/>
      <c r="AM427" s="301"/>
      <c r="AN427" s="301"/>
      <c r="AO427" s="301"/>
      <c r="AP427" s="301"/>
      <c r="AQ427" s="301"/>
      <c r="AR427" s="301"/>
      <c r="AS427" s="301"/>
      <c r="AT427" s="301"/>
      <c r="AU427" s="301"/>
      <c r="AV427" s="301"/>
      <c r="AW427" s="301"/>
      <c r="AX427" s="301"/>
      <c r="AY427" s="301"/>
      <c r="AZ427" s="301"/>
      <c r="BA427" s="301"/>
      <c r="BB427" s="301"/>
      <c r="BC427" s="301"/>
      <c r="BD427" s="301"/>
      <c r="BE427" s="301"/>
      <c r="BF427" s="301"/>
      <c r="BG427" s="301"/>
      <c r="BH427" s="301"/>
      <c r="BI427" s="301"/>
      <c r="BJ427" s="301"/>
      <c r="BK427" s="301"/>
    </row>
    <row r="428" spans="1:63" x14ac:dyDescent="0.25">
      <c r="A428" s="301"/>
      <c r="B428" s="321"/>
      <c r="C428" s="302"/>
      <c r="D428" s="301"/>
      <c r="E428" s="301"/>
      <c r="F428" s="305"/>
      <c r="G428" s="325"/>
      <c r="H428" s="343"/>
      <c r="I428" s="302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  <c r="AE428" s="301"/>
      <c r="AF428" s="301"/>
      <c r="AG428" s="301"/>
      <c r="AH428" s="301"/>
      <c r="AI428" s="301"/>
      <c r="AJ428" s="301"/>
      <c r="AK428" s="301"/>
      <c r="AL428" s="301"/>
      <c r="AM428" s="301"/>
      <c r="AN428" s="301"/>
      <c r="AO428" s="301"/>
      <c r="AP428" s="301"/>
      <c r="AQ428" s="301"/>
      <c r="AR428" s="301"/>
      <c r="AS428" s="301"/>
      <c r="AT428" s="301"/>
      <c r="AU428" s="301"/>
      <c r="AV428" s="301"/>
      <c r="AW428" s="301"/>
      <c r="AX428" s="301"/>
      <c r="AY428" s="301"/>
      <c r="AZ428" s="301"/>
      <c r="BA428" s="301"/>
      <c r="BB428" s="301"/>
      <c r="BC428" s="301"/>
      <c r="BD428" s="301"/>
      <c r="BE428" s="301"/>
      <c r="BF428" s="301"/>
      <c r="BG428" s="301"/>
      <c r="BH428" s="301"/>
      <c r="BI428" s="301"/>
      <c r="BJ428" s="301"/>
      <c r="BK428" s="301"/>
    </row>
    <row r="429" spans="1:63" s="307" customFormat="1" x14ac:dyDescent="0.25">
      <c r="A429" s="301"/>
      <c r="B429" s="321"/>
      <c r="C429" s="302"/>
      <c r="D429" s="301"/>
      <c r="E429" s="301"/>
      <c r="F429" s="304"/>
      <c r="G429" s="325"/>
      <c r="H429" s="343"/>
      <c r="I429" s="302"/>
      <c r="J429" s="301"/>
      <c r="K429" s="301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  <c r="AE429" s="307"/>
      <c r="AF429" s="307"/>
      <c r="AG429" s="307"/>
      <c r="AH429" s="307"/>
      <c r="AI429" s="307"/>
      <c r="AJ429" s="307"/>
      <c r="AK429" s="307"/>
      <c r="AL429" s="307"/>
      <c r="AM429" s="307"/>
      <c r="AN429" s="307"/>
      <c r="AO429" s="307"/>
      <c r="AP429" s="307"/>
      <c r="AQ429" s="307"/>
      <c r="AR429" s="307"/>
      <c r="AS429" s="307"/>
      <c r="AT429" s="307"/>
      <c r="AU429" s="307"/>
      <c r="AV429" s="307"/>
      <c r="AW429" s="307"/>
      <c r="AX429" s="307"/>
      <c r="AY429" s="307"/>
      <c r="AZ429" s="307"/>
      <c r="BA429" s="307"/>
      <c r="BB429" s="307"/>
      <c r="BC429" s="307"/>
      <c r="BD429" s="307"/>
      <c r="BE429" s="307"/>
      <c r="BF429" s="307"/>
      <c r="BG429" s="307"/>
      <c r="BH429" s="307"/>
      <c r="BI429" s="307"/>
      <c r="BJ429" s="307"/>
      <c r="BK429" s="307"/>
    </row>
    <row r="430" spans="1:63" s="307" customFormat="1" x14ac:dyDescent="0.25">
      <c r="A430" s="301"/>
      <c r="B430" s="321"/>
      <c r="C430" s="302"/>
      <c r="D430" s="301"/>
      <c r="E430" s="301"/>
      <c r="F430" s="304"/>
      <c r="G430" s="325"/>
      <c r="H430" s="343"/>
      <c r="I430" s="302"/>
      <c r="J430" s="301"/>
      <c r="K430" s="301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  <c r="AE430" s="307"/>
      <c r="AF430" s="307"/>
      <c r="AG430" s="307"/>
      <c r="AH430" s="307"/>
      <c r="AI430" s="307"/>
      <c r="AJ430" s="307"/>
      <c r="AK430" s="307"/>
      <c r="AL430" s="307"/>
      <c r="AM430" s="307"/>
      <c r="AN430" s="307"/>
      <c r="AO430" s="307"/>
      <c r="AP430" s="307"/>
      <c r="AQ430" s="307"/>
      <c r="AR430" s="307"/>
      <c r="AS430" s="307"/>
      <c r="AT430" s="307"/>
      <c r="AU430" s="307"/>
      <c r="AV430" s="307"/>
      <c r="AW430" s="307"/>
      <c r="AX430" s="307"/>
      <c r="AY430" s="307"/>
      <c r="AZ430" s="307"/>
      <c r="BA430" s="307"/>
      <c r="BB430" s="307"/>
      <c r="BC430" s="307"/>
      <c r="BD430" s="307"/>
      <c r="BE430" s="307"/>
      <c r="BF430" s="307"/>
      <c r="BG430" s="307"/>
      <c r="BH430" s="307"/>
      <c r="BI430" s="307"/>
      <c r="BJ430" s="307"/>
      <c r="BK430" s="307"/>
    </row>
    <row r="431" spans="1:63" s="307" customFormat="1" x14ac:dyDescent="0.25">
      <c r="A431" s="301"/>
      <c r="B431" s="321"/>
      <c r="C431" s="302"/>
      <c r="D431" s="301"/>
      <c r="E431" s="301"/>
      <c r="F431" s="304"/>
      <c r="G431" s="325"/>
      <c r="H431" s="343"/>
      <c r="I431" s="302"/>
      <c r="J431" s="301"/>
      <c r="K431" s="301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307"/>
      <c r="AC431" s="307"/>
      <c r="AD431" s="307"/>
      <c r="AE431" s="307"/>
      <c r="AF431" s="307"/>
      <c r="AG431" s="307"/>
      <c r="AH431" s="307"/>
      <c r="AI431" s="307"/>
      <c r="AJ431" s="307"/>
      <c r="AK431" s="307"/>
      <c r="AL431" s="307"/>
      <c r="AM431" s="307"/>
      <c r="AN431" s="307"/>
      <c r="AO431" s="307"/>
      <c r="AP431" s="307"/>
      <c r="AQ431" s="307"/>
      <c r="AR431" s="307"/>
      <c r="AS431" s="307"/>
      <c r="AT431" s="307"/>
      <c r="AU431" s="307"/>
      <c r="AV431" s="307"/>
      <c r="AW431" s="307"/>
      <c r="AX431" s="307"/>
      <c r="AY431" s="307"/>
      <c r="AZ431" s="307"/>
      <c r="BA431" s="307"/>
      <c r="BB431" s="307"/>
      <c r="BC431" s="307"/>
      <c r="BD431" s="307"/>
      <c r="BE431" s="307"/>
      <c r="BF431" s="307"/>
      <c r="BG431" s="307"/>
      <c r="BH431" s="307"/>
      <c r="BI431" s="307"/>
      <c r="BJ431" s="307"/>
      <c r="BK431" s="307"/>
    </row>
    <row r="432" spans="1:63" s="307" customFormat="1" x14ac:dyDescent="0.25">
      <c r="A432" s="301"/>
      <c r="B432" s="321"/>
      <c r="C432" s="302"/>
      <c r="D432" s="301"/>
      <c r="E432" s="301"/>
      <c r="F432" s="304"/>
      <c r="G432" s="325"/>
      <c r="H432" s="343"/>
      <c r="I432" s="302"/>
      <c r="J432" s="301"/>
      <c r="K432" s="301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307"/>
      <c r="AC432" s="307"/>
      <c r="AD432" s="307"/>
      <c r="AE432" s="307"/>
      <c r="AF432" s="307"/>
      <c r="AG432" s="307"/>
      <c r="AH432" s="307"/>
      <c r="AI432" s="307"/>
      <c r="AJ432" s="307"/>
      <c r="AK432" s="307"/>
      <c r="AL432" s="307"/>
      <c r="AM432" s="307"/>
      <c r="AN432" s="307"/>
      <c r="AO432" s="307"/>
      <c r="AP432" s="307"/>
      <c r="AQ432" s="307"/>
      <c r="AR432" s="307"/>
      <c r="AS432" s="307"/>
      <c r="AT432" s="307"/>
      <c r="AU432" s="307"/>
      <c r="AV432" s="307"/>
      <c r="AW432" s="307"/>
      <c r="AX432" s="307"/>
      <c r="AY432" s="307"/>
      <c r="AZ432" s="307"/>
      <c r="BA432" s="307"/>
      <c r="BB432" s="307"/>
      <c r="BC432" s="307"/>
      <c r="BD432" s="307"/>
      <c r="BE432" s="307"/>
      <c r="BF432" s="307"/>
      <c r="BG432" s="307"/>
      <c r="BH432" s="307"/>
      <c r="BI432" s="307"/>
      <c r="BJ432" s="307"/>
      <c r="BK432" s="307"/>
    </row>
    <row r="433" spans="1:63" s="307" customFormat="1" x14ac:dyDescent="0.25">
      <c r="A433" s="301"/>
      <c r="B433" s="315"/>
      <c r="C433" s="302"/>
      <c r="D433" s="301"/>
      <c r="E433" s="301"/>
      <c r="F433" s="304"/>
      <c r="G433" s="325"/>
      <c r="H433" s="343"/>
      <c r="I433" s="302"/>
      <c r="J433" s="301"/>
      <c r="K433" s="301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307"/>
      <c r="AC433" s="307"/>
      <c r="AD433" s="307"/>
      <c r="AE433" s="307"/>
      <c r="AF433" s="307"/>
      <c r="AG433" s="307"/>
      <c r="AH433" s="307"/>
      <c r="AI433" s="307"/>
      <c r="AJ433" s="307"/>
      <c r="AK433" s="307"/>
      <c r="AL433" s="307"/>
      <c r="AM433" s="307"/>
      <c r="AN433" s="307"/>
      <c r="AO433" s="307"/>
      <c r="AP433" s="307"/>
      <c r="AQ433" s="307"/>
      <c r="AR433" s="307"/>
      <c r="AS433" s="307"/>
      <c r="AT433" s="307"/>
      <c r="AU433" s="307"/>
      <c r="AV433" s="307"/>
      <c r="AW433" s="307"/>
      <c r="AX433" s="307"/>
      <c r="AY433" s="307"/>
      <c r="AZ433" s="307"/>
      <c r="BA433" s="307"/>
      <c r="BB433" s="307"/>
      <c r="BC433" s="307"/>
      <c r="BD433" s="307"/>
      <c r="BE433" s="307"/>
      <c r="BF433" s="307"/>
      <c r="BG433" s="307"/>
      <c r="BH433" s="307"/>
      <c r="BI433" s="307"/>
      <c r="BJ433" s="307"/>
      <c r="BK433" s="307"/>
    </row>
    <row r="434" spans="1:63" s="307" customFormat="1" x14ac:dyDescent="0.25">
      <c r="A434" s="301"/>
      <c r="B434" s="315"/>
      <c r="C434" s="302"/>
      <c r="D434" s="301"/>
      <c r="E434" s="301"/>
      <c r="F434" s="304"/>
      <c r="G434" s="325"/>
      <c r="H434" s="343"/>
      <c r="I434" s="302"/>
      <c r="J434" s="301"/>
      <c r="K434" s="301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307"/>
      <c r="AC434" s="307"/>
      <c r="AD434" s="307"/>
      <c r="AE434" s="307"/>
      <c r="AF434" s="307"/>
      <c r="AG434" s="307"/>
      <c r="AH434" s="307"/>
      <c r="AI434" s="307"/>
      <c r="AJ434" s="307"/>
      <c r="AK434" s="307"/>
      <c r="AL434" s="307"/>
      <c r="AM434" s="307"/>
      <c r="AN434" s="307"/>
      <c r="AO434" s="307"/>
      <c r="AP434" s="307"/>
      <c r="AQ434" s="307"/>
      <c r="AR434" s="307"/>
      <c r="AS434" s="307"/>
      <c r="AT434" s="307"/>
      <c r="AU434" s="307"/>
      <c r="AV434" s="307"/>
      <c r="AW434" s="307"/>
      <c r="AX434" s="307"/>
      <c r="AY434" s="307"/>
      <c r="AZ434" s="307"/>
      <c r="BA434" s="307"/>
      <c r="BB434" s="307"/>
      <c r="BC434" s="307"/>
      <c r="BD434" s="307"/>
      <c r="BE434" s="307"/>
      <c r="BF434" s="307"/>
      <c r="BG434" s="307"/>
      <c r="BH434" s="307"/>
      <c r="BI434" s="307"/>
      <c r="BJ434" s="307"/>
      <c r="BK434" s="307"/>
    </row>
    <row r="435" spans="1:63" s="307" customFormat="1" x14ac:dyDescent="0.25">
      <c r="A435" s="301"/>
      <c r="B435" s="315"/>
      <c r="C435" s="302"/>
      <c r="D435" s="301"/>
      <c r="E435" s="301"/>
      <c r="F435" s="304"/>
      <c r="G435" s="325"/>
      <c r="H435" s="343"/>
      <c r="I435" s="302"/>
      <c r="J435" s="301"/>
      <c r="K435" s="301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307"/>
      <c r="AC435" s="307"/>
      <c r="AD435" s="307"/>
      <c r="AE435" s="307"/>
      <c r="AF435" s="307"/>
      <c r="AG435" s="307"/>
      <c r="AH435" s="307"/>
      <c r="AI435" s="307"/>
      <c r="AJ435" s="307"/>
      <c r="AK435" s="307"/>
      <c r="AL435" s="307"/>
      <c r="AM435" s="307"/>
      <c r="AN435" s="307"/>
      <c r="AO435" s="307"/>
      <c r="AP435" s="307"/>
      <c r="AQ435" s="307"/>
      <c r="AR435" s="307"/>
      <c r="AS435" s="307"/>
      <c r="AT435" s="307"/>
      <c r="AU435" s="307"/>
      <c r="AV435" s="307"/>
      <c r="AW435" s="307"/>
      <c r="AX435" s="307"/>
      <c r="AY435" s="307"/>
      <c r="AZ435" s="307"/>
      <c r="BA435" s="307"/>
      <c r="BB435" s="307"/>
      <c r="BC435" s="307"/>
      <c r="BD435" s="307"/>
      <c r="BE435" s="307"/>
      <c r="BF435" s="307"/>
      <c r="BG435" s="307"/>
      <c r="BH435" s="307"/>
      <c r="BI435" s="307"/>
      <c r="BJ435" s="307"/>
      <c r="BK435" s="307"/>
    </row>
    <row r="436" spans="1:63" s="307" customFormat="1" x14ac:dyDescent="0.25">
      <c r="A436" s="301"/>
      <c r="B436" s="315"/>
      <c r="C436" s="302"/>
      <c r="D436" s="301"/>
      <c r="E436" s="301"/>
      <c r="F436" s="304"/>
      <c r="G436" s="325"/>
      <c r="H436" s="343"/>
      <c r="I436" s="302"/>
      <c r="J436" s="301"/>
      <c r="K436" s="301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307"/>
      <c r="AC436" s="307"/>
      <c r="AD436" s="307"/>
      <c r="AE436" s="307"/>
      <c r="AF436" s="307"/>
      <c r="AG436" s="307"/>
      <c r="AH436" s="307"/>
      <c r="AI436" s="307"/>
      <c r="AJ436" s="307"/>
      <c r="AK436" s="307"/>
      <c r="AL436" s="307"/>
      <c r="AM436" s="307"/>
      <c r="AN436" s="307"/>
      <c r="AO436" s="307"/>
      <c r="AP436" s="307"/>
      <c r="AQ436" s="307"/>
      <c r="AR436" s="307"/>
      <c r="AS436" s="307"/>
      <c r="AT436" s="307"/>
      <c r="AU436" s="307"/>
      <c r="AV436" s="307"/>
      <c r="AW436" s="307"/>
      <c r="AX436" s="307"/>
      <c r="AY436" s="307"/>
      <c r="AZ436" s="307"/>
      <c r="BA436" s="307"/>
      <c r="BB436" s="307"/>
      <c r="BC436" s="307"/>
      <c r="BD436" s="307"/>
      <c r="BE436" s="307"/>
      <c r="BF436" s="307"/>
      <c r="BG436" s="307"/>
      <c r="BH436" s="307"/>
      <c r="BI436" s="307"/>
      <c r="BJ436" s="307"/>
      <c r="BK436" s="307"/>
    </row>
    <row r="437" spans="1:63" s="307" customFormat="1" x14ac:dyDescent="0.25">
      <c r="A437" s="301"/>
      <c r="B437" s="301"/>
      <c r="C437" s="302"/>
      <c r="D437" s="301"/>
      <c r="E437" s="301"/>
      <c r="F437" s="304"/>
      <c r="G437" s="325"/>
      <c r="H437" s="343"/>
      <c r="I437" s="302"/>
      <c r="J437" s="301"/>
      <c r="K437" s="301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307"/>
      <c r="AC437" s="307"/>
      <c r="AD437" s="307"/>
      <c r="AE437" s="307"/>
      <c r="AF437" s="307"/>
      <c r="AG437" s="307"/>
      <c r="AH437" s="307"/>
      <c r="AI437" s="307"/>
      <c r="AJ437" s="307"/>
      <c r="AK437" s="307"/>
      <c r="AL437" s="307"/>
      <c r="AM437" s="307"/>
      <c r="AN437" s="307"/>
      <c r="AO437" s="307"/>
      <c r="AP437" s="307"/>
      <c r="AQ437" s="307"/>
      <c r="AR437" s="307"/>
      <c r="AS437" s="307"/>
      <c r="AT437" s="307"/>
      <c r="AU437" s="307"/>
      <c r="AV437" s="307"/>
      <c r="AW437" s="307"/>
      <c r="AX437" s="307"/>
      <c r="AY437" s="307"/>
      <c r="AZ437" s="307"/>
      <c r="BA437" s="307"/>
      <c r="BB437" s="307"/>
      <c r="BC437" s="307"/>
      <c r="BD437" s="307"/>
      <c r="BE437" s="307"/>
      <c r="BF437" s="307"/>
      <c r="BG437" s="307"/>
      <c r="BH437" s="307"/>
      <c r="BI437" s="307"/>
      <c r="BJ437" s="307"/>
      <c r="BK437" s="307"/>
    </row>
    <row r="438" spans="1:63" s="307" customFormat="1" x14ac:dyDescent="0.25">
      <c r="A438" s="301"/>
      <c r="B438" s="301"/>
      <c r="C438" s="302"/>
      <c r="D438" s="301"/>
      <c r="E438" s="301"/>
      <c r="F438" s="304"/>
      <c r="G438" s="325"/>
      <c r="H438" s="343"/>
      <c r="I438" s="302"/>
      <c r="J438" s="301"/>
      <c r="K438" s="301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307"/>
      <c r="AC438" s="307"/>
      <c r="AD438" s="307"/>
      <c r="AE438" s="307"/>
      <c r="AF438" s="307"/>
      <c r="AG438" s="307"/>
      <c r="AH438" s="307"/>
      <c r="AI438" s="307"/>
      <c r="AJ438" s="307"/>
      <c r="AK438" s="307"/>
      <c r="AL438" s="307"/>
      <c r="AM438" s="307"/>
      <c r="AN438" s="307"/>
      <c r="AO438" s="307"/>
      <c r="AP438" s="307"/>
      <c r="AQ438" s="307"/>
      <c r="AR438" s="307"/>
      <c r="AS438" s="307"/>
      <c r="AT438" s="307"/>
      <c r="AU438" s="307"/>
      <c r="AV438" s="307"/>
      <c r="AW438" s="307"/>
      <c r="AX438" s="307"/>
      <c r="AY438" s="307"/>
      <c r="AZ438" s="307"/>
      <c r="BA438" s="307"/>
      <c r="BB438" s="307"/>
      <c r="BC438" s="307"/>
      <c r="BD438" s="307"/>
      <c r="BE438" s="307"/>
      <c r="BF438" s="307"/>
      <c r="BG438" s="307"/>
      <c r="BH438" s="307"/>
      <c r="BI438" s="307"/>
      <c r="BJ438" s="307"/>
      <c r="BK438" s="307"/>
    </row>
    <row r="439" spans="1:63" x14ac:dyDescent="0.25">
      <c r="A439" s="301"/>
      <c r="B439" s="315"/>
      <c r="C439" s="302"/>
      <c r="D439" s="301"/>
      <c r="E439" s="301"/>
      <c r="F439" s="305"/>
      <c r="G439" s="325"/>
      <c r="H439" s="343"/>
      <c r="I439" s="302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1"/>
      <c r="AG439" s="301"/>
      <c r="AH439" s="301"/>
      <c r="AI439" s="301"/>
      <c r="AJ439" s="301"/>
      <c r="AK439" s="301"/>
      <c r="AL439" s="301"/>
      <c r="AM439" s="301"/>
      <c r="AN439" s="301"/>
      <c r="AO439" s="301"/>
      <c r="AP439" s="301"/>
      <c r="AQ439" s="301"/>
      <c r="AR439" s="301"/>
      <c r="AS439" s="301"/>
      <c r="AT439" s="301"/>
      <c r="AU439" s="301"/>
      <c r="AV439" s="301"/>
      <c r="AW439" s="301"/>
      <c r="AX439" s="301"/>
      <c r="AY439" s="301"/>
      <c r="AZ439" s="301"/>
      <c r="BA439" s="301"/>
      <c r="BB439" s="301"/>
      <c r="BC439" s="301"/>
      <c r="BD439" s="301"/>
      <c r="BE439" s="301"/>
      <c r="BF439" s="301"/>
      <c r="BG439" s="301"/>
      <c r="BH439" s="301"/>
      <c r="BI439" s="301"/>
      <c r="BJ439" s="301"/>
      <c r="BK439" s="301"/>
    </row>
    <row r="440" spans="1:63" s="307" customFormat="1" x14ac:dyDescent="0.25">
      <c r="A440" s="301"/>
      <c r="B440" s="301"/>
      <c r="C440" s="302"/>
      <c r="D440" s="301"/>
      <c r="E440" s="301"/>
      <c r="F440" s="304"/>
      <c r="G440" s="325"/>
      <c r="H440" s="343"/>
      <c r="I440" s="302"/>
      <c r="J440" s="301"/>
      <c r="K440" s="301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307"/>
      <c r="AC440" s="307"/>
      <c r="AD440" s="307"/>
      <c r="AE440" s="307"/>
      <c r="AF440" s="307"/>
      <c r="AG440" s="307"/>
      <c r="AH440" s="307"/>
      <c r="AI440" s="307"/>
      <c r="AJ440" s="307"/>
      <c r="AK440" s="307"/>
      <c r="AL440" s="307"/>
      <c r="AM440" s="307"/>
      <c r="AN440" s="307"/>
      <c r="AO440" s="307"/>
      <c r="AP440" s="307"/>
      <c r="AQ440" s="307"/>
      <c r="AR440" s="307"/>
      <c r="AS440" s="307"/>
      <c r="AT440" s="307"/>
      <c r="AU440" s="307"/>
      <c r="AV440" s="307"/>
      <c r="AW440" s="307"/>
      <c r="AX440" s="307"/>
      <c r="AY440" s="307"/>
      <c r="AZ440" s="307"/>
      <c r="BA440" s="307"/>
      <c r="BB440" s="307"/>
      <c r="BC440" s="307"/>
      <c r="BD440" s="307"/>
      <c r="BE440" s="307"/>
      <c r="BF440" s="307"/>
      <c r="BG440" s="307"/>
      <c r="BH440" s="307"/>
      <c r="BI440" s="307"/>
      <c r="BJ440" s="307"/>
      <c r="BK440" s="307"/>
    </row>
    <row r="441" spans="1:63" x14ac:dyDescent="0.25">
      <c r="A441" s="301"/>
      <c r="B441" s="301"/>
      <c r="C441" s="302"/>
      <c r="D441" s="301"/>
      <c r="E441" s="301"/>
      <c r="F441" s="305"/>
      <c r="G441" s="325"/>
      <c r="H441" s="330"/>
      <c r="I441" s="302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  <c r="AE441" s="301"/>
      <c r="AF441" s="301"/>
      <c r="AG441" s="301"/>
      <c r="AH441" s="301"/>
      <c r="AI441" s="301"/>
      <c r="AJ441" s="301"/>
      <c r="AK441" s="301"/>
      <c r="AL441" s="301"/>
      <c r="AM441" s="301"/>
      <c r="AN441" s="301"/>
      <c r="AO441" s="301"/>
      <c r="AP441" s="301"/>
      <c r="AQ441" s="301"/>
      <c r="AR441" s="301"/>
      <c r="AS441" s="301"/>
      <c r="AT441" s="301"/>
      <c r="AU441" s="301"/>
      <c r="AV441" s="301"/>
      <c r="AW441" s="301"/>
      <c r="AX441" s="301"/>
      <c r="AY441" s="301"/>
      <c r="AZ441" s="301"/>
      <c r="BA441" s="301"/>
      <c r="BB441" s="301"/>
      <c r="BC441" s="301"/>
      <c r="BD441" s="301"/>
      <c r="BE441" s="301"/>
      <c r="BF441" s="301"/>
      <c r="BG441" s="301"/>
      <c r="BH441" s="301"/>
      <c r="BI441" s="301"/>
      <c r="BJ441" s="301"/>
      <c r="BK441" s="301"/>
    </row>
    <row r="442" spans="1:63" x14ac:dyDescent="0.25">
      <c r="A442" s="301"/>
      <c r="B442" s="301"/>
      <c r="C442" s="302"/>
      <c r="D442" s="301"/>
      <c r="E442" s="301"/>
      <c r="F442" s="305"/>
      <c r="G442" s="325"/>
      <c r="H442" s="330"/>
      <c r="I442" s="302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  <c r="AE442" s="301"/>
      <c r="AF442" s="301"/>
      <c r="AG442" s="301"/>
      <c r="AH442" s="301"/>
      <c r="AI442" s="301"/>
      <c r="AJ442" s="301"/>
      <c r="AK442" s="301"/>
      <c r="AL442" s="301"/>
      <c r="AM442" s="301"/>
      <c r="AN442" s="301"/>
      <c r="AO442" s="301"/>
      <c r="AP442" s="301"/>
      <c r="AQ442" s="301"/>
      <c r="AR442" s="301"/>
      <c r="AS442" s="301"/>
      <c r="AT442" s="301"/>
      <c r="AU442" s="301"/>
      <c r="AV442" s="301"/>
      <c r="AW442" s="301"/>
      <c r="AX442" s="301"/>
      <c r="AY442" s="301"/>
      <c r="AZ442" s="301"/>
      <c r="BA442" s="301"/>
      <c r="BB442" s="301"/>
      <c r="BC442" s="301"/>
      <c r="BD442" s="301"/>
      <c r="BE442" s="301"/>
      <c r="BF442" s="301"/>
      <c r="BG442" s="301"/>
      <c r="BH442" s="301"/>
      <c r="BI442" s="301"/>
      <c r="BJ442" s="301"/>
      <c r="BK442" s="301"/>
    </row>
    <row r="443" spans="1:63" x14ac:dyDescent="0.25">
      <c r="A443" s="301"/>
      <c r="B443" s="301"/>
      <c r="C443" s="302"/>
      <c r="D443" s="301"/>
      <c r="E443" s="301"/>
      <c r="F443" s="305"/>
      <c r="G443" s="325"/>
      <c r="H443" s="330"/>
      <c r="I443" s="302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  <c r="AE443" s="301"/>
      <c r="AF443" s="301"/>
      <c r="AG443" s="301"/>
      <c r="AH443" s="301"/>
      <c r="AI443" s="301"/>
      <c r="AJ443" s="301"/>
      <c r="AK443" s="301"/>
      <c r="AL443" s="301"/>
      <c r="AM443" s="301"/>
      <c r="AN443" s="301"/>
      <c r="AO443" s="301"/>
      <c r="AP443" s="301"/>
      <c r="AQ443" s="301"/>
      <c r="AR443" s="301"/>
      <c r="AS443" s="301"/>
      <c r="AT443" s="301"/>
      <c r="AU443" s="301"/>
      <c r="AV443" s="301"/>
      <c r="AW443" s="301"/>
      <c r="AX443" s="301"/>
      <c r="AY443" s="301"/>
      <c r="AZ443" s="301"/>
      <c r="BA443" s="301"/>
      <c r="BB443" s="301"/>
      <c r="BC443" s="301"/>
      <c r="BD443" s="301"/>
      <c r="BE443" s="301"/>
      <c r="BF443" s="301"/>
      <c r="BG443" s="301"/>
      <c r="BH443" s="301"/>
      <c r="BI443" s="301"/>
      <c r="BJ443" s="301"/>
      <c r="BK443" s="301"/>
    </row>
    <row r="444" spans="1:63" x14ac:dyDescent="0.25">
      <c r="A444" s="301"/>
      <c r="B444" s="301"/>
      <c r="C444" s="302"/>
      <c r="D444" s="301"/>
      <c r="E444" s="301"/>
      <c r="F444" s="305"/>
      <c r="G444" s="325"/>
      <c r="H444" s="330"/>
      <c r="I444" s="302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  <c r="AE444" s="301"/>
      <c r="AF444" s="301"/>
      <c r="AG444" s="301"/>
      <c r="AH444" s="301"/>
      <c r="AI444" s="301"/>
      <c r="AJ444" s="301"/>
      <c r="AK444" s="301"/>
      <c r="AL444" s="301"/>
      <c r="AM444" s="301"/>
      <c r="AN444" s="301"/>
      <c r="AO444" s="301"/>
      <c r="AP444" s="301"/>
      <c r="AQ444" s="301"/>
      <c r="AR444" s="301"/>
      <c r="AS444" s="301"/>
      <c r="AT444" s="301"/>
      <c r="AU444" s="301"/>
      <c r="AV444" s="301"/>
      <c r="AW444" s="301"/>
      <c r="AX444" s="301"/>
      <c r="AY444" s="301"/>
      <c r="AZ444" s="301"/>
      <c r="BA444" s="301"/>
      <c r="BB444" s="301"/>
      <c r="BC444" s="301"/>
      <c r="BD444" s="301"/>
      <c r="BE444" s="301"/>
      <c r="BF444" s="301"/>
      <c r="BG444" s="301"/>
      <c r="BH444" s="301"/>
      <c r="BI444" s="301"/>
      <c r="BJ444" s="301"/>
      <c r="BK444" s="301"/>
    </row>
    <row r="445" spans="1:63" x14ac:dyDescent="0.25">
      <c r="A445" s="301"/>
      <c r="B445" s="301"/>
      <c r="C445" s="302"/>
      <c r="D445" s="301"/>
      <c r="E445" s="301"/>
      <c r="F445" s="305"/>
      <c r="G445" s="325"/>
      <c r="H445" s="330"/>
      <c r="I445" s="302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  <c r="AE445" s="301"/>
      <c r="AF445" s="301"/>
      <c r="AG445" s="301"/>
      <c r="AH445" s="301"/>
      <c r="AI445" s="301"/>
      <c r="AJ445" s="301"/>
      <c r="AK445" s="301"/>
      <c r="AL445" s="301"/>
      <c r="AM445" s="301"/>
      <c r="AN445" s="301"/>
      <c r="AO445" s="301"/>
      <c r="AP445" s="301"/>
      <c r="AQ445" s="301"/>
      <c r="AR445" s="301"/>
      <c r="AS445" s="301"/>
      <c r="AT445" s="301"/>
      <c r="AU445" s="301"/>
      <c r="AV445" s="301"/>
      <c r="AW445" s="301"/>
      <c r="AX445" s="301"/>
      <c r="AY445" s="301"/>
      <c r="AZ445" s="301"/>
      <c r="BA445" s="301"/>
      <c r="BB445" s="301"/>
      <c r="BC445" s="301"/>
      <c r="BD445" s="301"/>
      <c r="BE445" s="301"/>
      <c r="BF445" s="301"/>
      <c r="BG445" s="301"/>
      <c r="BH445" s="301"/>
      <c r="BI445" s="301"/>
      <c r="BJ445" s="301"/>
      <c r="BK445" s="301"/>
    </row>
    <row r="446" spans="1:63" x14ac:dyDescent="0.25">
      <c r="A446" s="301"/>
      <c r="B446" s="301"/>
      <c r="C446" s="302"/>
      <c r="D446" s="301"/>
      <c r="E446" s="301"/>
      <c r="F446" s="305"/>
      <c r="G446" s="325"/>
      <c r="H446" s="330"/>
      <c r="I446" s="302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  <c r="AE446" s="301"/>
      <c r="AF446" s="301"/>
      <c r="AG446" s="301"/>
      <c r="AH446" s="301"/>
      <c r="AI446" s="301"/>
      <c r="AJ446" s="301"/>
      <c r="AK446" s="301"/>
      <c r="AL446" s="301"/>
      <c r="AM446" s="301"/>
      <c r="AN446" s="301"/>
      <c r="AO446" s="301"/>
      <c r="AP446" s="301"/>
      <c r="AQ446" s="301"/>
      <c r="AR446" s="301"/>
      <c r="AS446" s="301"/>
      <c r="AT446" s="301"/>
      <c r="AU446" s="301"/>
      <c r="AV446" s="301"/>
      <c r="AW446" s="301"/>
      <c r="AX446" s="301"/>
      <c r="AY446" s="301"/>
      <c r="AZ446" s="301"/>
      <c r="BA446" s="301"/>
      <c r="BB446" s="301"/>
      <c r="BC446" s="301"/>
      <c r="BD446" s="301"/>
      <c r="BE446" s="301"/>
      <c r="BF446" s="301"/>
      <c r="BG446" s="301"/>
      <c r="BH446" s="301"/>
      <c r="BI446" s="301"/>
      <c r="BJ446" s="301"/>
      <c r="BK446" s="301"/>
    </row>
    <row r="447" spans="1:63" x14ac:dyDescent="0.25">
      <c r="A447" s="301"/>
      <c r="B447" s="301"/>
      <c r="C447" s="302"/>
      <c r="D447" s="301"/>
      <c r="E447" s="301"/>
      <c r="F447" s="305"/>
      <c r="G447" s="325"/>
      <c r="H447" s="330"/>
      <c r="I447" s="302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  <c r="AE447" s="301"/>
      <c r="AF447" s="301"/>
      <c r="AG447" s="301"/>
      <c r="AH447" s="301"/>
      <c r="AI447" s="301"/>
      <c r="AJ447" s="301"/>
      <c r="AK447" s="301"/>
      <c r="AL447" s="301"/>
      <c r="AM447" s="301"/>
      <c r="AN447" s="301"/>
      <c r="AO447" s="301"/>
      <c r="AP447" s="301"/>
      <c r="AQ447" s="301"/>
      <c r="AR447" s="301"/>
      <c r="AS447" s="301"/>
      <c r="AT447" s="301"/>
      <c r="AU447" s="301"/>
      <c r="AV447" s="301"/>
      <c r="AW447" s="301"/>
      <c r="AX447" s="301"/>
      <c r="AY447" s="301"/>
      <c r="AZ447" s="301"/>
      <c r="BA447" s="301"/>
      <c r="BB447" s="301"/>
      <c r="BC447" s="301"/>
      <c r="BD447" s="301"/>
      <c r="BE447" s="301"/>
      <c r="BF447" s="301"/>
      <c r="BG447" s="301"/>
      <c r="BH447" s="301"/>
      <c r="BI447" s="301"/>
      <c r="BJ447" s="301"/>
      <c r="BK447" s="301"/>
    </row>
    <row r="448" spans="1:63" x14ac:dyDescent="0.25">
      <c r="A448" s="301"/>
      <c r="B448" s="321"/>
      <c r="C448" s="311"/>
      <c r="D448" s="301"/>
      <c r="E448" s="301"/>
      <c r="F448" s="305"/>
      <c r="G448" s="325"/>
      <c r="H448" s="330"/>
      <c r="I448" s="302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  <c r="AE448" s="301"/>
      <c r="AF448" s="301"/>
      <c r="AG448" s="301"/>
      <c r="AH448" s="301"/>
      <c r="AI448" s="301"/>
      <c r="AJ448" s="301"/>
      <c r="AK448" s="301"/>
      <c r="AL448" s="301"/>
      <c r="AM448" s="301"/>
      <c r="AN448" s="301"/>
      <c r="AO448" s="301"/>
      <c r="AP448" s="301"/>
      <c r="AQ448" s="301"/>
      <c r="AR448" s="301"/>
      <c r="AS448" s="301"/>
      <c r="AT448" s="301"/>
      <c r="AU448" s="301"/>
      <c r="AV448" s="301"/>
      <c r="AW448" s="301"/>
      <c r="AX448" s="301"/>
      <c r="AY448" s="301"/>
      <c r="AZ448" s="301"/>
      <c r="BA448" s="301"/>
      <c r="BB448" s="301"/>
      <c r="BC448" s="301"/>
      <c r="BD448" s="301"/>
      <c r="BE448" s="301"/>
      <c r="BF448" s="301"/>
      <c r="BG448" s="301"/>
      <c r="BH448" s="301"/>
      <c r="BI448" s="301"/>
      <c r="BJ448" s="301"/>
      <c r="BK448" s="301"/>
    </row>
    <row r="449" spans="1:63" x14ac:dyDescent="0.25">
      <c r="A449" s="303"/>
      <c r="B449" s="303"/>
      <c r="C449" s="311"/>
      <c r="D449" s="301"/>
      <c r="E449" s="301"/>
      <c r="F449" s="305"/>
      <c r="G449" s="325"/>
      <c r="H449" s="330"/>
      <c r="I449" s="302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  <c r="AE449" s="301"/>
      <c r="AF449" s="301"/>
      <c r="AG449" s="301"/>
      <c r="AH449" s="301"/>
      <c r="AI449" s="301"/>
      <c r="AJ449" s="301"/>
      <c r="AK449" s="301"/>
      <c r="AL449" s="301"/>
      <c r="AM449" s="301"/>
      <c r="AN449" s="301"/>
      <c r="AO449" s="301"/>
      <c r="AP449" s="301"/>
      <c r="AQ449" s="301"/>
      <c r="AR449" s="301"/>
      <c r="AS449" s="301"/>
      <c r="AT449" s="301"/>
      <c r="AU449" s="301"/>
      <c r="AV449" s="301"/>
      <c r="AW449" s="301"/>
      <c r="AX449" s="301"/>
      <c r="AY449" s="301"/>
      <c r="AZ449" s="301"/>
      <c r="BA449" s="301"/>
      <c r="BB449" s="301"/>
      <c r="BC449" s="301"/>
      <c r="BD449" s="301"/>
      <c r="BE449" s="301"/>
      <c r="BF449" s="301"/>
      <c r="BG449" s="301"/>
      <c r="BH449" s="301"/>
      <c r="BI449" s="301"/>
      <c r="BJ449" s="301"/>
      <c r="BK449" s="301"/>
    </row>
    <row r="450" spans="1:63" x14ac:dyDescent="0.25">
      <c r="A450" s="301"/>
      <c r="B450" s="301"/>
      <c r="C450" s="302"/>
      <c r="D450" s="301"/>
      <c r="E450" s="301"/>
      <c r="F450" s="305"/>
      <c r="G450" s="325"/>
      <c r="H450" s="352"/>
      <c r="I450" s="302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  <c r="AE450" s="301"/>
      <c r="AF450" s="301"/>
      <c r="AG450" s="301"/>
      <c r="AH450" s="301"/>
      <c r="AI450" s="301"/>
      <c r="AJ450" s="301"/>
      <c r="AK450" s="301"/>
      <c r="AL450" s="301"/>
      <c r="AM450" s="301"/>
      <c r="AN450" s="301"/>
      <c r="AO450" s="301"/>
      <c r="AP450" s="301"/>
      <c r="AQ450" s="301"/>
      <c r="AR450" s="301"/>
      <c r="AS450" s="301"/>
      <c r="AT450" s="301"/>
      <c r="AU450" s="301"/>
      <c r="AV450" s="301"/>
      <c r="AW450" s="301"/>
      <c r="AX450" s="301"/>
      <c r="AY450" s="301"/>
      <c r="AZ450" s="301"/>
      <c r="BA450" s="301"/>
      <c r="BB450" s="301"/>
      <c r="BC450" s="301"/>
      <c r="BD450" s="301"/>
      <c r="BE450" s="301"/>
      <c r="BF450" s="301"/>
      <c r="BG450" s="301"/>
      <c r="BH450" s="301"/>
      <c r="BI450" s="301"/>
      <c r="BJ450" s="301"/>
      <c r="BK450" s="301"/>
    </row>
    <row r="451" spans="1:63" x14ac:dyDescent="0.25">
      <c r="A451" s="301"/>
      <c r="B451" s="301"/>
      <c r="C451" s="302"/>
      <c r="D451" s="301"/>
      <c r="E451" s="301"/>
      <c r="F451" s="305"/>
      <c r="G451" s="325"/>
      <c r="H451" s="352"/>
      <c r="I451" s="302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  <c r="AE451" s="301"/>
      <c r="AF451" s="301"/>
      <c r="AG451" s="301"/>
      <c r="AH451" s="301"/>
      <c r="AI451" s="301"/>
      <c r="AJ451" s="301"/>
      <c r="AK451" s="301"/>
      <c r="AL451" s="301"/>
      <c r="AM451" s="301"/>
      <c r="AN451" s="301"/>
      <c r="AO451" s="301"/>
      <c r="AP451" s="301"/>
      <c r="AQ451" s="301"/>
      <c r="AR451" s="301"/>
      <c r="AS451" s="301"/>
      <c r="AT451" s="301"/>
      <c r="AU451" s="301"/>
      <c r="AV451" s="301"/>
      <c r="AW451" s="301"/>
      <c r="AX451" s="301"/>
      <c r="AY451" s="301"/>
      <c r="AZ451" s="301"/>
      <c r="BA451" s="301"/>
      <c r="BB451" s="301"/>
      <c r="BC451" s="301"/>
      <c r="BD451" s="301"/>
      <c r="BE451" s="301"/>
      <c r="BF451" s="301"/>
      <c r="BG451" s="301"/>
      <c r="BH451" s="301"/>
      <c r="BI451" s="301"/>
      <c r="BJ451" s="301"/>
      <c r="BK451" s="301"/>
    </row>
    <row r="452" spans="1:63" x14ac:dyDescent="0.25">
      <c r="A452" s="301"/>
      <c r="B452" s="301"/>
      <c r="C452" s="302"/>
      <c r="D452" s="301"/>
      <c r="E452" s="301"/>
      <c r="F452" s="305"/>
      <c r="G452" s="325"/>
      <c r="H452" s="352"/>
      <c r="I452" s="302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  <c r="AE452" s="301"/>
      <c r="AF452" s="301"/>
      <c r="AG452" s="301"/>
      <c r="AH452" s="301"/>
      <c r="AI452" s="301"/>
      <c r="AJ452" s="301"/>
      <c r="AK452" s="301"/>
      <c r="AL452" s="301"/>
      <c r="AM452" s="301"/>
      <c r="AN452" s="301"/>
      <c r="AO452" s="301"/>
      <c r="AP452" s="301"/>
      <c r="AQ452" s="301"/>
      <c r="AR452" s="301"/>
      <c r="AS452" s="301"/>
      <c r="AT452" s="301"/>
      <c r="AU452" s="301"/>
      <c r="AV452" s="301"/>
      <c r="AW452" s="301"/>
      <c r="AX452" s="301"/>
      <c r="AY452" s="301"/>
      <c r="AZ452" s="301"/>
      <c r="BA452" s="301"/>
      <c r="BB452" s="301"/>
      <c r="BC452" s="301"/>
      <c r="BD452" s="301"/>
      <c r="BE452" s="301"/>
      <c r="BF452" s="301"/>
      <c r="BG452" s="301"/>
      <c r="BH452" s="301"/>
      <c r="BI452" s="301"/>
      <c r="BJ452" s="301"/>
      <c r="BK452" s="301"/>
    </row>
    <row r="453" spans="1:63" x14ac:dyDescent="0.25">
      <c r="A453" s="301"/>
      <c r="B453" s="301"/>
      <c r="C453" s="302"/>
      <c r="D453" s="301"/>
      <c r="E453" s="301"/>
      <c r="F453" s="311"/>
      <c r="G453" s="325"/>
      <c r="H453" s="302"/>
      <c r="I453" s="302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  <c r="AE453" s="301"/>
      <c r="AF453" s="301"/>
      <c r="AG453" s="301"/>
      <c r="AH453" s="301"/>
      <c r="AI453" s="301"/>
      <c r="AJ453" s="301"/>
      <c r="AK453" s="301"/>
      <c r="AL453" s="301"/>
      <c r="AM453" s="301"/>
      <c r="AN453" s="301"/>
      <c r="AO453" s="301"/>
      <c r="AP453" s="301"/>
      <c r="AQ453" s="301"/>
      <c r="AR453" s="301"/>
      <c r="AS453" s="301"/>
      <c r="AT453" s="301"/>
      <c r="AU453" s="301"/>
      <c r="AV453" s="301"/>
      <c r="AW453" s="301"/>
      <c r="AX453" s="301"/>
      <c r="AY453" s="301"/>
      <c r="AZ453" s="301"/>
      <c r="BA453" s="301"/>
      <c r="BB453" s="301"/>
      <c r="BC453" s="301"/>
      <c r="BD453" s="301"/>
      <c r="BE453" s="301"/>
      <c r="BF453" s="301"/>
      <c r="BG453" s="301"/>
      <c r="BH453" s="301"/>
      <c r="BI453" s="301"/>
      <c r="BJ453" s="301"/>
      <c r="BK453" s="301"/>
    </row>
    <row r="454" spans="1:63" x14ac:dyDescent="0.25">
      <c r="A454" s="301"/>
      <c r="B454" s="301"/>
      <c r="C454" s="302"/>
      <c r="D454" s="304"/>
      <c r="E454" s="301"/>
      <c r="F454" s="302"/>
      <c r="G454" s="302"/>
      <c r="H454" s="302"/>
      <c r="I454" s="302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  <c r="AE454" s="301"/>
      <c r="AF454" s="301"/>
      <c r="AG454" s="301"/>
      <c r="AH454" s="301"/>
      <c r="AI454" s="301"/>
      <c r="AJ454" s="301"/>
      <c r="AK454" s="301"/>
      <c r="AL454" s="301"/>
      <c r="AM454" s="301"/>
      <c r="AN454" s="301"/>
      <c r="AO454" s="301"/>
      <c r="AP454" s="301"/>
      <c r="AQ454" s="301"/>
      <c r="AR454" s="301"/>
      <c r="AS454" s="301"/>
      <c r="AT454" s="301"/>
      <c r="AU454" s="301"/>
      <c r="AV454" s="301"/>
      <c r="AW454" s="301"/>
      <c r="AX454" s="301"/>
      <c r="AY454" s="301"/>
      <c r="AZ454" s="301"/>
      <c r="BA454" s="301"/>
      <c r="BB454" s="301"/>
      <c r="BC454" s="301"/>
      <c r="BD454" s="301"/>
      <c r="BE454" s="301"/>
      <c r="BF454" s="301"/>
      <c r="BG454" s="301"/>
      <c r="BH454" s="301"/>
      <c r="BI454" s="301"/>
      <c r="BJ454" s="301"/>
      <c r="BK454" s="301"/>
    </row>
  </sheetData>
  <conditionalFormatting sqref="D454 G454">
    <cfRule type="containsText" dxfId="10" priority="3">
      <formula>NOT(ISERROR(SEARCH("Req#3",D454)))</formula>
    </cfRule>
  </conditionalFormatting>
  <conditionalFormatting sqref="H22:H23 H228:H230">
    <cfRule type="containsText" dxfId="11" priority="1">
      <formula>NOT(ISERROR(SEARCH("Req#3",H22)))</formula>
    </cfRule>
  </conditionalFormatting>
  <printOptions horizontalCentered="1"/>
  <pageMargins left="0.5" right="0.5" top="0.5" bottom="0.5" header="0.25" footer="0.25"/>
  <pageSetup orientation="landscape" horizontalDpi="4294967295" verticalDpi="4294967295" scale="67" fitToWidth="1" fitToHeight="0" firstPageNumber="13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H31" sqref="H31"/>
    </sheetView>
  </sheetViews>
  <sheetFormatPr defaultRowHeight="14.4" outlineLevelRow="0" outlineLevelCol="0" x14ac:dyDescent="0.3" customHeight="1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showGridLines="0" zoomScale="100" zoomScaleNormal="100">
      <selection activeCell="F25" sqref="F25"/>
    </sheetView>
  </sheetViews>
  <sheetFormatPr defaultRowHeight="14.4" outlineLevelRow="0" outlineLevelCol="0" x14ac:dyDescent="0.3" defaultColWidth="9.109375" customHeight="1"/>
  <cols>
    <col min="1" max="1" width="58.33203125" customWidth="1"/>
    <col min="2" max="2" width="18.109375" style="94" customWidth="1"/>
    <col min="3" max="3" width="27" style="94" customWidth="1"/>
    <col min="4" max="4" width="24.109375" style="94" customWidth="1"/>
    <col min="5" max="5" width="13.6640625" style="94" customWidth="1"/>
    <col min="6" max="6" width="17.33203125" style="94" customWidth="1"/>
    <col min="7" max="7" width="13.6640625" style="94" customWidth="1"/>
    <col min="8" max="8" width="13.44140625" style="94" customWidth="1"/>
    <col min="9" max="9" width="10.33203125" customWidth="1"/>
  </cols>
  <sheetData>
    <row r="1" spans="2:8" x14ac:dyDescent="0.25">
      <c r="B1" s="94"/>
      <c r="C1" s="94"/>
      <c r="D1" s="94"/>
      <c r="E1" s="94"/>
      <c r="F1" s="94"/>
      <c r="G1" s="94"/>
      <c r="H1" s="94"/>
    </row>
    <row r="2" spans="1:7" x14ac:dyDescent="0.25">
      <c r="A2" t="s">
        <v>422</v>
      </c>
      <c r="B2" s="94"/>
      <c r="C2" s="94"/>
      <c r="D2" s="94"/>
      <c r="E2" s="94"/>
      <c r="F2" s="94"/>
      <c r="G2" s="94"/>
    </row>
    <row r="3" spans="1:7" x14ac:dyDescent="0.25">
      <c r="A3" t="s">
        <v>423</v>
      </c>
      <c r="B3" s="94"/>
      <c r="C3" s="94"/>
      <c r="D3" s="94"/>
      <c r="E3" s="94"/>
      <c r="F3" s="94"/>
      <c r="G3" s="94"/>
    </row>
    <row r="4" spans="1:7" x14ac:dyDescent="0.25">
      <c r="A4" s="353">
        <v>46203</v>
      </c>
      <c r="B4" s="94"/>
      <c r="C4" s="94"/>
      <c r="D4" s="94"/>
      <c r="E4" s="94"/>
      <c r="F4" s="94"/>
      <c r="G4" s="94"/>
    </row>
    <row r="5" spans="1:7" x14ac:dyDescent="0.25">
      <c r="A5" s="353"/>
      <c r="B5" s="94"/>
      <c r="C5" s="94"/>
      <c r="D5" s="94"/>
      <c r="E5" s="94"/>
      <c r="F5" s="94"/>
      <c r="G5" s="94"/>
    </row>
    <row r="6" spans="1:7" x14ac:dyDescent="0.25">
      <c r="A6" s="353"/>
      <c r="B6" s="354" t="s">
        <v>424</v>
      </c>
      <c r="C6" s="354" t="s">
        <v>424</v>
      </c>
      <c r="D6" s="354" t="s">
        <v>424</v>
      </c>
      <c r="E6" s="94"/>
      <c r="F6" s="94"/>
      <c r="G6" s="94"/>
    </row>
    <row r="7" spans="2:7" x14ac:dyDescent="0.25">
      <c r="B7" s="354" t="s">
        <v>425</v>
      </c>
      <c r="C7" s="354" t="s">
        <v>426</v>
      </c>
      <c r="D7" s="354" t="s">
        <v>427</v>
      </c>
      <c r="E7" s="94"/>
      <c r="F7" s="94"/>
      <c r="G7" s="94"/>
    </row>
    <row r="8" spans="2:7" x14ac:dyDescent="0.25">
      <c r="B8" s="355">
        <v>46203</v>
      </c>
      <c r="C8" s="355">
        <f>B8</f>
        <v>46203</v>
      </c>
      <c r="D8" s="355">
        <v>46173</v>
      </c>
      <c r="E8" s="94"/>
      <c r="F8" s="94"/>
      <c r="G8" s="94"/>
    </row>
    <row r="9" spans="1:7" x14ac:dyDescent="0.25">
      <c r="A9" s="1" t="s">
        <v>424</v>
      </c>
      <c r="B9" s="94"/>
      <c r="C9" s="94"/>
      <c r="D9" s="94"/>
      <c r="E9" s="94"/>
      <c r="F9" s="94"/>
      <c r="G9" s="94"/>
    </row>
    <row r="10" spans="1:7" x14ac:dyDescent="0.25">
      <c r="A10" s="356" t="s">
        <v>428</v>
      </c>
      <c r="B10" s="94">
        <f>'Budget to Actual P1'!J28</f>
        <v>5467355.149999999</v>
      </c>
      <c r="C10" s="94">
        <f>'Budget to Actual P1'!I28</f>
        <v>182172.28000000003</v>
      </c>
      <c r="D10" s="94">
        <f>B10-C10</f>
        <v>5285182.869999999</v>
      </c>
      <c r="E10" s="94"/>
      <c r="F10" s="94"/>
      <c r="G10" s="94"/>
    </row>
    <row r="11" spans="1:10" x14ac:dyDescent="0.25">
      <c r="A11" s="356" t="s">
        <v>223</v>
      </c>
      <c r="B11" s="94">
        <f>'Budget to Actual P1'!J67+'Budget to Actual P1'!J92+'Budget to Actual P1'!J124</f>
        <v>1817226.57</v>
      </c>
      <c r="C11" s="94">
        <f>'Budget to Actual P1'!I67+'Budget to Actual P1'!I92+'Budget to Actual P1'!I124</f>
        <v>71320.52</v>
      </c>
      <c r="D11" s="94">
        <f>B11-C11</f>
        <v>1745906.05</v>
      </c>
      <c r="E11" s="94"/>
      <c r="F11" s="94"/>
      <c r="G11" s="94"/>
    </row>
    <row r="12" spans="1:7" x14ac:dyDescent="0.25">
      <c r="A12" s="357"/>
      <c r="B12" s="94"/>
      <c r="C12" s="94"/>
      <c r="D12" s="94">
        <f t="shared" ref="D12" si="0">B12-C12</f>
        <v>0</v>
      </c>
      <c r="E12" s="94"/>
      <c r="F12" s="94"/>
      <c r="G12" s="94"/>
    </row>
    <row r="13" spans="1:8" x14ac:dyDescent="0.25">
      <c r="A13" s="358" t="s">
        <v>429</v>
      </c>
      <c r="B13" s="359">
        <f>SUM($B$10:$B$12)</f>
        <v>7284581.72</v>
      </c>
      <c r="C13" s="359">
        <f>SUM(C10:C12)</f>
        <v>253492.80000000005</v>
      </c>
      <c r="D13" s="359">
        <f>SUM($D$10:$D$12)</f>
        <v>7031088.919999999</v>
      </c>
      <c r="E13" s="94"/>
      <c r="F13" s="94"/>
      <c r="G13" s="94"/>
      <c r="H13" s="94"/>
    </row>
    <row r="14" hidden="1" spans="1:8" x14ac:dyDescent="0.25">
      <c r="A14" s="360" t="s">
        <v>430</v>
      </c>
      <c r="B14" s="361"/>
      <c r="C14" s="94"/>
      <c r="D14" s="362"/>
      <c r="E14" s="94"/>
      <c r="F14" s="94"/>
      <c r="G14" s="94"/>
      <c r="H14" s="94"/>
    </row>
    <row r="15" ht="15" customHeight="1" hidden="1" spans="1:8" x14ac:dyDescent="0.25">
      <c r="A15" s="360" t="s">
        <v>431</v>
      </c>
      <c r="B15" s="363">
        <f>B13-B14</f>
        <v>7284581.72</v>
      </c>
      <c r="C15" s="94"/>
      <c r="D15" s="94"/>
      <c r="E15" s="94"/>
      <c r="F15" s="94"/>
      <c r="G15" s="94"/>
      <c r="H15" s="94"/>
    </row>
    <row r="16" spans="2:8" x14ac:dyDescent="0.25">
      <c r="B16" s="94"/>
      <c r="C16" s="94"/>
      <c r="D16" s="94"/>
      <c r="E16" s="354"/>
      <c r="F16" s="354"/>
      <c r="G16" s="354"/>
      <c r="H16" s="94"/>
    </row>
    <row r="17" ht="28.8" customHeight="1" spans="1:8" x14ac:dyDescent="0.25">
      <c r="A17" s="1" t="s">
        <v>432</v>
      </c>
      <c r="B17" s="364" t="s">
        <v>433</v>
      </c>
      <c r="C17" s="94" t="s">
        <v>434</v>
      </c>
      <c r="D17" s="91" t="s">
        <v>435</v>
      </c>
      <c r="E17" s="94"/>
      <c r="F17" s="94"/>
      <c r="G17" s="94"/>
      <c r="H17" s="94"/>
    </row>
    <row r="18" spans="1:8" x14ac:dyDescent="0.25">
      <c r="A18" t="s">
        <v>436</v>
      </c>
      <c r="B18" s="94">
        <f>ROUND(B13*0.04,2)</f>
        <v>291383.27</v>
      </c>
      <c r="C18" s="94">
        <f>C13*0.04</f>
        <v>10139.712000000001</v>
      </c>
      <c r="D18" s="94">
        <f>ROUND($D$13*0.04,2)</f>
        <v>281243.56</v>
      </c>
      <c r="E18" s="94"/>
      <c r="F18" s="365"/>
      <c r="G18" s="361"/>
      <c r="H18" s="94"/>
    </row>
    <row r="19" ht="15" customHeight="1" spans="1:8" x14ac:dyDescent="0.25">
      <c r="A19" s="1" t="s">
        <v>437</v>
      </c>
      <c r="B19" s="366">
        <f>SUM(B18:B18)</f>
        <v>291383.27</v>
      </c>
      <c r="C19" s="94">
        <f>C14*0.04</f>
        <v>0</v>
      </c>
      <c r="D19" s="366">
        <f>SUM($D$18:$D$18)</f>
        <v>281243.56</v>
      </c>
      <c r="E19" s="94"/>
      <c r="F19" s="361"/>
      <c r="G19" s="94"/>
      <c r="H19" s="94"/>
    </row>
    <row r="20" ht="15" customHeight="1" spans="2:8" x14ac:dyDescent="0.25">
      <c r="B20" s="94"/>
      <c r="C20" s="94"/>
      <c r="D20" s="94"/>
      <c r="E20" s="94"/>
      <c r="F20" s="94"/>
      <c r="G20" s="94"/>
      <c r="H20" s="94"/>
    </row>
    <row r="21" spans="2:8" x14ac:dyDescent="0.25">
      <c r="B21" s="94"/>
      <c r="C21" s="94"/>
      <c r="D21" s="94"/>
      <c r="E21" s="94"/>
      <c r="F21" s="94"/>
      <c r="G21" s="94"/>
      <c r="H21" s="94"/>
    </row>
    <row r="22" spans="2:8" x14ac:dyDescent="0.25">
      <c r="B22" s="94"/>
      <c r="C22" s="94"/>
      <c r="D22" s="367"/>
      <c r="E22" s="94"/>
      <c r="F22" s="94"/>
      <c r="G22" s="94"/>
      <c r="H22" s="94"/>
    </row>
    <row r="23" spans="2:7" x14ac:dyDescent="0.25">
      <c r="B23" s="94"/>
      <c r="C23" s="94"/>
      <c r="D23" s="94"/>
      <c r="E23" s="94"/>
      <c r="F23" s="94"/>
      <c r="G23" s="94"/>
    </row>
    <row r="24" ht="15" customHeight="1" spans="2:7" x14ac:dyDescent="0.25">
      <c r="B24" s="94"/>
      <c r="C24" s="94"/>
      <c r="D24" s="94"/>
      <c r="E24" s="94"/>
      <c r="F24" s="94"/>
      <c r="G24" s="94"/>
    </row>
    <row r="25" ht="15" customHeight="1" spans="2:7" x14ac:dyDescent="0.25">
      <c r="B25" s="368" t="s">
        <v>182</v>
      </c>
      <c r="C25" s="369">
        <f>C18</f>
        <v>10139.712000000001</v>
      </c>
      <c r="D25" s="94"/>
      <c r="E25" s="94"/>
      <c r="F25" s="94"/>
      <c r="G25" s="94"/>
    </row>
    <row r="26" spans="2:7" x14ac:dyDescent="0.25">
      <c r="B26" s="94"/>
      <c r="C26" s="94"/>
      <c r="D26" s="94"/>
      <c r="E26" s="94"/>
      <c r="F26" s="94"/>
      <c r="G26" s="94"/>
    </row>
    <row r="27" spans="2:7" x14ac:dyDescent="0.25">
      <c r="B27" s="94"/>
      <c r="C27" s="94"/>
      <c r="D27" s="94"/>
      <c r="E27" s="94"/>
      <c r="F27" s="94"/>
      <c r="G27" s="94"/>
    </row>
    <row r="28" spans="2:7" x14ac:dyDescent="0.25">
      <c r="B28" s="94"/>
      <c r="C28" s="94"/>
      <c r="D28" s="94"/>
      <c r="E28" s="94"/>
      <c r="F28" s="94"/>
      <c r="G28" s="94"/>
    </row>
    <row r="29" spans="2:7" x14ac:dyDescent="0.25">
      <c r="B29" s="94"/>
      <c r="C29" s="94"/>
      <c r="D29" s="94"/>
      <c r="E29" s="94"/>
      <c r="F29" s="94"/>
      <c r="G29" s="94"/>
    </row>
    <row r="30" spans="2:7" x14ac:dyDescent="0.25">
      <c r="B30" s="94"/>
      <c r="C30" s="94"/>
      <c r="D30" s="94"/>
      <c r="E30" s="94"/>
      <c r="F30" s="94"/>
      <c r="G30" s="94"/>
    </row>
  </sheetData>
  <pageMargins left="0.7" right="0.7" top="0.75" bottom="0.75" header="0.3" footer="0.3"/>
  <pageSetup orientation="landscape" horizontalDpi="1200" verticalDpi="1200" scale="72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 zoomScale="100" zoomScaleNormal="100">
      <selection activeCell="H16" sqref="H16"/>
    </sheetView>
  </sheetViews>
  <sheetFormatPr defaultRowHeight="12.6" outlineLevelRow="1" outlineLevelCol="1" x14ac:dyDescent="0.25" defaultColWidth="9.33203125" customHeight="1"/>
  <cols>
    <col min="1" max="1" width="1.44140625" style="112" customWidth="1"/>
    <col min="2" max="2" width="26" style="112" customWidth="1"/>
    <col min="3" max="3" width="41" style="112" customWidth="1"/>
    <col min="4" max="6" width="15.6640625" style="112" customWidth="1"/>
    <col min="7" max="7" width="9.44140625" style="113" customWidth="1"/>
    <col min="8" max="9" width="22.6640625" style="112" customWidth="1"/>
    <col min="10" max="10" width="0.88671875" style="112" customWidth="1"/>
    <col min="11" max="11" width="9.33203125" style="112" hidden="1" outlineLevel="1" collapsed="1" customWidth="1"/>
    <col min="12" max="12" width="10.6640625" style="112" customWidth="1"/>
    <col min="13" max="14" width="9.33203125" style="112" customWidth="1"/>
    <col min="15" max="15" width="12.33203125" style="112" customWidth="1"/>
    <col min="16" max="16384" width="9.33203125" style="112" customWidth="1"/>
  </cols>
  <sheetData>
    <row r="1" ht="15.6" customHeight="1" spans="2:5" x14ac:dyDescent="0.25">
      <c r="B1" s="114" t="str">
        <f>'Budget to Actual P1'!B2</f>
        <v>County Line Rail Silsbee LLC</v>
      </c>
      <c r="D1" s="112"/>
      <c r="E1" s="112"/>
    </row>
    <row r="2" ht="15.6" customHeight="1" spans="2:5" x14ac:dyDescent="0.25">
      <c r="B2" s="114" t="s">
        <v>175</v>
      </c>
      <c r="D2" s="112"/>
      <c r="E2" s="112"/>
    </row>
    <row r="3" ht="13.2" customHeight="1" spans="2:5" x14ac:dyDescent="0.25">
      <c r="B3" s="115">
        <f>'Budget to Actual P1'!B4</f>
        <v>46203</v>
      </c>
      <c r="D3" s="112"/>
      <c r="E3" s="112"/>
    </row>
    <row r="4" spans="4:5" x14ac:dyDescent="0.25">
      <c r="D4" s="112"/>
      <c r="E4" s="112"/>
    </row>
    <row r="5" ht="15.6" customHeight="1" spans="1:5" x14ac:dyDescent="0.25">
      <c r="A5" s="30"/>
      <c r="D5" s="112"/>
      <c r="E5" s="112"/>
    </row>
    <row r="6" ht="13.8" customHeight="1" spans="2:9" x14ac:dyDescent="0.25">
      <c r="B6" s="116"/>
      <c r="C6" s="117" t="s">
        <v>176</v>
      </c>
      <c r="D6" s="118" t="s">
        <v>177</v>
      </c>
      <c r="E6" s="117" t="s">
        <v>177</v>
      </c>
      <c r="F6" s="119" t="s">
        <v>177</v>
      </c>
      <c r="G6" s="120" t="s">
        <v>178</v>
      </c>
      <c r="H6" s="121" t="s">
        <v>179</v>
      </c>
      <c r="I6" s="122"/>
    </row>
    <row r="7" ht="13.8" customHeight="1" spans="2:9" x14ac:dyDescent="0.25">
      <c r="B7" s="123"/>
      <c r="C7" s="123"/>
      <c r="D7" s="124" t="s">
        <v>180</v>
      </c>
      <c r="E7" s="123" t="s">
        <v>181</v>
      </c>
      <c r="F7" s="125" t="s">
        <v>182</v>
      </c>
      <c r="G7" s="126"/>
      <c r="H7" s="127"/>
      <c r="I7" s="128"/>
    </row>
    <row r="8" ht="13.8" customHeight="1" spans="2:10" x14ac:dyDescent="0.25">
      <c r="B8" s="129" t="s">
        <v>183</v>
      </c>
      <c r="C8" s="129"/>
      <c r="D8" s="130" t="s">
        <v>181</v>
      </c>
      <c r="E8" s="129" t="s">
        <v>184</v>
      </c>
      <c r="F8" s="131" t="s">
        <v>181</v>
      </c>
      <c r="G8" s="132"/>
      <c r="H8" s="133"/>
      <c r="I8" s="134"/>
      <c r="J8" s="135"/>
    </row>
    <row r="9" ht="13.8" customHeight="1" spans="2:9" x14ac:dyDescent="0.25">
      <c r="B9" s="136"/>
      <c r="C9" s="137"/>
      <c r="D9" s="138"/>
      <c r="E9" s="138"/>
      <c r="F9" s="138"/>
      <c r="G9" s="137"/>
      <c r="H9" s="139"/>
      <c r="I9" s="140"/>
    </row>
    <row r="10" ht="15" customHeight="1" spans="2:9" x14ac:dyDescent="0.25">
      <c r="B10" s="136"/>
      <c r="C10" s="137"/>
      <c r="D10" s="138"/>
      <c r="E10" s="138"/>
      <c r="F10" s="138"/>
      <c r="G10" s="137"/>
      <c r="H10" s="141"/>
      <c r="I10" s="142"/>
    </row>
    <row r="11" ht="13.8" customHeight="1" spans="2:9" x14ac:dyDescent="0.25">
      <c r="B11" s="136"/>
      <c r="C11" s="137"/>
      <c r="D11" s="138"/>
      <c r="E11" s="138"/>
      <c r="F11" s="138"/>
      <c r="G11" s="137"/>
      <c r="H11" s="141"/>
      <c r="I11" s="142"/>
    </row>
    <row r="12" ht="13.8" customHeight="1" spans="2:9" x14ac:dyDescent="0.25">
      <c r="B12" s="136"/>
      <c r="C12" s="137"/>
      <c r="D12" s="138"/>
      <c r="E12" s="138"/>
      <c r="F12" s="138"/>
      <c r="G12" s="137"/>
      <c r="H12" s="141"/>
      <c r="I12" s="142"/>
    </row>
    <row r="13" ht="13.95" customHeight="1" spans="2:9" x14ac:dyDescent="0.25">
      <c r="B13" s="136"/>
      <c r="C13" s="137"/>
      <c r="D13" s="138"/>
      <c r="E13" s="138"/>
      <c r="F13" s="138"/>
      <c r="G13" s="137"/>
      <c r="H13" s="141"/>
      <c r="I13" s="142"/>
    </row>
    <row r="14" ht="13.95" customHeight="1" spans="2:9" x14ac:dyDescent="0.25">
      <c r="B14" s="136"/>
      <c r="C14" s="137"/>
      <c r="D14" s="138"/>
      <c r="E14" s="138"/>
      <c r="F14" s="138"/>
      <c r="G14" s="137"/>
      <c r="H14" s="141"/>
      <c r="I14" s="142"/>
    </row>
    <row r="15" ht="13.95" customHeight="1" spans="2:9" x14ac:dyDescent="0.25">
      <c r="B15" s="136" t="s">
        <v>58</v>
      </c>
      <c r="C15" s="137" t="s">
        <v>59</v>
      </c>
      <c r="D15" s="138">
        <v>-540</v>
      </c>
      <c r="E15" s="138"/>
      <c r="F15" s="138"/>
      <c r="G15" s="137">
        <v>10</v>
      </c>
      <c r="H15" s="141" t="s">
        <v>185</v>
      </c>
      <c r="I15" s="142"/>
    </row>
    <row r="16" ht="13.95" customHeight="1" spans="2:9" x14ac:dyDescent="0.25">
      <c r="B16" s="136">
        <v>12230</v>
      </c>
      <c r="C16" s="137" t="s">
        <v>103</v>
      </c>
      <c r="D16" s="138">
        <v>4239.34</v>
      </c>
      <c r="E16" s="138"/>
      <c r="F16" s="138"/>
      <c r="G16" s="137">
        <v>10</v>
      </c>
      <c r="H16" s="141" t="s">
        <v>186</v>
      </c>
      <c r="I16" s="142"/>
    </row>
    <row r="17" ht="13.95" customHeight="1" spans="2:9" x14ac:dyDescent="0.25">
      <c r="B17" s="136">
        <v>12115</v>
      </c>
      <c r="C17" s="137" t="s">
        <v>84</v>
      </c>
      <c r="D17" s="138">
        <v>2868.08</v>
      </c>
      <c r="E17" s="138"/>
      <c r="F17" s="138"/>
      <c r="G17" s="137">
        <v>9</v>
      </c>
      <c r="H17" s="141" t="s">
        <v>187</v>
      </c>
      <c r="I17" s="142"/>
    </row>
    <row r="18" ht="13.8" customHeight="1" spans="2:9" x14ac:dyDescent="0.25">
      <c r="B18" s="136">
        <v>12115</v>
      </c>
      <c r="C18" s="137" t="s">
        <v>84</v>
      </c>
      <c r="D18" s="138">
        <v>5802.86</v>
      </c>
      <c r="E18" s="138"/>
      <c r="F18" s="138"/>
      <c r="G18" s="137">
        <v>8</v>
      </c>
      <c r="H18" s="141" t="s">
        <v>187</v>
      </c>
      <c r="I18" s="142"/>
    </row>
    <row r="19" ht="13.8" customHeight="1" spans="2:9" x14ac:dyDescent="0.25">
      <c r="B19" s="136">
        <v>11970</v>
      </c>
      <c r="C19" s="137" t="s">
        <v>188</v>
      </c>
      <c r="D19" s="138">
        <v>5560.42</v>
      </c>
      <c r="E19" s="138"/>
      <c r="F19" s="138"/>
      <c r="G19" s="137">
        <v>7</v>
      </c>
      <c r="H19" s="141" t="s">
        <v>189</v>
      </c>
      <c r="I19" s="142"/>
    </row>
    <row r="20" ht="13.8" customHeight="1" spans="2:9" x14ac:dyDescent="0.25">
      <c r="B20" s="136">
        <v>12115</v>
      </c>
      <c r="C20" s="137" t="s">
        <v>84</v>
      </c>
      <c r="D20" s="138">
        <v>5000</v>
      </c>
      <c r="E20" s="138"/>
      <c r="F20" s="138"/>
      <c r="G20" s="137">
        <v>7</v>
      </c>
      <c r="H20" s="141" t="s">
        <v>187</v>
      </c>
      <c r="I20" s="142"/>
    </row>
    <row r="21" ht="13.8" customHeight="1" spans="2:9" x14ac:dyDescent="0.25">
      <c r="B21" s="136">
        <v>12115</v>
      </c>
      <c r="C21" s="137" t="s">
        <v>84</v>
      </c>
      <c r="D21" s="138">
        <v>9943.8</v>
      </c>
      <c r="E21" s="138"/>
      <c r="F21" s="138"/>
      <c r="G21" s="137">
        <v>6</v>
      </c>
      <c r="H21" s="141" t="s">
        <v>187</v>
      </c>
      <c r="I21" s="142"/>
    </row>
    <row r="22" ht="13.8" customHeight="1" spans="2:9" x14ac:dyDescent="0.25">
      <c r="B22" s="136">
        <v>12115</v>
      </c>
      <c r="C22" s="137" t="s">
        <v>84</v>
      </c>
      <c r="D22" s="138">
        <v>10781.62</v>
      </c>
      <c r="E22" s="138"/>
      <c r="F22" s="138"/>
      <c r="G22" s="137">
        <v>5</v>
      </c>
      <c r="H22" s="141" t="s">
        <v>187</v>
      </c>
      <c r="I22" s="142"/>
    </row>
    <row r="23" ht="15" customHeight="1" spans="2:11" x14ac:dyDescent="0.25">
      <c r="B23" s="143"/>
      <c r="C23" s="144" t="s">
        <v>149</v>
      </c>
      <c r="D23" s="145">
        <f>SUBTOTAL(9,D$9:D$22)</f>
        <v>39956.78</v>
      </c>
      <c r="E23" s="145">
        <f>SUBTOTAL(9,E$9:E$22)</f>
        <v>3699.34</v>
      </c>
      <c r="F23" s="146">
        <f>D23+E23</f>
        <v>43656.119999999995</v>
      </c>
      <c r="G23" s="147"/>
      <c r="H23" s="148"/>
      <c r="I23" s="149"/>
      <c r="K23" s="150"/>
    </row>
    <row r="24" ht="13.8" customHeight="1" spans="2:9" x14ac:dyDescent="0.25">
      <c r="B24" s="151"/>
      <c r="C24" s="152"/>
      <c r="D24" s="153"/>
      <c r="E24" s="153"/>
      <c r="F24" s="154"/>
      <c r="G24" s="152"/>
      <c r="H24" s="155"/>
      <c r="I24" s="156"/>
    </row>
    <row r="25" ht="14.4" customHeight="1" spans="2:9" x14ac:dyDescent="0.25">
      <c r="B25" s="157"/>
      <c r="C25" s="158"/>
      <c r="D25" s="159"/>
      <c r="E25" s="159"/>
      <c r="F25" s="154"/>
      <c r="G25" s="160"/>
      <c r="H25" s="161"/>
      <c r="I25" s="162"/>
    </row>
    <row r="26" ht="13.8" customHeight="1" spans="2:9" x14ac:dyDescent="0.25">
      <c r="B26" s="163" t="s">
        <v>190</v>
      </c>
      <c r="C26" s="164"/>
      <c r="D26" s="165">
        <f>SUM(D23:D25)</f>
        <v>39956.78</v>
      </c>
      <c r="E26" s="165">
        <f>SUM(E23:E25)</f>
        <v>3699.34</v>
      </c>
      <c r="F26" s="165">
        <f>SUM(F23:F25)</f>
        <v>43656.119999999995</v>
      </c>
      <c r="G26" s="166"/>
      <c r="H26" s="167"/>
      <c r="I26" s="168"/>
    </row>
    <row r="27" ht="14.4" customHeight="1" spans="2:9" x14ac:dyDescent="0.25">
      <c r="B27" s="169"/>
      <c r="C27" s="170"/>
      <c r="D27" s="171"/>
      <c r="E27" s="171"/>
      <c r="F27" s="171"/>
      <c r="G27" s="172"/>
      <c r="H27" s="173"/>
      <c r="I27" s="174"/>
    </row>
    <row r="28" ht="14.4" customHeight="1" spans="2:9" x14ac:dyDescent="0.25">
      <c r="B28" s="175" t="s">
        <v>191</v>
      </c>
      <c r="C28" s="176"/>
      <c r="D28" s="177">
        <f>'Budget to Actual P1'!D27</f>
        <v>293570.38</v>
      </c>
      <c r="E28" s="178"/>
      <c r="F28" s="178"/>
      <c r="G28" s="179"/>
      <c r="H28" s="173"/>
      <c r="I28" s="174"/>
    </row>
    <row r="29" ht="12.75" customHeight="1" spans="2:12" x14ac:dyDescent="0.25">
      <c r="B29" s="180"/>
      <c r="C29" s="181"/>
      <c r="D29" s="182"/>
      <c r="E29" s="178"/>
      <c r="F29" s="178"/>
      <c r="G29" s="179"/>
      <c r="H29" s="173"/>
      <c r="I29" s="174"/>
      <c r="L29" s="183"/>
    </row>
    <row r="30" ht="15" customHeight="1" spans="2:9" x14ac:dyDescent="0.25">
      <c r="B30" s="180" t="s">
        <v>192</v>
      </c>
      <c r="D30" s="182">
        <f>+D26</f>
        <v>39956.78</v>
      </c>
      <c r="E30" s="178"/>
      <c r="F30" s="178"/>
      <c r="G30" s="179"/>
      <c r="H30" s="173"/>
      <c r="I30" s="174"/>
    </row>
    <row r="31" ht="12.75" customHeight="1" spans="2:9" x14ac:dyDescent="0.25">
      <c r="B31" s="180" t="s">
        <v>193</v>
      </c>
      <c r="D31" s="184">
        <f>+E26</f>
        <v>3699.34</v>
      </c>
      <c r="E31" s="178"/>
      <c r="F31" s="178"/>
      <c r="G31" s="179"/>
      <c r="H31" s="173"/>
      <c r="I31" s="174"/>
    </row>
    <row r="32" ht="12.75" customHeight="1" spans="2:9" x14ac:dyDescent="0.25">
      <c r="B32" s="180" t="s">
        <v>194</v>
      </c>
      <c r="D32" s="182">
        <f>+SUM(D30:D31)</f>
        <v>43656.119999999995</v>
      </c>
      <c r="E32" s="178"/>
      <c r="F32" s="178"/>
      <c r="G32" s="179"/>
      <c r="H32" s="173"/>
      <c r="I32" s="174"/>
    </row>
    <row r="33" ht="15" customHeight="1" spans="2:9" x14ac:dyDescent="0.25">
      <c r="B33" s="180"/>
      <c r="D33" s="182"/>
      <c r="E33" s="178"/>
      <c r="F33" s="178"/>
      <c r="G33" s="179"/>
      <c r="H33" s="173"/>
      <c r="I33" s="174"/>
    </row>
    <row r="34" ht="14.4" customHeight="1" spans="2:9" x14ac:dyDescent="0.25">
      <c r="B34" s="175" t="s">
        <v>195</v>
      </c>
      <c r="C34" s="185"/>
      <c r="D34" s="177">
        <f>+$D$28-$D$32</f>
        <v>249914.26</v>
      </c>
      <c r="E34" s="178"/>
      <c r="F34" s="178"/>
      <c r="G34" s="179"/>
      <c r="H34" s="173"/>
      <c r="I34" s="174"/>
    </row>
    <row r="35" ht="15" customHeight="1" spans="2:9" x14ac:dyDescent="0.25">
      <c r="B35" s="186"/>
      <c r="C35" s="187"/>
      <c r="D35" s="188"/>
      <c r="E35" s="189"/>
      <c r="F35" s="190"/>
      <c r="G35" s="191"/>
      <c r="H35" s="192"/>
      <c r="I35" s="193"/>
    </row>
    <row r="36" spans="4:5" x14ac:dyDescent="0.25">
      <c r="D36" s="112"/>
      <c r="E36" s="112"/>
    </row>
    <row r="37" spans="4:8" x14ac:dyDescent="0.25">
      <c r="D37" s="112"/>
      <c r="E37" s="112"/>
      <c r="F37" s="183"/>
      <c r="H37" s="194"/>
    </row>
    <row r="38" spans="4:8" x14ac:dyDescent="0.25">
      <c r="D38" s="112"/>
      <c r="E38" s="112"/>
      <c r="F38" s="183"/>
      <c r="H38" s="194"/>
    </row>
    <row r="39" ht="13.8" customHeight="1" hidden="1" spans="4:5" x14ac:dyDescent="0.25" outlineLevel="1" collapsed="1">
      <c r="D39" s="195" t="b">
        <f>ROUND(D34,2)=ROUND('Budget to Actual P1'!L27,2)</f>
        <v>1</v>
      </c>
      <c r="E39" s="196" t="s">
        <v>196</v>
      </c>
    </row>
    <row r="40" spans="4:5" x14ac:dyDescent="0.25">
      <c r="D40" s="112"/>
      <c r="E40" s="112"/>
    </row>
    <row r="41" spans="4:5" x14ac:dyDescent="0.25">
      <c r="D41" s="112"/>
      <c r="E41" s="112"/>
    </row>
    <row r="42" spans="4:5" x14ac:dyDescent="0.25">
      <c r="D42" s="112"/>
      <c r="E42" s="112"/>
    </row>
    <row r="43" spans="4:5" x14ac:dyDescent="0.25">
      <c r="D43" s="112"/>
      <c r="E43" s="112"/>
    </row>
    <row r="44" spans="4:5" x14ac:dyDescent="0.25">
      <c r="D44" s="197"/>
      <c r="E44" s="112"/>
    </row>
    <row r="45" spans="4:5" x14ac:dyDescent="0.25">
      <c r="D45" s="112"/>
      <c r="E45" s="112"/>
    </row>
    <row r="46" spans="4:5" x14ac:dyDescent="0.25">
      <c r="D46" s="112"/>
      <c r="E46" s="112"/>
    </row>
    <row r="47" ht="14.4" customHeight="1" spans="4:5" x14ac:dyDescent="0.25">
      <c r="D47" s="112"/>
      <c r="E47" s="112"/>
    </row>
    <row r="48" ht="14.4" customHeight="1" spans="4:6" x14ac:dyDescent="0.25">
      <c r="D48" s="112"/>
      <c r="E48" s="112"/>
      <c r="F48" s="113"/>
    </row>
    <row r="49" ht="14.4" customHeight="1" spans="4:5" x14ac:dyDescent="0.25">
      <c r="D49" s="112"/>
      <c r="E49" s="112"/>
    </row>
    <row r="50" ht="14.4" customHeight="1" spans="4:5" x14ac:dyDescent="0.25">
      <c r="D50" s="112"/>
      <c r="E50" s="112"/>
    </row>
  </sheetData>
  <mergeCells count="30">
    <mergeCell ref="H6:I8"/>
    <mergeCell ref="C6:C8"/>
    <mergeCell ref="G6:G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ageMargins left="0.5" right="0.5" top="0.5" bottom="0.5" header="0.3" footer="0.3"/>
  <pageSetup orientation="landscape" horizontalDpi="4294967295" verticalDpi="4294967295" scale="74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2"/>
  <sheetViews>
    <sheetView workbookViewId="0" zoomScale="100" zoomScaleNormal="100">
      <selection activeCell="E20" sqref="E20"/>
    </sheetView>
  </sheetViews>
  <sheetFormatPr defaultRowHeight="12.6" outlineLevelRow="1" outlineLevelCol="1" x14ac:dyDescent="0.25" defaultColWidth="9.33203125" customHeight="1"/>
  <cols>
    <col min="1" max="1" width="1.44140625" style="112" customWidth="1"/>
    <col min="2" max="2" width="26" style="112" customWidth="1"/>
    <col min="3" max="3" width="41" style="112" customWidth="1"/>
    <col min="4" max="6" width="15.6640625" style="112" customWidth="1"/>
    <col min="7" max="7" width="7.6640625" style="112" customWidth="1"/>
    <col min="8" max="9" width="22.6640625" style="112" customWidth="1"/>
    <col min="10" max="10" width="0.88671875" style="112" customWidth="1"/>
    <col min="11" max="11" width="9.33203125" style="112" hidden="1" outlineLevel="1" collapsed="1" customWidth="1"/>
    <col min="12" max="12" width="10.6640625" style="112" customWidth="1"/>
    <col min="13" max="14" width="9.33203125" style="112" customWidth="1"/>
    <col min="15" max="15" width="12.33203125" style="112" customWidth="1"/>
    <col min="16" max="16384" width="9.33203125" style="112" customWidth="1"/>
  </cols>
  <sheetData>
    <row r="1" ht="15.6" customHeight="1" spans="2:5" x14ac:dyDescent="0.25">
      <c r="B1" s="287" t="str">
        <f>'Budget to Actual P1'!B2</f>
        <v>County Line Rail Silsbee LLC</v>
      </c>
      <c r="D1" s="112"/>
      <c r="E1" s="112"/>
    </row>
    <row r="2" ht="15.6" customHeight="1" spans="2:5" x14ac:dyDescent="0.25">
      <c r="B2" s="287" t="s">
        <v>202</v>
      </c>
      <c r="D2" s="112"/>
      <c r="E2" s="112"/>
    </row>
    <row r="3" ht="13.2" customHeight="1" spans="2:5" x14ac:dyDescent="0.25">
      <c r="B3" s="115">
        <f>'Budget to Actual P1'!B4</f>
        <v>46203</v>
      </c>
      <c r="D3" s="112"/>
      <c r="E3" s="112"/>
    </row>
    <row r="4" spans="4:5" x14ac:dyDescent="0.25">
      <c r="D4" s="112"/>
      <c r="E4" s="112"/>
    </row>
    <row r="5" spans="4:5" x14ac:dyDescent="0.25">
      <c r="D5" s="112"/>
      <c r="E5" s="112"/>
    </row>
    <row r="6" ht="13.8" customHeight="1" spans="2:9" x14ac:dyDescent="0.25">
      <c r="B6" s="116"/>
      <c r="C6" s="117" t="s">
        <v>176</v>
      </c>
      <c r="D6" s="118" t="s">
        <v>177</v>
      </c>
      <c r="E6" s="117" t="s">
        <v>177</v>
      </c>
      <c r="F6" s="119" t="s">
        <v>177</v>
      </c>
      <c r="G6" s="120" t="s">
        <v>178</v>
      </c>
      <c r="H6" s="121" t="s">
        <v>179</v>
      </c>
      <c r="I6" s="122"/>
    </row>
    <row r="7" ht="13.8" customHeight="1" spans="2:9" x14ac:dyDescent="0.25">
      <c r="B7" s="123"/>
      <c r="C7" s="123"/>
      <c r="D7" s="124" t="s">
        <v>180</v>
      </c>
      <c r="E7" s="123" t="s">
        <v>181</v>
      </c>
      <c r="F7" s="125" t="s">
        <v>182</v>
      </c>
      <c r="G7" s="126"/>
      <c r="H7" s="127"/>
      <c r="I7" s="128"/>
    </row>
    <row r="8" ht="13.8" customHeight="1" spans="2:10" x14ac:dyDescent="0.25">
      <c r="B8" s="129" t="s">
        <v>183</v>
      </c>
      <c r="C8" s="129"/>
      <c r="D8" s="130" t="s">
        <v>181</v>
      </c>
      <c r="E8" s="129" t="s">
        <v>184</v>
      </c>
      <c r="F8" s="131" t="s">
        <v>181</v>
      </c>
      <c r="G8" s="132"/>
      <c r="H8" s="133"/>
      <c r="I8" s="134"/>
      <c r="J8" s="135"/>
    </row>
    <row r="9" ht="13.8" customHeight="1" spans="2:9" x14ac:dyDescent="0.25">
      <c r="B9" s="136"/>
      <c r="C9" s="137"/>
      <c r="D9" s="138"/>
      <c r="E9" s="138"/>
      <c r="F9" s="138"/>
      <c r="G9" s="288"/>
      <c r="H9" s="289"/>
      <c r="I9" s="290"/>
    </row>
    <row r="10" ht="13.8" customHeight="1" spans="2:9" x14ac:dyDescent="0.25">
      <c r="B10" s="136"/>
      <c r="C10" s="137"/>
      <c r="D10" s="138"/>
      <c r="E10" s="138"/>
      <c r="F10" s="138"/>
      <c r="G10" s="288"/>
      <c r="H10" s="291"/>
      <c r="I10" s="292"/>
    </row>
    <row r="11" ht="13.8" customHeight="1" spans="2:9" x14ac:dyDescent="0.25">
      <c r="B11" s="136"/>
      <c r="C11" s="137"/>
      <c r="D11" s="138"/>
      <c r="E11" s="138"/>
      <c r="F11" s="138"/>
      <c r="G11" s="288"/>
      <c r="H11" s="291"/>
      <c r="I11" s="292"/>
    </row>
    <row r="12" ht="13.8" customHeight="1" spans="2:9" x14ac:dyDescent="0.25">
      <c r="B12" s="136"/>
      <c r="C12" s="137"/>
      <c r="D12" s="138"/>
      <c r="E12" s="138"/>
      <c r="F12" s="138"/>
      <c r="G12" s="288"/>
      <c r="H12" s="291"/>
      <c r="I12" s="292"/>
    </row>
    <row r="13" ht="14.4" customHeight="1" spans="2:11" x14ac:dyDescent="0.25">
      <c r="B13" s="136"/>
      <c r="C13" s="137"/>
      <c r="D13" s="138"/>
      <c r="E13" s="138"/>
      <c r="F13" s="138"/>
      <c r="G13" s="288"/>
      <c r="H13" s="291"/>
      <c r="I13" s="292"/>
      <c r="K13" s="94">
        <v>0</v>
      </c>
    </row>
    <row r="14" ht="13.8" customHeight="1" spans="2:9" x14ac:dyDescent="0.25">
      <c r="B14" s="136"/>
      <c r="C14" s="137"/>
      <c r="D14" s="138"/>
      <c r="E14" s="138"/>
      <c r="F14" s="138"/>
      <c r="G14" s="288"/>
      <c r="H14" s="291"/>
      <c r="I14" s="292"/>
    </row>
    <row r="15" ht="13.8" customHeight="1" spans="2:9" x14ac:dyDescent="0.25">
      <c r="B15" s="136"/>
      <c r="C15" s="137"/>
      <c r="D15" s="138"/>
      <c r="E15" s="138"/>
      <c r="F15" s="138"/>
      <c r="G15" s="293"/>
      <c r="H15" s="291"/>
      <c r="I15" s="292"/>
    </row>
    <row r="16" ht="13.8" customHeight="1" spans="2:9" x14ac:dyDescent="0.25">
      <c r="B16" s="136"/>
      <c r="C16" s="137"/>
      <c r="D16" s="138"/>
      <c r="E16" s="138"/>
      <c r="F16" s="138"/>
      <c r="G16" s="137"/>
      <c r="H16" s="291"/>
      <c r="I16" s="292"/>
    </row>
    <row r="17" ht="13.8" customHeight="1" spans="2:9" x14ac:dyDescent="0.25">
      <c r="B17" s="136"/>
      <c r="C17" s="137"/>
      <c r="D17" s="138"/>
      <c r="E17" s="138"/>
      <c r="F17" s="138"/>
      <c r="G17" s="137"/>
      <c r="H17" s="291"/>
      <c r="I17" s="292"/>
    </row>
    <row r="18" ht="13.8" customHeight="1" spans="2:9" x14ac:dyDescent="0.25">
      <c r="B18" s="136"/>
      <c r="C18" s="137"/>
      <c r="D18" s="138"/>
      <c r="E18" s="138"/>
      <c r="F18" s="138"/>
      <c r="G18" s="137"/>
      <c r="H18" s="291"/>
      <c r="I18" s="292"/>
    </row>
    <row r="19" ht="13.8" customHeight="1" spans="2:9" x14ac:dyDescent="0.25">
      <c r="B19" s="136" t="s">
        <v>54</v>
      </c>
      <c r="C19" s="137" t="s">
        <v>55</v>
      </c>
      <c r="D19" s="138">
        <v>16174</v>
      </c>
      <c r="E19" s="138"/>
      <c r="F19" s="138"/>
      <c r="G19" s="137">
        <v>10</v>
      </c>
      <c r="H19" s="291" t="s">
        <v>203</v>
      </c>
      <c r="I19" s="292"/>
    </row>
    <row r="20" ht="13.8" customHeight="1" spans="2:9" x14ac:dyDescent="0.25">
      <c r="B20" s="136" t="s">
        <v>62</v>
      </c>
      <c r="C20" s="137" t="s">
        <v>63</v>
      </c>
      <c r="D20" s="138">
        <v>15561.43</v>
      </c>
      <c r="E20" s="138"/>
      <c r="F20" s="138"/>
      <c r="G20" s="137">
        <v>8</v>
      </c>
      <c r="H20" s="291" t="s">
        <v>203</v>
      </c>
      <c r="I20" s="292"/>
    </row>
    <row r="21" ht="13.8" customHeight="1" spans="2:9" x14ac:dyDescent="0.25">
      <c r="B21" s="136" t="s">
        <v>50</v>
      </c>
      <c r="C21" s="137" t="s">
        <v>51</v>
      </c>
      <c r="D21" s="138">
        <v>48645.39</v>
      </c>
      <c r="E21" s="138"/>
      <c r="F21" s="138"/>
      <c r="G21" s="137">
        <v>7</v>
      </c>
      <c r="H21" s="291" t="s">
        <v>203</v>
      </c>
      <c r="I21" s="292"/>
    </row>
    <row r="22" ht="13.8" customHeight="1" spans="2:9" x14ac:dyDescent="0.25">
      <c r="B22" s="136" t="s">
        <v>56</v>
      </c>
      <c r="C22" s="137" t="s">
        <v>57</v>
      </c>
      <c r="D22" s="138">
        <v>300</v>
      </c>
      <c r="E22" s="138"/>
      <c r="F22" s="138"/>
      <c r="G22" s="137">
        <v>6</v>
      </c>
      <c r="H22" s="291" t="s">
        <v>203</v>
      </c>
      <c r="I22" s="292"/>
    </row>
    <row r="23" ht="13.8" customHeight="1" spans="2:9" x14ac:dyDescent="0.25">
      <c r="B23" s="136" t="s">
        <v>62</v>
      </c>
      <c r="C23" s="137" t="s">
        <v>63</v>
      </c>
      <c r="D23" s="138">
        <v>12605.92</v>
      </c>
      <c r="E23" s="138"/>
      <c r="F23" s="138"/>
      <c r="G23" s="137">
        <v>6</v>
      </c>
      <c r="H23" s="291" t="s">
        <v>203</v>
      </c>
      <c r="I23" s="292"/>
    </row>
    <row r="24" ht="13.8" customHeight="1" spans="2:9" x14ac:dyDescent="0.25">
      <c r="B24" s="136" t="s">
        <v>62</v>
      </c>
      <c r="C24" s="137" t="s">
        <v>63</v>
      </c>
      <c r="D24" s="138">
        <v>19200.94</v>
      </c>
      <c r="E24" s="138"/>
      <c r="F24" s="138"/>
      <c r="G24" s="137">
        <v>5</v>
      </c>
      <c r="H24" s="291" t="s">
        <v>203</v>
      </c>
      <c r="I24" s="292"/>
    </row>
    <row r="25" ht="13.8" customHeight="1" spans="2:9" x14ac:dyDescent="0.25">
      <c r="B25" s="136" t="s">
        <v>62</v>
      </c>
      <c r="C25" s="137" t="s">
        <v>63</v>
      </c>
      <c r="D25" s="294">
        <v>109167.61</v>
      </c>
      <c r="E25" s="138"/>
      <c r="F25" s="294"/>
      <c r="G25" s="152">
        <v>4</v>
      </c>
      <c r="H25" s="291" t="s">
        <v>203</v>
      </c>
      <c r="I25" s="292"/>
    </row>
    <row r="26" ht="15" customHeight="1" spans="2:11" x14ac:dyDescent="0.25">
      <c r="B26" s="143"/>
      <c r="C26" s="144" t="s">
        <v>149</v>
      </c>
      <c r="D26" s="145">
        <f>SUBTOTAL(9,D$9:D$25)</f>
        <v>205481.29</v>
      </c>
      <c r="E26" s="145">
        <f>SUBTOTAL(9,E$9:E$25)</f>
        <v>16174</v>
      </c>
      <c r="F26" s="146">
        <f>D26+E26</f>
        <v>221655.29</v>
      </c>
      <c r="G26" s="147"/>
      <c r="H26" s="148"/>
      <c r="I26" s="149"/>
      <c r="K26" s="150"/>
    </row>
    <row r="27" ht="13.8" customHeight="1" spans="2:9" x14ac:dyDescent="0.25">
      <c r="B27" s="151"/>
      <c r="C27" s="152"/>
      <c r="D27" s="153"/>
      <c r="E27" s="153"/>
      <c r="F27" s="154"/>
      <c r="G27" s="152"/>
      <c r="H27" s="155"/>
      <c r="I27" s="156"/>
    </row>
    <row r="28" ht="14.4" customHeight="1" spans="2:9" x14ac:dyDescent="0.25">
      <c r="B28" s="157"/>
      <c r="C28" s="158"/>
      <c r="D28" s="159"/>
      <c r="E28" s="159"/>
      <c r="F28" s="154"/>
      <c r="G28" s="160"/>
      <c r="H28" s="161"/>
      <c r="I28" s="162"/>
    </row>
    <row r="29" ht="13.8" customHeight="1" spans="2:9" x14ac:dyDescent="0.25">
      <c r="B29" s="163" t="s">
        <v>190</v>
      </c>
      <c r="C29" s="164"/>
      <c r="D29" s="165">
        <f>SUM(D26:D28)</f>
        <v>205481.29</v>
      </c>
      <c r="E29" s="165">
        <f>SUM(E26:E28)</f>
        <v>16174</v>
      </c>
      <c r="F29" s="165">
        <f>SUM(F26:F28)</f>
        <v>221655.29</v>
      </c>
      <c r="G29" s="295"/>
      <c r="H29" s="167"/>
      <c r="I29" s="168"/>
    </row>
    <row r="30" ht="14.4" customHeight="1" spans="2:9" x14ac:dyDescent="0.25">
      <c r="B30" s="169"/>
      <c r="C30" s="170"/>
      <c r="D30" s="171"/>
      <c r="E30" s="171"/>
      <c r="F30" s="171"/>
      <c r="G30" s="296"/>
      <c r="H30" s="173"/>
      <c r="I30" s="174"/>
    </row>
    <row r="31" ht="14.4" customHeight="1" spans="2:9" x14ac:dyDescent="0.25">
      <c r="B31" s="175" t="s">
        <v>191</v>
      </c>
      <c r="C31" s="176"/>
      <c r="D31" s="177">
        <f>'Budget to Actual P1'!D26</f>
        <v>346282.8</v>
      </c>
      <c r="E31" s="178"/>
      <c r="F31" s="178"/>
      <c r="G31" s="297"/>
      <c r="H31" s="173"/>
      <c r="I31" s="174"/>
    </row>
    <row r="32" ht="12.75" customHeight="1" spans="2:12" x14ac:dyDescent="0.25">
      <c r="B32" s="180"/>
      <c r="C32" s="181"/>
      <c r="D32" s="182"/>
      <c r="E32" s="178"/>
      <c r="F32" s="178"/>
      <c r="G32" s="297"/>
      <c r="H32" s="173"/>
      <c r="I32" s="174"/>
      <c r="L32" s="183"/>
    </row>
    <row r="33" ht="15" customHeight="1" spans="2:9" x14ac:dyDescent="0.25">
      <c r="B33" s="180" t="s">
        <v>192</v>
      </c>
      <c r="D33" s="182">
        <f>+D29</f>
        <v>205481.29</v>
      </c>
      <c r="E33" s="178"/>
      <c r="F33" s="178"/>
      <c r="G33" s="297"/>
      <c r="H33" s="173"/>
      <c r="I33" s="174"/>
    </row>
    <row r="34" ht="12.75" customHeight="1" spans="2:9" x14ac:dyDescent="0.25">
      <c r="B34" s="180" t="s">
        <v>193</v>
      </c>
      <c r="D34" s="184">
        <f>+E29</f>
        <v>16174</v>
      </c>
      <c r="E34" s="178"/>
      <c r="F34" s="178"/>
      <c r="G34" s="297"/>
      <c r="H34" s="173"/>
      <c r="I34" s="174"/>
    </row>
    <row r="35" ht="12.75" customHeight="1" spans="2:9" x14ac:dyDescent="0.25">
      <c r="B35" s="180" t="s">
        <v>194</v>
      </c>
      <c r="D35" s="182">
        <f>+SUM(D33:D34)</f>
        <v>221655.29</v>
      </c>
      <c r="E35" s="178"/>
      <c r="F35" s="178"/>
      <c r="G35" s="297"/>
      <c r="H35" s="173"/>
      <c r="I35" s="174"/>
    </row>
    <row r="36" ht="15" customHeight="1" spans="2:9" x14ac:dyDescent="0.25">
      <c r="B36" s="180"/>
      <c r="D36" s="182"/>
      <c r="E36" s="178"/>
      <c r="F36" s="178"/>
      <c r="G36" s="297"/>
      <c r="H36" s="173"/>
      <c r="I36" s="174"/>
    </row>
    <row r="37" ht="14.4" customHeight="1" spans="2:9" x14ac:dyDescent="0.25">
      <c r="B37" s="175" t="s">
        <v>195</v>
      </c>
      <c r="C37" s="185"/>
      <c r="D37" s="177">
        <f>+$D$31-$D$35</f>
        <v>124627.50999999998</v>
      </c>
      <c r="E37" s="178"/>
      <c r="F37" s="178"/>
      <c r="G37" s="297"/>
      <c r="H37" s="173"/>
      <c r="I37" s="174"/>
    </row>
    <row r="38" ht="15" customHeight="1" spans="2:9" x14ac:dyDescent="0.25">
      <c r="B38" s="186"/>
      <c r="C38" s="187"/>
      <c r="D38" s="188"/>
      <c r="E38" s="189"/>
      <c r="F38" s="190"/>
      <c r="G38" s="298"/>
      <c r="H38" s="192"/>
      <c r="I38" s="193"/>
    </row>
    <row r="39" spans="4:5" x14ac:dyDescent="0.25">
      <c r="D39" s="112"/>
      <c r="E39" s="112"/>
    </row>
    <row r="40" spans="4:8" x14ac:dyDescent="0.25">
      <c r="D40" s="112"/>
      <c r="E40" s="112"/>
      <c r="F40" s="183"/>
      <c r="H40" s="194"/>
    </row>
    <row r="41" ht="13.8" customHeight="1" hidden="1" spans="4:5" x14ac:dyDescent="0.25" outlineLevel="1" collapsed="1">
      <c r="D41" s="299" t="b">
        <f>ROUND(D37,2)=ROUND('Budget to Actual P1'!L26,2)</f>
        <v>1</v>
      </c>
      <c r="E41" s="300" t="s">
        <v>204</v>
      </c>
    </row>
    <row r="42" spans="4:5" x14ac:dyDescent="0.25">
      <c r="D42" s="197"/>
      <c r="E42" s="112"/>
    </row>
  </sheetData>
  <mergeCells count="33">
    <mergeCell ref="H6:I8"/>
    <mergeCell ref="C6:C8"/>
    <mergeCell ref="G6:G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</mergeCells>
  <conditionalFormatting sqref="K13">
    <cfRule type="cellIs" dxfId="4" priority="1" operator="equal">
      <formula>0</formula>
    </cfRule>
    <cfRule type="cellIs" dxfId="5" priority="2" operator="lessThan">
      <formula>0</formula>
    </cfRule>
    <cfRule type="cellIs" dxfId="6" priority="3" operator="greaterThan">
      <formula>0</formula>
    </cfRule>
  </conditionalFormatting>
  <pageMargins left="0.5" right="0.5" top="0.5" bottom="0.5" header="0.3" footer="0.3"/>
  <pageSetup orientation="landscape" horizontalDpi="4294967295" verticalDpi="4294967295" scale="75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"/>
  </sheetPr>
  <dimension ref="A1:A1"/>
  <sheetViews>
    <sheetView workbookViewId="0" zoomScale="100" zoomScaleNormal="100">
      <selection activeCell="F31" sqref="F31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Views>
    <sheetView workbookViewId="0" showGridLines="0" zoomScale="80" zoomScaleNormal="80">
      <pane ySplit="8" topLeftCell="A9" activePane="bottomLeft" state="frozen"/>
      <selection pane="bottomLeft" activeCell="F31" sqref="F31"/>
    </sheetView>
  </sheetViews>
  <sheetFormatPr defaultRowHeight="14.4" outlineLevelRow="1" outlineLevelCol="0" x14ac:dyDescent="0.3" defaultColWidth="8.88671875" customHeight="1"/>
  <cols>
    <col min="1" max="1" width="2.88671875" style="370" customWidth="1"/>
    <col min="2" max="2" width="9.6640625" style="371" customWidth="1"/>
    <col min="3" max="3" width="44.88671875" style="370" customWidth="1"/>
    <col min="4" max="9" width="25.109375" style="370" customWidth="1"/>
    <col min="10" max="10" width="26" style="370" customWidth="1"/>
    <col min="11" max="12" width="25.109375" style="370" customWidth="1"/>
    <col min="13" max="15" width="8.88671875" style="370" customWidth="1"/>
    <col min="16" max="16" width="9.88671875" style="370" customWidth="1"/>
    <col min="17" max="20" width="8.88671875" style="370" customWidth="1"/>
    <col min="21" max="21" width="9.5546875" style="370" customWidth="1"/>
    <col min="22" max="16384" width="8.88671875" style="370" customWidth="1"/>
  </cols>
  <sheetData>
    <row r="1" ht="18" customHeight="1" spans="1:12" x14ac:dyDescent="0.25" outlineLevel="1" collapsed="1">
      <c r="A1" s="372"/>
      <c r="B1" s="373"/>
      <c r="C1" s="372"/>
      <c r="D1" s="374"/>
      <c r="E1" s="374"/>
      <c r="F1" s="20"/>
      <c r="G1" s="374"/>
      <c r="H1" s="20"/>
      <c r="I1" s="20"/>
      <c r="J1" s="20"/>
      <c r="K1" s="20"/>
      <c r="L1" s="20"/>
    </row>
    <row r="2" ht="18" customHeight="1" spans="1:12" x14ac:dyDescent="0.25" outlineLevel="1" collapsed="1">
      <c r="A2" s="372"/>
      <c r="B2" s="373"/>
      <c r="C2" s="375" t="s">
        <v>438</v>
      </c>
      <c r="D2" s="372"/>
      <c r="E2" s="376"/>
      <c r="F2" s="20"/>
      <c r="G2" s="374"/>
      <c r="H2" s="376"/>
      <c r="I2" s="20"/>
      <c r="J2" s="20"/>
      <c r="K2" s="20"/>
      <c r="L2" s="20"/>
    </row>
    <row r="3" ht="18" customHeight="1" spans="1:12" x14ac:dyDescent="0.25" outlineLevel="1" collapsed="1">
      <c r="A3" s="372"/>
      <c r="B3" s="373"/>
      <c r="C3" s="375" t="s">
        <v>22</v>
      </c>
      <c r="D3" s="372"/>
      <c r="E3" s="376"/>
      <c r="F3" s="20"/>
      <c r="G3" s="374"/>
      <c r="H3" s="376"/>
      <c r="I3" s="20"/>
      <c r="J3" s="20"/>
      <c r="K3" s="20"/>
      <c r="L3" s="20"/>
    </row>
    <row r="4" ht="18" customHeight="1" spans="1:12" x14ac:dyDescent="0.25" outlineLevel="1" collapsed="1">
      <c r="A4" s="372"/>
      <c r="B4" s="373"/>
      <c r="C4" s="375" t="s">
        <v>439</v>
      </c>
      <c r="D4" s="372"/>
      <c r="E4" s="374"/>
      <c r="F4" s="20"/>
      <c r="G4" s="374"/>
      <c r="H4" s="20"/>
      <c r="I4" s="20"/>
      <c r="J4" s="20"/>
      <c r="K4" s="20"/>
      <c r="L4" s="20"/>
    </row>
    <row r="5" ht="18" customHeight="1" spans="1:12" x14ac:dyDescent="0.25" outlineLevel="1" collapsed="1">
      <c r="A5" s="372"/>
      <c r="B5" s="373"/>
      <c r="C5" s="375" t="s">
        <v>440</v>
      </c>
      <c r="D5" s="372"/>
      <c r="E5" s="374"/>
      <c r="F5" s="20"/>
      <c r="G5" s="374"/>
      <c r="H5" s="20"/>
      <c r="I5" s="20"/>
      <c r="J5" s="20"/>
      <c r="K5" s="20"/>
      <c r="L5" s="20"/>
    </row>
    <row r="6" ht="18" customHeight="1" spans="1:12" x14ac:dyDescent="0.25" outlineLevel="1" collapsed="1">
      <c r="A6" s="372"/>
      <c r="B6" s="373"/>
      <c r="C6" s="372"/>
      <c r="D6" s="374"/>
      <c r="E6" s="374"/>
      <c r="F6" s="20"/>
      <c r="G6" s="374"/>
      <c r="H6" s="20"/>
      <c r="I6" s="20"/>
      <c r="J6" s="20"/>
      <c r="K6" s="20"/>
      <c r="L6" s="20"/>
    </row>
    <row r="7" ht="18" customHeight="1" spans="1:12" x14ac:dyDescent="0.25">
      <c r="A7" s="372"/>
      <c r="B7" s="377"/>
      <c r="C7" s="378" t="s">
        <v>441</v>
      </c>
      <c r="D7" s="379" t="s">
        <v>25</v>
      </c>
      <c r="E7" s="380" t="s">
        <v>26</v>
      </c>
      <c r="F7" s="380" t="s">
        <v>27</v>
      </c>
      <c r="G7" s="380" t="s">
        <v>25</v>
      </c>
      <c r="H7" s="380" t="s">
        <v>28</v>
      </c>
      <c r="I7" s="380" t="s">
        <v>29</v>
      </c>
      <c r="J7" s="380" t="s">
        <v>30</v>
      </c>
      <c r="K7" s="381"/>
      <c r="L7" s="382" t="s">
        <v>31</v>
      </c>
    </row>
    <row r="8" ht="18" customHeight="1" spans="1:12" x14ac:dyDescent="0.25">
      <c r="A8" s="372"/>
      <c r="B8" s="383" t="s">
        <v>32</v>
      </c>
      <c r="C8" s="384" t="s">
        <v>33</v>
      </c>
      <c r="D8" s="384" t="s">
        <v>5</v>
      </c>
      <c r="E8" s="385" t="s">
        <v>34</v>
      </c>
      <c r="F8" s="385" t="s">
        <v>34</v>
      </c>
      <c r="G8" s="385" t="s">
        <v>35</v>
      </c>
      <c r="H8" s="385" t="s">
        <v>442</v>
      </c>
      <c r="I8" s="386">
        <v>46022</v>
      </c>
      <c r="J8" s="385" t="s">
        <v>443</v>
      </c>
      <c r="K8" s="385" t="s">
        <v>39</v>
      </c>
      <c r="L8" s="387" t="s">
        <v>444</v>
      </c>
    </row>
    <row r="9" ht="7.95" customHeight="1" spans="1:12" x14ac:dyDescent="0.25">
      <c r="A9" s="372"/>
      <c r="B9" s="388"/>
      <c r="C9" s="389"/>
      <c r="D9" s="390"/>
      <c r="E9" s="390"/>
      <c r="F9" s="390"/>
      <c r="G9" s="390"/>
      <c r="H9" s="390"/>
      <c r="I9" s="391"/>
      <c r="J9" s="390"/>
      <c r="K9" s="391"/>
      <c r="L9" s="392"/>
    </row>
    <row r="10" ht="18" customHeight="1" spans="1:12" x14ac:dyDescent="0.25">
      <c r="A10" s="372"/>
      <c r="B10" s="393">
        <v>40120</v>
      </c>
      <c r="C10" s="389" t="s">
        <v>445</v>
      </c>
      <c r="D10" s="394">
        <v>303525</v>
      </c>
      <c r="E10" s="394">
        <v>0</v>
      </c>
      <c r="F10" s="394">
        <v>0</v>
      </c>
      <c r="G10" s="394">
        <f>ROUND(D10+E10+F10,2)</f>
        <v>303525</v>
      </c>
      <c r="H10" s="394">
        <f>ROUND(SUMIF('Prior Revenue Log (OP)'!B:B,'Budget to Actual (OP)'!C10,'Prior Revenue Log (OP)'!G:G),2)</f>
        <v>66483</v>
      </c>
      <c r="I10" s="395">
        <f>ROUND(SUMIF('Current Revenue Log (OP)'!B:B,'Budget to Actual (OP)'!C10,'Current Revenue Log (OP)'!G:G),2)</f>
        <v>0</v>
      </c>
      <c r="J10" s="394">
        <f>ROUND(SUM(H10:I10),2)</f>
        <v>66483</v>
      </c>
      <c r="K10" s="396">
        <f>IFERROR(J10/G10,0)</f>
        <v>0.21903632320237212</v>
      </c>
      <c r="L10" s="397">
        <f>ROUND(+G10-J10,2)</f>
        <v>237042</v>
      </c>
    </row>
    <row r="11" ht="18" customHeight="1" spans="1:12" x14ac:dyDescent="0.25">
      <c r="A11" s="372"/>
      <c r="B11" s="393">
        <v>40130</v>
      </c>
      <c r="C11" s="389" t="s">
        <v>446</v>
      </c>
      <c r="D11" s="394">
        <v>681507.2</v>
      </c>
      <c r="E11" s="394">
        <v>0</v>
      </c>
      <c r="F11" s="394">
        <v>0</v>
      </c>
      <c r="G11" s="394">
        <f t="shared" ref="G11:G15" si="0">ROUND(D11+E11+F11,2)</f>
        <v>681507.2</v>
      </c>
      <c r="H11" s="394">
        <f>ROUND(SUMIF('Prior Revenue Log (OP)'!B:B,'Budget to Actual (OP)'!C11,'Prior Revenue Log (OP)'!G:G),2)</f>
        <v>588015</v>
      </c>
      <c r="I11" s="395">
        <f>ROUND(SUMIF('Current Revenue Log (OP)'!B:B,'Budget to Actual (OP)'!C11,'Current Revenue Log (OP)'!G:G),2)</f>
        <v>0</v>
      </c>
      <c r="J11" s="394">
        <f t="shared" ref="J11:J15" si="1">ROUND(SUM(H11:I11),2)</f>
        <v>588015</v>
      </c>
      <c r="K11" s="396">
        <f t="shared" ref="K11:K15" si="2">IFERROR(J11/G11,0)</f>
        <v>0.8628155359180358</v>
      </c>
      <c r="L11" s="397">
        <f t="shared" ref="L11:L15" si="3">ROUND(+G11-J11,2)</f>
        <v>93492.2</v>
      </c>
    </row>
    <row r="12" ht="18" customHeight="1" hidden="1" spans="1:12" x14ac:dyDescent="0.25">
      <c r="A12" s="372"/>
      <c r="B12" s="393">
        <v>40140</v>
      </c>
      <c r="C12" s="389" t="s">
        <v>447</v>
      </c>
      <c r="D12" s="394">
        <v>0</v>
      </c>
      <c r="E12" s="394">
        <v>0</v>
      </c>
      <c r="F12" s="394">
        <v>0</v>
      </c>
      <c r="G12" s="394">
        <f t="shared" si="0"/>
        <v>0</v>
      </c>
      <c r="H12" s="394">
        <f>ROUND(SUMIF('Prior Revenue Log (OP)'!B:B,'Budget to Actual (OP)'!C12,'Prior Revenue Log (OP)'!G:G),2)</f>
        <v>0</v>
      </c>
      <c r="I12" s="395">
        <f>ROUND(SUMIF('Current Revenue Log (OP)'!B:B,'Budget to Actual (OP)'!C12,'Current Revenue Log (OP)'!G:G),2)</f>
        <v>0</v>
      </c>
      <c r="J12" s="394">
        <f t="shared" si="1"/>
        <v>0</v>
      </c>
      <c r="K12" s="396">
        <f t="shared" si="2"/>
        <v>0</v>
      </c>
      <c r="L12" s="397">
        <f t="shared" si="3"/>
        <v>0</v>
      </c>
    </row>
    <row r="13" ht="18" customHeight="1" hidden="1" spans="1:12" x14ac:dyDescent="0.25">
      <c r="A13" s="372"/>
      <c r="B13" s="393">
        <v>40160</v>
      </c>
      <c r="C13" s="389" t="s">
        <v>448</v>
      </c>
      <c r="D13" s="394">
        <v>0</v>
      </c>
      <c r="E13" s="394">
        <v>0</v>
      </c>
      <c r="F13" s="394">
        <v>0</v>
      </c>
      <c r="G13" s="394">
        <f t="shared" si="0"/>
        <v>0</v>
      </c>
      <c r="H13" s="394">
        <f>ROUND(SUMIF('Prior Revenue Log (OP)'!B:B,'Budget to Actual (OP)'!C13,'Prior Revenue Log (OP)'!G:G),2)</f>
        <v>0</v>
      </c>
      <c r="I13" s="395">
        <f>ROUND(SUMIF('Current Revenue Log (OP)'!B:B,'Budget to Actual (OP)'!C13,'Current Revenue Log (OP)'!G:G),2)</f>
        <v>0</v>
      </c>
      <c r="J13" s="394">
        <f t="shared" si="1"/>
        <v>0</v>
      </c>
      <c r="K13" s="396">
        <f t="shared" si="2"/>
        <v>0</v>
      </c>
      <c r="L13" s="397">
        <f t="shared" si="3"/>
        <v>0</v>
      </c>
    </row>
    <row r="14" ht="18" customHeight="1" hidden="1" spans="1:12" x14ac:dyDescent="0.25">
      <c r="A14" s="372"/>
      <c r="B14" s="393">
        <v>40400</v>
      </c>
      <c r="C14" s="389" t="s">
        <v>449</v>
      </c>
      <c r="D14" s="394">
        <v>0</v>
      </c>
      <c r="E14" s="394">
        <v>0</v>
      </c>
      <c r="F14" s="394">
        <v>0</v>
      </c>
      <c r="G14" s="394">
        <f t="shared" si="0"/>
        <v>0</v>
      </c>
      <c r="H14" s="394">
        <f>ROUND(SUMIF('Prior Revenue Log (OP)'!B:B,'Budget to Actual (OP)'!C14,'Prior Revenue Log (OP)'!G:G),2)</f>
        <v>0</v>
      </c>
      <c r="I14" s="395">
        <f>ROUND(SUMIF('Current Revenue Log (OP)'!B:B,'Budget to Actual (OP)'!C14,'Current Revenue Log (OP)'!G:G),2)</f>
        <v>0</v>
      </c>
      <c r="J14" s="394">
        <f t="shared" si="1"/>
        <v>0</v>
      </c>
      <c r="K14" s="396">
        <f t="shared" si="2"/>
        <v>0</v>
      </c>
      <c r="L14" s="397">
        <f t="shared" si="3"/>
        <v>0</v>
      </c>
    </row>
    <row r="15" ht="18" customHeight="1" hidden="1" spans="1:12" x14ac:dyDescent="0.25">
      <c r="A15" s="372"/>
      <c r="B15" s="393">
        <v>40451</v>
      </c>
      <c r="C15" s="389" t="s">
        <v>450</v>
      </c>
      <c r="D15" s="394">
        <v>0</v>
      </c>
      <c r="E15" s="394">
        <v>0</v>
      </c>
      <c r="F15" s="394">
        <v>0</v>
      </c>
      <c r="G15" s="394">
        <f t="shared" si="0"/>
        <v>0</v>
      </c>
      <c r="H15" s="394">
        <f>ROUND(SUMIF('Prior Revenue Log (OP)'!B:B,'Budget to Actual (OP)'!C15,'Prior Revenue Log (OP)'!G:G),2)</f>
        <v>0</v>
      </c>
      <c r="I15" s="395">
        <f>ROUND(SUMIF('Current Revenue Log (OP)'!B:B,'Budget to Actual (OP)'!C15,'Current Revenue Log (OP)'!G:G),2)</f>
        <v>0</v>
      </c>
      <c r="J15" s="394">
        <f t="shared" si="1"/>
        <v>0</v>
      </c>
      <c r="K15" s="396">
        <f t="shared" si="2"/>
        <v>0</v>
      </c>
      <c r="L15" s="397">
        <f t="shared" si="3"/>
        <v>0</v>
      </c>
    </row>
    <row r="16" ht="5.25" customHeight="1" spans="1:12" x14ac:dyDescent="0.25">
      <c r="A16" s="372"/>
      <c r="B16" s="393"/>
      <c r="C16" s="389"/>
      <c r="D16" s="394"/>
      <c r="E16" s="394"/>
      <c r="F16" s="394"/>
      <c r="G16" s="394"/>
      <c r="H16" s="394"/>
      <c r="I16" s="395"/>
      <c r="J16" s="394"/>
      <c r="K16" s="396"/>
      <c r="L16" s="397"/>
    </row>
    <row r="17" ht="18" customHeight="1" spans="1:12" x14ac:dyDescent="0.25">
      <c r="A17" s="372"/>
      <c r="B17" s="398"/>
      <c r="C17" s="399" t="s">
        <v>451</v>
      </c>
      <c r="D17" s="400">
        <f>ROUND(SUBTOTAL(9,D10:D16),2)</f>
        <v>985032.2</v>
      </c>
      <c r="E17" s="400">
        <f t="shared" ref="E17:L17" si="4">ROUND(SUBTOTAL(9,E10:E16),2)</f>
        <v>0</v>
      </c>
      <c r="F17" s="400">
        <f t="shared" si="4"/>
        <v>0</v>
      </c>
      <c r="G17" s="400">
        <f t="shared" si="4"/>
        <v>985032.2</v>
      </c>
      <c r="H17" s="400">
        <f t="shared" si="4"/>
        <v>654498</v>
      </c>
      <c r="I17" s="400">
        <f t="shared" si="4"/>
        <v>0</v>
      </c>
      <c r="J17" s="400">
        <f t="shared" si="4"/>
        <v>654498</v>
      </c>
      <c r="K17" s="401">
        <f t="shared" si="4"/>
        <v>1.08</v>
      </c>
      <c r="L17" s="402">
        <f t="shared" si="4"/>
        <v>330534.2</v>
      </c>
    </row>
    <row r="18" ht="18" customHeight="1" spans="1:12" x14ac:dyDescent="0.25">
      <c r="A18" s="372"/>
      <c r="B18" s="393">
        <v>40110</v>
      </c>
      <c r="C18" s="403" t="s">
        <v>452</v>
      </c>
      <c r="D18" s="394">
        <v>138000</v>
      </c>
      <c r="E18" s="394">
        <v>0</v>
      </c>
      <c r="F18" s="394">
        <v>0</v>
      </c>
      <c r="G18" s="394">
        <f>ROUND(D18+E18+F18,2)</f>
        <v>138000</v>
      </c>
      <c r="H18" s="394">
        <f>ROUND(SUMIF('Prior Revenue Log (OP)'!B:B,'Budget to Actual (OP)'!C18,'Prior Revenue Log (OP)'!G:G),2)</f>
        <v>130360</v>
      </c>
      <c r="I18" s="395">
        <f>ROUND(SUMIF('Current Revenue Log (OP)'!B:B,'Budget to Actual (OP)'!C18,'Current Revenue Log (OP)'!G:G),2)</f>
        <v>0</v>
      </c>
      <c r="J18" s="394">
        <f t="shared" ref="J18:J22" si="5">ROUND(SUM(H18:I18),2)</f>
        <v>130360</v>
      </c>
      <c r="K18" s="396">
        <f>IFERROR(J18/G18,0)</f>
        <v>0.9446376811594203</v>
      </c>
      <c r="L18" s="397">
        <f t="shared" ref="L18:L22" si="6">ROUND(+G18-J18,2)</f>
        <v>7640</v>
      </c>
    </row>
    <row r="19" ht="18" customHeight="1" spans="1:12" x14ac:dyDescent="0.25">
      <c r="A19" s="372"/>
      <c r="B19" s="393">
        <v>40140</v>
      </c>
      <c r="C19" s="389" t="s">
        <v>453</v>
      </c>
      <c r="D19" s="394">
        <v>0</v>
      </c>
      <c r="E19" s="394">
        <v>0</v>
      </c>
      <c r="F19" s="394">
        <v>0</v>
      </c>
      <c r="G19" s="394">
        <f t="shared" ref="G19" si="7">ROUND(D19+E19+F19,2)</f>
        <v>0</v>
      </c>
      <c r="H19" s="394">
        <f>ROUND(SUMIF('Prior Revenue Log (OP)'!B:B,'Budget to Actual (OP)'!C19,'Prior Revenue Log (OP)'!G:G),2)</f>
        <v>0</v>
      </c>
      <c r="I19" s="395">
        <f>ROUND(SUMIF('Current Revenue Log (OP)'!B:B,'Budget to Actual (OP)'!C19,'Current Revenue Log (OP)'!G:G),2)</f>
        <v>0</v>
      </c>
      <c r="J19" s="394">
        <f t="shared" ref="J19" si="8">ROUND(SUM(H19:I19),2)</f>
        <v>0</v>
      </c>
      <c r="K19" s="396">
        <f t="shared" ref="K19" si="9">IFERROR(J19/G19,0)</f>
        <v>0</v>
      </c>
      <c r="L19" s="397">
        <f t="shared" ref="L19" si="10">ROUND(+G19-J19,2)</f>
        <v>0</v>
      </c>
    </row>
    <row r="20" ht="18" customHeight="1" spans="1:12" x14ac:dyDescent="0.25">
      <c r="A20" s="372"/>
      <c r="B20" s="393">
        <v>40150</v>
      </c>
      <c r="C20" s="389" t="s">
        <v>454</v>
      </c>
      <c r="D20" s="394">
        <v>700000</v>
      </c>
      <c r="E20" s="394">
        <v>0</v>
      </c>
      <c r="F20" s="394">
        <v>0</v>
      </c>
      <c r="G20" s="394">
        <f>ROUND(D20+E20+F20,2)</f>
        <v>700000</v>
      </c>
      <c r="H20" s="394">
        <f>ROUND(SUMIF('Prior Revenue Log (OP)'!B:B,'Budget to Actual (OP)'!C20,'Prior Revenue Log (OP)'!G:G),2)</f>
        <v>200000</v>
      </c>
      <c r="I20" s="395">
        <f>ROUND(SUMIF('Current Revenue Log (OP)'!B:B,'Budget to Actual (OP)'!C20,'Current Revenue Log (OP)'!G:G),2)</f>
        <v>0</v>
      </c>
      <c r="J20" s="394">
        <f t="shared" si="5"/>
        <v>200000</v>
      </c>
      <c r="K20" s="396">
        <f t="shared" ref="K20:K22" si="11">IFERROR(J20/G20,0)</f>
        <v>0.2857142857142857</v>
      </c>
      <c r="L20" s="397">
        <f t="shared" si="6"/>
        <v>500000</v>
      </c>
    </row>
    <row r="21" ht="18" customHeight="1" spans="1:12" x14ac:dyDescent="0.25">
      <c r="A21" s="372"/>
      <c r="B21" s="393">
        <v>40160</v>
      </c>
      <c r="C21" s="389" t="s">
        <v>447</v>
      </c>
      <c r="D21" s="394">
        <v>0</v>
      </c>
      <c r="E21" s="394">
        <v>0</v>
      </c>
      <c r="F21" s="394">
        <v>0</v>
      </c>
      <c r="G21" s="394">
        <f>ROUND(D21+E21+F21,2)</f>
        <v>0</v>
      </c>
      <c r="H21" s="394">
        <f>ROUND(SUMIF('Prior Revenue Log (OP)'!B:B,'Budget to Actual (OP)'!C21,'Prior Revenue Log (OP)'!G:G),2)</f>
        <v>0</v>
      </c>
      <c r="I21" s="395">
        <f>ROUND(SUMIF('Current Revenue Log (OP)'!B:B,'Budget to Actual (OP)'!C21,'Current Revenue Log (OP)'!G:G),2)</f>
        <v>0</v>
      </c>
      <c r="J21" s="394">
        <f t="shared" si="5"/>
        <v>0</v>
      </c>
      <c r="K21" s="396">
        <f t="shared" si="11"/>
        <v>0</v>
      </c>
      <c r="L21" s="397">
        <f t="shared" si="6"/>
        <v>0</v>
      </c>
    </row>
    <row r="22" ht="18" customHeight="1" hidden="1" spans="1:12" x14ac:dyDescent="0.25">
      <c r="A22" s="372"/>
      <c r="B22" s="393">
        <v>41114</v>
      </c>
      <c r="C22" s="389" t="s">
        <v>455</v>
      </c>
      <c r="D22" s="394">
        <v>0</v>
      </c>
      <c r="E22" s="394">
        <v>0</v>
      </c>
      <c r="F22" s="394">
        <v>0</v>
      </c>
      <c r="G22" s="394">
        <f>ROUND(D22+E22+F22,2)</f>
        <v>0</v>
      </c>
      <c r="H22" s="394">
        <f>ROUND(SUMIF('Prior Revenue Log (OP)'!B:B,'Budget to Actual (OP)'!C22,'Prior Revenue Log (OP)'!G:G),2)</f>
        <v>0</v>
      </c>
      <c r="I22" s="395">
        <f>ROUND(SUMIF('Current Revenue Log (OP)'!B:B,'Budget to Actual (OP)'!C22,'Current Revenue Log (OP)'!G:G),2)</f>
        <v>0</v>
      </c>
      <c r="J22" s="394">
        <f t="shared" si="5"/>
        <v>0</v>
      </c>
      <c r="K22" s="396">
        <f t="shared" si="11"/>
        <v>0</v>
      </c>
      <c r="L22" s="397">
        <f t="shared" si="6"/>
        <v>0</v>
      </c>
    </row>
    <row r="23" ht="7.95" customHeight="1" spans="1:12" x14ac:dyDescent="0.25">
      <c r="A23" s="372"/>
      <c r="B23" s="393"/>
      <c r="C23" s="404"/>
      <c r="D23" s="394"/>
      <c r="E23" s="394"/>
      <c r="F23" s="394"/>
      <c r="G23" s="394"/>
      <c r="H23" s="394"/>
      <c r="I23" s="395"/>
      <c r="J23" s="394"/>
      <c r="K23" s="396"/>
      <c r="L23" s="397"/>
    </row>
    <row r="24" ht="18" customHeight="1" spans="1:12" x14ac:dyDescent="0.25">
      <c r="A24" s="372"/>
      <c r="B24" s="398"/>
      <c r="C24" s="405" t="s">
        <v>456</v>
      </c>
      <c r="D24" s="400">
        <f t="shared" ref="D24:J24" si="12">ROUND(SUBTOTAL(9,D18:D23),2)</f>
        <v>838000</v>
      </c>
      <c r="E24" s="400">
        <f t="shared" si="12"/>
        <v>0</v>
      </c>
      <c r="F24" s="400">
        <f t="shared" si="12"/>
        <v>0</v>
      </c>
      <c r="G24" s="400">
        <f t="shared" si="12"/>
        <v>838000</v>
      </c>
      <c r="H24" s="400">
        <f t="shared" si="12"/>
        <v>330360</v>
      </c>
      <c r="I24" s="400">
        <f t="shared" si="12"/>
        <v>0</v>
      </c>
      <c r="J24" s="400">
        <f t="shared" si="12"/>
        <v>330360</v>
      </c>
      <c r="K24" s="401">
        <f>IFERROR(J24/G24,0)</f>
        <v>0.39422434367541764</v>
      </c>
      <c r="L24" s="402">
        <f>ROUND(SUBTOTAL(9,L18:L23),2)</f>
        <v>507640</v>
      </c>
    </row>
    <row r="25" ht="7.95" customHeight="1" spans="1:12" x14ac:dyDescent="0.25">
      <c r="A25" s="372"/>
      <c r="B25" s="393"/>
      <c r="C25" s="389"/>
      <c r="D25" s="394"/>
      <c r="E25" s="394"/>
      <c r="F25" s="394"/>
      <c r="G25" s="394"/>
      <c r="H25" s="394"/>
      <c r="I25" s="395"/>
      <c r="J25" s="394"/>
      <c r="K25" s="396"/>
      <c r="L25" s="397"/>
    </row>
    <row r="26" ht="18.6" customHeight="1" spans="1:12" x14ac:dyDescent="0.25">
      <c r="A26" s="372"/>
      <c r="B26" s="406"/>
      <c r="C26" s="407" t="s">
        <v>457</v>
      </c>
      <c r="D26" s="408">
        <f t="shared" ref="D26:J26" si="13">ROUND(SUBTOTAL(9,D9:D25),2)</f>
        <v>1823032.2</v>
      </c>
      <c r="E26" s="408">
        <f t="shared" si="13"/>
        <v>0</v>
      </c>
      <c r="F26" s="408">
        <f t="shared" si="13"/>
        <v>0</v>
      </c>
      <c r="G26" s="408">
        <f t="shared" si="13"/>
        <v>1823032.2</v>
      </c>
      <c r="H26" s="408">
        <f t="shared" si="13"/>
        <v>984858</v>
      </c>
      <c r="I26" s="408">
        <f t="shared" si="13"/>
        <v>0</v>
      </c>
      <c r="J26" s="408">
        <f t="shared" si="13"/>
        <v>984858</v>
      </c>
      <c r="K26" s="409">
        <f>IFERROR(J26/G26,0)</f>
        <v>0.5402307211030063</v>
      </c>
      <c r="L26" s="410">
        <f>ROUND(SUBTOTAL(9,L9:L25),2)</f>
        <v>838174.2</v>
      </c>
    </row>
    <row r="27" ht="18.6" customHeight="1" spans="1:12" x14ac:dyDescent="0.25">
      <c r="A27" s="372"/>
      <c r="B27" s="393">
        <v>63034</v>
      </c>
      <c r="C27" s="389" t="s">
        <v>458</v>
      </c>
      <c r="D27" s="394">
        <v>147792.69</v>
      </c>
      <c r="E27" s="394">
        <v>0</v>
      </c>
      <c r="F27" s="394">
        <v>0</v>
      </c>
      <c r="G27" s="394">
        <f t="shared" ref="G27:G37" si="14">ROUND(D27+E27+F27,2)</f>
        <v>147792.69</v>
      </c>
      <c r="H27" s="394">
        <f>ROUND(SUMIF('Prior Invoice Log (OP)'!B:B,'Budget to Actual (OP)'!C27,'Prior Invoice Log (OP)'!H:H),2)</f>
        <v>163556.67</v>
      </c>
      <c r="I27" s="395">
        <f>ROUND(SUMIF('Current Invoice Log (OP)'!B:B,C27,'Current Invoice Log (OP)'!H:H),2)</f>
        <v>11560.34</v>
      </c>
      <c r="J27" s="394">
        <f t="shared" ref="J27:J37" si="15">ROUND(SUM(H27:I27),2)</f>
        <v>175117.01</v>
      </c>
      <c r="K27" s="396">
        <f t="shared" ref="K27:K37" si="16">IFERROR(J27/G27,0)</f>
        <v>1.184882757056523</v>
      </c>
      <c r="L27" s="397">
        <f t="shared" ref="L27:L37" si="17">ROUND(+G27-J27,2)</f>
        <v>-27324.32</v>
      </c>
    </row>
    <row r="28" ht="18" customHeight="1" spans="1:12" x14ac:dyDescent="0.25">
      <c r="A28" s="372"/>
      <c r="B28" s="411">
        <v>63032</v>
      </c>
      <c r="C28" s="412" t="s">
        <v>459</v>
      </c>
      <c r="D28" s="394">
        <v>0</v>
      </c>
      <c r="E28" s="394">
        <v>0</v>
      </c>
      <c r="F28" s="394">
        <v>0</v>
      </c>
      <c r="G28" s="394">
        <f t="shared" si="14"/>
        <v>0</v>
      </c>
      <c r="H28" s="394">
        <f>ROUND(SUMIF('Prior Invoice Log (OP)'!B:B,'Budget to Actual (OP)'!C28,'Prior Invoice Log (OP)'!H:H),2)</f>
        <v>0</v>
      </c>
      <c r="I28" s="395">
        <f>ROUND(SUMIF('Current Invoice Log (OP)'!B:B,C28,'Current Invoice Log (OP)'!H:H),2)</f>
        <v>0</v>
      </c>
      <c r="J28" s="394">
        <f t="shared" si="15"/>
        <v>0</v>
      </c>
      <c r="K28" s="396">
        <f t="shared" si="16"/>
        <v>0</v>
      </c>
      <c r="L28" s="397">
        <f t="shared" si="17"/>
        <v>0</v>
      </c>
    </row>
    <row r="29" ht="18" customHeight="1" spans="1:12" x14ac:dyDescent="0.25">
      <c r="A29" s="372"/>
      <c r="B29" s="411">
        <v>63033</v>
      </c>
      <c r="C29" s="412" t="s">
        <v>460</v>
      </c>
      <c r="D29" s="394">
        <v>36000</v>
      </c>
      <c r="E29" s="394">
        <v>0</v>
      </c>
      <c r="F29" s="394">
        <v>0</v>
      </c>
      <c r="G29" s="394">
        <f t="shared" si="14"/>
        <v>36000</v>
      </c>
      <c r="H29" s="394">
        <f>ROUND(SUMIF('Prior Invoice Log (OP)'!B:B,'Budget to Actual (OP)'!C29,'Prior Invoice Log (OP)'!H:H),2)</f>
        <v>17150</v>
      </c>
      <c r="I29" s="395">
        <f>ROUND(SUMIF('Current Invoice Log (OP)'!B:B,C29,'Current Invoice Log (OP)'!H:H),2)</f>
        <v>0</v>
      </c>
      <c r="J29" s="394">
        <f t="shared" si="15"/>
        <v>17150</v>
      </c>
      <c r="K29" s="396">
        <f t="shared" si="16"/>
        <v>0.47638888888888886</v>
      </c>
      <c r="L29" s="397">
        <f t="shared" si="17"/>
        <v>18850</v>
      </c>
    </row>
    <row r="30" ht="18" customHeight="1" spans="1:12" x14ac:dyDescent="0.25">
      <c r="A30" s="372"/>
      <c r="B30" s="411">
        <v>63041</v>
      </c>
      <c r="C30" s="412" t="s">
        <v>461</v>
      </c>
      <c r="D30" s="394">
        <v>101165.26</v>
      </c>
      <c r="E30" s="394">
        <v>0</v>
      </c>
      <c r="F30" s="394">
        <v>0</v>
      </c>
      <c r="G30" s="394">
        <f t="shared" si="14"/>
        <v>101165.26</v>
      </c>
      <c r="H30" s="394">
        <f>ROUND(SUMIF('Prior Invoice Log (OP)'!B:B,'Budget to Actual (OP)'!C30,'Prior Invoice Log (OP)'!H:H),2)</f>
        <v>0</v>
      </c>
      <c r="I30" s="395">
        <f>ROUND(SUMIF('Current Invoice Log (OP)'!B:B,C30,'Current Invoice Log (OP)'!H:H),2)</f>
        <v>0</v>
      </c>
      <c r="J30" s="394">
        <f t="shared" si="15"/>
        <v>0</v>
      </c>
      <c r="K30" s="396">
        <f t="shared" si="16"/>
        <v>0</v>
      </c>
      <c r="L30" s="397">
        <f>ROUND(+G30-J30,2)</f>
        <v>101165.26</v>
      </c>
    </row>
    <row r="31" ht="18" customHeight="1" spans="1:12" x14ac:dyDescent="0.25">
      <c r="A31" s="372"/>
      <c r="B31" s="411">
        <v>63042</v>
      </c>
      <c r="C31" s="412" t="s">
        <v>462</v>
      </c>
      <c r="D31" s="394">
        <v>18000</v>
      </c>
      <c r="E31" s="394">
        <v>0</v>
      </c>
      <c r="F31" s="394">
        <v>0</v>
      </c>
      <c r="G31" s="394">
        <f t="shared" si="14"/>
        <v>18000</v>
      </c>
      <c r="H31" s="394">
        <f>ROUND(SUMIF('Prior Invoice Log (OP)'!B:B,'Budget to Actual (OP)'!C31,'Prior Invoice Log (OP)'!H:H),2)</f>
        <v>0</v>
      </c>
      <c r="I31" s="395">
        <f>ROUND(SUMIF('Current Invoice Log (OP)'!B:B,C31,'Current Invoice Log (OP)'!H:H),2)</f>
        <v>0</v>
      </c>
      <c r="J31" s="394">
        <f t="shared" si="15"/>
        <v>0</v>
      </c>
      <c r="K31" s="396">
        <f t="shared" si="16"/>
        <v>0</v>
      </c>
      <c r="L31" s="397">
        <f>ROUND(+G31-J31,2)</f>
        <v>18000</v>
      </c>
    </row>
    <row r="32" ht="18" customHeight="1" spans="1:12" x14ac:dyDescent="0.25">
      <c r="A32" s="372"/>
      <c r="B32" s="411">
        <v>64000</v>
      </c>
      <c r="C32" s="412" t="s">
        <v>463</v>
      </c>
      <c r="D32" s="394">
        <v>80004</v>
      </c>
      <c r="E32" s="394">
        <v>0</v>
      </c>
      <c r="F32" s="394">
        <v>0</v>
      </c>
      <c r="G32" s="394">
        <f t="shared" si="14"/>
        <v>80004</v>
      </c>
      <c r="H32" s="394">
        <f>ROUND(SUMIF('Prior Invoice Log (OP)'!B:B,'Budget to Actual (OP)'!C32,'Prior Invoice Log (OP)'!H:H),2)</f>
        <v>82034.61</v>
      </c>
      <c r="I32" s="395">
        <f>ROUND(SUMIF('Current Invoice Log (OP)'!B:B,C32,'Current Invoice Log (OP)'!H:H),2)</f>
        <v>6245.3</v>
      </c>
      <c r="J32" s="394">
        <f t="shared" si="15"/>
        <v>88279.91</v>
      </c>
      <c r="K32" s="396">
        <f t="shared" si="16"/>
        <v>1.1034437028148594</v>
      </c>
      <c r="L32" s="397">
        <f t="shared" si="17"/>
        <v>-8275.91</v>
      </c>
    </row>
    <row r="33" ht="18" customHeight="1" spans="1:12" x14ac:dyDescent="0.25">
      <c r="A33" s="372"/>
      <c r="B33" s="411">
        <v>63028</v>
      </c>
      <c r="C33" s="412" t="s">
        <v>464</v>
      </c>
      <c r="D33" s="394">
        <v>22500</v>
      </c>
      <c r="E33" s="394">
        <v>0</v>
      </c>
      <c r="F33" s="394">
        <v>0</v>
      </c>
      <c r="G33" s="394">
        <f t="shared" si="14"/>
        <v>22500</v>
      </c>
      <c r="H33" s="394">
        <f>ROUND(SUMIF('Prior Invoice Log (OP)'!B:B,'Budget to Actual (OP)'!C33,'Prior Invoice Log (OP)'!H:H),2)</f>
        <v>13125</v>
      </c>
      <c r="I33" s="395">
        <f>ROUND(SUMIF('Current Invoice Log (OP)'!B:B,C33,'Current Invoice Log (OP)'!H:H),2)</f>
        <v>0</v>
      </c>
      <c r="J33" s="394">
        <f t="shared" si="15"/>
        <v>13125</v>
      </c>
      <c r="K33" s="396">
        <f t="shared" si="16"/>
        <v>0.5833333333333334</v>
      </c>
      <c r="L33" s="397">
        <f t="shared" si="17"/>
        <v>9375</v>
      </c>
    </row>
    <row r="34" ht="18" customHeight="1" spans="1:12" x14ac:dyDescent="0.25">
      <c r="A34" s="372"/>
      <c r="B34" s="411">
        <v>63036</v>
      </c>
      <c r="C34" s="412" t="s">
        <v>465</v>
      </c>
      <c r="D34" s="394">
        <v>22500</v>
      </c>
      <c r="E34" s="394">
        <v>0</v>
      </c>
      <c r="F34" s="394">
        <v>0</v>
      </c>
      <c r="G34" s="394">
        <f t="shared" si="14"/>
        <v>22500</v>
      </c>
      <c r="H34" s="394">
        <f>ROUND(SUMIF('Prior Invoice Log (OP)'!B:B,'Budget to Actual (OP)'!C34,'Prior Invoice Log (OP)'!H:H),2)</f>
        <v>13125</v>
      </c>
      <c r="I34" s="395">
        <f>ROUND(SUMIF('Current Invoice Log (OP)'!B:B,C34,'Current Invoice Log (OP)'!H:H),2)</f>
        <v>0</v>
      </c>
      <c r="J34" s="394">
        <f t="shared" si="15"/>
        <v>13125</v>
      </c>
      <c r="K34" s="396">
        <f t="shared" si="16"/>
        <v>0.5833333333333334</v>
      </c>
      <c r="L34" s="397">
        <f t="shared" si="17"/>
        <v>9375</v>
      </c>
    </row>
    <row r="35" ht="18" customHeight="1" spans="1:12" x14ac:dyDescent="0.25">
      <c r="A35" s="372"/>
      <c r="B35" s="411">
        <v>63040</v>
      </c>
      <c r="C35" s="412" t="s">
        <v>466</v>
      </c>
      <c r="D35" s="394">
        <v>60000</v>
      </c>
      <c r="E35" s="394">
        <v>0</v>
      </c>
      <c r="F35" s="394">
        <v>0</v>
      </c>
      <c r="G35" s="394">
        <f t="shared" si="14"/>
        <v>60000</v>
      </c>
      <c r="H35" s="394">
        <f>ROUND(SUMIF('Prior Invoice Log (OP)'!B:B,'Budget to Actual (OP)'!C35,'Prior Invoice Log (OP)'!H:H),2)</f>
        <v>35000</v>
      </c>
      <c r="I35" s="395">
        <f>ROUND(SUMIF('Current Invoice Log (OP)'!B:B,C35,'Current Invoice Log (OP)'!H:H),2)</f>
        <v>0</v>
      </c>
      <c r="J35" s="394">
        <f t="shared" si="15"/>
        <v>35000</v>
      </c>
      <c r="K35" s="396">
        <f t="shared" si="16"/>
        <v>0.5833333333333334</v>
      </c>
      <c r="L35" s="397">
        <f t="shared" si="17"/>
        <v>25000</v>
      </c>
    </row>
    <row r="36" ht="18" customHeight="1" spans="1:12" x14ac:dyDescent="0.25">
      <c r="A36" s="372"/>
      <c r="B36" s="411">
        <v>63041</v>
      </c>
      <c r="C36" s="412" t="s">
        <v>467</v>
      </c>
      <c r="D36" s="394">
        <v>0</v>
      </c>
      <c r="E36" s="394">
        <v>0</v>
      </c>
      <c r="F36" s="394">
        <v>0</v>
      </c>
      <c r="G36" s="394">
        <f t="shared" ref="G36" si="18">ROUND(D36+E36+F36,2)</f>
        <v>0</v>
      </c>
      <c r="H36" s="394">
        <f>ROUND(SUMIF('Prior Invoice Log (OP)'!B:B,'Budget to Actual (OP)'!C36,'Prior Invoice Log (OP)'!H:H),2)</f>
        <v>18592.12</v>
      </c>
      <c r="I36" s="395">
        <f>ROUND(SUMIF('Current Invoice Log (OP)'!B:B,C36,'Current Invoice Log (OP)'!H:H),2)</f>
        <v>-1603.53</v>
      </c>
      <c r="J36" s="394">
        <f t="shared" ref="J36" si="19">ROUND(SUM(H36:I36),2)</f>
        <v>16988.59</v>
      </c>
      <c r="K36" s="396">
        <f t="shared" ref="K36" si="20">IFERROR(J36/G36,0)</f>
        <v>0</v>
      </c>
      <c r="L36" s="397">
        <f t="shared" ref="L36" si="21">ROUND(+G36-J36,2)</f>
        <v>-16988.59</v>
      </c>
    </row>
    <row r="37" ht="18" customHeight="1" spans="1:13" x14ac:dyDescent="0.25">
      <c r="A37" s="372"/>
      <c r="B37" s="411">
        <v>63042</v>
      </c>
      <c r="C37" s="412" t="s">
        <v>468</v>
      </c>
      <c r="D37" s="394">
        <v>0</v>
      </c>
      <c r="E37" s="394">
        <v>0</v>
      </c>
      <c r="F37" s="394">
        <v>0</v>
      </c>
      <c r="G37" s="394">
        <f t="shared" si="14"/>
        <v>0</v>
      </c>
      <c r="H37" s="394">
        <f>ROUND(SUMIF('Prior Invoice Log (OP)'!B:B,'Budget to Actual (OP)'!C37,'Prior Invoice Log (OP)'!H:H),2)</f>
        <v>51130.03</v>
      </c>
      <c r="I37" s="395">
        <f>ROUND(SUMIF('Current Invoice Log (OP)'!B:B,C37,'Current Invoice Log (OP)'!H:H),2)</f>
        <v>10116.6</v>
      </c>
      <c r="J37" s="394">
        <f t="shared" si="15"/>
        <v>61246.63</v>
      </c>
      <c r="K37" s="396">
        <f t="shared" si="16"/>
        <v>0</v>
      </c>
      <c r="L37" s="397">
        <f t="shared" si="17"/>
        <v>-61246.63</v>
      </c>
      <c r="M37" t="s">
        <v>469</v>
      </c>
    </row>
    <row r="38" ht="18" customHeight="1" spans="1:12" x14ac:dyDescent="0.25">
      <c r="A38" s="372"/>
      <c r="B38" s="393"/>
      <c r="C38" s="404"/>
      <c r="D38" s="394"/>
      <c r="E38" s="394"/>
      <c r="F38" s="394"/>
      <c r="G38" s="394"/>
      <c r="H38" s="394"/>
      <c r="I38" s="395"/>
      <c r="J38" s="394"/>
      <c r="K38" s="396"/>
      <c r="L38" s="397"/>
    </row>
    <row r="39" ht="18" customHeight="1" spans="1:12" x14ac:dyDescent="0.25">
      <c r="A39" s="372"/>
      <c r="B39" s="398"/>
      <c r="C39" s="413" t="s">
        <v>470</v>
      </c>
      <c r="D39" s="400">
        <f t="shared" ref="D39:J39" si="22">ROUND(SUBTOTAL(9,D27:D38),2)</f>
        <v>487961.95</v>
      </c>
      <c r="E39" s="400">
        <f t="shared" si="22"/>
        <v>0</v>
      </c>
      <c r="F39" s="400">
        <f t="shared" si="22"/>
        <v>0</v>
      </c>
      <c r="G39" s="400">
        <f t="shared" si="22"/>
        <v>487961.95</v>
      </c>
      <c r="H39" s="400">
        <f t="shared" si="22"/>
        <v>393713.43</v>
      </c>
      <c r="I39" s="400">
        <f>ROUND(SUBTOTAL(9,I27:I38),2)</f>
        <v>26318.71</v>
      </c>
      <c r="J39" s="400">
        <f t="shared" si="22"/>
        <v>420032.14</v>
      </c>
      <c r="K39" s="401">
        <f>IFERROR(J39/G39,0)</f>
        <v>0.860788715185682</v>
      </c>
      <c r="L39" s="402">
        <f>ROUND(SUBTOTAL(9,L27:L38),2)</f>
        <v>67929.81</v>
      </c>
    </row>
    <row r="40" ht="18" customHeight="1" spans="1:13" x14ac:dyDescent="0.25">
      <c r="A40" s="372"/>
      <c r="B40" s="393">
        <v>63025</v>
      </c>
      <c r="C40" s="403" t="s">
        <v>471</v>
      </c>
      <c r="D40" s="394">
        <v>0</v>
      </c>
      <c r="E40" s="394">
        <v>0</v>
      </c>
      <c r="F40" s="394">
        <v>0</v>
      </c>
      <c r="G40" s="394">
        <f t="shared" ref="G40:G51" si="23">ROUND(D40+E40+F40,2)</f>
        <v>0</v>
      </c>
      <c r="H40" s="394">
        <f>ROUND(SUMIF('Prior Invoice Log (OP)'!B:B,'Budget to Actual (OP)'!C40,'Prior Invoice Log (OP)'!H:H),2)</f>
        <v>7141.37</v>
      </c>
      <c r="I40" s="395">
        <f>ROUND(SUMIF('Current Invoice Log (OP)'!B:B,C40,'Current Invoice Log (OP)'!H:H),2)</f>
        <v>1.25</v>
      </c>
      <c r="J40" s="394">
        <f t="shared" ref="J40:J51" si="24">ROUND(SUM(H40:I40),2)</f>
        <v>7142.62</v>
      </c>
      <c r="K40" s="396">
        <f t="shared" ref="K40:K51" si="25">IFERROR(J40/G40,0)</f>
        <v>0</v>
      </c>
      <c r="L40" s="397">
        <f t="shared" ref="L40:L51" si="26">ROUND(+G40-J40,2)</f>
        <v>-7142.62</v>
      </c>
      <c r="M40" t="s">
        <v>469</v>
      </c>
    </row>
    <row r="41" ht="18" customHeight="1" spans="1:12" x14ac:dyDescent="0.25">
      <c r="A41" s="372"/>
      <c r="B41" s="393">
        <v>63050</v>
      </c>
      <c r="C41" s="389" t="s">
        <v>472</v>
      </c>
      <c r="D41" s="394">
        <v>18000</v>
      </c>
      <c r="E41" s="394">
        <v>0</v>
      </c>
      <c r="F41" s="394">
        <v>0</v>
      </c>
      <c r="G41" s="394">
        <f t="shared" si="23"/>
        <v>18000</v>
      </c>
      <c r="H41" s="394">
        <f>ROUND(SUMIF('Prior Invoice Log (OP)'!B:B,'Budget to Actual (OP)'!C41,'Prior Invoice Log (OP)'!H:H),2)</f>
        <v>66630.31</v>
      </c>
      <c r="I41" s="395">
        <f>ROUND(SUMIF('Current Invoice Log (OP)'!B:B,C41,'Current Invoice Log (OP)'!H:H),2)</f>
        <v>0</v>
      </c>
      <c r="J41" s="394">
        <f t="shared" si="24"/>
        <v>66630.31</v>
      </c>
      <c r="K41" s="396">
        <f t="shared" si="25"/>
        <v>3.7016838888888888</v>
      </c>
      <c r="L41" s="397">
        <f t="shared" si="26"/>
        <v>-48630.31</v>
      </c>
    </row>
    <row r="42" ht="18" customHeight="1" spans="1:12" x14ac:dyDescent="0.25">
      <c r="A42" s="372"/>
      <c r="B42" s="393">
        <v>63100</v>
      </c>
      <c r="C42" s="389" t="s">
        <v>473</v>
      </c>
      <c r="D42" s="394">
        <v>10000</v>
      </c>
      <c r="E42" s="394">
        <v>0</v>
      </c>
      <c r="F42" s="394">
        <v>0</v>
      </c>
      <c r="G42" s="394">
        <f t="shared" si="23"/>
        <v>10000</v>
      </c>
      <c r="H42" s="394">
        <f>ROUND(SUMIF('Prior Invoice Log (OP)'!B:B,'Budget to Actual (OP)'!C42,'Prior Invoice Log (OP)'!H:H),2)</f>
        <v>17876.26</v>
      </c>
      <c r="I42" s="395">
        <f>ROUND(SUMIF('Current Invoice Log (OP)'!B:B,C42,'Current Invoice Log (OP)'!H:H),2)</f>
        <v>0</v>
      </c>
      <c r="J42" s="394">
        <f>ROUND(SUM(H42:I42),2)</f>
        <v>17876.26</v>
      </c>
      <c r="K42" s="396">
        <f t="shared" si="25"/>
        <v>1.787626</v>
      </c>
      <c r="L42" s="397">
        <f t="shared" si="26"/>
        <v>-7876.26</v>
      </c>
    </row>
    <row r="43" ht="18" customHeight="1" spans="1:12" x14ac:dyDescent="0.25">
      <c r="A43" s="372"/>
      <c r="B43" s="393">
        <v>67100</v>
      </c>
      <c r="C43" s="389" t="s">
        <v>474</v>
      </c>
      <c r="D43" s="394">
        <v>0</v>
      </c>
      <c r="E43" s="394">
        <v>0</v>
      </c>
      <c r="F43" s="394">
        <v>0</v>
      </c>
      <c r="G43" s="394">
        <f t="shared" si="23"/>
        <v>0</v>
      </c>
      <c r="H43" s="394">
        <f>ROUND(SUMIF('Prior Invoice Log (OP)'!B:B,'Budget to Actual (OP)'!C43,'Prior Invoice Log (OP)'!H:H),2)</f>
        <v>1560</v>
      </c>
      <c r="I43" s="395">
        <f>ROUND(SUMIF('Current Invoice Log (OP)'!B:B,C43,'Current Invoice Log (OP)'!H:H),2)</f>
        <v>0</v>
      </c>
      <c r="J43" s="394">
        <f t="shared" si="24"/>
        <v>1560</v>
      </c>
      <c r="K43" s="396">
        <f t="shared" si="25"/>
        <v>0</v>
      </c>
      <c r="L43" s="397">
        <f t="shared" si="26"/>
        <v>-1560</v>
      </c>
    </row>
    <row r="44" ht="18" customHeight="1" spans="1:12" x14ac:dyDescent="0.25">
      <c r="A44" s="372"/>
      <c r="B44" s="393">
        <v>67200</v>
      </c>
      <c r="C44" s="389" t="s">
        <v>475</v>
      </c>
      <c r="D44" s="394">
        <v>12000</v>
      </c>
      <c r="E44" s="394">
        <v>0</v>
      </c>
      <c r="F44" s="394">
        <v>0</v>
      </c>
      <c r="G44" s="394">
        <f t="shared" si="23"/>
        <v>12000</v>
      </c>
      <c r="H44" s="394">
        <f>ROUND(SUMIF('Prior Invoice Log (OP)'!B:B,'Budget to Actual (OP)'!C44,'Prior Invoice Log (OP)'!H:H),2)</f>
        <v>3099.65</v>
      </c>
      <c r="I44" s="395">
        <f>ROUND(SUMIF('Current Invoice Log (OP)'!B:B,C44,'Current Invoice Log (OP)'!H:H),2)</f>
        <v>366.67</v>
      </c>
      <c r="J44" s="394">
        <f t="shared" si="24"/>
        <v>3466.32</v>
      </c>
      <c r="K44" s="396">
        <f t="shared" si="25"/>
        <v>0.28886</v>
      </c>
      <c r="L44" s="397">
        <f t="shared" si="26"/>
        <v>8533.68</v>
      </c>
    </row>
    <row r="45" ht="18" customHeight="1" spans="1:12" x14ac:dyDescent="0.25">
      <c r="A45" s="372"/>
      <c r="B45" s="393">
        <v>67250</v>
      </c>
      <c r="C45" s="389" t="s">
        <v>476</v>
      </c>
      <c r="D45" s="394">
        <v>600</v>
      </c>
      <c r="E45" s="394">
        <v>0</v>
      </c>
      <c r="F45" s="394">
        <v>0</v>
      </c>
      <c r="G45" s="394">
        <f t="shared" si="23"/>
        <v>600</v>
      </c>
      <c r="H45" s="394">
        <f>ROUND(SUMIF('Prior Invoice Log (OP)'!B:B,'Budget to Actual (OP)'!C45,'Prior Invoice Log (OP)'!H:H),2)</f>
        <v>0</v>
      </c>
      <c r="I45" s="395">
        <f>ROUND(SUMIF('Current Invoice Log (OP)'!B:B,C45,'Current Invoice Log (OP)'!H:H),2)</f>
        <v>0</v>
      </c>
      <c r="J45" s="394">
        <f t="shared" si="24"/>
        <v>0</v>
      </c>
      <c r="K45" s="396">
        <f t="shared" si="25"/>
        <v>0</v>
      </c>
      <c r="L45" s="397">
        <f t="shared" si="26"/>
        <v>600</v>
      </c>
    </row>
    <row r="46" ht="18" customHeight="1" spans="1:12" x14ac:dyDescent="0.25">
      <c r="A46" s="372"/>
      <c r="B46" s="393">
        <v>67300</v>
      </c>
      <c r="C46" s="389" t="s">
        <v>477</v>
      </c>
      <c r="D46" s="394">
        <v>1200</v>
      </c>
      <c r="E46" s="394">
        <v>0</v>
      </c>
      <c r="F46" s="394">
        <v>0</v>
      </c>
      <c r="G46" s="394">
        <f t="shared" si="23"/>
        <v>1200</v>
      </c>
      <c r="H46" s="394">
        <f>ROUND(SUMIF('Prior Invoice Log (OP)'!B:B,'Budget to Actual (OP)'!C46,'Prior Invoice Log (OP)'!H:H),2)</f>
        <v>0</v>
      </c>
      <c r="I46" s="395">
        <f>ROUND(SUMIF('Current Invoice Log (OP)'!B:B,C46,'Current Invoice Log (OP)'!H:H),2)</f>
        <v>0</v>
      </c>
      <c r="J46" s="394">
        <f t="shared" si="24"/>
        <v>0</v>
      </c>
      <c r="K46" s="396">
        <f t="shared" si="25"/>
        <v>0</v>
      </c>
      <c r="L46" s="397">
        <f t="shared" si="26"/>
        <v>1200</v>
      </c>
    </row>
    <row r="47" ht="18" customHeight="1" spans="1:12" x14ac:dyDescent="0.25">
      <c r="A47" s="372"/>
      <c r="B47" s="393">
        <v>67400</v>
      </c>
      <c r="C47" s="389" t="s">
        <v>478</v>
      </c>
      <c r="D47" s="394">
        <v>12000</v>
      </c>
      <c r="E47" s="394">
        <v>0</v>
      </c>
      <c r="F47" s="394">
        <v>0</v>
      </c>
      <c r="G47" s="394">
        <f t="shared" si="23"/>
        <v>12000</v>
      </c>
      <c r="H47" s="394">
        <f>ROUND(SUMIF('Prior Invoice Log (OP)'!B:B,'Budget to Actual (OP)'!C47,'Prior Invoice Log (OP)'!H:H),2)</f>
        <v>0</v>
      </c>
      <c r="I47" s="395">
        <f>ROUND(SUMIF('Current Invoice Log (OP)'!B:B,C47,'Current Invoice Log (OP)'!H:H),2)</f>
        <v>0</v>
      </c>
      <c r="J47" s="394">
        <f t="shared" si="24"/>
        <v>0</v>
      </c>
      <c r="K47" s="396">
        <f t="shared" si="25"/>
        <v>0</v>
      </c>
      <c r="L47" s="397">
        <f t="shared" si="26"/>
        <v>12000</v>
      </c>
    </row>
    <row r="48" ht="18" customHeight="1" spans="1:12" x14ac:dyDescent="0.25">
      <c r="A48" s="372"/>
      <c r="B48" s="393">
        <v>68110</v>
      </c>
      <c r="C48" s="389" t="s">
        <v>479</v>
      </c>
      <c r="D48" s="394">
        <v>500</v>
      </c>
      <c r="E48" s="394">
        <v>0</v>
      </c>
      <c r="F48" s="394">
        <v>0</v>
      </c>
      <c r="G48" s="394">
        <f t="shared" si="23"/>
        <v>500</v>
      </c>
      <c r="H48" s="394">
        <f>ROUND(SUMIF('Prior Invoice Log (OP)'!B:B,'Budget to Actual (OP)'!C48,'Prior Invoice Log (OP)'!H:H),2)</f>
        <v>910</v>
      </c>
      <c r="I48" s="395">
        <f>ROUND(SUMIF('Current Invoice Log (OP)'!B:B,C48,'Current Invoice Log (OP)'!H:H),2)</f>
        <v>0</v>
      </c>
      <c r="J48" s="394">
        <f t="shared" si="24"/>
        <v>910</v>
      </c>
      <c r="K48" s="396">
        <f t="shared" si="25"/>
        <v>1.82</v>
      </c>
      <c r="L48" s="397">
        <f t="shared" si="26"/>
        <v>-410</v>
      </c>
    </row>
    <row r="49" ht="18" customHeight="1" hidden="1" spans="1:12" x14ac:dyDescent="0.25">
      <c r="A49" s="372"/>
      <c r="B49" s="393"/>
      <c r="C49" s="389" t="s">
        <v>480</v>
      </c>
      <c r="D49" s="394">
        <v>0</v>
      </c>
      <c r="E49" s="394">
        <v>0</v>
      </c>
      <c r="F49" s="394">
        <v>0</v>
      </c>
      <c r="G49" s="394">
        <f t="shared" si="23"/>
        <v>0</v>
      </c>
      <c r="H49" s="394">
        <f>ROUND(SUMIF('Prior Invoice Log (OP)'!B:B,'Budget to Actual (OP)'!C49,'Prior Invoice Log (OP)'!H:H),2)</f>
        <v>0</v>
      </c>
      <c r="I49" s="395">
        <f>ROUND(SUMIF('Current Invoice Log (OP)'!B:B,C49,'Current Invoice Log (OP)'!H:H),2)</f>
        <v>0</v>
      </c>
      <c r="J49" s="394">
        <f t="shared" si="24"/>
        <v>0</v>
      </c>
      <c r="K49" s="396">
        <f t="shared" si="25"/>
        <v>0</v>
      </c>
      <c r="L49" s="397">
        <f t="shared" si="26"/>
        <v>0</v>
      </c>
    </row>
    <row r="50" ht="18" customHeight="1" spans="1:12" x14ac:dyDescent="0.25">
      <c r="A50" s="372"/>
      <c r="B50" s="393">
        <v>63000</v>
      </c>
      <c r="C50" s="389" t="s">
        <v>481</v>
      </c>
      <c r="D50" s="394">
        <v>65688</v>
      </c>
      <c r="E50" s="394">
        <v>0</v>
      </c>
      <c r="F50" s="394">
        <v>0</v>
      </c>
      <c r="G50" s="394">
        <f t="shared" si="23"/>
        <v>65688</v>
      </c>
      <c r="H50" s="394">
        <f>ROUND(SUMIF('Prior Invoice Log (OP)'!B:B,'Budget to Actual (OP)'!C50,'Prior Invoice Log (OP)'!H:H),2)</f>
        <v>52091.38</v>
      </c>
      <c r="I50" s="395">
        <f>ROUND(SUMIF('Current Invoice Log (OP)'!B:B,C50,'Current Invoice Log (OP)'!H:H),2)</f>
        <v>0</v>
      </c>
      <c r="J50" s="394">
        <f t="shared" si="24"/>
        <v>52091.38</v>
      </c>
      <c r="K50" s="396">
        <f t="shared" si="25"/>
        <v>0.7930121178906345</v>
      </c>
      <c r="L50" s="397">
        <f t="shared" si="26"/>
        <v>13596.62</v>
      </c>
    </row>
    <row r="51" ht="18" customHeight="1" spans="1:13" x14ac:dyDescent="0.25">
      <c r="A51" s="372"/>
      <c r="B51" s="393">
        <v>60210</v>
      </c>
      <c r="C51" s="389" t="s">
        <v>482</v>
      </c>
      <c r="D51" s="394">
        <v>0</v>
      </c>
      <c r="E51" s="394">
        <v>0</v>
      </c>
      <c r="F51" s="394">
        <v>0</v>
      </c>
      <c r="G51" s="394">
        <f t="shared" si="23"/>
        <v>0</v>
      </c>
      <c r="H51" s="394">
        <f>ROUND(SUMIF('Prior Invoice Log (OP)'!B:B,'Budget to Actual (OP)'!C51,'Prior Invoice Log (OP)'!H:H),2)</f>
        <v>7744.65</v>
      </c>
      <c r="I51" s="395">
        <f>ROUND(SUMIF('Current Invoice Log (OP)'!B:B,'Budget to Actual (OP)'!C51,'Current Invoice Log (OP)'!H:H),2)</f>
        <v>217.32</v>
      </c>
      <c r="J51" s="394">
        <f t="shared" si="24"/>
        <v>7961.97</v>
      </c>
      <c r="K51" s="396">
        <f t="shared" si="25"/>
        <v>0</v>
      </c>
      <c r="L51" s="397">
        <f t="shared" si="26"/>
        <v>-7961.97</v>
      </c>
      <c r="M51" t="s">
        <v>469</v>
      </c>
    </row>
    <row r="52" ht="18" customHeight="1" spans="1:13" x14ac:dyDescent="0.25">
      <c r="A52" s="372"/>
      <c r="B52" s="393">
        <v>60500</v>
      </c>
      <c r="C52" s="389" t="s">
        <v>483</v>
      </c>
      <c r="D52" s="394">
        <v>0</v>
      </c>
      <c r="E52" s="394">
        <v>0</v>
      </c>
      <c r="F52" s="394">
        <v>0</v>
      </c>
      <c r="G52" s="394">
        <f t="shared" ref="G52" si="27">ROUND(D52+E52+F52,2)</f>
        <v>0</v>
      </c>
      <c r="H52" s="394">
        <f>ROUND(SUMIF('Prior Invoice Log (OP)'!B:B,'Budget to Actual (OP)'!C52,'Prior Invoice Log (OP)'!H:H),2)</f>
        <v>546.54</v>
      </c>
      <c r="I52" s="395">
        <f>ROUND(SUMIF('Current Invoice Log (OP)'!B:B,'Budget to Actual (OP)'!C52,'Current Invoice Log (OP)'!H:H),2)</f>
        <v>158.16</v>
      </c>
      <c r="J52" s="394">
        <f t="shared" ref="J52" si="28">ROUND(SUM(H52:I52),2)</f>
        <v>704.7</v>
      </c>
      <c r="K52" s="396">
        <f t="shared" ref="K52" si="29">IFERROR(J52/G52,0)</f>
        <v>0</v>
      </c>
      <c r="L52" s="397">
        <f t="shared" ref="L52" si="30">ROUND(+G52-J52,2)</f>
        <v>-704.7</v>
      </c>
      <c r="M52" t="s">
        <v>469</v>
      </c>
    </row>
    <row r="53" ht="18" customHeight="1" spans="1:12" x14ac:dyDescent="0.25">
      <c r="A53" s="372"/>
      <c r="B53" s="393"/>
      <c r="C53" s="404"/>
      <c r="D53" s="394"/>
      <c r="E53" s="394"/>
      <c r="F53" s="394"/>
      <c r="G53" s="394"/>
      <c r="H53" s="394"/>
      <c r="I53" s="394"/>
      <c r="J53" s="394"/>
      <c r="K53" s="396"/>
      <c r="L53" s="397"/>
    </row>
    <row r="54" ht="18" customHeight="1" spans="1:12" x14ac:dyDescent="0.25">
      <c r="A54" s="372"/>
      <c r="B54" s="398"/>
      <c r="C54" s="413" t="s">
        <v>484</v>
      </c>
      <c r="D54" s="400">
        <f>ROUND(SUBTOTAL(9,D40:D53),2)</f>
        <v>119988</v>
      </c>
      <c r="E54" s="400">
        <f>ROUND(SUBTOTAL(9,E40:E53),2)</f>
        <v>0</v>
      </c>
      <c r="F54" s="400">
        <f>ROUND(SUBTOTAL(9,F40:F53),2)</f>
        <v>0</v>
      </c>
      <c r="G54" s="400">
        <f t="shared" ref="G54:J54" si="31">ROUND(SUBTOTAL(9,G41:G53),2)</f>
        <v>119988</v>
      </c>
      <c r="H54" s="400">
        <f t="shared" si="31"/>
        <v>150458.79</v>
      </c>
      <c r="I54" s="400">
        <f t="shared" si="31"/>
        <v>742.15</v>
      </c>
      <c r="J54" s="400">
        <f t="shared" si="31"/>
        <v>151200.94</v>
      </c>
      <c r="K54" s="401">
        <f>IFERROR(J54/G54,0)</f>
        <v>1.2601338467180052</v>
      </c>
      <c r="L54" s="402">
        <f>ROUND(SUBTOTAL(9,L41:L53),2)</f>
        <v>-31212.94</v>
      </c>
    </row>
    <row r="55" ht="18" customHeight="1" spans="1:12" x14ac:dyDescent="0.25">
      <c r="A55" s="372"/>
      <c r="B55" s="393">
        <v>61051</v>
      </c>
      <c r="C55" s="403" t="s">
        <v>485</v>
      </c>
      <c r="D55" s="394">
        <v>20000</v>
      </c>
      <c r="E55" s="394">
        <v>0</v>
      </c>
      <c r="F55" s="394">
        <v>0</v>
      </c>
      <c r="G55" s="394">
        <f t="shared" ref="G55:G63" si="32">ROUND(D55+E55+F55,2)</f>
        <v>20000</v>
      </c>
      <c r="H55" s="394">
        <f>ROUND(SUMIF('Prior Invoice Log (OP)'!B:B,'Budget to Actual (OP)'!C55,'Prior Invoice Log (OP)'!H:H),2)</f>
        <v>1775</v>
      </c>
      <c r="I55" s="395">
        <f>ROUND(SUMIF('Current Invoice Log (OP)'!B:B,C55,'Current Invoice Log (OP)'!H:H),2)</f>
        <v>0</v>
      </c>
      <c r="J55" s="394">
        <f t="shared" ref="J55:J63" si="33">ROUND(SUM(H55:I55),2)</f>
        <v>1775</v>
      </c>
      <c r="K55" s="396">
        <f t="shared" ref="K55:K63" si="34">IFERROR(J55/G55,0)</f>
        <v>0.08875</v>
      </c>
      <c r="L55" s="397">
        <f t="shared" ref="L55:L63" si="35">ROUND(+G55-J55,2)</f>
        <v>18225</v>
      </c>
    </row>
    <row r="56" ht="18" customHeight="1" hidden="1" spans="1:12" x14ac:dyDescent="0.25">
      <c r="A56" s="372"/>
      <c r="B56" s="393"/>
      <c r="C56" s="389" t="s">
        <v>486</v>
      </c>
      <c r="D56" s="394"/>
      <c r="E56" s="394">
        <v>0</v>
      </c>
      <c r="F56" s="394">
        <v>0</v>
      </c>
      <c r="G56" s="394">
        <f t="shared" si="32"/>
        <v>0</v>
      </c>
      <c r="H56" s="394">
        <f>ROUND(SUMIF('Prior Invoice Log (OP)'!B:B,'Budget to Actual (OP)'!C56,'Prior Invoice Log (OP)'!H:H),2)</f>
        <v>0</v>
      </c>
      <c r="I56" s="395">
        <f>ROUND(SUMIF('Current Invoice Log (OP)'!B:B,C56,'Current Invoice Log (OP)'!H:H),2)</f>
        <v>0</v>
      </c>
      <c r="J56" s="394">
        <f t="shared" si="33"/>
        <v>0</v>
      </c>
      <c r="K56" s="396">
        <f t="shared" si="34"/>
        <v>0</v>
      </c>
      <c r="L56" s="397">
        <f t="shared" si="35"/>
        <v>0</v>
      </c>
    </row>
    <row r="57" ht="18" customHeight="1" spans="1:12" x14ac:dyDescent="0.25">
      <c r="A57" s="372"/>
      <c r="B57" s="393">
        <v>61052</v>
      </c>
      <c r="C57" s="389" t="s">
        <v>487</v>
      </c>
      <c r="D57" s="394">
        <v>20004</v>
      </c>
      <c r="E57" s="394">
        <v>0</v>
      </c>
      <c r="F57" s="394">
        <v>0</v>
      </c>
      <c r="G57" s="394">
        <f t="shared" si="32"/>
        <v>20004</v>
      </c>
      <c r="H57" s="394">
        <f>ROUND(SUMIF('Prior Invoice Log (OP)'!B:B,'Budget to Actual (OP)'!C57,'Prior Invoice Log (OP)'!H:H),2)</f>
        <v>9164</v>
      </c>
      <c r="I57" s="395">
        <f>ROUND(SUMIF('Current Invoice Log (OP)'!B:B,C57,'Current Invoice Log (OP)'!H:H),2)</f>
        <v>700</v>
      </c>
      <c r="J57" s="394">
        <f t="shared" si="33"/>
        <v>9864</v>
      </c>
      <c r="K57" s="396">
        <f t="shared" si="34"/>
        <v>0.4931013797240552</v>
      </c>
      <c r="L57" s="397">
        <f t="shared" si="35"/>
        <v>10140</v>
      </c>
    </row>
    <row r="58" ht="18" customHeight="1" spans="1:12" x14ac:dyDescent="0.25">
      <c r="A58" s="372"/>
      <c r="B58" s="393">
        <v>61054</v>
      </c>
      <c r="C58" s="389" t="s">
        <v>488</v>
      </c>
      <c r="D58" s="394">
        <v>18000</v>
      </c>
      <c r="E58" s="394">
        <v>0</v>
      </c>
      <c r="F58" s="394">
        <v>0</v>
      </c>
      <c r="G58" s="394">
        <f t="shared" si="32"/>
        <v>18000</v>
      </c>
      <c r="H58" s="394">
        <f>ROUND(SUMIF('Prior Invoice Log (OP)'!B:B,'Budget to Actual (OP)'!C58,'Prior Invoice Log (OP)'!H:H),2)</f>
        <v>0</v>
      </c>
      <c r="I58" s="395">
        <f>ROUND(SUMIF('Current Invoice Log (OP)'!B:B,C58,'Current Invoice Log (OP)'!H:H),2)</f>
        <v>0</v>
      </c>
      <c r="J58" s="394">
        <f t="shared" si="33"/>
        <v>0</v>
      </c>
      <c r="K58" s="396">
        <f t="shared" si="34"/>
        <v>0</v>
      </c>
      <c r="L58" s="397">
        <f t="shared" si="35"/>
        <v>18000</v>
      </c>
    </row>
    <row r="59" ht="18" customHeight="1" spans="1:13" x14ac:dyDescent="0.25">
      <c r="A59" s="372"/>
      <c r="B59" s="393">
        <v>61056</v>
      </c>
      <c r="C59" s="389" t="s">
        <v>489</v>
      </c>
      <c r="D59" s="394">
        <v>0</v>
      </c>
      <c r="E59" s="394">
        <v>0</v>
      </c>
      <c r="F59" s="394">
        <v>0</v>
      </c>
      <c r="G59" s="394">
        <f t="shared" ref="G59" si="36">ROUND(D59+E59+F59,2)</f>
        <v>0</v>
      </c>
      <c r="H59" s="394">
        <f>ROUND(SUMIF('Prior Invoice Log (OP)'!B:B,'Budget to Actual (OP)'!C59,'Prior Invoice Log (OP)'!H:H),2)</f>
        <v>12500</v>
      </c>
      <c r="I59" s="395">
        <f>ROUND(SUMIF('Current Invoice Log (OP)'!B:B,C59,'Current Invoice Log (OP)'!H:H),2)</f>
        <v>2500</v>
      </c>
      <c r="J59" s="394">
        <f t="shared" ref="J59" si="37">ROUND(SUM(H59:I59),2)</f>
        <v>15000</v>
      </c>
      <c r="K59" s="396">
        <f t="shared" ref="K59" si="38">IFERROR(J59/G59,0)</f>
        <v>0</v>
      </c>
      <c r="L59" s="397">
        <f t="shared" ref="L59" si="39">ROUND(+G59-J59,2)</f>
        <v>-15000</v>
      </c>
      <c r="M59" t="s">
        <v>469</v>
      </c>
    </row>
    <row r="60" ht="18" customHeight="1" spans="1:12" x14ac:dyDescent="0.25">
      <c r="A60" s="372"/>
      <c r="B60" s="393">
        <v>61050</v>
      </c>
      <c r="C60" s="389" t="s">
        <v>490</v>
      </c>
      <c r="D60" s="394">
        <v>30000</v>
      </c>
      <c r="E60" s="394">
        <v>0</v>
      </c>
      <c r="F60" s="394">
        <v>0</v>
      </c>
      <c r="G60" s="394">
        <f t="shared" si="32"/>
        <v>30000</v>
      </c>
      <c r="H60" s="394">
        <f>ROUND(SUMIF('Prior Invoice Log (OP)'!B:B,'Budget to Actual (OP)'!C60,'Prior Invoice Log (OP)'!H:H),2)</f>
        <v>7444.67</v>
      </c>
      <c r="I60" s="395">
        <f>ROUND(SUMIF('Current Invoice Log (OP)'!B:B,C60,'Current Invoice Log (OP)'!H:H),2)</f>
        <v>1061.6</v>
      </c>
      <c r="J60" s="394">
        <f t="shared" si="33"/>
        <v>8506.27</v>
      </c>
      <c r="K60" s="396">
        <f t="shared" si="34"/>
        <v>0.28354233333333334</v>
      </c>
      <c r="L60" s="397">
        <f t="shared" si="35"/>
        <v>21493.73</v>
      </c>
    </row>
    <row r="61" ht="18" customHeight="1" hidden="1" spans="1:12" x14ac:dyDescent="0.25">
      <c r="A61" s="372"/>
      <c r="B61" s="393"/>
      <c r="C61" s="389" t="s">
        <v>491</v>
      </c>
      <c r="D61" s="394">
        <v>3000</v>
      </c>
      <c r="E61" s="394">
        <v>0</v>
      </c>
      <c r="F61" s="394">
        <v>0</v>
      </c>
      <c r="G61" s="394">
        <f t="shared" si="32"/>
        <v>3000</v>
      </c>
      <c r="H61" s="394">
        <f>ROUND(SUMIF('Prior Invoice Log (OP)'!B:B,'Budget to Actual (OP)'!C61,'Prior Invoice Log (OP)'!H:H),2)</f>
        <v>0</v>
      </c>
      <c r="I61" s="395">
        <f>ROUND(SUMIF('Current Invoice Log (OP)'!B:B,C61,'Current Invoice Log (OP)'!H:H),2)</f>
        <v>0</v>
      </c>
      <c r="J61" s="394">
        <f t="shared" si="33"/>
        <v>0</v>
      </c>
      <c r="K61" s="396">
        <f t="shared" si="34"/>
        <v>0</v>
      </c>
      <c r="L61" s="397">
        <f t="shared" si="35"/>
        <v>3000</v>
      </c>
    </row>
    <row r="62" ht="18" customHeight="1" hidden="1" spans="1:12" x14ac:dyDescent="0.25">
      <c r="A62" s="372"/>
      <c r="B62" s="393"/>
      <c r="C62" s="389" t="s">
        <v>492</v>
      </c>
      <c r="D62" s="394">
        <v>0</v>
      </c>
      <c r="E62" s="394">
        <v>0</v>
      </c>
      <c r="F62" s="394">
        <v>0</v>
      </c>
      <c r="G62" s="394">
        <f t="shared" si="32"/>
        <v>0</v>
      </c>
      <c r="H62" s="394">
        <f>ROUND(SUMIF('Prior Invoice Log (OP)'!B:B,'Budget to Actual (OP)'!C62,'Prior Invoice Log (OP)'!H:H),2)</f>
        <v>0</v>
      </c>
      <c r="I62" s="395">
        <f>ROUND(SUMIF('Current Invoice Log (OP)'!B:B,C62,'Current Invoice Log (OP)'!H:H),2)</f>
        <v>0</v>
      </c>
      <c r="J62" s="394">
        <f t="shared" si="33"/>
        <v>0</v>
      </c>
      <c r="K62" s="396">
        <f t="shared" si="34"/>
        <v>0</v>
      </c>
      <c r="L62" s="397">
        <f t="shared" si="35"/>
        <v>0</v>
      </c>
    </row>
    <row r="63" ht="18" customHeight="1" hidden="1" spans="1:12" x14ac:dyDescent="0.25">
      <c r="A63" s="372"/>
      <c r="B63" s="393"/>
      <c r="C63" s="389" t="s">
        <v>493</v>
      </c>
      <c r="D63" s="394">
        <v>0</v>
      </c>
      <c r="E63" s="394">
        <v>0</v>
      </c>
      <c r="F63" s="394">
        <v>0</v>
      </c>
      <c r="G63" s="394">
        <f t="shared" si="32"/>
        <v>0</v>
      </c>
      <c r="H63" s="394">
        <f>ROUND(SUMIF('Prior Invoice Log (OP)'!B:B,'Budget to Actual (OP)'!C63,'Prior Invoice Log (OP)'!H:H),2)</f>
        <v>0</v>
      </c>
      <c r="I63" s="395">
        <f>ROUND(SUMIF('Current Invoice Log (OP)'!B:B,C63,'Current Invoice Log (OP)'!H:H),2)</f>
        <v>0</v>
      </c>
      <c r="J63" s="394">
        <f t="shared" si="33"/>
        <v>0</v>
      </c>
      <c r="K63" s="396">
        <f t="shared" si="34"/>
        <v>0</v>
      </c>
      <c r="L63" s="397">
        <f t="shared" si="35"/>
        <v>0</v>
      </c>
    </row>
    <row r="64" ht="18" customHeight="1" spans="1:12" x14ac:dyDescent="0.25">
      <c r="A64" s="372"/>
      <c r="B64" s="393"/>
      <c r="C64" s="404"/>
      <c r="D64" s="394"/>
      <c r="E64" s="394"/>
      <c r="F64" s="394"/>
      <c r="G64" s="394"/>
      <c r="H64" s="394"/>
      <c r="I64" s="394"/>
      <c r="J64" s="394"/>
      <c r="K64" s="396"/>
      <c r="L64" s="397"/>
    </row>
    <row r="65" ht="18" customHeight="1" spans="1:12" x14ac:dyDescent="0.25">
      <c r="A65" s="372"/>
      <c r="B65" s="398"/>
      <c r="C65" s="413" t="s">
        <v>494</v>
      </c>
      <c r="D65" s="400">
        <f>ROUND(SUBTOTAL(9,D55:D64),2)</f>
        <v>91004</v>
      </c>
      <c r="E65" s="400">
        <f t="shared" ref="E65:L65" si="40">ROUND(SUBTOTAL(9,E55:E64),2)</f>
        <v>0</v>
      </c>
      <c r="F65" s="400">
        <f t="shared" si="40"/>
        <v>0</v>
      </c>
      <c r="G65" s="400">
        <f t="shared" si="40"/>
        <v>91004</v>
      </c>
      <c r="H65" s="400">
        <f t="shared" si="40"/>
        <v>30883.67</v>
      </c>
      <c r="I65" s="400">
        <f t="shared" si="40"/>
        <v>4261.6</v>
      </c>
      <c r="J65" s="400">
        <f t="shared" si="40"/>
        <v>35145.27</v>
      </c>
      <c r="K65" s="401">
        <f>IFERROR(J65/G65,0)</f>
        <v>0.3861947826469166</v>
      </c>
      <c r="L65" s="402">
        <f t="shared" si="40"/>
        <v>55858.73</v>
      </c>
    </row>
    <row r="66" ht="18" customHeight="1" spans="1:12" x14ac:dyDescent="0.25">
      <c r="A66" s="372"/>
      <c r="B66" s="393">
        <v>61164</v>
      </c>
      <c r="C66" s="403" t="s">
        <v>495</v>
      </c>
      <c r="D66" s="394">
        <v>30000</v>
      </c>
      <c r="E66" s="394">
        <v>0</v>
      </c>
      <c r="F66" s="394">
        <v>0</v>
      </c>
      <c r="G66" s="394">
        <f t="shared" ref="G66:G69" si="41">ROUND(D66+E66+F66,2)</f>
        <v>30000</v>
      </c>
      <c r="H66" s="394">
        <f>ROUND(SUMIF('Prior Invoice Log (OP)'!B:B,'Budget to Actual (OP)'!C66,'Prior Invoice Log (OP)'!H:H),2)</f>
        <v>8554.35</v>
      </c>
      <c r="I66" s="395">
        <f>ROUND(SUMIF('Current Invoice Log (OP)'!B:B,C66,'Current Invoice Log (OP)'!H:H),2)</f>
        <v>3969.31</v>
      </c>
      <c r="J66" s="394">
        <f t="shared" ref="J66:J69" si="42">ROUND(SUM(H66:I66),2)</f>
        <v>12523.66</v>
      </c>
      <c r="K66" s="396">
        <f t="shared" ref="K66:K69" si="43">IFERROR(J66/G66,0)</f>
        <v>0.41745533333333334</v>
      </c>
      <c r="L66" s="397">
        <f t="shared" ref="L66:L69" si="44">ROUND(+G66-J66,2)</f>
        <v>17476.34</v>
      </c>
    </row>
    <row r="67" ht="18" customHeight="1" hidden="1" spans="1:12" x14ac:dyDescent="0.25">
      <c r="A67" s="372"/>
      <c r="B67" s="393"/>
      <c r="C67" s="389" t="s">
        <v>496</v>
      </c>
      <c r="D67" s="394">
        <v>0</v>
      </c>
      <c r="E67" s="394">
        <v>0</v>
      </c>
      <c r="F67" s="394">
        <v>0</v>
      </c>
      <c r="G67" s="394">
        <f t="shared" si="41"/>
        <v>0</v>
      </c>
      <c r="H67" s="394">
        <f>ROUND(SUMIF('Prior Invoice Log (OP)'!B:B,'Budget to Actual (OP)'!C67,'Prior Invoice Log (OP)'!H:H),2)</f>
        <v>0</v>
      </c>
      <c r="I67" s="395">
        <f>ROUND(SUMIF('Current Invoice Log (OP)'!B:B,C67,'Current Invoice Log (OP)'!H:H),2)</f>
        <v>0</v>
      </c>
      <c r="J67" s="394">
        <f t="shared" si="42"/>
        <v>0</v>
      </c>
      <c r="K67" s="396">
        <f t="shared" si="43"/>
        <v>0</v>
      </c>
      <c r="L67" s="397">
        <f t="shared" si="44"/>
        <v>0</v>
      </c>
    </row>
    <row r="68" ht="18" customHeight="1" spans="1:12" x14ac:dyDescent="0.25">
      <c r="A68" s="372"/>
      <c r="B68" s="393">
        <v>68105</v>
      </c>
      <c r="C68" s="389" t="s">
        <v>497</v>
      </c>
      <c r="D68" s="394">
        <v>0</v>
      </c>
      <c r="E68" s="394">
        <v>0</v>
      </c>
      <c r="F68" s="394">
        <v>0</v>
      </c>
      <c r="G68" s="394">
        <f t="shared" si="41"/>
        <v>0</v>
      </c>
      <c r="H68" s="394">
        <f>ROUND(SUMIF('Prior Invoice Log (OP)'!B:B,'Budget to Actual (OP)'!C68,'Prior Invoice Log (OP)'!H:H),2)</f>
        <v>0</v>
      </c>
      <c r="I68" s="395">
        <f>ROUND(SUMIF('Current Invoice Log (OP)'!B:B,C68,'Current Invoice Log (OP)'!H:H),2)</f>
        <v>0</v>
      </c>
      <c r="J68" s="394">
        <f t="shared" si="42"/>
        <v>0</v>
      </c>
      <c r="K68" s="396">
        <f t="shared" si="43"/>
        <v>0</v>
      </c>
      <c r="L68" s="397">
        <f t="shared" si="44"/>
        <v>0</v>
      </c>
    </row>
    <row r="69" ht="18" customHeight="1" hidden="1" spans="1:12" x14ac:dyDescent="0.25">
      <c r="A69" s="372"/>
      <c r="B69" s="393"/>
      <c r="C69" s="389" t="s">
        <v>498</v>
      </c>
      <c r="D69" s="394">
        <v>0</v>
      </c>
      <c r="E69" s="394">
        <v>0</v>
      </c>
      <c r="F69" s="394"/>
      <c r="G69" s="394">
        <f t="shared" si="41"/>
        <v>0</v>
      </c>
      <c r="H69" s="394">
        <f>ROUND(SUMIF('Prior Invoice Log (OP)'!B:B,'Budget to Actual (OP)'!C69,'Prior Invoice Log (OP)'!H:H),2)</f>
        <v>0</v>
      </c>
      <c r="I69" s="395">
        <f>ROUND(SUMIF('Current Invoice Log (OP)'!B:B,C69,'Current Invoice Log (OP)'!H:H),2)</f>
        <v>0</v>
      </c>
      <c r="J69" s="394">
        <f t="shared" si="42"/>
        <v>0</v>
      </c>
      <c r="K69" s="396">
        <f t="shared" si="43"/>
        <v>0</v>
      </c>
      <c r="L69" s="397">
        <f t="shared" si="44"/>
        <v>0</v>
      </c>
    </row>
    <row r="70" ht="18" customHeight="1" spans="1:12" x14ac:dyDescent="0.25">
      <c r="A70" s="372"/>
      <c r="B70" s="393"/>
      <c r="C70" s="404"/>
      <c r="D70" s="394"/>
      <c r="E70" s="394"/>
      <c r="F70" s="394"/>
      <c r="G70" s="394"/>
      <c r="H70" s="394"/>
      <c r="I70" s="394"/>
      <c r="J70" s="394"/>
      <c r="K70" s="396"/>
      <c r="L70" s="397"/>
    </row>
    <row r="71" ht="18" customHeight="1" spans="1:12" x14ac:dyDescent="0.25">
      <c r="A71" s="372"/>
      <c r="B71" s="398"/>
      <c r="C71" s="413" t="s">
        <v>499</v>
      </c>
      <c r="D71" s="400">
        <f>ROUND(SUBTOTAL(9,D66:D70),2)</f>
        <v>30000</v>
      </c>
      <c r="E71" s="400">
        <f t="shared" ref="E71:L71" si="45">ROUND(SUBTOTAL(9,E66:E70),2)</f>
        <v>0</v>
      </c>
      <c r="F71" s="400">
        <f t="shared" si="45"/>
        <v>0</v>
      </c>
      <c r="G71" s="400">
        <f t="shared" si="45"/>
        <v>30000</v>
      </c>
      <c r="H71" s="400">
        <f t="shared" si="45"/>
        <v>8554.35</v>
      </c>
      <c r="I71" s="400">
        <f t="shared" si="45"/>
        <v>3969.31</v>
      </c>
      <c r="J71" s="400">
        <f t="shared" si="45"/>
        <v>12523.66</v>
      </c>
      <c r="K71" s="401">
        <f>IFERROR(J71/G71,0)</f>
        <v>0.41745533333333334</v>
      </c>
      <c r="L71" s="402">
        <f t="shared" si="45"/>
        <v>17476.34</v>
      </c>
    </row>
    <row r="72" ht="18" customHeight="1" spans="1:12" x14ac:dyDescent="0.25">
      <c r="A72" s="372"/>
      <c r="B72" s="393">
        <v>63026</v>
      </c>
      <c r="C72" s="403" t="s">
        <v>500</v>
      </c>
      <c r="D72" s="394">
        <v>123643.22</v>
      </c>
      <c r="E72" s="394">
        <v>0</v>
      </c>
      <c r="F72" s="394">
        <v>0</v>
      </c>
      <c r="G72" s="394">
        <f t="shared" ref="G72:G74" si="46">ROUND(D72+E72+F72,2)</f>
        <v>123643.22</v>
      </c>
      <c r="H72" s="394">
        <f>ROUND(SUMIF('Prior Invoice Log (OP)'!B:B,'Budget to Actual (OP)'!C72,'Prior Invoice Log (OP)'!H:H),2)</f>
        <v>45640.01</v>
      </c>
      <c r="I72" s="395">
        <f>ROUND(SUMIF('Current Invoice Log (OP)'!B:B,C72,'Current Invoice Log (OP)'!H:H),2)</f>
        <v>0</v>
      </c>
      <c r="J72" s="394">
        <f t="shared" ref="J72:J74" si="47">ROUND(SUM(H72:I72),2)</f>
        <v>45640.01</v>
      </c>
      <c r="K72" s="396">
        <f t="shared" ref="K72:K74" si="48">IFERROR(J72/G72,0)</f>
        <v>0.3691266694607274</v>
      </c>
      <c r="L72" s="397">
        <f t="shared" ref="L72:L74" si="49">ROUND(+G72-J72,2)</f>
        <v>78003.21</v>
      </c>
    </row>
    <row r="73" ht="18" customHeight="1" hidden="1" spans="1:12" x14ac:dyDescent="0.25">
      <c r="A73" s="372"/>
      <c r="B73" s="393">
        <v>63038</v>
      </c>
      <c r="C73" s="389" t="s">
        <v>501</v>
      </c>
      <c r="D73" s="394">
        <v>0</v>
      </c>
      <c r="E73" s="394">
        <v>0</v>
      </c>
      <c r="F73" s="394">
        <v>0</v>
      </c>
      <c r="G73" s="394">
        <f t="shared" si="46"/>
        <v>0</v>
      </c>
      <c r="H73" s="394">
        <f>ROUND(SUMIF('Prior Invoice Log (OP)'!B:B,'Budget to Actual (OP)'!C73,'Prior Invoice Log (OP)'!H:H),2)</f>
        <v>0</v>
      </c>
      <c r="I73" s="395">
        <f>ROUND(SUMIF('Current Invoice Log (OP)'!B:B,C73,'Current Invoice Log (OP)'!H:H),2)</f>
        <v>0</v>
      </c>
      <c r="J73" s="394">
        <f t="shared" si="47"/>
        <v>0</v>
      </c>
      <c r="K73" s="396">
        <f t="shared" si="48"/>
        <v>0</v>
      </c>
      <c r="L73" s="397">
        <f t="shared" si="49"/>
        <v>0</v>
      </c>
    </row>
    <row r="74" ht="18" customHeight="1" spans="1:12" x14ac:dyDescent="0.25">
      <c r="A74" s="372"/>
      <c r="B74" s="393">
        <v>63027</v>
      </c>
      <c r="C74" s="389" t="s">
        <v>502</v>
      </c>
      <c r="D74" s="394">
        <v>150000</v>
      </c>
      <c r="E74" s="394">
        <v>0</v>
      </c>
      <c r="F74" s="394">
        <v>0</v>
      </c>
      <c r="G74" s="394">
        <f t="shared" si="46"/>
        <v>150000</v>
      </c>
      <c r="H74" s="394">
        <f>ROUND(SUMIF('Prior Invoice Log (OP)'!B:B,'Budget to Actual (OP)'!C74,'Prior Invoice Log (OP)'!H:H),2)</f>
        <v>115915.95</v>
      </c>
      <c r="I74" s="395">
        <f>ROUND(SUMIF('Current Invoice Log (OP)'!B:B,C74,'Current Invoice Log (OP)'!H:H),2)</f>
        <v>5683.19</v>
      </c>
      <c r="J74" s="394">
        <f t="shared" si="47"/>
        <v>121599.14</v>
      </c>
      <c r="K74" s="396">
        <f t="shared" si="48"/>
        <v>0.8106609333333333</v>
      </c>
      <c r="L74" s="397">
        <f t="shared" si="49"/>
        <v>28400.86</v>
      </c>
    </row>
    <row r="75" ht="7.95" customHeight="1" spans="1:12" x14ac:dyDescent="0.25">
      <c r="A75" s="372"/>
      <c r="B75" s="393"/>
      <c r="C75" s="404"/>
      <c r="D75" s="394"/>
      <c r="E75" s="394"/>
      <c r="F75" s="394"/>
      <c r="G75" s="394"/>
      <c r="H75" s="394"/>
      <c r="I75" s="394"/>
      <c r="J75" s="394"/>
      <c r="K75" s="396"/>
      <c r="L75" s="397"/>
    </row>
    <row r="76" ht="18" customHeight="1" spans="1:12" x14ac:dyDescent="0.25">
      <c r="A76" s="372"/>
      <c r="B76" s="398"/>
      <c r="C76" s="405" t="s">
        <v>503</v>
      </c>
      <c r="D76" s="400">
        <f t="shared" ref="D76:J76" si="50">ROUND(SUBTOTAL(9,D72:D75),2)</f>
        <v>273643.22</v>
      </c>
      <c r="E76" s="400">
        <f t="shared" si="50"/>
        <v>0</v>
      </c>
      <c r="F76" s="400">
        <f t="shared" si="50"/>
        <v>0</v>
      </c>
      <c r="G76" s="400">
        <f t="shared" si="50"/>
        <v>273643.22</v>
      </c>
      <c r="H76" s="400">
        <f t="shared" si="50"/>
        <v>161555.96</v>
      </c>
      <c r="I76" s="400">
        <f t="shared" si="50"/>
        <v>5683.19</v>
      </c>
      <c r="J76" s="400">
        <f t="shared" si="50"/>
        <v>167239.15</v>
      </c>
      <c r="K76" s="401">
        <f>IFERROR(J76/G76,0)</f>
        <v>0.6111576599632178</v>
      </c>
      <c r="L76" s="402">
        <f>ROUND(SUBTOTAL(9,L72:L75),2)</f>
        <v>106404.07</v>
      </c>
    </row>
    <row r="77" ht="7.95" customHeight="1" spans="1:12" x14ac:dyDescent="0.25">
      <c r="A77" s="372"/>
      <c r="B77" s="393"/>
      <c r="C77" s="389"/>
      <c r="D77" s="394"/>
      <c r="E77" s="394"/>
      <c r="F77" s="394"/>
      <c r="G77" s="394"/>
      <c r="H77" s="394"/>
      <c r="I77" s="394"/>
      <c r="J77" s="394"/>
      <c r="K77" s="396"/>
      <c r="L77" s="397"/>
    </row>
    <row r="78" ht="18.6" customHeight="1" spans="1:12" x14ac:dyDescent="0.25">
      <c r="A78" s="372"/>
      <c r="B78" s="406"/>
      <c r="C78" s="407" t="s">
        <v>504</v>
      </c>
      <c r="D78" s="408">
        <f t="shared" ref="D78:J78" si="51">ROUND(SUBTOTAL(9,D27:D77),2)</f>
        <v>1002597.17</v>
      </c>
      <c r="E78" s="408">
        <f t="shared" si="51"/>
        <v>0</v>
      </c>
      <c r="F78" s="408">
        <f t="shared" si="51"/>
        <v>0</v>
      </c>
      <c r="G78" s="408">
        <f t="shared" si="51"/>
        <v>1002597.17</v>
      </c>
      <c r="H78" s="408">
        <f t="shared" si="51"/>
        <v>752307.57</v>
      </c>
      <c r="I78" s="408">
        <f>ROUND(SUBTOTAL(9,I27:I77),2)</f>
        <v>40976.21</v>
      </c>
      <c r="J78" s="408">
        <f t="shared" si="51"/>
        <v>793283.78</v>
      </c>
      <c r="K78" s="409">
        <f>IFERROR(J78/G78,0)</f>
        <v>0.7912288242345628</v>
      </c>
      <c r="L78" s="410">
        <f>ROUND(SUBTOTAL(9,L27:L77),2)</f>
        <v>209313.39</v>
      </c>
    </row>
    <row r="79" ht="18.6" customHeight="1" hidden="1" spans="1:12" x14ac:dyDescent="0.25">
      <c r="A79" s="372"/>
      <c r="B79" s="393">
        <v>68060</v>
      </c>
      <c r="C79" s="389" t="s">
        <v>505</v>
      </c>
      <c r="D79" s="394">
        <v>0</v>
      </c>
      <c r="E79" s="394">
        <v>0</v>
      </c>
      <c r="F79" s="394">
        <v>0</v>
      </c>
      <c r="G79" s="394">
        <f t="shared" ref="G79:G84" si="52">ROUND(D79+E79+F79,2)</f>
        <v>0</v>
      </c>
      <c r="H79" s="394">
        <f>ROUND(SUMIF('Prior Invoice Log (OP)'!B:B,'Budget to Actual (OP)'!C79,'Prior Invoice Log (OP)'!H:H),2)</f>
        <v>0</v>
      </c>
      <c r="I79" s="395">
        <f>ROUND(SUMIF('Current Invoice Log (OP)'!B:B,C79,'Current Invoice Log (OP)'!H:H),2)</f>
        <v>0</v>
      </c>
      <c r="J79" s="394">
        <f t="shared" ref="J79:J84" si="53">ROUND(SUM(H79:I79),2)</f>
        <v>0</v>
      </c>
      <c r="K79" s="396">
        <f t="shared" ref="K79:K84" si="54">IFERROR(J79/G79,0)</f>
        <v>0</v>
      </c>
      <c r="L79" s="397">
        <f t="shared" ref="L79:L84" si="55">ROUND(+G79-J79,2)</f>
        <v>0</v>
      </c>
    </row>
    <row r="80" ht="18.6" customHeight="1" spans="1:12" x14ac:dyDescent="0.25">
      <c r="A80" s="372"/>
      <c r="B80" s="393">
        <v>68050</v>
      </c>
      <c r="C80" s="389" t="s">
        <v>125</v>
      </c>
      <c r="D80" s="394">
        <v>115315.76</v>
      </c>
      <c r="E80" s="394">
        <v>0</v>
      </c>
      <c r="F80" s="394">
        <v>0</v>
      </c>
      <c r="G80" s="394">
        <f>ROUND(D80+E80+F80,2)</f>
        <v>115315.76</v>
      </c>
      <c r="H80" s="394">
        <f>ROUND(SUMIF('Prior Invoice Log (OP)'!B:B,'Budget to Actual (OP)'!C80,'Prior Invoice Log (OP)'!H:H),2)</f>
        <v>97743.52</v>
      </c>
      <c r="I80" s="395">
        <f>ROUND(SUMIF('Current Invoice Log (OP)'!B:B,C80,'Current Invoice Log (OP)'!H:H),2)</f>
        <v>-7962.63</v>
      </c>
      <c r="J80" s="394">
        <f t="shared" si="53"/>
        <v>89780.89</v>
      </c>
      <c r="K80" s="396">
        <f t="shared" si="54"/>
        <v>0.7785656531249502</v>
      </c>
      <c r="L80" s="397">
        <f t="shared" si="55"/>
        <v>25534.87</v>
      </c>
    </row>
    <row r="81" ht="18" customHeight="1" hidden="1" spans="1:12" x14ac:dyDescent="0.25">
      <c r="A81" s="372"/>
      <c r="B81" s="393"/>
      <c r="C81" s="389" t="s">
        <v>138</v>
      </c>
      <c r="D81" s="394">
        <v>0</v>
      </c>
      <c r="E81" s="394">
        <v>0</v>
      </c>
      <c r="F81" s="394">
        <v>0</v>
      </c>
      <c r="G81" s="394">
        <f t="shared" si="52"/>
        <v>0</v>
      </c>
      <c r="H81" s="394">
        <f>ROUND(SUMIF('Prior Invoice Log (OP)'!B:B,'Budget to Actual (OP)'!C81,'Prior Invoice Log (OP)'!H:H),2)</f>
        <v>0</v>
      </c>
      <c r="I81" s="395">
        <f>ROUND(SUMIF('Current Invoice Log (OP)'!B:B,C81,'Current Invoice Log (OP)'!H:H),2)</f>
        <v>0</v>
      </c>
      <c r="J81" s="394">
        <f t="shared" si="53"/>
        <v>0</v>
      </c>
      <c r="K81" s="396">
        <f t="shared" si="54"/>
        <v>0</v>
      </c>
      <c r="L81" s="397">
        <f t="shared" si="55"/>
        <v>0</v>
      </c>
    </row>
    <row r="82" ht="18" customHeight="1" spans="1:12" x14ac:dyDescent="0.25">
      <c r="A82" s="372"/>
      <c r="B82" s="393">
        <v>68055</v>
      </c>
      <c r="C82" s="389" t="s">
        <v>126</v>
      </c>
      <c r="D82" s="394">
        <v>191276.8</v>
      </c>
      <c r="E82" s="394">
        <v>0</v>
      </c>
      <c r="F82" s="394">
        <v>0</v>
      </c>
      <c r="G82" s="394">
        <f t="shared" si="52"/>
        <v>191276.8</v>
      </c>
      <c r="H82" s="394">
        <f>ROUND(SUMIF('Prior Invoice Log (OP)'!B:B,'Budget to Actual (OP)'!C82,'Prior Invoice Log (OP)'!H:H),2)</f>
        <v>229659.38</v>
      </c>
      <c r="I82" s="395">
        <f>ROUND(SUMIF('Current Invoice Log (OP)'!B:B,C82,'Current Invoice Log (OP)'!H:H),2)</f>
        <v>27093.47</v>
      </c>
      <c r="J82" s="394">
        <f t="shared" si="53"/>
        <v>256752.85</v>
      </c>
      <c r="K82" s="396">
        <f t="shared" si="54"/>
        <v>1.3423104631612408</v>
      </c>
      <c r="L82" s="397">
        <f t="shared" si="55"/>
        <v>-65476.05</v>
      </c>
    </row>
    <row r="83" ht="18" customHeight="1" hidden="1" spans="1:12" x14ac:dyDescent="0.25">
      <c r="A83" s="372"/>
      <c r="B83" s="393">
        <v>65000</v>
      </c>
      <c r="C83" s="389" t="s">
        <v>506</v>
      </c>
      <c r="D83" s="394">
        <v>0</v>
      </c>
      <c r="E83" s="394">
        <v>0</v>
      </c>
      <c r="F83" s="394">
        <v>0</v>
      </c>
      <c r="G83" s="394">
        <f t="shared" si="52"/>
        <v>0</v>
      </c>
      <c r="H83" s="394">
        <f>ROUND(SUMIF('Prior Invoice Log (OP)'!B:B,'Budget to Actual (OP)'!C83,'Prior Invoice Log (OP)'!H:H),2)</f>
        <v>0</v>
      </c>
      <c r="I83" s="395">
        <f>ROUND(SUMIF('Current Invoice Log (OP)'!B:B,C83,'Current Invoice Log (OP)'!H:H),2)</f>
        <v>0</v>
      </c>
      <c r="J83" s="394">
        <f t="shared" si="53"/>
        <v>0</v>
      </c>
      <c r="K83" s="396">
        <f t="shared" si="54"/>
        <v>0</v>
      </c>
      <c r="L83" s="397">
        <f t="shared" si="55"/>
        <v>0</v>
      </c>
    </row>
    <row r="84" ht="18" customHeight="1" spans="1:12" x14ac:dyDescent="0.25">
      <c r="A84" s="372"/>
      <c r="B84" s="393">
        <v>61150</v>
      </c>
      <c r="C84" s="389" t="s">
        <v>507</v>
      </c>
      <c r="D84" s="394">
        <v>26100</v>
      </c>
      <c r="E84" s="394">
        <v>0</v>
      </c>
      <c r="F84" s="394">
        <v>0</v>
      </c>
      <c r="G84" s="394">
        <f t="shared" si="52"/>
        <v>26100</v>
      </c>
      <c r="H84" s="394">
        <f>ROUND(SUMIF('Prior Invoice Log (OP)'!B:B,'Budget to Actual (OP)'!C84,'Prior Invoice Log (OP)'!H:H),2)</f>
        <v>36198.22</v>
      </c>
      <c r="I84" s="395">
        <f>ROUND(SUMIF('Current Invoice Log (OP)'!B:B,C84,'Current Invoice Log (OP)'!H:H),2)</f>
        <v>1184.69</v>
      </c>
      <c r="J84" s="394">
        <f t="shared" si="53"/>
        <v>37382.91</v>
      </c>
      <c r="K84" s="396">
        <f t="shared" si="54"/>
        <v>1.4322954022988508</v>
      </c>
      <c r="L84" s="397">
        <f t="shared" si="55"/>
        <v>-11282.91</v>
      </c>
    </row>
    <row r="85" ht="7.95" customHeight="1" spans="1:12" x14ac:dyDescent="0.25">
      <c r="A85" s="372"/>
      <c r="B85" s="393"/>
      <c r="C85" s="404"/>
      <c r="D85" s="394"/>
      <c r="E85" s="394"/>
      <c r="F85" s="394"/>
      <c r="G85" s="394"/>
      <c r="H85" s="394"/>
      <c r="I85" s="394"/>
      <c r="J85" s="394"/>
      <c r="K85" s="396"/>
      <c r="L85" s="397"/>
    </row>
    <row r="86" ht="18" customHeight="1" spans="1:12" x14ac:dyDescent="0.25">
      <c r="A86" s="372"/>
      <c r="B86" s="398"/>
      <c r="C86" s="414" t="s">
        <v>508</v>
      </c>
      <c r="D86" s="400">
        <f>ROUND(SUBTOTAL(9,D79:D85),2)</f>
        <v>332692.56</v>
      </c>
      <c r="E86" s="400">
        <f t="shared" ref="E86:L86" si="56">ROUND(SUBTOTAL(9,E79:E85),2)</f>
        <v>0</v>
      </c>
      <c r="F86" s="400">
        <f>ROUND(SUBTOTAL(9,F79:F85),2)</f>
        <v>0</v>
      </c>
      <c r="G86" s="400">
        <f t="shared" si="56"/>
        <v>332692.56</v>
      </c>
      <c r="H86" s="400">
        <f>ROUND(SUBTOTAL(9,H79:H85),2)</f>
        <v>363601.12</v>
      </c>
      <c r="I86" s="400">
        <f t="shared" si="56"/>
        <v>20315.53</v>
      </c>
      <c r="J86" s="400">
        <f t="shared" si="56"/>
        <v>383916.65</v>
      </c>
      <c r="K86" s="401">
        <f>IFERROR(J86/G86,0)</f>
        <v>1.1539682462391105</v>
      </c>
      <c r="L86" s="402">
        <f t="shared" si="56"/>
        <v>-51224.09</v>
      </c>
    </row>
    <row r="87" ht="7.95" customHeight="1" spans="1:12" x14ac:dyDescent="0.25">
      <c r="A87" s="372"/>
      <c r="B87" s="393"/>
      <c r="C87" s="389"/>
      <c r="D87" s="394"/>
      <c r="E87" s="394"/>
      <c r="F87" s="394"/>
      <c r="G87" s="394"/>
      <c r="H87" s="415"/>
      <c r="I87" s="415"/>
      <c r="J87" s="415"/>
      <c r="K87" s="416"/>
      <c r="L87" s="417"/>
    </row>
    <row r="88" ht="18" customHeight="1" spans="1:12" x14ac:dyDescent="0.25">
      <c r="A88" s="372"/>
      <c r="B88" s="406"/>
      <c r="C88" s="407" t="s">
        <v>509</v>
      </c>
      <c r="D88" s="408">
        <f>ROUND(D78+D86,2)</f>
        <v>1335289.73</v>
      </c>
      <c r="E88" s="408">
        <f t="shared" ref="E88:L88" si="57">ROUND(E78+E86,2)</f>
        <v>0</v>
      </c>
      <c r="F88" s="408">
        <f t="shared" si="57"/>
        <v>0</v>
      </c>
      <c r="G88" s="408">
        <f t="shared" si="57"/>
        <v>1335289.73</v>
      </c>
      <c r="H88" s="408">
        <f>ROUND(H78+H86,2)</f>
        <v>1115908.69</v>
      </c>
      <c r="I88" s="408">
        <f>ROUND(I78+I86,2)</f>
        <v>61291.74</v>
      </c>
      <c r="J88" s="408">
        <f t="shared" si="57"/>
        <v>1177200.43</v>
      </c>
      <c r="K88" s="409">
        <f>IFERROR(J88/G88,0)</f>
        <v>0.8816067431298225</v>
      </c>
      <c r="L88" s="410">
        <f t="shared" si="57"/>
        <v>158089.3</v>
      </c>
    </row>
    <row r="89" ht="7.95" customHeight="1" spans="1:12" x14ac:dyDescent="0.25">
      <c r="A89" s="372"/>
      <c r="B89" s="393"/>
      <c r="C89" s="389"/>
      <c r="D89" s="394"/>
      <c r="E89" s="394"/>
      <c r="F89" s="394"/>
      <c r="G89" s="394"/>
      <c r="H89" s="394"/>
      <c r="I89" s="394"/>
      <c r="J89" s="394"/>
      <c r="K89" s="396"/>
      <c r="L89" s="397"/>
    </row>
    <row r="90" ht="18.6" customHeight="1" spans="1:12" x14ac:dyDescent="0.25">
      <c r="A90" s="372"/>
      <c r="B90" s="406"/>
      <c r="C90" s="407" t="s">
        <v>510</v>
      </c>
      <c r="D90" s="408">
        <f t="shared" ref="D90:J90" si="58">ROUND(D26-D88,2)</f>
        <v>487742.47</v>
      </c>
      <c r="E90" s="408">
        <f t="shared" si="58"/>
        <v>0</v>
      </c>
      <c r="F90" s="408">
        <f t="shared" si="58"/>
        <v>0</v>
      </c>
      <c r="G90" s="408">
        <f t="shared" si="58"/>
        <v>487742.47</v>
      </c>
      <c r="H90" s="408">
        <f>ROUND(H26-H88,2)</f>
        <v>-131050.69</v>
      </c>
      <c r="I90" s="408">
        <f>ROUND(I26-I88,2)</f>
        <v>-61291.74</v>
      </c>
      <c r="J90" s="408">
        <f t="shared" si="58"/>
        <v>-192342.43</v>
      </c>
      <c r="K90" s="409">
        <f>IFERROR(J90/G90,0)</f>
        <v>-0.39435243357011746</v>
      </c>
      <c r="L90" s="410">
        <f>ROUND(L26-L88,2)</f>
        <v>680084.9</v>
      </c>
    </row>
    <row r="91" ht="6.6" customHeight="1" spans="1:12" x14ac:dyDescent="0.25">
      <c r="A91" s="372"/>
      <c r="B91" s="393"/>
      <c r="C91" s="389"/>
      <c r="D91" s="394"/>
      <c r="E91" s="394"/>
      <c r="F91" s="394"/>
      <c r="G91" s="394"/>
      <c r="H91" s="394"/>
      <c r="I91" s="395"/>
      <c r="J91" s="394"/>
      <c r="K91" s="396"/>
      <c r="L91" s="397"/>
    </row>
    <row r="92" ht="18" customHeight="1" spans="1:12" x14ac:dyDescent="0.25">
      <c r="A92" s="372"/>
      <c r="B92" s="398"/>
      <c r="C92" s="418" t="s">
        <v>511</v>
      </c>
      <c r="D92" s="400">
        <v>326924.83</v>
      </c>
      <c r="E92" s="400">
        <f>ROUND(SUBTOTAL(9,E88:E91),2)</f>
        <v>0</v>
      </c>
      <c r="F92" s="400">
        <f>ROUND(SUBTOTAL(9,F88:F91),2)</f>
        <v>0</v>
      </c>
      <c r="G92" s="400">
        <f>ROUND(D92+E92+F92,2)</f>
        <v>326924.83</v>
      </c>
      <c r="H92" s="400">
        <v>0</v>
      </c>
      <c r="I92" s="400">
        <v>0</v>
      </c>
      <c r="J92" s="400">
        <f>ROUND(SUBTOTAL(9,J88:J91),2)</f>
        <v>984858</v>
      </c>
      <c r="K92" s="401">
        <f>IFERROR(J92/G92,0)</f>
        <v>3.0124906694912097</v>
      </c>
      <c r="L92" s="402">
        <v>326924.83</v>
      </c>
    </row>
    <row r="93" ht="6.6" customHeight="1" spans="1:12" x14ac:dyDescent="0.25">
      <c r="A93" s="372"/>
      <c r="B93" s="393"/>
      <c r="C93" s="389"/>
      <c r="D93" s="394"/>
      <c r="E93" s="394"/>
      <c r="F93" s="394"/>
      <c r="G93" s="394"/>
      <c r="H93" s="394"/>
      <c r="I93" s="395"/>
      <c r="J93" s="394"/>
      <c r="K93" s="396"/>
      <c r="L93" s="397"/>
    </row>
    <row r="94" ht="18.6" customHeight="1" spans="1:12" x14ac:dyDescent="0.25">
      <c r="A94" s="372"/>
      <c r="B94" s="406"/>
      <c r="C94" s="407" t="s">
        <v>512</v>
      </c>
      <c r="D94" s="408">
        <f>ROUND(D90-D92,2)</f>
        <v>160817.64</v>
      </c>
      <c r="E94" s="408">
        <f t="shared" ref="E94:K94" si="59">ROUND(E90-E92,2)</f>
        <v>0</v>
      </c>
      <c r="F94" s="408">
        <f t="shared" si="59"/>
        <v>0</v>
      </c>
      <c r="G94" s="408">
        <f>ROUND(G90-G92,2)</f>
        <v>160817.64</v>
      </c>
      <c r="H94" s="408">
        <f>ROUND(H90-H92,2)</f>
        <v>-131050.69</v>
      </c>
      <c r="I94" s="408">
        <f>ROUND(I90-I92,2)</f>
        <v>-61291.74</v>
      </c>
      <c r="J94" s="408">
        <f t="shared" si="59"/>
        <v>-1177200.43</v>
      </c>
      <c r="K94" s="409">
        <f t="shared" si="59"/>
        <v>-3.41</v>
      </c>
      <c r="L94" s="410">
        <f>ROUND(L90-L92,2)</f>
        <v>353160.07</v>
      </c>
    </row>
    <row r="95" ht="18.6" customHeight="1" spans="1:13" x14ac:dyDescent="0.25">
      <c r="A95" s="372"/>
      <c r="B95" s="393">
        <v>75000</v>
      </c>
      <c r="C95" s="389" t="s">
        <v>513</v>
      </c>
      <c r="D95" s="394">
        <v>0</v>
      </c>
      <c r="E95" s="394">
        <v>0</v>
      </c>
      <c r="F95" s="394">
        <v>0</v>
      </c>
      <c r="G95" s="394">
        <f t="shared" ref="G95:G103" si="60">ROUND(D95+E95+F95,2)</f>
        <v>0</v>
      </c>
      <c r="H95" s="394">
        <f>ROUND(SUMIF('Prior Invoice Log (OP)'!B:B,'Budget to Actual (OP)'!C95,'Prior Invoice Log (OP)'!H:H),2)</f>
        <v>160698.08</v>
      </c>
      <c r="I95" s="395">
        <f>ROUND(SUMIF('Current Invoice Log (OP)'!B:B,C95,'Current Invoice Log (OP)'!H:H),2)</f>
        <v>0</v>
      </c>
      <c r="J95" s="394">
        <f t="shared" ref="J95:J97" si="61">ROUND(SUM(H95:I95),2)</f>
        <v>160698.08</v>
      </c>
      <c r="K95" s="396">
        <f t="shared" ref="K95:K97" si="62">IFERROR(J95/G95,0)</f>
        <v>0</v>
      </c>
      <c r="L95" s="397">
        <f t="shared" ref="L95:L97" si="63">ROUND(+G95-J95,2)</f>
        <v>-160698.08</v>
      </c>
      <c r="M95" t="s">
        <v>469</v>
      </c>
    </row>
    <row r="96" ht="18" customHeight="1" spans="1:12" x14ac:dyDescent="0.25">
      <c r="A96" s="372"/>
      <c r="B96" s="393">
        <v>75140</v>
      </c>
      <c r="C96" s="389" t="s">
        <v>514</v>
      </c>
      <c r="D96" s="394">
        <v>43000</v>
      </c>
      <c r="E96" s="394">
        <v>0</v>
      </c>
      <c r="F96" s="394">
        <v>0</v>
      </c>
      <c r="G96" s="394">
        <f t="shared" si="60"/>
        <v>43000</v>
      </c>
      <c r="H96" s="394">
        <f>ROUND(SUMIF('Prior Invoice Log (OP)'!B:B,'Budget to Actual (OP)'!C96,'Prior Invoice Log (OP)'!H:H),2)</f>
        <v>3883.45</v>
      </c>
      <c r="I96" s="395">
        <f>ROUND(SUMIF('Current Invoice Log (OP)'!B:B,C96,'Current Invoice Log (OP)'!H:H),2)</f>
        <v>0</v>
      </c>
      <c r="J96" s="394">
        <f t="shared" si="61"/>
        <v>3883.45</v>
      </c>
      <c r="K96" s="396">
        <f t="shared" si="62"/>
        <v>0.09031279069767441</v>
      </c>
      <c r="L96" s="397">
        <f t="shared" si="63"/>
        <v>39116.55</v>
      </c>
    </row>
    <row r="97" ht="18" customHeight="1" spans="1:12" x14ac:dyDescent="0.25">
      <c r="A97" s="372"/>
      <c r="B97" s="393">
        <v>75110</v>
      </c>
      <c r="C97" s="389" t="s">
        <v>515</v>
      </c>
      <c r="D97" s="394">
        <v>0</v>
      </c>
      <c r="E97" s="394">
        <v>0</v>
      </c>
      <c r="F97" s="394">
        <v>0</v>
      </c>
      <c r="G97" s="394">
        <f t="shared" si="60"/>
        <v>0</v>
      </c>
      <c r="H97" s="394">
        <f>ROUND(SUMIF('Prior Invoice Log (OP)'!B:B,'Budget to Actual (OP)'!C97,'Prior Invoice Log (OP)'!H:H),2)</f>
        <v>0</v>
      </c>
      <c r="I97" s="395">
        <f>ROUND(SUMIF('Current Invoice Log (OP)'!B:B,C97,'Current Invoice Log (OP)'!H:H),2)</f>
        <v>0</v>
      </c>
      <c r="J97" s="394">
        <f t="shared" si="61"/>
        <v>0</v>
      </c>
      <c r="K97" s="396">
        <f t="shared" si="62"/>
        <v>0</v>
      </c>
      <c r="L97" s="397">
        <f t="shared" si="63"/>
        <v>0</v>
      </c>
    </row>
    <row r="98" ht="18" customHeight="1" spans="1:13" x14ac:dyDescent="0.25">
      <c r="A98" s="372"/>
      <c r="B98" s="393">
        <v>75005</v>
      </c>
      <c r="C98" s="389" t="s">
        <v>516</v>
      </c>
      <c r="D98" s="394">
        <v>0</v>
      </c>
      <c r="E98" s="394">
        <v>0</v>
      </c>
      <c r="F98" s="394">
        <v>0</v>
      </c>
      <c r="G98" s="394">
        <f t="shared" ref="G98:G99" si="64">ROUND(D98+E98+F98,2)</f>
        <v>0</v>
      </c>
      <c r="H98" s="394">
        <f>ROUND(SUMIF('Prior Invoice Log (OP)'!B:B,'Budget to Actual (OP)'!C98,'Prior Invoice Log (OP)'!H:H),2)</f>
        <v>3953.57</v>
      </c>
      <c r="I98" s="395">
        <f>ROUND(SUMIF('Current Invoice Log (OP)'!B:B,C98,'Current Invoice Log (OP)'!H:H),2)</f>
        <v>3285.89</v>
      </c>
      <c r="J98" s="394">
        <f t="shared" ref="J98:J99" si="65">ROUND(SUM(H98:I98),2)</f>
        <v>7239.46</v>
      </c>
      <c r="K98" s="396">
        <f t="shared" ref="K98:K99" si="66">IFERROR(J98/G98,0)</f>
        <v>0</v>
      </c>
      <c r="L98" s="397">
        <f t="shared" ref="L98:L99" si="67">ROUND(+G98-J98,2)</f>
        <v>-7239.46</v>
      </c>
      <c r="M98" t="s">
        <v>469</v>
      </c>
    </row>
    <row r="99" ht="18" customHeight="1" spans="1:13" x14ac:dyDescent="0.25">
      <c r="A99" s="372"/>
      <c r="B99" s="393">
        <v>75006</v>
      </c>
      <c r="C99" s="389" t="s">
        <v>517</v>
      </c>
      <c r="D99" s="394">
        <v>0</v>
      </c>
      <c r="E99" s="394">
        <v>0</v>
      </c>
      <c r="F99" s="394">
        <v>0</v>
      </c>
      <c r="G99" s="394">
        <f t="shared" si="64"/>
        <v>0</v>
      </c>
      <c r="H99" s="394">
        <f>ROUND(SUMIF('Prior Invoice Log (OP)'!B:B,'Budget to Actual (OP)'!C99,'Prior Invoice Log (OP)'!H:H),2)</f>
        <v>0</v>
      </c>
      <c r="I99" s="395">
        <f>ROUND(SUMIF('Current Invoice Log (OP)'!B:B,C99,'Current Invoice Log (OP)'!H:H),2)</f>
        <v>0</v>
      </c>
      <c r="J99" s="394">
        <f t="shared" si="65"/>
        <v>0</v>
      </c>
      <c r="K99" s="396">
        <f t="shared" si="66"/>
        <v>0</v>
      </c>
      <c r="L99" s="397">
        <f t="shared" si="67"/>
        <v>0</v>
      </c>
      <c r="M99" t="s">
        <v>469</v>
      </c>
    </row>
    <row r="100" ht="18" customHeight="1" spans="1:12" x14ac:dyDescent="0.25">
      <c r="A100" s="372"/>
      <c r="B100" s="393"/>
      <c r="C100" s="389" t="s">
        <v>518</v>
      </c>
      <c r="D100" s="394">
        <v>120000</v>
      </c>
      <c r="E100" s="394">
        <v>0</v>
      </c>
      <c r="F100" s="394">
        <v>0</v>
      </c>
      <c r="G100" s="394">
        <f t="shared" si="60"/>
        <v>120000</v>
      </c>
      <c r="H100" s="394">
        <f>ROUND(SUMIF('Prior Invoice Log (OP)'!B:B,'Budget to Actual (OP)'!C100,'Prior Invoice Log (OP)'!H:H),2)</f>
        <v>0</v>
      </c>
      <c r="I100" s="395">
        <f>ROUND(SUMIF('Current Invoice Log (OP)'!B:B,C100,'Current Invoice Log (OP)'!H:H),2)</f>
        <v>0</v>
      </c>
      <c r="J100" s="394">
        <f t="shared" ref="J100:J102" si="68">ROUND(SUM(H100:I100),2)</f>
        <v>0</v>
      </c>
      <c r="K100" s="396">
        <f t="shared" ref="K100:K102" si="69">IFERROR(J100/G100,0)</f>
        <v>0</v>
      </c>
      <c r="L100" s="397">
        <f t="shared" ref="L100:L102" si="70">ROUND(+G100-J100,2)</f>
        <v>120000</v>
      </c>
    </row>
    <row r="101" ht="18" customHeight="1" spans="1:12" x14ac:dyDescent="0.25">
      <c r="A101" s="372"/>
      <c r="B101" s="393"/>
      <c r="C101" s="389" t="s">
        <v>519</v>
      </c>
      <c r="D101" s="394">
        <v>30000</v>
      </c>
      <c r="E101" s="394">
        <v>0</v>
      </c>
      <c r="F101" s="394">
        <v>0</v>
      </c>
      <c r="G101" s="394">
        <f t="shared" si="60"/>
        <v>30000</v>
      </c>
      <c r="H101" s="394">
        <f>ROUND(SUMIF('Prior Invoice Log (OP)'!B:B,'Budget to Actual (OP)'!C101,'Prior Invoice Log (OP)'!H:H),2)</f>
        <v>0</v>
      </c>
      <c r="I101" s="395">
        <f>ROUND(SUMIF('Current Invoice Log (OP)'!B:B,C101,'Current Invoice Log (OP)'!H:H),2)</f>
        <v>0</v>
      </c>
      <c r="J101" s="394">
        <f t="shared" si="68"/>
        <v>0</v>
      </c>
      <c r="K101" s="396">
        <f t="shared" si="69"/>
        <v>0</v>
      </c>
      <c r="L101" s="397">
        <f t="shared" si="70"/>
        <v>30000</v>
      </c>
    </row>
    <row r="102" ht="18" customHeight="1" spans="1:12" x14ac:dyDescent="0.25">
      <c r="A102" s="372"/>
      <c r="B102" s="393"/>
      <c r="C102" s="389" t="s">
        <v>520</v>
      </c>
      <c r="D102" s="394">
        <v>200000</v>
      </c>
      <c r="E102" s="394">
        <v>0</v>
      </c>
      <c r="F102" s="394">
        <v>0</v>
      </c>
      <c r="G102" s="394">
        <f t="shared" si="60"/>
        <v>200000</v>
      </c>
      <c r="H102" s="394">
        <f>ROUND(SUMIF('Prior Invoice Log (OP)'!B:B,'Budget to Actual (OP)'!C102,'Prior Invoice Log (OP)'!H:H),2)</f>
        <v>0</v>
      </c>
      <c r="I102" s="395">
        <f>ROUND(SUMIF('Current Invoice Log (OP)'!B:B,C102,'Current Invoice Log (OP)'!H:H),2)</f>
        <v>0</v>
      </c>
      <c r="J102" s="394">
        <f t="shared" si="68"/>
        <v>0</v>
      </c>
      <c r="K102" s="396">
        <f t="shared" si="69"/>
        <v>0</v>
      </c>
      <c r="L102" s="397">
        <f t="shared" si="70"/>
        <v>200000</v>
      </c>
    </row>
    <row r="103" ht="6" customHeight="1" spans="1:12" x14ac:dyDescent="0.25">
      <c r="A103" s="372"/>
      <c r="B103" s="419"/>
      <c r="C103" s="404"/>
      <c r="D103" s="394"/>
      <c r="E103" s="394"/>
      <c r="F103" s="394"/>
      <c r="G103" s="394">
        <f t="shared" si="60"/>
        <v>0</v>
      </c>
      <c r="H103" s="394"/>
      <c r="I103" s="395"/>
      <c r="J103" s="394"/>
      <c r="K103" s="396"/>
      <c r="L103" s="397"/>
    </row>
    <row r="104" ht="18" customHeight="1" spans="1:12" x14ac:dyDescent="0.25">
      <c r="A104" s="372"/>
      <c r="B104" s="420"/>
      <c r="C104" s="421" t="s">
        <v>521</v>
      </c>
      <c r="D104" s="422">
        <f>ROUND(SUBTOTAL(9,D95:D103),2)</f>
        <v>393000</v>
      </c>
      <c r="E104" s="422">
        <f>ROUND(SUBTOTAL(9,E95:E103),2)</f>
        <v>0</v>
      </c>
      <c r="F104" s="422">
        <f>ROUND(SUBTOTAL(9,F95:F103),2)</f>
        <v>0</v>
      </c>
      <c r="G104" s="422">
        <f>ROUND(SUBTOTAL(9,G95:G103),2)</f>
        <v>393000</v>
      </c>
      <c r="H104" s="422">
        <f t="shared" ref="H104:I104" si="71">ROUND(SUBTOTAL(9,H95:H103),2)</f>
        <v>168535.1</v>
      </c>
      <c r="I104" s="422">
        <f t="shared" si="71"/>
        <v>3285.89</v>
      </c>
      <c r="J104" s="422">
        <f>ROUND(SUBTOTAL(9,J95:J103),2)</f>
        <v>171820.99</v>
      </c>
      <c r="K104" s="423">
        <f>IFERROR(J104/G104,0)</f>
        <v>0.43720353689567426</v>
      </c>
      <c r="L104" s="424">
        <f>ROUND(SUBTOTAL(9,L95:L103),2)</f>
        <v>221179.01</v>
      </c>
    </row>
    <row r="105" hidden="1" spans="1:12" x14ac:dyDescent="0.25" outlineLevel="1" collapsed="1">
      <c r="A105" s="425"/>
      <c r="B105" s="426"/>
      <c r="C105" s="427" t="s">
        <v>522</v>
      </c>
      <c r="D105" s="428"/>
      <c r="E105" s="429"/>
      <c r="F105" s="429"/>
      <c r="G105" s="429"/>
      <c r="H105" s="429"/>
      <c r="I105" s="430">
        <f>(I88+I104)*0.75</f>
        <v>48433.222499999996</v>
      </c>
      <c r="J105" s="429"/>
      <c r="K105" s="429"/>
      <c r="L105" s="431"/>
    </row>
    <row r="106" ht="18" customHeight="1" hidden="1" spans="1:12" x14ac:dyDescent="0.25" outlineLevel="1" collapsed="1">
      <c r="A106" s="372"/>
      <c r="B106" s="432"/>
      <c r="C106" s="433" t="s">
        <v>523</v>
      </c>
      <c r="D106" s="381"/>
      <c r="E106" s="381"/>
      <c r="F106" s="381"/>
      <c r="G106" s="434"/>
      <c r="H106" s="381"/>
      <c r="I106" s="435">
        <f>ROUND(I105,-4)</f>
        <v>50000</v>
      </c>
      <c r="J106" s="381"/>
      <c r="K106" s="381"/>
      <c r="L106" s="436"/>
    </row>
    <row r="107" ht="18" customHeight="1" hidden="1" spans="1:12" x14ac:dyDescent="0.25" outlineLevel="1" collapsed="1">
      <c r="A107" s="372"/>
      <c r="B107" s="437"/>
      <c r="C107" s="438" t="s">
        <v>524</v>
      </c>
      <c r="D107" s="439"/>
      <c r="E107" s="439"/>
      <c r="F107" s="439"/>
      <c r="G107" s="440"/>
      <c r="H107" s="439"/>
      <c r="I107" s="441"/>
      <c r="J107" s="439"/>
      <c r="K107" s="439"/>
      <c r="L107" s="442"/>
    </row>
    <row r="108" ht="18" customHeight="1" hidden="1" spans="1:12" x14ac:dyDescent="0.25" outlineLevel="1" collapsed="1">
      <c r="A108" s="372"/>
      <c r="B108" s="372"/>
      <c r="C108" s="372"/>
      <c r="D108" s="374"/>
      <c r="E108" s="374"/>
      <c r="F108" s="20"/>
      <c r="G108" s="425"/>
      <c r="H108" s="20"/>
      <c r="I108" s="20"/>
      <c r="J108" s="20"/>
      <c r="K108" s="443"/>
      <c r="L108" s="20"/>
    </row>
    <row r="109" hidden="1" spans="7:9" x14ac:dyDescent="0.25" outlineLevel="1" collapsed="1">
      <c r="G109" s="444" t="s">
        <v>525</v>
      </c>
      <c r="H109" s="445">
        <f>ROUND(_xlfn.XLOOKUP("Grand Total",'Prior Revenue Log (OP)'!$D:$D,'Prior Revenue Log (OP)'!$G:$G)-'Budget to Actual (OP)'!H26,2)</f>
        <v>0</v>
      </c>
      <c r="I109" s="445">
        <f>ROUND(_xlfn.XLOOKUP("Grand Total",'Current Revenue Log (OP)'!$D:$D,'Current Revenue Log (OP)'!$G:$G)-'Budget to Actual (OP)'!I26,2)</f>
        <v>0</v>
      </c>
    </row>
    <row r="110" hidden="1" spans="7:9" x14ac:dyDescent="0.25" outlineLevel="1" collapsed="1">
      <c r="G110" s="444" t="s">
        <v>526</v>
      </c>
      <c r="H110" s="445">
        <f>ROUND(_xlfn.XLOOKUP("Grand Total",'Prior Invoice Log (OP)'!$E:$E,'Prior Invoice Log (OP)'!$H:$H)-'Budget to Actual (OP)'!H88-'Budget to Actual (OP)'!H104,2)</f>
        <v>0</v>
      </c>
      <c r="I110" s="445">
        <f>ROUND(_xlfn.XLOOKUP("Grand Total",'Current Invoice Log (OP)'!$E:$E,'Current Invoice Log (OP)'!$H:$H)-'Budget to Actual (OP)'!I88-'Budget to Actual (OP)'!I104,2)</f>
        <v>0</v>
      </c>
    </row>
    <row r="116" spans="9:9" x14ac:dyDescent="0.25">
      <c r="I116" s="446"/>
    </row>
  </sheetData>
  <mergeCells count="9"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L106:L107"/>
  </mergeCells>
  <conditionalFormatting sqref="L10:L104">
    <cfRule type="cellIs" dxfId="12" priority="1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"/>
  <sheetViews>
    <sheetView workbookViewId="0" zoomScale="100" zoomScaleNormal="100">
      <selection activeCell="F31" sqref="F31"/>
    </sheetView>
  </sheetViews>
  <sheetFormatPr defaultRowHeight="13.8" outlineLevelRow="1" outlineLevelCol="1" x14ac:dyDescent="0.3" defaultColWidth="8.88671875" customHeight="1"/>
  <cols>
    <col min="1" max="1" width="4" style="301" customWidth="1"/>
    <col min="2" max="2" width="20.5546875" style="301" customWidth="1"/>
    <col min="3" max="3" width="13.88671875" style="301" customWidth="1"/>
    <col min="4" max="4" width="24.6640625" style="301" customWidth="1"/>
    <col min="5" max="5" width="34.5546875" style="301" customWidth="1"/>
    <col min="6" max="6" width="13.33203125" style="302" customWidth="1"/>
    <col min="7" max="7" width="18.44140625" style="303" customWidth="1"/>
    <col min="8" max="8" width="15.6640625" style="311" customWidth="1"/>
    <col min="9" max="9" width="15.44140625" style="301" outlineLevel="1" collapsed="1" customWidth="1"/>
    <col min="10" max="10" width="8.88671875" style="301" outlineLevel="1" collapsed="1" customWidth="1"/>
    <col min="11" max="11" width="19.33203125" style="301" outlineLevel="1" collapsed="1" customWidth="1"/>
    <col min="12" max="13" width="11.6640625" style="301" outlineLevel="1" collapsed="1" customWidth="1"/>
    <col min="14" max="16384" width="8.88671875" style="301" customWidth="1"/>
  </cols>
  <sheetData>
    <row r="1" ht="3.6" customHeight="1" spans="1:13" x14ac:dyDescent="0.25">
      <c r="A1" s="327"/>
      <c r="B1" s="327"/>
      <c r="C1" s="326"/>
      <c r="D1" s="327"/>
      <c r="E1" s="327"/>
      <c r="F1" s="326"/>
      <c r="G1" s="327"/>
      <c r="H1" s="326"/>
      <c r="I1" s="329"/>
      <c r="J1" s="327"/>
      <c r="K1" s="327"/>
      <c r="L1" s="327"/>
      <c r="M1" s="327"/>
    </row>
    <row r="2" spans="1:12" x14ac:dyDescent="0.25">
      <c r="A2" s="327"/>
      <c r="B2" s="447" t="s">
        <v>176</v>
      </c>
      <c r="C2" s="447" t="s">
        <v>207</v>
      </c>
      <c r="D2" s="447" t="s">
        <v>208</v>
      </c>
      <c r="E2" s="447" t="s">
        <v>527</v>
      </c>
      <c r="F2" s="447" t="s">
        <v>528</v>
      </c>
      <c r="G2" s="447" t="s">
        <v>234</v>
      </c>
      <c r="H2" s="447" t="s">
        <v>212</v>
      </c>
      <c r="I2" s="447" t="s">
        <v>529</v>
      </c>
      <c r="J2" s="327"/>
      <c r="K2" s="448" t="s">
        <v>530</v>
      </c>
      <c r="L2" s="448" t="s">
        <v>531</v>
      </c>
    </row>
    <row r="3" ht="5.4" customHeight="1" x14ac:dyDescent="0.25"/>
    <row r="4" spans="2:9" x14ac:dyDescent="0.25" outlineLevel="1" collapsed="1">
      <c r="B4" s="301" t="s">
        <v>452</v>
      </c>
      <c r="C4" s="302">
        <v>40110</v>
      </c>
      <c r="D4" s="301" t="s">
        <v>532</v>
      </c>
      <c r="H4" s="346"/>
      <c r="I4" s="352"/>
    </row>
    <row r="5" hidden="1" spans="2:9" x14ac:dyDescent="0.25" outlineLevel="1" collapsed="1">
      <c r="B5" s="301" t="s">
        <v>452</v>
      </c>
      <c r="C5" s="302">
        <v>40110</v>
      </c>
      <c r="D5" s="301" t="s">
        <v>532</v>
      </c>
      <c r="E5" s="301" t="s">
        <v>533</v>
      </c>
      <c r="F5" s="302">
        <v>1415</v>
      </c>
      <c r="H5" s="346"/>
      <c r="I5" s="352"/>
    </row>
    <row r="6" ht="4.95" customHeight="1" spans="7:9" x14ac:dyDescent="0.25" outlineLevel="1" collapsed="1">
      <c r="G6" s="449"/>
      <c r="I6" s="302"/>
    </row>
    <row r="7" spans="4:9" x14ac:dyDescent="0.25" outlineLevel="1" collapsed="1">
      <c r="D7" s="301" t="s">
        <v>534</v>
      </c>
      <c r="G7" s="303">
        <f>SUBTOTAL(9,G4:G6)</f>
        <v>0</v>
      </c>
      <c r="I7" s="302"/>
    </row>
    <row r="8" spans="6:9" x14ac:dyDescent="0.25">
      <c r="F8" s="302"/>
      <c r="I8" s="302"/>
    </row>
    <row r="9" spans="2:9" x14ac:dyDescent="0.25">
      <c r="B9" s="301" t="s">
        <v>445</v>
      </c>
      <c r="C9" s="302">
        <v>40120</v>
      </c>
      <c r="D9" s="301" t="s">
        <v>445</v>
      </c>
      <c r="F9" s="302"/>
      <c r="H9" s="346"/>
      <c r="I9" s="352"/>
    </row>
    <row r="10" spans="2:9" x14ac:dyDescent="0.25">
      <c r="B10" s="301" t="s">
        <v>445</v>
      </c>
      <c r="C10" s="302">
        <v>40120</v>
      </c>
      <c r="D10" s="301" t="s">
        <v>445</v>
      </c>
      <c r="F10" s="302"/>
      <c r="H10" s="346"/>
      <c r="I10" s="352"/>
    </row>
    <row r="11" ht="4.95" customHeight="1" spans="3:9" x14ac:dyDescent="0.25">
      <c r="C11" s="302"/>
      <c r="G11" s="449"/>
      <c r="I11" s="302"/>
    </row>
    <row r="12" spans="3:9" x14ac:dyDescent="0.25">
      <c r="C12" s="302"/>
      <c r="D12" s="301" t="s">
        <v>535</v>
      </c>
      <c r="G12" s="303">
        <f>SUBTOTAL(9,G9:G11)</f>
        <v>0</v>
      </c>
      <c r="I12" s="302"/>
    </row>
    <row r="13" spans="9:9" x14ac:dyDescent="0.25">
      <c r="I13" s="302"/>
    </row>
    <row r="14" spans="2:9" x14ac:dyDescent="0.25">
      <c r="B14" s="301" t="s">
        <v>446</v>
      </c>
      <c r="C14" s="302">
        <v>40130</v>
      </c>
      <c r="D14" s="301" t="s">
        <v>446</v>
      </c>
      <c r="F14" s="302"/>
      <c r="H14" s="346"/>
      <c r="I14" s="352"/>
    </row>
    <row r="15" spans="2:9" x14ac:dyDescent="0.25">
      <c r="B15" s="301" t="s">
        <v>446</v>
      </c>
      <c r="C15" s="302">
        <v>40130</v>
      </c>
      <c r="D15" s="301" t="s">
        <v>446</v>
      </c>
      <c r="F15" s="302"/>
      <c r="H15" s="346"/>
      <c r="I15" s="352"/>
    </row>
    <row r="16" ht="4.95" customHeight="1" spans="3:9" x14ac:dyDescent="0.25">
      <c r="C16" s="302"/>
      <c r="G16" s="449"/>
      <c r="H16" s="301"/>
      <c r="I16" s="302"/>
    </row>
    <row r="17" spans="3:9" x14ac:dyDescent="0.25">
      <c r="C17" s="302"/>
      <c r="D17" s="301" t="s">
        <v>536</v>
      </c>
      <c r="G17" s="303">
        <f>SUBTOTAL(9,G14:G16)</f>
        <v>0</v>
      </c>
      <c r="H17" s="301"/>
      <c r="I17" s="302"/>
    </row>
    <row r="18" hidden="1" spans="3:9" x14ac:dyDescent="0.25" outlineLevel="1" collapsed="1">
      <c r="C18" s="302"/>
      <c r="H18" s="301"/>
      <c r="I18" s="302"/>
    </row>
    <row r="19" hidden="1" spans="2:9" x14ac:dyDescent="0.25" outlineLevel="1" collapsed="1">
      <c r="B19" s="301" t="s">
        <v>537</v>
      </c>
      <c r="C19" s="302">
        <v>40140</v>
      </c>
      <c r="D19" s="301" t="s">
        <v>538</v>
      </c>
      <c r="E19" s="301" t="s">
        <v>539</v>
      </c>
      <c r="H19" s="345"/>
      <c r="I19" s="352"/>
    </row>
    <row r="20" ht="4.95" customHeight="1" hidden="1" spans="3:9" x14ac:dyDescent="0.25" outlineLevel="1" collapsed="1">
      <c r="C20" s="302"/>
      <c r="G20" s="449"/>
      <c r="H20" s="301"/>
      <c r="I20" s="302"/>
    </row>
    <row r="21" hidden="1" spans="3:9" x14ac:dyDescent="0.25" outlineLevel="1" collapsed="1">
      <c r="C21" s="302"/>
      <c r="D21" s="301" t="s">
        <v>540</v>
      </c>
      <c r="G21" s="303">
        <f>SUBTOTAL(9,G19:G20)</f>
        <v>0</v>
      </c>
      <c r="H21" s="301"/>
      <c r="I21" s="302"/>
    </row>
    <row r="22" spans="3:9" x14ac:dyDescent="0.25">
      <c r="C22" s="302"/>
      <c r="H22" s="301"/>
      <c r="I22" s="302"/>
    </row>
    <row r="23" hidden="1" spans="2:9" x14ac:dyDescent="0.25">
      <c r="B23" s="301" t="s">
        <v>454</v>
      </c>
      <c r="C23" s="302">
        <v>40150</v>
      </c>
      <c r="D23" s="301" t="s">
        <v>541</v>
      </c>
      <c r="E23" s="301" t="s">
        <v>542</v>
      </c>
      <c r="F23" s="302"/>
      <c r="H23" s="346"/>
      <c r="I23" s="352"/>
    </row>
    <row r="24" ht="4.95" customHeight="1" hidden="1" spans="3:9" x14ac:dyDescent="0.25">
      <c r="C24" s="302"/>
      <c r="G24" s="449"/>
      <c r="H24" s="301"/>
      <c r="I24" s="302"/>
    </row>
    <row r="25" hidden="1" spans="3:9" x14ac:dyDescent="0.25">
      <c r="C25" s="302"/>
      <c r="D25" s="301" t="s">
        <v>543</v>
      </c>
      <c r="G25" s="303">
        <f>SUBTOTAL(9,G23:G24)</f>
        <v>0</v>
      </c>
      <c r="H25" s="301"/>
      <c r="I25" s="302"/>
    </row>
    <row r="26" hidden="1" spans="3:9" x14ac:dyDescent="0.25">
      <c r="C26" s="302"/>
      <c r="H26" s="301"/>
      <c r="I26" s="302"/>
    </row>
    <row r="27" ht="14.4" customHeight="1" spans="3:9" x14ac:dyDescent="0.25">
      <c r="C27" s="302"/>
      <c r="D27" s="301" t="s">
        <v>232</v>
      </c>
      <c r="G27" s="450">
        <f>SUBTOTAL(9,G4:G26)</f>
        <v>0</v>
      </c>
      <c r="H27" s="301"/>
      <c r="I27" s="302"/>
    </row>
    <row r="28" ht="14.4" customHeight="1" spans="9:9" x14ac:dyDescent="0.25">
      <c r="I28" s="302"/>
    </row>
    <row r="29" spans="9:9" x14ac:dyDescent="0.25">
      <c r="I29" s="302"/>
    </row>
    <row r="30" spans="9:9" x14ac:dyDescent="0.25">
      <c r="I30" s="302"/>
    </row>
    <row r="31" spans="9:9" x14ac:dyDescent="0.25">
      <c r="I31" s="302"/>
    </row>
    <row r="32" spans="9:9" x14ac:dyDescent="0.25">
      <c r="I32" s="302"/>
    </row>
    <row r="33" spans="9:9" x14ac:dyDescent="0.25">
      <c r="I33" s="302"/>
    </row>
    <row r="34" spans="9:9" x14ac:dyDescent="0.25">
      <c r="I34" s="302"/>
    </row>
    <row r="35" spans="9:9" x14ac:dyDescent="0.25">
      <c r="I35" s="302"/>
    </row>
    <row r="36" spans="9:9" x14ac:dyDescent="0.25">
      <c r="I36" s="302"/>
    </row>
    <row r="37" spans="9:9" x14ac:dyDescent="0.25">
      <c r="I37" s="302"/>
    </row>
    <row r="38" spans="9:9" x14ac:dyDescent="0.25">
      <c r="I38" s="302"/>
    </row>
    <row r="39" spans="9:9" x14ac:dyDescent="0.25">
      <c r="I39" s="302"/>
    </row>
    <row r="40" spans="9:9" x14ac:dyDescent="0.25">
      <c r="I40" s="302"/>
    </row>
    <row r="41" spans="9:9" x14ac:dyDescent="0.25">
      <c r="I41" s="302"/>
    </row>
    <row r="42" spans="9:9" x14ac:dyDescent="0.25">
      <c r="I42" s="302"/>
    </row>
    <row r="43" spans="9:9" x14ac:dyDescent="0.25">
      <c r="I43" s="302"/>
    </row>
    <row r="44" spans="9:9" x14ac:dyDescent="0.25">
      <c r="I44" s="302"/>
    </row>
  </sheetData>
  <mergeCells count="2">
    <mergeCell ref="A1:B1"/>
    <mergeCell ref="J1:K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workbookViewId="0" zoomScale="100" zoomScaleNormal="100">
      <pane xSplit="1" ySplit="2" topLeftCell="B43" activePane="bottomRight" state="frozen"/>
      <selection pane="bottomRight" activeCell="F31" sqref="F31"/>
    </sheetView>
  </sheetViews>
  <sheetFormatPr defaultRowHeight="13.8" outlineLevelRow="0" outlineLevelCol="1" x14ac:dyDescent="0.3" defaultColWidth="8.88671875" customHeight="1"/>
  <cols>
    <col min="1" max="1" width="1" style="301" customWidth="1"/>
    <col min="2" max="2" width="23.33203125" style="301" customWidth="1"/>
    <col min="3" max="3" width="12" style="302" customWidth="1"/>
    <col min="4" max="4" width="25.33203125" style="301" customWidth="1"/>
    <col min="5" max="5" width="29.88671875" style="301" customWidth="1"/>
    <col min="6" max="6" width="9.6640625" style="304" customWidth="1"/>
    <col min="7" max="7" width="16.109375" style="303" customWidth="1"/>
    <col min="8" max="8" width="16.6640625" style="301" customWidth="1"/>
    <col min="9" max="9" width="13.6640625" style="301" outlineLevel="1" collapsed="1" customWidth="1"/>
    <col min="10" max="10" width="8.88671875" style="301" outlineLevel="1" collapsed="1" customWidth="1"/>
    <col min="11" max="11" width="19.33203125" style="301" outlineLevel="1" collapsed="1" customWidth="1"/>
    <col min="12" max="13" width="11.6640625" style="301" outlineLevel="1" collapsed="1" customWidth="1"/>
    <col min="14" max="15" width="24.109375" style="301" outlineLevel="1" collapsed="1" customWidth="1"/>
    <col min="16" max="16" width="30.5546875" style="301" customWidth="1"/>
    <col min="17" max="17" width="15.5546875" style="301" customWidth="1"/>
    <col min="18" max="16384" width="8.88671875" style="301" customWidth="1"/>
  </cols>
  <sheetData>
    <row r="1" ht="3.6" customHeight="1" spans="1:15" x14ac:dyDescent="0.25">
      <c r="A1" s="327"/>
      <c r="B1" s="327"/>
      <c r="C1" s="326"/>
      <c r="D1" s="327"/>
      <c r="E1" s="327"/>
      <c r="F1" s="329"/>
      <c r="G1" s="327"/>
      <c r="H1" s="329"/>
      <c r="I1" s="329"/>
      <c r="J1" s="327"/>
      <c r="K1" s="327"/>
      <c r="L1" s="327"/>
      <c r="M1" s="327"/>
      <c r="N1" s="327"/>
      <c r="O1" s="327"/>
    </row>
    <row r="2" spans="1:12" x14ac:dyDescent="0.25">
      <c r="A2" s="327"/>
      <c r="B2" s="447" t="s">
        <v>176</v>
      </c>
      <c r="C2" s="447" t="s">
        <v>207</v>
      </c>
      <c r="D2" s="447" t="s">
        <v>208</v>
      </c>
      <c r="E2" s="447" t="s">
        <v>527</v>
      </c>
      <c r="F2" s="447" t="s">
        <v>528</v>
      </c>
      <c r="G2" s="447" t="s">
        <v>234</v>
      </c>
      <c r="H2" s="447" t="s">
        <v>212</v>
      </c>
      <c r="I2" s="447" t="s">
        <v>529</v>
      </c>
      <c r="J2" s="327"/>
      <c r="K2" s="448" t="s">
        <v>530</v>
      </c>
      <c r="L2" s="448" t="s">
        <v>531</v>
      </c>
    </row>
    <row r="3" ht="5.4" customHeight="1" x14ac:dyDescent="0.25"/>
    <row r="4" spans="2:9" x14ac:dyDescent="0.25">
      <c r="B4" s="301" t="s">
        <v>452</v>
      </c>
      <c r="C4" s="302">
        <v>40110</v>
      </c>
      <c r="D4" s="301" t="s">
        <v>532</v>
      </c>
      <c r="E4" s="301" t="s">
        <v>544</v>
      </c>
      <c r="F4" s="304">
        <v>1303</v>
      </c>
      <c r="G4" s="303">
        <v>6500</v>
      </c>
      <c r="H4" s="346">
        <v>45658</v>
      </c>
      <c r="I4" s="330">
        <v>45689</v>
      </c>
    </row>
    <row r="5" spans="2:9" x14ac:dyDescent="0.25">
      <c r="B5" s="301" t="s">
        <v>452</v>
      </c>
      <c r="C5" s="302">
        <v>40110</v>
      </c>
      <c r="D5" s="301" t="s">
        <v>532</v>
      </c>
      <c r="E5" s="301" t="s">
        <v>533</v>
      </c>
      <c r="F5" s="304">
        <v>1405</v>
      </c>
      <c r="G5" s="303">
        <v>4500</v>
      </c>
      <c r="H5" s="346">
        <v>45658</v>
      </c>
      <c r="I5" s="330">
        <v>45689</v>
      </c>
    </row>
    <row r="6" spans="2:15" x14ac:dyDescent="0.25">
      <c r="B6" s="301" t="s">
        <v>452</v>
      </c>
      <c r="C6" s="302">
        <v>40110</v>
      </c>
      <c r="D6" s="301" t="s">
        <v>532</v>
      </c>
      <c r="E6" s="301" t="s">
        <v>544</v>
      </c>
      <c r="F6" s="304">
        <v>1404</v>
      </c>
      <c r="G6" s="303">
        <v>6760</v>
      </c>
      <c r="H6" s="346">
        <v>45689</v>
      </c>
      <c r="I6" s="330">
        <v>45720</v>
      </c>
      <c r="M6" s="301" t="s">
        <v>545</v>
      </c>
      <c r="N6" s="301" t="s">
        <v>546</v>
      </c>
      <c r="O6" s="301" t="s">
        <v>547</v>
      </c>
    </row>
    <row r="7" spans="2:15" x14ac:dyDescent="0.25">
      <c r="B7" s="301" t="s">
        <v>452</v>
      </c>
      <c r="C7" s="302">
        <v>40110</v>
      </c>
      <c r="D7" s="301" t="s">
        <v>532</v>
      </c>
      <c r="E7" s="301" t="s">
        <v>533</v>
      </c>
      <c r="F7" s="304">
        <v>1406</v>
      </c>
      <c r="G7" s="303">
        <v>4500</v>
      </c>
      <c r="H7" s="346">
        <v>45689</v>
      </c>
      <c r="I7" s="330">
        <v>45720</v>
      </c>
      <c r="M7" s="301">
        <v>40110</v>
      </c>
      <c r="N7" s="301" t="s">
        <v>452</v>
      </c>
      <c r="O7" s="301" t="s">
        <v>548</v>
      </c>
    </row>
    <row r="8" spans="2:15" x14ac:dyDescent="0.25">
      <c r="B8" s="301" t="s">
        <v>452</v>
      </c>
      <c r="C8" s="302">
        <v>40110</v>
      </c>
      <c r="D8" s="301" t="s">
        <v>532</v>
      </c>
      <c r="E8" s="301" t="s">
        <v>544</v>
      </c>
      <c r="F8" s="304">
        <v>1405</v>
      </c>
      <c r="G8" s="303">
        <v>6760</v>
      </c>
      <c r="H8" s="346">
        <v>45717</v>
      </c>
      <c r="I8" s="330">
        <v>45748</v>
      </c>
      <c r="M8" s="301">
        <v>40120</v>
      </c>
      <c r="N8" s="301" t="s">
        <v>445</v>
      </c>
      <c r="O8" s="301" t="s">
        <v>549</v>
      </c>
    </row>
    <row r="9" spans="2:15" x14ac:dyDescent="0.25">
      <c r="B9" s="301" t="s">
        <v>452</v>
      </c>
      <c r="C9" s="302">
        <v>40110</v>
      </c>
      <c r="D9" s="301" t="s">
        <v>532</v>
      </c>
      <c r="E9" s="301" t="s">
        <v>533</v>
      </c>
      <c r="F9" s="304">
        <v>1407</v>
      </c>
      <c r="G9" s="303">
        <v>4500</v>
      </c>
      <c r="H9" s="346">
        <v>45717</v>
      </c>
      <c r="I9" s="330">
        <v>45748</v>
      </c>
      <c r="M9" s="301">
        <v>40130</v>
      </c>
      <c r="N9" s="301" t="s">
        <v>446</v>
      </c>
      <c r="O9" s="301" t="s">
        <v>550</v>
      </c>
    </row>
    <row r="10" spans="2:15" x14ac:dyDescent="0.25">
      <c r="B10" s="301" t="s">
        <v>452</v>
      </c>
      <c r="C10" s="302">
        <v>40110</v>
      </c>
      <c r="D10" s="301" t="s">
        <v>532</v>
      </c>
      <c r="E10" s="301" t="s">
        <v>544</v>
      </c>
      <c r="F10" s="304">
        <v>1506</v>
      </c>
      <c r="G10" s="303">
        <v>6760</v>
      </c>
      <c r="H10" s="346">
        <v>45748</v>
      </c>
      <c r="I10" s="330">
        <v>45778</v>
      </c>
      <c r="M10" s="301">
        <v>40140</v>
      </c>
      <c r="N10" s="301" t="s">
        <v>453</v>
      </c>
      <c r="O10" s="301" t="s">
        <v>453</v>
      </c>
    </row>
    <row r="11" spans="2:15" x14ac:dyDescent="0.25">
      <c r="B11" s="301" t="s">
        <v>452</v>
      </c>
      <c r="C11" s="302">
        <v>40110</v>
      </c>
      <c r="D11" s="301" t="s">
        <v>532</v>
      </c>
      <c r="E11" s="301" t="s">
        <v>533</v>
      </c>
      <c r="F11" s="304">
        <v>1408</v>
      </c>
      <c r="G11" s="303">
        <v>4500</v>
      </c>
      <c r="H11" s="346">
        <v>45748</v>
      </c>
      <c r="I11" s="330">
        <v>45778</v>
      </c>
      <c r="M11" s="301">
        <v>40150</v>
      </c>
      <c r="N11" s="301" t="s">
        <v>454</v>
      </c>
      <c r="O11" s="301" t="s">
        <v>551</v>
      </c>
    </row>
    <row r="12" spans="2:15" x14ac:dyDescent="0.25">
      <c r="B12" s="301" t="s">
        <v>452</v>
      </c>
      <c r="C12" s="302">
        <v>40110</v>
      </c>
      <c r="D12" s="301" t="s">
        <v>532</v>
      </c>
      <c r="E12" s="301" t="s">
        <v>544</v>
      </c>
      <c r="F12" s="304">
        <v>1507</v>
      </c>
      <c r="G12" s="303">
        <v>6760</v>
      </c>
      <c r="H12" s="346">
        <v>45802</v>
      </c>
      <c r="I12" s="330">
        <v>45809</v>
      </c>
      <c r="M12" s="301">
        <v>40160</v>
      </c>
      <c r="N12" s="301" t="s">
        <v>447</v>
      </c>
      <c r="O12" s="301" t="s">
        <v>447</v>
      </c>
    </row>
    <row r="13" spans="2:9" x14ac:dyDescent="0.25">
      <c r="B13" s="301" t="s">
        <v>452</v>
      </c>
      <c r="C13" s="302">
        <v>40110</v>
      </c>
      <c r="D13" s="301" t="s">
        <v>532</v>
      </c>
      <c r="E13" s="301" t="s">
        <v>533</v>
      </c>
      <c r="F13" s="304">
        <v>1409</v>
      </c>
      <c r="G13" s="303">
        <v>4500</v>
      </c>
      <c r="H13" s="346">
        <v>45802</v>
      </c>
      <c r="I13" s="330">
        <v>45809</v>
      </c>
    </row>
    <row r="14" spans="2:9" x14ac:dyDescent="0.25">
      <c r="B14" s="301" t="s">
        <v>452</v>
      </c>
      <c r="C14" s="302">
        <v>40110</v>
      </c>
      <c r="D14" s="301" t="s">
        <v>532</v>
      </c>
      <c r="E14" s="301" t="s">
        <v>544</v>
      </c>
      <c r="F14" s="304">
        <v>1508</v>
      </c>
      <c r="G14" s="303">
        <v>6760</v>
      </c>
      <c r="H14" s="346">
        <v>45833</v>
      </c>
      <c r="I14" s="330">
        <v>45840</v>
      </c>
    </row>
    <row r="15" spans="2:9" x14ac:dyDescent="0.25">
      <c r="B15" s="301" t="s">
        <v>452</v>
      </c>
      <c r="C15" s="302">
        <v>40110</v>
      </c>
      <c r="D15" s="301" t="s">
        <v>532</v>
      </c>
      <c r="E15" s="301" t="s">
        <v>533</v>
      </c>
      <c r="F15" s="304">
        <v>1411</v>
      </c>
      <c r="G15" s="303">
        <v>4500</v>
      </c>
      <c r="H15" s="346">
        <v>45833</v>
      </c>
      <c r="I15" s="330">
        <v>45840</v>
      </c>
    </row>
    <row r="16" spans="2:9" x14ac:dyDescent="0.25">
      <c r="B16" s="301" t="s">
        <v>452</v>
      </c>
      <c r="C16" s="302">
        <v>40110</v>
      </c>
      <c r="D16" s="301" t="s">
        <v>532</v>
      </c>
      <c r="E16" s="301" t="s">
        <v>544</v>
      </c>
      <c r="F16" s="304">
        <v>1509</v>
      </c>
      <c r="G16" s="303">
        <v>6760</v>
      </c>
      <c r="H16" s="346">
        <v>45863</v>
      </c>
      <c r="I16" s="330">
        <v>45869</v>
      </c>
    </row>
    <row r="17" spans="2:9" x14ac:dyDescent="0.25">
      <c r="B17" s="301" t="s">
        <v>452</v>
      </c>
      <c r="C17" s="302">
        <v>40110</v>
      </c>
      <c r="D17" s="301" t="s">
        <v>532</v>
      </c>
      <c r="E17" s="301" t="s">
        <v>533</v>
      </c>
      <c r="F17" s="304">
        <v>1411</v>
      </c>
      <c r="G17" s="303">
        <v>4500</v>
      </c>
      <c r="H17" s="346">
        <v>45863</v>
      </c>
      <c r="I17" s="330">
        <v>45869</v>
      </c>
    </row>
    <row r="18" spans="2:9" x14ac:dyDescent="0.25">
      <c r="B18" s="301" t="s">
        <v>452</v>
      </c>
      <c r="C18" s="302">
        <v>40110</v>
      </c>
      <c r="D18" s="301" t="s">
        <v>532</v>
      </c>
      <c r="E18" s="301" t="s">
        <v>544</v>
      </c>
      <c r="F18" s="304" t="s">
        <v>552</v>
      </c>
      <c r="G18" s="303">
        <v>6760</v>
      </c>
      <c r="H18" s="346">
        <v>45894</v>
      </c>
      <c r="I18" s="330">
        <v>45900</v>
      </c>
    </row>
    <row r="19" spans="2:9" x14ac:dyDescent="0.25">
      <c r="B19" s="301" t="s">
        <v>452</v>
      </c>
      <c r="C19" s="302">
        <v>40110</v>
      </c>
      <c r="D19" s="301" t="s">
        <v>532</v>
      </c>
      <c r="E19" s="301" t="s">
        <v>533</v>
      </c>
      <c r="F19" s="304" t="s">
        <v>553</v>
      </c>
      <c r="G19" s="303">
        <v>4500</v>
      </c>
      <c r="H19" s="346">
        <v>45894</v>
      </c>
      <c r="I19" s="330">
        <v>45900</v>
      </c>
    </row>
    <row r="20" spans="2:9" x14ac:dyDescent="0.25">
      <c r="B20" s="301" t="s">
        <v>452</v>
      </c>
      <c r="C20" s="302">
        <v>40110</v>
      </c>
      <c r="D20" s="301" t="s">
        <v>532</v>
      </c>
      <c r="E20" s="301" t="s">
        <v>544</v>
      </c>
      <c r="F20" s="304" t="s">
        <v>554</v>
      </c>
      <c r="G20" s="303">
        <v>6760</v>
      </c>
      <c r="H20" s="346">
        <v>45901</v>
      </c>
      <c r="I20" s="330">
        <v>45930</v>
      </c>
    </row>
    <row r="21" spans="2:9" x14ac:dyDescent="0.25">
      <c r="B21" s="301" t="s">
        <v>452</v>
      </c>
      <c r="C21" s="302">
        <v>40110</v>
      </c>
      <c r="D21" s="301" t="s">
        <v>532</v>
      </c>
      <c r="E21" s="301" t="s">
        <v>533</v>
      </c>
      <c r="F21" s="304" t="s">
        <v>555</v>
      </c>
      <c r="G21" s="303">
        <v>4500</v>
      </c>
      <c r="H21" s="346">
        <v>45901</v>
      </c>
      <c r="I21" s="330">
        <v>45930</v>
      </c>
    </row>
    <row r="22" spans="2:9" x14ac:dyDescent="0.25">
      <c r="B22" s="301" t="s">
        <v>452</v>
      </c>
      <c r="C22" s="302">
        <v>40110</v>
      </c>
      <c r="D22" s="301" t="s">
        <v>532</v>
      </c>
      <c r="E22" s="301" t="s">
        <v>544</v>
      </c>
      <c r="F22" s="302" t="s">
        <v>556</v>
      </c>
      <c r="G22" s="303">
        <v>6760</v>
      </c>
      <c r="H22" s="346">
        <v>45931</v>
      </c>
      <c r="I22" s="330">
        <v>45961</v>
      </c>
    </row>
    <row r="23" spans="2:9" x14ac:dyDescent="0.25">
      <c r="B23" s="301" t="s">
        <v>452</v>
      </c>
      <c r="C23" s="302">
        <v>40110</v>
      </c>
      <c r="D23" s="301" t="s">
        <v>532</v>
      </c>
      <c r="E23" s="301" t="s">
        <v>533</v>
      </c>
      <c r="F23" s="302">
        <v>1414</v>
      </c>
      <c r="G23" s="303">
        <v>4500</v>
      </c>
      <c r="H23" s="346">
        <v>45931</v>
      </c>
      <c r="I23" s="330">
        <v>45961</v>
      </c>
    </row>
    <row r="24" spans="2:9" x14ac:dyDescent="0.25">
      <c r="B24" s="301" t="s">
        <v>452</v>
      </c>
      <c r="C24" s="302">
        <v>40110</v>
      </c>
      <c r="D24" s="301" t="s">
        <v>532</v>
      </c>
      <c r="E24" s="301" t="s">
        <v>544</v>
      </c>
      <c r="F24" s="302">
        <v>1513</v>
      </c>
      <c r="G24" s="303">
        <v>6760</v>
      </c>
      <c r="H24" s="346">
        <v>45986</v>
      </c>
      <c r="I24" s="330">
        <v>45991</v>
      </c>
    </row>
    <row r="25" spans="2:9" x14ac:dyDescent="0.25">
      <c r="B25" s="301" t="s">
        <v>452</v>
      </c>
      <c r="C25" s="302">
        <v>40110</v>
      </c>
      <c r="D25" s="301" t="s">
        <v>532</v>
      </c>
      <c r="E25" s="301" t="s">
        <v>533</v>
      </c>
      <c r="F25" s="302">
        <v>1415</v>
      </c>
      <c r="G25" s="303">
        <v>4500</v>
      </c>
      <c r="H25" s="346">
        <v>45986</v>
      </c>
      <c r="I25" s="330">
        <v>45991</v>
      </c>
    </row>
    <row r="26" spans="2:9" x14ac:dyDescent="0.25">
      <c r="B26" s="301" t="s">
        <v>452</v>
      </c>
      <c r="C26" s="302">
        <v>40110</v>
      </c>
      <c r="D26" s="301" t="s">
        <v>532</v>
      </c>
      <c r="E26" s="301" t="s">
        <v>544</v>
      </c>
      <c r="F26" s="302">
        <v>1514</v>
      </c>
      <c r="G26" s="303">
        <v>6760</v>
      </c>
      <c r="H26" s="346">
        <v>45992</v>
      </c>
      <c r="I26" s="330">
        <v>45992</v>
      </c>
    </row>
    <row r="27" ht="4.95" customHeight="1" spans="7:7" x14ac:dyDescent="0.25">
      <c r="G27" s="449"/>
    </row>
    <row r="28" spans="4:7" x14ac:dyDescent="0.25">
      <c r="D28" s="301" t="s">
        <v>534</v>
      </c>
      <c r="G28" s="303">
        <f>SUBTOTAL(9,G4:G27)</f>
        <v>130360</v>
      </c>
    </row>
    <row r="29" spans="4:7" x14ac:dyDescent="0.25">
      <c r="D29" s="301"/>
      <c r="G29" s="303"/>
    </row>
    <row r="30" spans="2:9" x14ac:dyDescent="0.25">
      <c r="B30" s="301" t="s">
        <v>445</v>
      </c>
      <c r="C30" s="302">
        <v>40120</v>
      </c>
      <c r="D30" s="301" t="s">
        <v>445</v>
      </c>
      <c r="E30" s="301" t="s">
        <v>557</v>
      </c>
      <c r="F30" s="304">
        <v>1304</v>
      </c>
      <c r="G30" s="303">
        <v>440</v>
      </c>
      <c r="H30" s="346">
        <v>45658</v>
      </c>
      <c r="I30" s="330">
        <v>45699</v>
      </c>
    </row>
    <row r="31" spans="2:9" x14ac:dyDescent="0.25">
      <c r="B31" s="301" t="s">
        <v>445</v>
      </c>
      <c r="C31" s="302">
        <v>40120</v>
      </c>
      <c r="D31" s="301" t="s">
        <v>445</v>
      </c>
      <c r="E31" s="301" t="s">
        <v>558</v>
      </c>
      <c r="F31" s="304">
        <v>1</v>
      </c>
      <c r="G31" s="303">
        <v>16425</v>
      </c>
      <c r="H31" s="346">
        <v>45748</v>
      </c>
      <c r="I31" s="330">
        <v>45779</v>
      </c>
    </row>
    <row r="32" spans="2:9" x14ac:dyDescent="0.25">
      <c r="B32" s="301" t="s">
        <v>445</v>
      </c>
      <c r="C32" s="302">
        <v>40120</v>
      </c>
      <c r="D32" s="301" t="s">
        <v>445</v>
      </c>
      <c r="E32" s="301" t="s">
        <v>557</v>
      </c>
      <c r="F32" s="304">
        <v>8009</v>
      </c>
      <c r="G32" s="303">
        <v>1265</v>
      </c>
      <c r="H32" s="346">
        <v>45748</v>
      </c>
      <c r="I32" s="330">
        <v>45779</v>
      </c>
    </row>
    <row r="33" spans="2:9" x14ac:dyDescent="0.25">
      <c r="B33" s="301" t="s">
        <v>445</v>
      </c>
      <c r="C33" s="302">
        <v>40120</v>
      </c>
      <c r="D33" s="301" t="s">
        <v>445</v>
      </c>
      <c r="E33" s="301" t="s">
        <v>557</v>
      </c>
      <c r="F33" s="304">
        <v>8010</v>
      </c>
      <c r="G33" s="303">
        <v>1760</v>
      </c>
      <c r="H33" s="346">
        <v>45802</v>
      </c>
      <c r="I33" s="330">
        <v>45809</v>
      </c>
    </row>
    <row r="34" spans="2:9" x14ac:dyDescent="0.25">
      <c r="B34" s="301" t="s">
        <v>445</v>
      </c>
      <c r="C34" s="302">
        <v>40120</v>
      </c>
      <c r="D34" s="301" t="s">
        <v>445</v>
      </c>
      <c r="E34" s="301" t="s">
        <v>557</v>
      </c>
      <c r="F34" s="304">
        <v>8011</v>
      </c>
      <c r="G34" s="303">
        <v>1155.5</v>
      </c>
      <c r="H34" s="346">
        <v>45833</v>
      </c>
      <c r="I34" s="330">
        <v>45840</v>
      </c>
    </row>
    <row r="35" spans="2:9" x14ac:dyDescent="0.25">
      <c r="B35" s="301" t="s">
        <v>445</v>
      </c>
      <c r="C35" s="302">
        <v>40120</v>
      </c>
      <c r="D35" s="301" t="s">
        <v>445</v>
      </c>
      <c r="E35" s="301" t="s">
        <v>558</v>
      </c>
      <c r="F35" s="304" t="s">
        <v>559</v>
      </c>
      <c r="G35" s="303">
        <v>1125</v>
      </c>
      <c r="H35" s="346">
        <v>45863</v>
      </c>
      <c r="I35" s="330">
        <v>45869</v>
      </c>
    </row>
    <row r="36" spans="2:9" x14ac:dyDescent="0.25">
      <c r="B36" s="301" t="s">
        <v>445</v>
      </c>
      <c r="C36" s="302">
        <v>40120</v>
      </c>
      <c r="D36" s="301" t="s">
        <v>445</v>
      </c>
      <c r="E36" s="301" t="s">
        <v>557</v>
      </c>
      <c r="F36" s="304">
        <v>8012</v>
      </c>
      <c r="G36" s="303">
        <v>660</v>
      </c>
      <c r="H36" s="346">
        <v>45863</v>
      </c>
      <c r="I36" s="330">
        <v>45869</v>
      </c>
    </row>
    <row r="37" spans="2:9" x14ac:dyDescent="0.25">
      <c r="B37" s="301" t="s">
        <v>445</v>
      </c>
      <c r="C37" s="302">
        <v>40120</v>
      </c>
      <c r="D37" s="301" t="s">
        <v>445</v>
      </c>
      <c r="E37" s="301" t="s">
        <v>558</v>
      </c>
      <c r="F37" s="304" t="s">
        <v>560</v>
      </c>
      <c r="G37" s="303">
        <v>15187.5</v>
      </c>
      <c r="H37" s="346">
        <v>45894</v>
      </c>
      <c r="I37" s="330">
        <v>45900</v>
      </c>
    </row>
    <row r="38" spans="2:9" x14ac:dyDescent="0.25">
      <c r="B38" s="301" t="s">
        <v>445</v>
      </c>
      <c r="C38" s="302">
        <v>40120</v>
      </c>
      <c r="D38" s="301" t="s">
        <v>445</v>
      </c>
      <c r="E38" s="301" t="s">
        <v>557</v>
      </c>
      <c r="F38" s="304" t="s">
        <v>561</v>
      </c>
      <c r="G38" s="303">
        <v>880</v>
      </c>
      <c r="H38" s="346">
        <v>45894</v>
      </c>
      <c r="I38" s="330">
        <v>45900</v>
      </c>
    </row>
    <row r="39" spans="2:9" x14ac:dyDescent="0.25">
      <c r="B39" s="301" t="s">
        <v>445</v>
      </c>
      <c r="C39" s="302">
        <v>40120</v>
      </c>
      <c r="D39" s="301" t="s">
        <v>445</v>
      </c>
      <c r="E39" s="301" t="s">
        <v>558</v>
      </c>
      <c r="F39" s="304" t="s">
        <v>562</v>
      </c>
      <c r="G39" s="303">
        <v>13612.5</v>
      </c>
      <c r="H39" s="346">
        <v>45901</v>
      </c>
      <c r="I39" s="330">
        <v>45930</v>
      </c>
    </row>
    <row r="40" spans="2:9" x14ac:dyDescent="0.25">
      <c r="B40" s="301" t="s">
        <v>445</v>
      </c>
      <c r="C40" s="302">
        <v>40120</v>
      </c>
      <c r="D40" s="301" t="s">
        <v>445</v>
      </c>
      <c r="E40" s="301" t="s">
        <v>558</v>
      </c>
      <c r="F40" s="302">
        <v>8</v>
      </c>
      <c r="G40" s="303">
        <v>5737.5</v>
      </c>
      <c r="H40" s="346">
        <v>45986</v>
      </c>
      <c r="I40" s="330">
        <v>45991</v>
      </c>
    </row>
    <row r="41" spans="2:9" x14ac:dyDescent="0.25">
      <c r="B41" s="301" t="s">
        <v>445</v>
      </c>
      <c r="C41" s="302">
        <v>40120</v>
      </c>
      <c r="D41" s="301" t="s">
        <v>445</v>
      </c>
      <c r="E41" s="301" t="s">
        <v>539</v>
      </c>
      <c r="F41" s="302">
        <v>8015</v>
      </c>
      <c r="G41" s="303">
        <v>275</v>
      </c>
      <c r="H41" s="346">
        <v>45986</v>
      </c>
      <c r="I41" s="330">
        <v>45991</v>
      </c>
    </row>
    <row r="42" spans="2:9" x14ac:dyDescent="0.25">
      <c r="B42" s="301" t="s">
        <v>445</v>
      </c>
      <c r="C42" s="302">
        <v>40120</v>
      </c>
      <c r="D42" s="301" t="s">
        <v>445</v>
      </c>
      <c r="E42" s="301" t="s">
        <v>558</v>
      </c>
      <c r="F42" s="302" t="s">
        <v>563</v>
      </c>
      <c r="G42" s="303">
        <v>6750</v>
      </c>
      <c r="H42" s="346">
        <v>45992</v>
      </c>
      <c r="I42" s="330">
        <v>46022</v>
      </c>
    </row>
    <row r="43" spans="2:9" x14ac:dyDescent="0.25">
      <c r="B43" s="301" t="s">
        <v>445</v>
      </c>
      <c r="C43" s="302">
        <v>40120</v>
      </c>
      <c r="D43" s="301" t="s">
        <v>445</v>
      </c>
      <c r="E43" s="301" t="s">
        <v>539</v>
      </c>
      <c r="F43" s="302" t="s">
        <v>564</v>
      </c>
      <c r="G43" s="303">
        <v>1210</v>
      </c>
      <c r="H43" s="346">
        <v>45992</v>
      </c>
      <c r="I43" s="330">
        <v>46022</v>
      </c>
    </row>
    <row r="44" ht="5.25" customHeight="1" spans="7:8" x14ac:dyDescent="0.25">
      <c r="G44" s="449"/>
      <c r="H44" s="311"/>
    </row>
    <row r="45" spans="4:8" x14ac:dyDescent="0.25">
      <c r="D45" s="301" t="s">
        <v>535</v>
      </c>
      <c r="G45" s="303">
        <f>SUBTOTAL(9,G30:G44)</f>
        <v>66483</v>
      </c>
      <c r="H45" s="311"/>
    </row>
    <row r="46" spans="4:8" x14ac:dyDescent="0.25">
      <c r="D46" s="301"/>
      <c r="G46" s="303"/>
      <c r="H46" s="311"/>
    </row>
    <row r="47" spans="2:9" x14ac:dyDescent="0.25">
      <c r="B47" s="301" t="s">
        <v>446</v>
      </c>
      <c r="C47" s="302">
        <v>40130</v>
      </c>
      <c r="D47" s="301" t="s">
        <v>446</v>
      </c>
      <c r="E47" s="301" t="s">
        <v>565</v>
      </c>
      <c r="F47" s="304">
        <v>1302</v>
      </c>
      <c r="G47" s="303">
        <v>4459</v>
      </c>
      <c r="H47" s="346">
        <v>45658</v>
      </c>
      <c r="I47" s="330">
        <v>45699</v>
      </c>
    </row>
    <row r="48" spans="2:9" x14ac:dyDescent="0.25">
      <c r="B48" s="301" t="s">
        <v>446</v>
      </c>
      <c r="C48" s="302">
        <v>40130</v>
      </c>
      <c r="D48" s="301" t="s">
        <v>446</v>
      </c>
      <c r="E48" s="301" t="s">
        <v>539</v>
      </c>
      <c r="F48" s="304">
        <v>1304</v>
      </c>
      <c r="G48" s="303">
        <v>16740</v>
      </c>
      <c r="H48" s="346">
        <v>45658</v>
      </c>
      <c r="I48" s="330">
        <v>45699</v>
      </c>
    </row>
    <row r="49" spans="2:9" x14ac:dyDescent="0.25">
      <c r="B49" s="301" t="s">
        <v>446</v>
      </c>
      <c r="C49" s="302">
        <v>40130</v>
      </c>
      <c r="D49" s="301" t="s">
        <v>446</v>
      </c>
      <c r="E49" s="301" t="s">
        <v>565</v>
      </c>
      <c r="F49" s="304">
        <v>1402</v>
      </c>
      <c r="G49" s="303">
        <v>3530</v>
      </c>
      <c r="H49" s="346">
        <v>45689</v>
      </c>
      <c r="I49" s="330">
        <v>45720</v>
      </c>
    </row>
    <row r="50" spans="2:9" x14ac:dyDescent="0.25">
      <c r="B50" s="301" t="s">
        <v>446</v>
      </c>
      <c r="C50" s="302">
        <v>40130</v>
      </c>
      <c r="D50" s="301" t="s">
        <v>446</v>
      </c>
      <c r="E50" s="301" t="s">
        <v>539</v>
      </c>
      <c r="F50" s="304">
        <v>1304</v>
      </c>
      <c r="G50" s="303">
        <v>15120</v>
      </c>
      <c r="H50" s="346">
        <v>45689</v>
      </c>
      <c r="I50" s="330">
        <v>45726</v>
      </c>
    </row>
    <row r="51" spans="2:9" x14ac:dyDescent="0.25">
      <c r="B51" s="301" t="s">
        <v>446</v>
      </c>
      <c r="C51" s="302">
        <v>40130</v>
      </c>
      <c r="D51" s="301" t="s">
        <v>446</v>
      </c>
      <c r="E51" s="301" t="s">
        <v>565</v>
      </c>
      <c r="F51" s="304">
        <v>1404</v>
      </c>
      <c r="G51" s="303">
        <v>3530</v>
      </c>
      <c r="H51" s="346">
        <v>45717</v>
      </c>
      <c r="I51" s="330">
        <v>45748</v>
      </c>
    </row>
    <row r="52" spans="2:9" x14ac:dyDescent="0.25">
      <c r="B52" s="301" t="s">
        <v>446</v>
      </c>
      <c r="C52" s="302">
        <v>40130</v>
      </c>
      <c r="D52" s="301" t="s">
        <v>446</v>
      </c>
      <c r="E52" s="301" t="s">
        <v>539</v>
      </c>
      <c r="F52" s="304">
        <v>1406</v>
      </c>
      <c r="G52" s="303">
        <v>16740</v>
      </c>
      <c r="H52" s="346">
        <v>45717</v>
      </c>
      <c r="I52" s="330">
        <v>45748</v>
      </c>
    </row>
    <row r="53" spans="2:9" x14ac:dyDescent="0.25">
      <c r="B53" s="301" t="s">
        <v>446</v>
      </c>
      <c r="C53" s="302">
        <v>40130</v>
      </c>
      <c r="D53" s="301" t="s">
        <v>446</v>
      </c>
      <c r="E53" s="301" t="s">
        <v>558</v>
      </c>
      <c r="F53" s="304">
        <v>1</v>
      </c>
      <c r="G53" s="303">
        <v>36672</v>
      </c>
      <c r="H53" s="346">
        <v>45748</v>
      </c>
      <c r="I53" s="330">
        <v>45779</v>
      </c>
    </row>
    <row r="54" spans="2:9" x14ac:dyDescent="0.25">
      <c r="B54" s="301" t="s">
        <v>446</v>
      </c>
      <c r="C54" s="302">
        <v>40130</v>
      </c>
      <c r="D54" s="301" t="s">
        <v>446</v>
      </c>
      <c r="E54" s="301" t="s">
        <v>539</v>
      </c>
      <c r="F54" s="304">
        <v>8009</v>
      </c>
      <c r="G54" s="303">
        <v>16200</v>
      </c>
      <c r="H54" s="346">
        <v>45748</v>
      </c>
      <c r="I54" s="330">
        <v>45779</v>
      </c>
    </row>
    <row r="55" spans="2:9" x14ac:dyDescent="0.25">
      <c r="B55" s="301" t="s">
        <v>446</v>
      </c>
      <c r="C55" s="302">
        <v>40130</v>
      </c>
      <c r="D55" s="301" t="s">
        <v>446</v>
      </c>
      <c r="E55" s="301" t="s">
        <v>565</v>
      </c>
      <c r="F55" s="304">
        <v>1305</v>
      </c>
      <c r="G55" s="303">
        <v>3530</v>
      </c>
      <c r="H55" s="346">
        <v>45748</v>
      </c>
      <c r="I55" s="330">
        <v>45779</v>
      </c>
    </row>
    <row r="56" spans="2:9" x14ac:dyDescent="0.25">
      <c r="B56" s="301" t="s">
        <v>446</v>
      </c>
      <c r="C56" s="302">
        <v>40130</v>
      </c>
      <c r="D56" s="301" t="s">
        <v>446</v>
      </c>
      <c r="E56" s="301" t="s">
        <v>558</v>
      </c>
      <c r="F56" s="304">
        <v>2</v>
      </c>
      <c r="G56" s="303">
        <v>54312</v>
      </c>
      <c r="H56" s="346">
        <v>45802</v>
      </c>
      <c r="I56" s="330">
        <v>45809</v>
      </c>
    </row>
    <row r="57" spans="2:9" x14ac:dyDescent="0.25">
      <c r="B57" s="301" t="s">
        <v>446</v>
      </c>
      <c r="C57" s="302">
        <v>40130</v>
      </c>
      <c r="D57" s="301" t="s">
        <v>446</v>
      </c>
      <c r="E57" s="301" t="s">
        <v>539</v>
      </c>
      <c r="F57" s="304">
        <v>8010</v>
      </c>
      <c r="G57" s="303">
        <v>16200</v>
      </c>
      <c r="H57" s="346">
        <v>45802</v>
      </c>
      <c r="I57" s="330">
        <v>45809</v>
      </c>
    </row>
    <row r="58" spans="2:9" x14ac:dyDescent="0.25">
      <c r="B58" s="301" t="s">
        <v>446</v>
      </c>
      <c r="C58" s="302">
        <v>40130</v>
      </c>
      <c r="D58" s="301" t="s">
        <v>446</v>
      </c>
      <c r="E58" s="301" t="s">
        <v>565</v>
      </c>
      <c r="F58" s="304">
        <v>1306</v>
      </c>
      <c r="G58" s="303">
        <v>3530</v>
      </c>
      <c r="H58" s="346">
        <v>45802</v>
      </c>
      <c r="I58" s="330">
        <v>45809</v>
      </c>
    </row>
    <row r="59" spans="2:9" x14ac:dyDescent="0.25">
      <c r="B59" s="301" t="s">
        <v>446</v>
      </c>
      <c r="C59" s="302">
        <v>40130</v>
      </c>
      <c r="D59" s="301" t="s">
        <v>446</v>
      </c>
      <c r="E59" s="301" t="s">
        <v>558</v>
      </c>
      <c r="F59" s="304">
        <v>3</v>
      </c>
      <c r="G59" s="303">
        <v>52524</v>
      </c>
      <c r="H59" s="346">
        <v>45833</v>
      </c>
      <c r="I59" s="330">
        <v>45840</v>
      </c>
    </row>
    <row r="60" spans="2:9" x14ac:dyDescent="0.25">
      <c r="B60" s="301" t="s">
        <v>446</v>
      </c>
      <c r="C60" s="302">
        <v>40130</v>
      </c>
      <c r="D60" s="301" t="s">
        <v>446</v>
      </c>
      <c r="E60" s="301" t="s">
        <v>539</v>
      </c>
      <c r="F60" s="304">
        <v>8011</v>
      </c>
      <c r="G60" s="303">
        <v>16200</v>
      </c>
      <c r="H60" s="346">
        <v>45833</v>
      </c>
      <c r="I60" s="330">
        <v>45840</v>
      </c>
    </row>
    <row r="61" spans="2:9" x14ac:dyDescent="0.25">
      <c r="B61" s="301" t="s">
        <v>446</v>
      </c>
      <c r="C61" s="302">
        <v>40130</v>
      </c>
      <c r="D61" s="301" t="s">
        <v>446</v>
      </c>
      <c r="E61" s="301" t="s">
        <v>565</v>
      </c>
      <c r="F61" s="304">
        <v>1307</v>
      </c>
      <c r="G61" s="303">
        <v>3530</v>
      </c>
      <c r="H61" s="346">
        <v>45833</v>
      </c>
      <c r="I61" s="330">
        <v>45840</v>
      </c>
    </row>
    <row r="62" spans="2:9" x14ac:dyDescent="0.25">
      <c r="B62" s="301" t="s">
        <v>446</v>
      </c>
      <c r="C62" s="302">
        <v>40130</v>
      </c>
      <c r="D62" s="301" t="s">
        <v>446</v>
      </c>
      <c r="E62" s="301" t="s">
        <v>558</v>
      </c>
      <c r="F62" s="304">
        <v>4</v>
      </c>
      <c r="G62" s="303">
        <v>52104</v>
      </c>
      <c r="H62" s="346">
        <v>45863</v>
      </c>
      <c r="I62" s="330">
        <v>45869</v>
      </c>
    </row>
    <row r="63" spans="2:9" x14ac:dyDescent="0.25">
      <c r="B63" s="301" t="s">
        <v>446</v>
      </c>
      <c r="C63" s="302">
        <v>40130</v>
      </c>
      <c r="D63" s="301" t="s">
        <v>446</v>
      </c>
      <c r="E63" s="301" t="s">
        <v>539</v>
      </c>
      <c r="F63" s="304">
        <v>8012</v>
      </c>
      <c r="G63" s="303">
        <v>17298</v>
      </c>
      <c r="H63" s="346">
        <v>45863</v>
      </c>
      <c r="I63" s="330">
        <v>45869</v>
      </c>
    </row>
    <row r="64" spans="2:9" x14ac:dyDescent="0.25">
      <c r="B64" s="301" t="s">
        <v>446</v>
      </c>
      <c r="C64" s="302">
        <v>40130</v>
      </c>
      <c r="D64" s="301" t="s">
        <v>446</v>
      </c>
      <c r="E64" s="301" t="s">
        <v>558</v>
      </c>
      <c r="F64" s="304" t="s">
        <v>560</v>
      </c>
      <c r="G64" s="303">
        <v>40524</v>
      </c>
      <c r="H64" s="346">
        <v>45894</v>
      </c>
      <c r="I64" s="330">
        <v>45900</v>
      </c>
    </row>
    <row r="65" spans="2:9" x14ac:dyDescent="0.25">
      <c r="B65" s="301" t="s">
        <v>446</v>
      </c>
      <c r="C65" s="302">
        <v>40130</v>
      </c>
      <c r="D65" s="301" t="s">
        <v>446</v>
      </c>
      <c r="E65" s="301" t="s">
        <v>539</v>
      </c>
      <c r="F65" s="304" t="s">
        <v>561</v>
      </c>
      <c r="G65" s="303">
        <v>17298</v>
      </c>
      <c r="H65" s="346">
        <v>45894</v>
      </c>
      <c r="I65" s="330">
        <v>45900</v>
      </c>
    </row>
    <row r="66" spans="2:9" x14ac:dyDescent="0.25">
      <c r="B66" s="301" t="s">
        <v>446</v>
      </c>
      <c r="C66" s="302">
        <v>40130</v>
      </c>
      <c r="D66" s="301" t="s">
        <v>446</v>
      </c>
      <c r="E66" s="301" t="s">
        <v>558</v>
      </c>
      <c r="F66" s="304" t="s">
        <v>562</v>
      </c>
      <c r="G66" s="303">
        <v>33310</v>
      </c>
      <c r="H66" s="346">
        <v>45901</v>
      </c>
      <c r="I66" s="330">
        <v>45930</v>
      </c>
    </row>
    <row r="67" spans="2:9" x14ac:dyDescent="0.25">
      <c r="B67" s="301" t="s">
        <v>446</v>
      </c>
      <c r="C67" s="302">
        <v>40130</v>
      </c>
      <c r="D67" s="301" t="s">
        <v>446</v>
      </c>
      <c r="E67" s="301" t="s">
        <v>539</v>
      </c>
      <c r="F67" s="304" t="s">
        <v>566</v>
      </c>
      <c r="G67" s="303">
        <v>16200</v>
      </c>
      <c r="H67" s="346">
        <v>45901</v>
      </c>
      <c r="I67" s="330">
        <v>45930</v>
      </c>
    </row>
    <row r="68" spans="2:9" x14ac:dyDescent="0.25">
      <c r="B68" s="301" t="s">
        <v>446</v>
      </c>
      <c r="C68" s="302">
        <v>40130</v>
      </c>
      <c r="D68" s="301" t="s">
        <v>446</v>
      </c>
      <c r="E68" s="301" t="s">
        <v>558</v>
      </c>
      <c r="F68" s="302" t="s">
        <v>567</v>
      </c>
      <c r="G68" s="303">
        <v>37510</v>
      </c>
      <c r="H68" s="346">
        <v>45931</v>
      </c>
      <c r="I68" s="451" t="s">
        <v>568</v>
      </c>
    </row>
    <row r="69" spans="2:9" x14ac:dyDescent="0.25">
      <c r="B69" s="301" t="s">
        <v>446</v>
      </c>
      <c r="C69" s="302">
        <v>40130</v>
      </c>
      <c r="D69" s="301" t="s">
        <v>446</v>
      </c>
      <c r="E69" s="301" t="s">
        <v>539</v>
      </c>
      <c r="F69" s="302" t="s">
        <v>566</v>
      </c>
      <c r="G69" s="303">
        <v>17298</v>
      </c>
      <c r="H69" s="346">
        <v>45931</v>
      </c>
      <c r="I69" s="451" t="s">
        <v>568</v>
      </c>
    </row>
    <row r="70" spans="2:9" x14ac:dyDescent="0.25">
      <c r="B70" s="301" t="s">
        <v>446</v>
      </c>
      <c r="C70" s="302">
        <v>40130</v>
      </c>
      <c r="D70" s="301" t="s">
        <v>446</v>
      </c>
      <c r="E70" s="301" t="s">
        <v>558</v>
      </c>
      <c r="F70" s="302">
        <v>8</v>
      </c>
      <c r="G70" s="303">
        <v>37510</v>
      </c>
      <c r="H70" s="346">
        <v>45986</v>
      </c>
      <c r="I70" s="330">
        <v>45991</v>
      </c>
    </row>
    <row r="71" spans="2:9" x14ac:dyDescent="0.25">
      <c r="B71" s="301" t="s">
        <v>446</v>
      </c>
      <c r="C71" s="302">
        <v>40130</v>
      </c>
      <c r="D71" s="301" t="s">
        <v>446</v>
      </c>
      <c r="E71" s="301" t="s">
        <v>539</v>
      </c>
      <c r="F71" s="302">
        <v>8015</v>
      </c>
      <c r="G71" s="303">
        <v>17298</v>
      </c>
      <c r="H71" s="346">
        <v>45986</v>
      </c>
      <c r="I71" s="330">
        <v>45991</v>
      </c>
    </row>
    <row r="72" spans="2:9" x14ac:dyDescent="0.25">
      <c r="B72" s="301" t="s">
        <v>446</v>
      </c>
      <c r="C72" s="302">
        <v>40130</v>
      </c>
      <c r="D72" s="301" t="s">
        <v>446</v>
      </c>
      <c r="E72" s="301" t="s">
        <v>558</v>
      </c>
      <c r="F72" s="302" t="s">
        <v>563</v>
      </c>
      <c r="G72" s="303">
        <v>21550</v>
      </c>
      <c r="H72" s="346">
        <v>45992</v>
      </c>
      <c r="I72" s="330">
        <v>46022</v>
      </c>
    </row>
    <row r="73" spans="2:9" x14ac:dyDescent="0.25">
      <c r="B73" s="301" t="s">
        <v>446</v>
      </c>
      <c r="C73" s="302">
        <v>40130</v>
      </c>
      <c r="D73" s="301" t="s">
        <v>446</v>
      </c>
      <c r="E73" s="301" t="s">
        <v>539</v>
      </c>
      <c r="F73" s="302" t="s">
        <v>564</v>
      </c>
      <c r="G73" s="303">
        <v>17298</v>
      </c>
      <c r="H73" s="346">
        <v>45992</v>
      </c>
      <c r="I73" s="330">
        <v>46022</v>
      </c>
    </row>
    <row r="74" ht="4.95" customHeight="1" spans="7:7" x14ac:dyDescent="0.25">
      <c r="G74" s="449"/>
    </row>
    <row r="75" spans="4:7" x14ac:dyDescent="0.25">
      <c r="D75" s="301" t="s">
        <v>536</v>
      </c>
      <c r="G75" s="303">
        <f>SUBTOTAL(9,G47:G74)</f>
        <v>588015</v>
      </c>
    </row>
    <row r="77" hidden="1" spans="2:9" x14ac:dyDescent="0.25">
      <c r="B77" s="301" t="s">
        <v>447</v>
      </c>
      <c r="C77" s="302">
        <v>40140</v>
      </c>
      <c r="D77" s="301" t="s">
        <v>538</v>
      </c>
      <c r="H77" s="345"/>
      <c r="I77" s="330">
        <v>45597</v>
      </c>
    </row>
    <row r="78" ht="4.95" customHeight="1" hidden="1" spans="7:7" x14ac:dyDescent="0.25">
      <c r="G78" s="449"/>
    </row>
    <row r="79" hidden="1" spans="4:7" x14ac:dyDescent="0.25">
      <c r="D79" s="301" t="s">
        <v>540</v>
      </c>
      <c r="G79" s="303">
        <f>SUBTOTAL(9,G77:G78)</f>
        <v>0</v>
      </c>
    </row>
    <row r="81" spans="2:9" x14ac:dyDescent="0.25">
      <c r="B81" s="301" t="s">
        <v>454</v>
      </c>
      <c r="C81" s="302">
        <v>40150</v>
      </c>
      <c r="D81" s="301" t="s">
        <v>541</v>
      </c>
      <c r="E81" s="301" t="s">
        <v>542</v>
      </c>
      <c r="F81" s="304">
        <v>1401</v>
      </c>
      <c r="G81" s="303">
        <v>25000</v>
      </c>
      <c r="H81" s="346">
        <v>45658</v>
      </c>
      <c r="I81" s="330">
        <v>45689</v>
      </c>
    </row>
    <row r="82" spans="2:9" x14ac:dyDescent="0.25">
      <c r="B82" s="301" t="s">
        <v>454</v>
      </c>
      <c r="C82" s="302">
        <v>40150</v>
      </c>
      <c r="D82" s="301" t="s">
        <v>541</v>
      </c>
      <c r="E82" s="301" t="s">
        <v>542</v>
      </c>
      <c r="F82" s="304">
        <v>1501</v>
      </c>
      <c r="G82" s="303">
        <v>25000</v>
      </c>
      <c r="H82" s="346">
        <v>45689</v>
      </c>
      <c r="I82" s="330">
        <v>45717</v>
      </c>
    </row>
    <row r="83" spans="2:9" x14ac:dyDescent="0.25">
      <c r="B83" s="301" t="s">
        <v>454</v>
      </c>
      <c r="C83" s="302">
        <v>40150</v>
      </c>
      <c r="D83" s="301" t="s">
        <v>541</v>
      </c>
      <c r="E83" s="301" t="s">
        <v>542</v>
      </c>
      <c r="F83" s="304">
        <v>1403</v>
      </c>
      <c r="G83" s="303">
        <v>25000</v>
      </c>
      <c r="H83" s="346">
        <v>45717</v>
      </c>
      <c r="I83" s="330">
        <v>45748</v>
      </c>
    </row>
    <row r="84" spans="2:9" x14ac:dyDescent="0.25">
      <c r="B84" s="301" t="s">
        <v>454</v>
      </c>
      <c r="C84" s="302">
        <v>40150</v>
      </c>
      <c r="D84" s="301" t="s">
        <v>541</v>
      </c>
      <c r="E84" s="301" t="s">
        <v>542</v>
      </c>
      <c r="F84" s="304">
        <v>1404</v>
      </c>
      <c r="G84" s="303">
        <v>25000</v>
      </c>
      <c r="H84" s="346">
        <v>45748</v>
      </c>
      <c r="I84" s="330">
        <v>45778</v>
      </c>
    </row>
    <row r="85" spans="2:9" x14ac:dyDescent="0.25">
      <c r="B85" s="301" t="s">
        <v>454</v>
      </c>
      <c r="C85" s="302">
        <v>40150</v>
      </c>
      <c r="D85" s="301" t="s">
        <v>541</v>
      </c>
      <c r="E85" s="301" t="s">
        <v>542</v>
      </c>
      <c r="F85" s="304">
        <v>1405</v>
      </c>
      <c r="G85" s="303">
        <v>25000</v>
      </c>
      <c r="H85" s="346">
        <v>45802</v>
      </c>
      <c r="I85" s="330">
        <v>45809</v>
      </c>
    </row>
    <row r="86" spans="2:9" x14ac:dyDescent="0.25">
      <c r="B86" s="301" t="s">
        <v>454</v>
      </c>
      <c r="C86" s="302">
        <v>40150</v>
      </c>
      <c r="D86" s="301" t="s">
        <v>541</v>
      </c>
      <c r="E86" s="301" t="s">
        <v>542</v>
      </c>
      <c r="F86" s="304">
        <v>1406</v>
      </c>
      <c r="G86" s="303">
        <v>25000</v>
      </c>
      <c r="H86" s="346">
        <v>45833</v>
      </c>
      <c r="I86" s="330">
        <v>45840</v>
      </c>
    </row>
    <row r="87" spans="2:9" x14ac:dyDescent="0.25">
      <c r="B87" s="301" t="s">
        <v>454</v>
      </c>
      <c r="C87" s="302">
        <v>40150</v>
      </c>
      <c r="D87" s="301" t="s">
        <v>541</v>
      </c>
      <c r="E87" s="301" t="s">
        <v>542</v>
      </c>
      <c r="F87" s="304">
        <v>1407</v>
      </c>
      <c r="G87" s="303">
        <v>25000</v>
      </c>
      <c r="H87" s="346">
        <v>45863</v>
      </c>
      <c r="I87" s="330">
        <v>45869</v>
      </c>
    </row>
    <row r="88" spans="2:9" x14ac:dyDescent="0.25">
      <c r="B88" s="301" t="s">
        <v>454</v>
      </c>
      <c r="C88" s="302">
        <v>40150</v>
      </c>
      <c r="D88" s="301" t="s">
        <v>541</v>
      </c>
      <c r="E88" s="301" t="s">
        <v>542</v>
      </c>
      <c r="F88" s="304" t="s">
        <v>569</v>
      </c>
      <c r="G88" s="303">
        <v>25000</v>
      </c>
      <c r="H88" s="346">
        <v>45894</v>
      </c>
      <c r="I88" s="330">
        <v>45900</v>
      </c>
    </row>
    <row r="89" ht="6.6" customHeight="1" spans="7:7" x14ac:dyDescent="0.25">
      <c r="G89" s="449"/>
    </row>
    <row r="90" spans="4:7" x14ac:dyDescent="0.25">
      <c r="D90" s="301" t="s">
        <v>543</v>
      </c>
      <c r="G90" s="303">
        <f>SUBTOTAL(9,G81:G89)</f>
        <v>200000</v>
      </c>
    </row>
    <row r="92" ht="14.4" customHeight="1" spans="4:7" x14ac:dyDescent="0.25">
      <c r="D92" s="301" t="s">
        <v>232</v>
      </c>
      <c r="G92" s="450">
        <f>SUBTOTAL(9,G3:G91)</f>
        <v>984858</v>
      </c>
    </row>
    <row r="93" ht="14.4" customHeight="1" x14ac:dyDescent="0.25"/>
  </sheetData>
  <mergeCells count="2">
    <mergeCell ref="A1:B1"/>
    <mergeCell ref="J1: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0"/>
  <sheetViews>
    <sheetView workbookViewId="0" zoomScale="90" zoomScaleNormal="90">
      <selection activeCell="F31" sqref="F31"/>
    </sheetView>
  </sheetViews>
  <sheetFormatPr defaultRowHeight="13.8" outlineLevelRow="1" outlineLevelCol="1" x14ac:dyDescent="0.3" defaultColWidth="8.88671875" customHeight="1"/>
  <cols>
    <col min="1" max="1" width="1.109375" style="301" customWidth="1"/>
    <col min="2" max="2" width="33.33203125" style="301" customWidth="1"/>
    <col min="3" max="3" width="10.33203125" style="302" customWidth="1"/>
    <col min="4" max="4" width="40.88671875" style="301" customWidth="1"/>
    <col min="5" max="5" width="42.33203125" style="301" customWidth="1"/>
    <col min="6" max="6" width="36.33203125" style="301" customWidth="1"/>
    <col min="7" max="7" width="39.33203125" style="304" customWidth="1"/>
    <col min="8" max="8" width="15.44140625" style="301" customWidth="1"/>
    <col min="9" max="9" width="15.6640625" style="311" customWidth="1"/>
    <col min="10" max="10" width="15.88671875" style="301" outlineLevel="1" collapsed="1" customWidth="1"/>
    <col min="11" max="11" width="1.88671875" style="301" outlineLevel="1" collapsed="1" customWidth="1"/>
    <col min="12" max="12" width="19.33203125" style="301" outlineLevel="1" collapsed="1" customWidth="1"/>
    <col min="13" max="13" width="11.6640625" style="301" outlineLevel="1" collapsed="1" customWidth="1"/>
    <col min="14" max="16384" width="8.88671875" style="301" customWidth="1"/>
  </cols>
  <sheetData>
    <row r="1" ht="6" customHeight="1" spans="1:14" x14ac:dyDescent="0.25">
      <c r="A1" s="327"/>
      <c r="B1" s="327"/>
      <c r="C1" s="326"/>
      <c r="D1" s="326"/>
      <c r="E1" s="327"/>
      <c r="F1" s="327"/>
      <c r="G1" s="329"/>
      <c r="H1" s="327"/>
      <c r="I1" s="452"/>
      <c r="J1" s="329"/>
      <c r="K1" s="327"/>
      <c r="L1" s="327"/>
      <c r="M1" s="327"/>
      <c r="N1" s="327"/>
    </row>
    <row r="2" spans="1:14" x14ac:dyDescent="0.25">
      <c r="A2" s="327"/>
      <c r="B2" s="447" t="s">
        <v>176</v>
      </c>
      <c r="C2" s="447" t="s">
        <v>207</v>
      </c>
      <c r="D2" s="447" t="s">
        <v>206</v>
      </c>
      <c r="E2" s="447" t="s">
        <v>208</v>
      </c>
      <c r="F2" s="447" t="s">
        <v>209</v>
      </c>
      <c r="G2" s="447" t="s">
        <v>570</v>
      </c>
      <c r="H2" s="447" t="s">
        <v>234</v>
      </c>
      <c r="I2" s="447" t="s">
        <v>212</v>
      </c>
      <c r="J2" s="447" t="s">
        <v>529</v>
      </c>
      <c r="K2" s="327"/>
      <c r="L2" s="448" t="s">
        <v>530</v>
      </c>
      <c r="M2" s="448" t="s">
        <v>531</v>
      </c>
      <c r="N2" s="327"/>
    </row>
    <row r="3" spans="7:7" x14ac:dyDescent="0.25">
      <c r="G3" s="301"/>
    </row>
    <row r="4" spans="2:10" x14ac:dyDescent="0.25">
      <c r="B4" s="301" t="s">
        <v>482</v>
      </c>
      <c r="C4" s="326">
        <v>60210</v>
      </c>
      <c r="D4" s="301" t="s">
        <v>571</v>
      </c>
      <c r="E4" s="301" t="s">
        <v>571</v>
      </c>
      <c r="F4" s="304" t="s">
        <v>407</v>
      </c>
      <c r="G4" s="304" t="s">
        <v>572</v>
      </c>
      <c r="H4" s="303">
        <v>217.32</v>
      </c>
      <c r="I4" s="346">
        <v>46016</v>
      </c>
      <c r="J4" s="330">
        <v>46022</v>
      </c>
    </row>
    <row r="5" ht="6" customHeight="1" x14ac:dyDescent="0.25"/>
    <row r="6" spans="5:8" x14ac:dyDescent="0.25">
      <c r="E6" s="301" t="s">
        <v>573</v>
      </c>
      <c r="H6" s="453">
        <f>SUBTOTAL(9,H4:H5)</f>
        <v>217.32</v>
      </c>
    </row>
    <row r="7" spans="5:8" x14ac:dyDescent="0.25">
      <c r="E7" s="301"/>
      <c r="H7" s="454"/>
    </row>
    <row r="8" spans="2:10" x14ac:dyDescent="0.25">
      <c r="B8" s="301" t="s">
        <v>483</v>
      </c>
      <c r="C8" s="302">
        <v>60500</v>
      </c>
      <c r="D8" s="301" t="s">
        <v>483</v>
      </c>
      <c r="E8" s="301" t="s">
        <v>483</v>
      </c>
      <c r="F8" s="301" t="s">
        <v>407</v>
      </c>
      <c r="G8" s="304" t="s">
        <v>572</v>
      </c>
      <c r="H8" s="303">
        <v>158.16</v>
      </c>
      <c r="I8" s="346">
        <v>46016</v>
      </c>
      <c r="J8" s="330">
        <v>46022</v>
      </c>
    </row>
    <row r="9" ht="4.2" customHeight="1" spans="5:8" x14ac:dyDescent="0.25">
      <c r="E9" s="301"/>
      <c r="H9" s="454"/>
    </row>
    <row r="10" spans="5:8" x14ac:dyDescent="0.25">
      <c r="E10" s="301" t="s">
        <v>574</v>
      </c>
      <c r="H10" s="453">
        <f>SUBTOTAL(9,H8:H9)</f>
        <v>158.16</v>
      </c>
    </row>
    <row r="12" spans="2:10" x14ac:dyDescent="0.25">
      <c r="B12" s="327" t="s">
        <v>490</v>
      </c>
      <c r="C12" s="326">
        <v>61050</v>
      </c>
      <c r="D12" s="327" t="s">
        <v>490</v>
      </c>
      <c r="E12" s="327" t="s">
        <v>490</v>
      </c>
      <c r="F12" s="301" t="s">
        <v>260</v>
      </c>
      <c r="G12" s="304" t="s">
        <v>575</v>
      </c>
      <c r="H12" s="303">
        <v>1061.6</v>
      </c>
      <c r="I12" s="346">
        <v>46016</v>
      </c>
      <c r="J12" s="330">
        <v>45993</v>
      </c>
    </row>
    <row r="13" ht="6" customHeight="1" spans="7:8" x14ac:dyDescent="0.25">
      <c r="G13" s="329"/>
      <c r="H13" s="455"/>
    </row>
    <row r="14" spans="5:8" x14ac:dyDescent="0.25">
      <c r="E14" s="327" t="s">
        <v>576</v>
      </c>
      <c r="G14" s="329"/>
      <c r="H14" s="303">
        <f>SUBTOTAL(9,H12:H13)</f>
        <v>1061.6</v>
      </c>
    </row>
    <row r="15" hidden="1" spans="10:10" x14ac:dyDescent="0.25" outlineLevel="1" collapsed="1">
      <c r="J15" s="330"/>
    </row>
    <row r="16" hidden="1" spans="2:10" x14ac:dyDescent="0.25" outlineLevel="1" collapsed="1">
      <c r="B16" s="327" t="s">
        <v>485</v>
      </c>
      <c r="C16" s="326">
        <v>61051</v>
      </c>
      <c r="D16" s="327" t="s">
        <v>485</v>
      </c>
      <c r="E16" s="327" t="s">
        <v>485</v>
      </c>
      <c r="F16" s="301" t="s">
        <v>577</v>
      </c>
      <c r="H16" s="303"/>
      <c r="I16" s="346"/>
      <c r="J16" s="330"/>
    </row>
    <row r="17" ht="6" customHeight="1" hidden="1" spans="7:10" x14ac:dyDescent="0.25" outlineLevel="1" collapsed="1">
      <c r="G17" s="329"/>
      <c r="H17" s="455"/>
      <c r="J17" s="330"/>
    </row>
    <row r="18" hidden="1" spans="5:10" x14ac:dyDescent="0.25" outlineLevel="1" collapsed="1">
      <c r="E18" s="327" t="s">
        <v>578</v>
      </c>
      <c r="G18" s="329"/>
      <c r="H18" s="303">
        <f>SUBTOTAL(9,H16:H17)</f>
        <v>0</v>
      </c>
      <c r="J18" s="330"/>
    </row>
    <row r="19" spans="10:10" x14ac:dyDescent="0.25">
      <c r="J19" s="330"/>
    </row>
    <row r="20" spans="2:10" x14ac:dyDescent="0.25">
      <c r="B20" s="327" t="s">
        <v>487</v>
      </c>
      <c r="C20" s="326">
        <v>61052</v>
      </c>
      <c r="D20" s="327" t="s">
        <v>487</v>
      </c>
      <c r="E20" s="327" t="s">
        <v>487</v>
      </c>
      <c r="F20" s="301" t="s">
        <v>577</v>
      </c>
      <c r="G20" s="304" t="s">
        <v>579</v>
      </c>
      <c r="H20" s="303">
        <v>700</v>
      </c>
      <c r="I20" s="346">
        <v>46016</v>
      </c>
      <c r="J20" s="330">
        <v>46001</v>
      </c>
    </row>
    <row r="21" ht="4.95" customHeight="1" spans="7:10" x14ac:dyDescent="0.25">
      <c r="G21" s="329"/>
      <c r="H21" s="455"/>
      <c r="J21" s="330"/>
    </row>
    <row r="22" spans="5:10" x14ac:dyDescent="0.25">
      <c r="E22" s="327" t="s">
        <v>580</v>
      </c>
      <c r="G22" s="329"/>
      <c r="H22" s="303">
        <f>SUBTOTAL(9,H20:H21)</f>
        <v>700</v>
      </c>
      <c r="J22" s="330"/>
    </row>
    <row r="23" spans="5:10" x14ac:dyDescent="0.25">
      <c r="E23" s="327"/>
      <c r="G23" s="329"/>
      <c r="H23" s="303"/>
      <c r="J23" s="330"/>
    </row>
    <row r="24" spans="2:10" x14ac:dyDescent="0.25">
      <c r="B24" s="327" t="s">
        <v>489</v>
      </c>
      <c r="C24" s="302">
        <v>61056</v>
      </c>
      <c r="D24" s="327" t="s">
        <v>489</v>
      </c>
      <c r="E24" s="327" t="s">
        <v>489</v>
      </c>
      <c r="F24" s="327" t="s">
        <v>271</v>
      </c>
      <c r="G24" s="331">
        <v>8021</v>
      </c>
      <c r="H24" s="303">
        <v>2500</v>
      </c>
      <c r="I24" s="346">
        <v>46016</v>
      </c>
      <c r="J24" s="330">
        <v>46022</v>
      </c>
    </row>
    <row r="25" ht="3" customHeight="1" spans="5:10" x14ac:dyDescent="0.25">
      <c r="E25" s="327"/>
      <c r="G25" s="329"/>
      <c r="H25" s="456"/>
      <c r="J25" s="330"/>
    </row>
    <row r="26" spans="5:10" x14ac:dyDescent="0.25">
      <c r="E26" s="327" t="s">
        <v>581</v>
      </c>
      <c r="G26" s="329"/>
      <c r="H26" s="303">
        <f>SUBTOTAL(9,H24:H25)</f>
        <v>2500</v>
      </c>
      <c r="J26" s="330"/>
    </row>
    <row r="27" spans="5:10" x14ac:dyDescent="0.25">
      <c r="E27" s="327"/>
      <c r="G27" s="329"/>
      <c r="H27" s="303"/>
      <c r="J27" s="330"/>
    </row>
    <row r="28" spans="2:10" x14ac:dyDescent="0.25">
      <c r="B28" s="327" t="s">
        <v>507</v>
      </c>
      <c r="C28" s="326">
        <v>61150</v>
      </c>
      <c r="D28" s="327" t="s">
        <v>507</v>
      </c>
      <c r="E28" s="327" t="s">
        <v>507</v>
      </c>
      <c r="F28" s="301" t="s">
        <v>407</v>
      </c>
      <c r="G28" s="304" t="s">
        <v>572</v>
      </c>
      <c r="H28" s="303">
        <v>1184.69</v>
      </c>
      <c r="I28" s="346">
        <v>46016</v>
      </c>
      <c r="J28" s="330">
        <v>46022</v>
      </c>
    </row>
    <row r="29" ht="6" customHeight="1" spans="5:9" x14ac:dyDescent="0.25">
      <c r="E29" s="327"/>
      <c r="G29" s="329"/>
      <c r="H29" s="303"/>
      <c r="I29" s="346"/>
    </row>
    <row r="30" spans="5:10" x14ac:dyDescent="0.25">
      <c r="E30" s="327" t="s">
        <v>582</v>
      </c>
      <c r="G30" s="329"/>
      <c r="H30" s="453">
        <f>SUBTOTAL(9,H28:H29)</f>
        <v>1184.69</v>
      </c>
      <c r="J30" s="330"/>
    </row>
    <row r="31" spans="5:10" x14ac:dyDescent="0.25">
      <c r="E31" s="327"/>
      <c r="G31" s="329"/>
      <c r="H31" s="303"/>
      <c r="J31" s="330"/>
    </row>
    <row r="32" spans="2:10" x14ac:dyDescent="0.25">
      <c r="B32" s="327" t="s">
        <v>495</v>
      </c>
      <c r="C32" s="326">
        <v>61164</v>
      </c>
      <c r="D32" s="327" t="s">
        <v>495</v>
      </c>
      <c r="E32" s="327" t="s">
        <v>495</v>
      </c>
      <c r="F32" s="327" t="s">
        <v>583</v>
      </c>
      <c r="G32" s="331" t="s">
        <v>584</v>
      </c>
      <c r="H32" s="303">
        <v>1952.87</v>
      </c>
      <c r="I32" s="346">
        <v>46016</v>
      </c>
      <c r="J32" s="330">
        <v>45994</v>
      </c>
    </row>
    <row r="33" spans="2:10" x14ac:dyDescent="0.25">
      <c r="B33" s="327" t="s">
        <v>495</v>
      </c>
      <c r="C33" s="326">
        <v>61164</v>
      </c>
      <c r="D33" s="327" t="s">
        <v>495</v>
      </c>
      <c r="E33" s="327" t="s">
        <v>495</v>
      </c>
      <c r="F33" s="327" t="s">
        <v>583</v>
      </c>
      <c r="G33" s="331" t="s">
        <v>585</v>
      </c>
      <c r="H33" s="303">
        <v>2016.44</v>
      </c>
      <c r="I33" s="346">
        <v>46016</v>
      </c>
      <c r="J33" s="330">
        <v>46022</v>
      </c>
    </row>
    <row r="34" ht="6.75" customHeight="1" spans="5:10" x14ac:dyDescent="0.25">
      <c r="E34" s="327"/>
      <c r="G34" s="329"/>
      <c r="H34" s="303"/>
      <c r="J34" s="330"/>
    </row>
    <row r="35" spans="5:10" x14ac:dyDescent="0.25">
      <c r="E35" s="327" t="s">
        <v>586</v>
      </c>
      <c r="G35" s="329"/>
      <c r="H35" s="453">
        <f>SUBTOTAL(9,H32:H34)</f>
        <v>3969.31</v>
      </c>
      <c r="J35" s="330"/>
    </row>
    <row r="36" hidden="1" spans="10:10" x14ac:dyDescent="0.25" outlineLevel="1" collapsed="1">
      <c r="J36" s="330"/>
    </row>
    <row r="37" hidden="1" spans="2:12" x14ac:dyDescent="0.25" outlineLevel="1" collapsed="1">
      <c r="B37" s="327" t="s">
        <v>481</v>
      </c>
      <c r="C37" s="326">
        <v>63000</v>
      </c>
      <c r="D37" s="327" t="s">
        <v>481</v>
      </c>
      <c r="E37" s="327" t="s">
        <v>587</v>
      </c>
      <c r="F37" s="327"/>
      <c r="G37" s="329"/>
      <c r="H37" s="303"/>
      <c r="I37" s="346"/>
      <c r="J37" s="330"/>
      <c r="L37" s="301"/>
    </row>
    <row r="38" ht="4.95" customHeight="1" hidden="1" spans="7:10" x14ac:dyDescent="0.25" outlineLevel="1" collapsed="1">
      <c r="G38" s="329"/>
      <c r="H38" s="455"/>
      <c r="I38" s="346"/>
      <c r="J38" s="330"/>
    </row>
    <row r="39" hidden="1" spans="5:10" x14ac:dyDescent="0.25" outlineLevel="1" collapsed="1">
      <c r="E39" s="327" t="s">
        <v>588</v>
      </c>
      <c r="G39" s="329"/>
      <c r="H39" s="303">
        <f>SUBTOTAL(9,H37:H38)</f>
        <v>0</v>
      </c>
      <c r="I39" s="346"/>
      <c r="J39" s="330"/>
    </row>
    <row r="40" spans="5:10" x14ac:dyDescent="0.25">
      <c r="E40" s="327"/>
      <c r="G40" s="329"/>
      <c r="H40" s="303"/>
      <c r="I40" s="346"/>
      <c r="J40" s="330"/>
    </row>
    <row r="41" spans="2:10" x14ac:dyDescent="0.25">
      <c r="B41" s="301" t="s">
        <v>471</v>
      </c>
      <c r="C41" s="302">
        <v>63025</v>
      </c>
      <c r="D41" s="301" t="s">
        <v>471</v>
      </c>
      <c r="E41" s="301" t="s">
        <v>471</v>
      </c>
      <c r="F41" s="301" t="s">
        <v>407</v>
      </c>
      <c r="G41" s="304" t="s">
        <v>572</v>
      </c>
      <c r="H41" s="303">
        <v>1.25</v>
      </c>
      <c r="I41" s="346">
        <v>46016</v>
      </c>
      <c r="J41" s="330">
        <v>46022</v>
      </c>
    </row>
    <row r="42" ht="4.95" customHeight="1" spans="5:10" x14ac:dyDescent="0.25">
      <c r="E42" s="327"/>
      <c r="G42" s="329"/>
      <c r="H42" s="455"/>
      <c r="I42" s="346"/>
      <c r="J42" s="330"/>
    </row>
    <row r="43" spans="5:10" x14ac:dyDescent="0.25">
      <c r="E43" s="301" t="s">
        <v>589</v>
      </c>
      <c r="G43" s="329"/>
      <c r="H43" s="303">
        <f>SUBTOTAL(9,H41:H42)</f>
        <v>1.25</v>
      </c>
      <c r="I43" s="346"/>
      <c r="J43" s="330"/>
    </row>
    <row r="44" hidden="1" spans="5:10" x14ac:dyDescent="0.25" outlineLevel="1" collapsed="1">
      <c r="E44" s="327"/>
      <c r="G44" s="329"/>
      <c r="H44" s="303"/>
      <c r="I44" s="346"/>
      <c r="J44" s="330"/>
    </row>
    <row r="45" hidden="1" spans="2:10" x14ac:dyDescent="0.25" outlineLevel="1" collapsed="1">
      <c r="B45" s="327" t="s">
        <v>500</v>
      </c>
      <c r="C45" s="326">
        <v>63026</v>
      </c>
      <c r="D45" s="327" t="s">
        <v>500</v>
      </c>
      <c r="E45" s="327" t="s">
        <v>500</v>
      </c>
      <c r="F45" s="327" t="s">
        <v>590</v>
      </c>
      <c r="G45" s="329"/>
      <c r="H45" s="303"/>
      <c r="I45" s="346"/>
      <c r="J45" s="330"/>
    </row>
    <row r="46" ht="6.6" customHeight="1" hidden="1" spans="7:10" x14ac:dyDescent="0.25" outlineLevel="1" collapsed="1">
      <c r="G46" s="329"/>
      <c r="H46" s="455"/>
      <c r="I46" s="346"/>
      <c r="J46" s="330"/>
    </row>
    <row r="47" hidden="1" spans="5:10" x14ac:dyDescent="0.25" outlineLevel="1" collapsed="1">
      <c r="E47" s="327" t="s">
        <v>591</v>
      </c>
      <c r="G47" s="329"/>
      <c r="H47" s="303">
        <f>SUBTOTAL(9,H45:H46)</f>
        <v>0</v>
      </c>
      <c r="I47" s="346"/>
      <c r="J47" s="330"/>
    </row>
    <row r="48" spans="10:10" x14ac:dyDescent="0.25">
      <c r="J48" s="330"/>
    </row>
    <row r="49" spans="2:10" x14ac:dyDescent="0.25">
      <c r="B49" s="327" t="s">
        <v>502</v>
      </c>
      <c r="C49" s="326">
        <v>63027</v>
      </c>
      <c r="D49" s="327" t="s">
        <v>592</v>
      </c>
      <c r="E49" s="327" t="s">
        <v>592</v>
      </c>
      <c r="F49" s="327" t="s">
        <v>593</v>
      </c>
      <c r="G49" s="329" t="s">
        <v>594</v>
      </c>
      <c r="H49" s="303">
        <v>5683.19</v>
      </c>
      <c r="I49" s="346">
        <v>46016</v>
      </c>
      <c r="J49" s="330">
        <v>46022</v>
      </c>
    </row>
    <row r="50" ht="6" customHeight="1" spans="7:10" x14ac:dyDescent="0.25">
      <c r="G50" s="329"/>
      <c r="H50" s="455"/>
      <c r="J50" s="330"/>
    </row>
    <row r="51" spans="5:10" x14ac:dyDescent="0.25">
      <c r="E51" s="327" t="s">
        <v>595</v>
      </c>
      <c r="G51" s="329"/>
      <c r="H51" s="454">
        <f>SUBTOTAL(9,H49:H50)</f>
        <v>5683.19</v>
      </c>
      <c r="J51" s="330"/>
    </row>
    <row r="52" hidden="1" spans="7:10" x14ac:dyDescent="0.25" outlineLevel="1" collapsed="1">
      <c r="G52" s="329"/>
      <c r="J52" s="330"/>
    </row>
    <row r="53" hidden="1" spans="2:10" x14ac:dyDescent="0.25" outlineLevel="1" collapsed="1">
      <c r="B53" s="327" t="s">
        <v>464</v>
      </c>
      <c r="C53" s="326">
        <v>63028</v>
      </c>
      <c r="D53" s="327" t="s">
        <v>464</v>
      </c>
      <c r="E53" s="327" t="s">
        <v>596</v>
      </c>
      <c r="F53" s="327" t="s">
        <v>597</v>
      </c>
      <c r="G53" s="329" t="s">
        <v>598</v>
      </c>
      <c r="H53" s="303"/>
      <c r="I53" s="346">
        <v>45962</v>
      </c>
      <c r="J53" s="330">
        <v>45991</v>
      </c>
    </row>
    <row r="54" ht="6" customHeight="1" hidden="1" spans="7:10" x14ac:dyDescent="0.25" outlineLevel="1" collapsed="1">
      <c r="G54" s="329"/>
      <c r="H54" s="455"/>
      <c r="J54" s="330"/>
    </row>
    <row r="55" hidden="1" spans="5:10" x14ac:dyDescent="0.25" outlineLevel="1" collapsed="1">
      <c r="E55" s="327" t="s">
        <v>599</v>
      </c>
      <c r="G55" s="329"/>
      <c r="H55" s="303">
        <f>SUBTOTAL(9,H53:H54)</f>
        <v>0</v>
      </c>
      <c r="J55" s="330"/>
    </row>
    <row r="56" hidden="1" spans="5:10" x14ac:dyDescent="0.25" outlineLevel="1" collapsed="1">
      <c r="E56" s="327"/>
      <c r="G56" s="329"/>
      <c r="H56" s="303"/>
      <c r="I56" s="346"/>
      <c r="J56" s="330"/>
    </row>
    <row r="57" hidden="1" spans="2:10" x14ac:dyDescent="0.25" outlineLevel="1" collapsed="1">
      <c r="B57" s="327" t="s">
        <v>458</v>
      </c>
      <c r="C57" s="326">
        <v>63032</v>
      </c>
      <c r="D57" s="327" t="s">
        <v>459</v>
      </c>
      <c r="E57" s="327" t="s">
        <v>459</v>
      </c>
      <c r="F57" s="327" t="s">
        <v>590</v>
      </c>
      <c r="G57" s="329"/>
      <c r="H57" s="303"/>
      <c r="I57" s="346"/>
      <c r="J57" s="330"/>
    </row>
    <row r="58" ht="4.95" customHeight="1" hidden="1" spans="2:10" x14ac:dyDescent="0.25" outlineLevel="1" collapsed="1">
      <c r="B58" s="327"/>
      <c r="G58" s="329"/>
      <c r="H58" s="455"/>
      <c r="I58" s="346"/>
      <c r="J58" s="330"/>
    </row>
    <row r="59" hidden="1" spans="5:10" x14ac:dyDescent="0.25" outlineLevel="1" collapsed="1">
      <c r="E59" s="327" t="s">
        <v>600</v>
      </c>
      <c r="G59" s="329"/>
      <c r="H59" s="303">
        <f>SUBTOTAL(9,H57:H58)</f>
        <v>0</v>
      </c>
      <c r="I59" s="346"/>
      <c r="J59" s="330"/>
    </row>
    <row r="60" hidden="1" spans="5:10" x14ac:dyDescent="0.25" outlineLevel="1" collapsed="1">
      <c r="E60" s="327"/>
      <c r="G60" s="329"/>
      <c r="H60" s="303"/>
      <c r="I60" s="346"/>
      <c r="J60" s="330"/>
    </row>
    <row r="61" hidden="1" spans="2:10" x14ac:dyDescent="0.25" outlineLevel="1" collapsed="1">
      <c r="B61" s="327" t="s">
        <v>460</v>
      </c>
      <c r="C61" s="326">
        <v>63033</v>
      </c>
      <c r="D61" s="327" t="s">
        <v>460</v>
      </c>
      <c r="E61" s="327" t="s">
        <v>601</v>
      </c>
      <c r="F61" s="327" t="s">
        <v>271</v>
      </c>
      <c r="G61" s="329"/>
      <c r="H61" s="303"/>
      <c r="I61" s="346"/>
      <c r="J61" s="330"/>
    </row>
    <row r="62" ht="6.75" customHeight="1" hidden="1" spans="5:10" x14ac:dyDescent="0.25" outlineLevel="1" collapsed="1">
      <c r="E62" s="327"/>
      <c r="G62" s="329"/>
      <c r="H62" s="303"/>
      <c r="I62" s="346"/>
      <c r="J62" s="330"/>
    </row>
    <row r="63" hidden="1" spans="5:10" x14ac:dyDescent="0.25" outlineLevel="1" collapsed="1">
      <c r="E63" s="327" t="s">
        <v>602</v>
      </c>
      <c r="G63" s="329"/>
      <c r="H63" s="453">
        <f>SUBTOTAL(9,H61:H62)</f>
        <v>0</v>
      </c>
      <c r="I63" s="346"/>
      <c r="J63" s="330"/>
    </row>
    <row r="64" spans="5:10" x14ac:dyDescent="0.25">
      <c r="E64" s="327"/>
      <c r="G64" s="329"/>
      <c r="H64" s="303"/>
      <c r="I64" s="346"/>
      <c r="J64" s="330"/>
    </row>
    <row r="65" spans="2:10" x14ac:dyDescent="0.25">
      <c r="B65" s="327" t="s">
        <v>458</v>
      </c>
      <c r="C65" s="326">
        <v>63034</v>
      </c>
      <c r="D65" s="327" t="s">
        <v>458</v>
      </c>
      <c r="E65" s="327" t="s">
        <v>458</v>
      </c>
      <c r="F65" s="327" t="s">
        <v>597</v>
      </c>
      <c r="G65" s="331">
        <v>34</v>
      </c>
      <c r="H65" s="303">
        <v>11560.34</v>
      </c>
      <c r="I65" s="346">
        <v>46016</v>
      </c>
      <c r="J65" s="330">
        <v>46022</v>
      </c>
    </row>
    <row r="66" ht="6.6" customHeight="1" spans="2:10" x14ac:dyDescent="0.25">
      <c r="B66" s="327"/>
      <c r="G66" s="329"/>
      <c r="H66" s="455"/>
      <c r="I66" s="346"/>
      <c r="J66" s="330"/>
    </row>
    <row r="67" spans="5:10" x14ac:dyDescent="0.25">
      <c r="E67" s="327" t="s">
        <v>603</v>
      </c>
      <c r="G67" s="329"/>
      <c r="H67" s="303">
        <f>SUBTOTAL(9,H65:H66)</f>
        <v>11560.34</v>
      </c>
      <c r="I67" s="346"/>
      <c r="J67" s="330"/>
    </row>
    <row r="68" spans="5:10" x14ac:dyDescent="0.25">
      <c r="E68" s="327"/>
      <c r="G68" s="329"/>
      <c r="H68" s="303"/>
      <c r="J68" s="330"/>
    </row>
    <row r="69" spans="2:12" x14ac:dyDescent="0.25">
      <c r="B69" s="327" t="s">
        <v>467</v>
      </c>
      <c r="C69" s="326">
        <v>63041</v>
      </c>
      <c r="D69" s="327" t="s">
        <v>467</v>
      </c>
      <c r="E69" s="327" t="s">
        <v>604</v>
      </c>
      <c r="F69" s="327" t="s">
        <v>597</v>
      </c>
      <c r="G69" s="331">
        <v>38</v>
      </c>
      <c r="H69" s="303">
        <v>-1603.53</v>
      </c>
      <c r="I69" s="346">
        <v>46016</v>
      </c>
      <c r="J69" s="330">
        <v>46022</v>
      </c>
      <c r="L69" s="301"/>
    </row>
    <row r="70" ht="5.4" customHeight="1" spans="7:10" x14ac:dyDescent="0.25">
      <c r="G70" s="329"/>
      <c r="H70" s="455"/>
      <c r="J70" s="330"/>
    </row>
    <row r="71" spans="5:10" x14ac:dyDescent="0.25">
      <c r="E71" s="327" t="s">
        <v>605</v>
      </c>
      <c r="G71" s="329"/>
      <c r="H71" s="303">
        <f>SUBTOTAL(9,H69:H70)</f>
        <v>-1603.53</v>
      </c>
      <c r="J71" s="330"/>
    </row>
    <row r="72" spans="7:10" x14ac:dyDescent="0.25">
      <c r="G72" s="329"/>
      <c r="J72" s="330"/>
    </row>
    <row r="73" spans="2:10" x14ac:dyDescent="0.25">
      <c r="B73" s="327" t="s">
        <v>468</v>
      </c>
      <c r="C73" s="326">
        <v>63042</v>
      </c>
      <c r="D73" s="327" t="s">
        <v>468</v>
      </c>
      <c r="E73" s="327" t="s">
        <v>468</v>
      </c>
      <c r="F73" s="327" t="s">
        <v>597</v>
      </c>
      <c r="G73" s="331">
        <v>34</v>
      </c>
      <c r="H73" s="303">
        <v>10116.6</v>
      </c>
      <c r="I73" s="346">
        <v>46016</v>
      </c>
      <c r="J73" s="330">
        <v>46022</v>
      </c>
    </row>
    <row r="74" ht="4.2" customHeight="1" spans="2:10" x14ac:dyDescent="0.25">
      <c r="B74" s="327"/>
      <c r="C74" s="326"/>
      <c r="D74" s="327"/>
      <c r="E74" s="327"/>
      <c r="G74" s="329"/>
      <c r="H74" s="449"/>
      <c r="I74" s="346"/>
      <c r="J74" s="330"/>
    </row>
    <row r="75" spans="5:10" x14ac:dyDescent="0.25">
      <c r="E75" s="327" t="s">
        <v>606</v>
      </c>
      <c r="G75" s="329"/>
      <c r="H75" s="303">
        <f>SUBTOTAL(9,H73:H74)</f>
        <v>10116.6</v>
      </c>
      <c r="J75" s="330"/>
    </row>
    <row r="76" hidden="1" spans="5:10" x14ac:dyDescent="0.25" outlineLevel="1" collapsed="1">
      <c r="E76" s="327"/>
      <c r="G76" s="329"/>
      <c r="H76" s="303"/>
      <c r="J76" s="330"/>
    </row>
    <row r="77" hidden="1" spans="2:10" x14ac:dyDescent="0.25" outlineLevel="1" collapsed="1">
      <c r="B77" s="327" t="s">
        <v>472</v>
      </c>
      <c r="C77" s="326">
        <v>63050</v>
      </c>
      <c r="D77" s="327" t="s">
        <v>472</v>
      </c>
      <c r="E77" s="327" t="s">
        <v>607</v>
      </c>
      <c r="F77" s="327" t="s">
        <v>608</v>
      </c>
      <c r="G77" s="331" t="s">
        <v>609</v>
      </c>
      <c r="H77" s="303"/>
      <c r="I77" s="346"/>
      <c r="J77" s="330"/>
    </row>
    <row r="78" ht="7.5" customHeight="1" hidden="1" spans="5:10" x14ac:dyDescent="0.25" outlineLevel="1" collapsed="1">
      <c r="E78" s="327"/>
      <c r="G78" s="329"/>
      <c r="H78" s="303"/>
      <c r="J78" s="330"/>
    </row>
    <row r="79" hidden="1" spans="5:10" x14ac:dyDescent="0.25" outlineLevel="1" collapsed="1">
      <c r="E79" s="327" t="s">
        <v>610</v>
      </c>
      <c r="G79" s="329"/>
      <c r="H79" s="453">
        <f>SUBTOTAL(9,H77:H78)</f>
        <v>0</v>
      </c>
      <c r="J79" s="330"/>
    </row>
    <row r="80" hidden="1" spans="7:10" x14ac:dyDescent="0.25" outlineLevel="1" collapsed="1">
      <c r="G80" s="329"/>
      <c r="H80" s="303"/>
      <c r="J80" s="330"/>
    </row>
    <row r="81" hidden="1" spans="2:10" x14ac:dyDescent="0.25" outlineLevel="1" collapsed="1">
      <c r="B81" s="301" t="s">
        <v>473</v>
      </c>
      <c r="C81" s="326">
        <v>63150</v>
      </c>
      <c r="D81" s="301" t="s">
        <v>611</v>
      </c>
      <c r="E81" s="301" t="s">
        <v>611</v>
      </c>
      <c r="F81" s="301" t="s">
        <v>402</v>
      </c>
      <c r="G81" s="331"/>
      <c r="H81" s="303"/>
      <c r="I81" s="346"/>
      <c r="J81" s="330"/>
    </row>
    <row r="82" ht="5.4" customHeight="1" hidden="1" spans="7:10" x14ac:dyDescent="0.25" outlineLevel="1" collapsed="1">
      <c r="G82" s="329"/>
      <c r="H82" s="303"/>
      <c r="J82" s="330"/>
    </row>
    <row r="83" hidden="1" spans="5:10" x14ac:dyDescent="0.25" outlineLevel="1" collapsed="1">
      <c r="E83" s="301" t="s">
        <v>612</v>
      </c>
      <c r="G83" s="329"/>
      <c r="H83" s="453">
        <f>SUBTOTAL(9,H81:H82)</f>
        <v>0</v>
      </c>
      <c r="J83" s="330"/>
    </row>
    <row r="84" spans="7:10" x14ac:dyDescent="0.25">
      <c r="G84" s="329"/>
      <c r="H84" s="303"/>
      <c r="J84" s="330"/>
    </row>
    <row r="85" spans="2:10" x14ac:dyDescent="0.25">
      <c r="B85" s="327" t="s">
        <v>463</v>
      </c>
      <c r="C85" s="326">
        <v>64000</v>
      </c>
      <c r="D85" s="327" t="s">
        <v>613</v>
      </c>
      <c r="E85" s="327" t="s">
        <v>613</v>
      </c>
      <c r="F85" s="327" t="s">
        <v>614</v>
      </c>
      <c r="G85" s="331">
        <v>3030</v>
      </c>
      <c r="H85" s="303">
        <v>2233.01</v>
      </c>
      <c r="I85" s="346">
        <v>46016</v>
      </c>
      <c r="J85" s="330">
        <v>45995</v>
      </c>
    </row>
    <row r="86" spans="2:10" x14ac:dyDescent="0.25">
      <c r="B86" s="327" t="s">
        <v>463</v>
      </c>
      <c r="C86" s="326">
        <v>64000</v>
      </c>
      <c r="D86" s="327" t="s">
        <v>613</v>
      </c>
      <c r="E86" s="327" t="s">
        <v>613</v>
      </c>
      <c r="F86" s="327" t="s">
        <v>614</v>
      </c>
      <c r="G86" s="331">
        <v>3042</v>
      </c>
      <c r="H86" s="303">
        <v>1337.43</v>
      </c>
      <c r="I86" s="346">
        <v>46016</v>
      </c>
      <c r="J86" s="330">
        <v>46002</v>
      </c>
    </row>
    <row r="87" spans="2:10" x14ac:dyDescent="0.25">
      <c r="B87" s="327" t="s">
        <v>463</v>
      </c>
      <c r="C87" s="326">
        <v>64000</v>
      </c>
      <c r="D87" s="327" t="s">
        <v>613</v>
      </c>
      <c r="E87" s="327" t="s">
        <v>613</v>
      </c>
      <c r="F87" s="327" t="s">
        <v>614</v>
      </c>
      <c r="G87" s="331">
        <v>3054</v>
      </c>
      <c r="H87" s="303">
        <v>1337.43</v>
      </c>
      <c r="I87" s="346">
        <v>46016</v>
      </c>
      <c r="J87" s="330">
        <v>46009</v>
      </c>
    </row>
    <row r="88" spans="2:10" x14ac:dyDescent="0.25">
      <c r="B88" s="327" t="s">
        <v>463</v>
      </c>
      <c r="C88" s="326">
        <v>64000</v>
      </c>
      <c r="D88" s="327" t="s">
        <v>613</v>
      </c>
      <c r="E88" s="327" t="s">
        <v>613</v>
      </c>
      <c r="F88" s="327" t="s">
        <v>614</v>
      </c>
      <c r="G88" s="331">
        <v>3066</v>
      </c>
      <c r="H88" s="303">
        <v>1337.43</v>
      </c>
      <c r="I88" s="346">
        <v>46016</v>
      </c>
      <c r="J88" s="330">
        <v>46016</v>
      </c>
    </row>
    <row r="89" ht="6" customHeight="1" spans="2:10" x14ac:dyDescent="0.25">
      <c r="B89" s="327"/>
      <c r="C89" s="326"/>
      <c r="D89" s="327"/>
      <c r="E89" s="327"/>
      <c r="G89" s="329"/>
      <c r="H89" s="449"/>
      <c r="J89" s="330"/>
    </row>
    <row r="90" spans="5:10" x14ac:dyDescent="0.25">
      <c r="E90" s="327" t="s">
        <v>615</v>
      </c>
      <c r="G90" s="329"/>
      <c r="H90" s="303">
        <f>SUBTOTAL(9,H85:H89)</f>
        <v>6245.300000000001</v>
      </c>
      <c r="J90" s="330"/>
    </row>
    <row r="91" hidden="1" spans="5:10" x14ac:dyDescent="0.25" outlineLevel="1" collapsed="1">
      <c r="E91" s="327"/>
      <c r="G91" s="329"/>
      <c r="H91" s="303"/>
      <c r="J91" s="330"/>
    </row>
    <row r="92" hidden="1" spans="2:10" x14ac:dyDescent="0.25" outlineLevel="1" collapsed="1">
      <c r="B92" s="301" t="s">
        <v>474</v>
      </c>
      <c r="C92" s="302">
        <v>67100</v>
      </c>
      <c r="D92" s="301" t="s">
        <v>474</v>
      </c>
      <c r="E92" s="301" t="s">
        <v>474</v>
      </c>
      <c r="F92" s="301" t="s">
        <v>407</v>
      </c>
      <c r="G92" s="301"/>
      <c r="H92" s="303"/>
      <c r="I92" s="346"/>
      <c r="J92" s="330"/>
    </row>
    <row r="93" ht="6.6" customHeight="1" hidden="1" spans="5:10" x14ac:dyDescent="0.25" outlineLevel="1" collapsed="1">
      <c r="E93" s="327"/>
      <c r="G93" s="329"/>
      <c r="H93" s="303"/>
      <c r="J93" s="330"/>
    </row>
    <row r="94" hidden="1" spans="5:10" x14ac:dyDescent="0.25" outlineLevel="1" collapsed="1">
      <c r="E94" s="301" t="s">
        <v>616</v>
      </c>
      <c r="G94" s="329"/>
      <c r="H94" s="453">
        <f>SUBTOTAL(9,H92:H93)</f>
        <v>0</v>
      </c>
      <c r="J94" s="330"/>
    </row>
    <row r="95" spans="5:10" x14ac:dyDescent="0.25">
      <c r="E95" s="327"/>
      <c r="G95" s="329"/>
      <c r="H95" s="303"/>
      <c r="J95" s="330"/>
    </row>
    <row r="96" spans="2:10" x14ac:dyDescent="0.25">
      <c r="B96" s="301" t="s">
        <v>475</v>
      </c>
      <c r="C96" s="302">
        <v>67200</v>
      </c>
      <c r="D96" s="301" t="s">
        <v>475</v>
      </c>
      <c r="E96" s="301" t="s">
        <v>475</v>
      </c>
      <c r="F96" s="301" t="s">
        <v>407</v>
      </c>
      <c r="G96" s="304" t="s">
        <v>572</v>
      </c>
      <c r="H96" s="303">
        <v>366.67</v>
      </c>
      <c r="I96" s="346">
        <v>46016</v>
      </c>
      <c r="J96" s="330">
        <v>46022</v>
      </c>
    </row>
    <row r="97" ht="5.4" customHeight="1" spans="5:10" x14ac:dyDescent="0.25">
      <c r="E97" s="327"/>
      <c r="G97" s="329"/>
      <c r="H97" s="303"/>
      <c r="J97" s="330"/>
    </row>
    <row r="98" spans="5:10" x14ac:dyDescent="0.25">
      <c r="E98" s="301" t="s">
        <v>617</v>
      </c>
      <c r="G98" s="329"/>
      <c r="H98" s="453">
        <f>SUBTOTAL(9,H96:H97)</f>
        <v>366.67</v>
      </c>
      <c r="J98" s="330"/>
    </row>
    <row r="99" spans="3:10" x14ac:dyDescent="0.25">
      <c r="C99" s="326"/>
      <c r="E99" s="327"/>
      <c r="G99" s="329"/>
      <c r="H99" s="303"/>
      <c r="J99" s="330"/>
    </row>
    <row r="100" spans="2:10" x14ac:dyDescent="0.25">
      <c r="B100" s="301" t="s">
        <v>125</v>
      </c>
      <c r="C100" s="326">
        <v>68050</v>
      </c>
      <c r="D100" s="301" t="s">
        <v>125</v>
      </c>
      <c r="E100" s="301" t="s">
        <v>125</v>
      </c>
      <c r="F100" s="301" t="s">
        <v>618</v>
      </c>
      <c r="G100" s="329" t="s">
        <v>619</v>
      </c>
      <c r="H100" s="303">
        <v>-7962.63</v>
      </c>
      <c r="I100" s="346">
        <v>46016</v>
      </c>
      <c r="J100" s="330">
        <v>46022</v>
      </c>
    </row>
    <row r="101" ht="5.4" customHeight="1" spans="3:10" x14ac:dyDescent="0.25">
      <c r="C101" s="326"/>
      <c r="E101" s="327"/>
      <c r="G101" s="329"/>
      <c r="H101" s="456"/>
      <c r="J101" s="330"/>
    </row>
    <row r="102" spans="3:10" x14ac:dyDescent="0.25">
      <c r="C102" s="326"/>
      <c r="E102" s="301" t="s">
        <v>620</v>
      </c>
      <c r="G102" s="329"/>
      <c r="H102" s="303">
        <f>SUBTOTAL(9,H100:H101)</f>
        <v>-7962.63</v>
      </c>
      <c r="J102" s="330"/>
    </row>
    <row r="103" spans="3:10" x14ac:dyDescent="0.25">
      <c r="C103" s="326"/>
      <c r="E103" s="301"/>
      <c r="G103" s="329"/>
      <c r="H103" s="303"/>
      <c r="J103" s="330"/>
    </row>
    <row r="104" spans="2:10" x14ac:dyDescent="0.25">
      <c r="B104" s="301" t="s">
        <v>126</v>
      </c>
      <c r="C104" s="326">
        <v>68055</v>
      </c>
      <c r="D104" s="301" t="s">
        <v>126</v>
      </c>
      <c r="E104" s="301" t="s">
        <v>126</v>
      </c>
      <c r="F104" s="301" t="s">
        <v>621</v>
      </c>
      <c r="G104" s="329" t="s">
        <v>622</v>
      </c>
      <c r="H104" s="303">
        <v>4917.97</v>
      </c>
      <c r="I104" s="346">
        <v>46016</v>
      </c>
      <c r="J104" s="330">
        <v>46022</v>
      </c>
    </row>
    <row r="105" spans="2:10" x14ac:dyDescent="0.25">
      <c r="B105" s="301" t="s">
        <v>126</v>
      </c>
      <c r="C105" s="326">
        <v>68055</v>
      </c>
      <c r="D105" s="301" t="s">
        <v>126</v>
      </c>
      <c r="E105" s="301" t="s">
        <v>126</v>
      </c>
      <c r="F105" s="301" t="s">
        <v>621</v>
      </c>
      <c r="G105" s="329" t="s">
        <v>622</v>
      </c>
      <c r="H105" s="303">
        <v>14284.71</v>
      </c>
      <c r="I105" s="346">
        <v>46016</v>
      </c>
      <c r="J105" s="330">
        <v>46022</v>
      </c>
    </row>
    <row r="106" spans="2:10" x14ac:dyDescent="0.25">
      <c r="B106" s="301" t="s">
        <v>126</v>
      </c>
      <c r="C106" s="326">
        <v>68055</v>
      </c>
      <c r="D106" s="301" t="s">
        <v>126</v>
      </c>
      <c r="E106" s="301" t="s">
        <v>126</v>
      </c>
      <c r="F106" s="301" t="s">
        <v>621</v>
      </c>
      <c r="G106" s="329" t="s">
        <v>622</v>
      </c>
      <c r="H106" s="303">
        <v>7280.46</v>
      </c>
      <c r="I106" s="346">
        <v>46016</v>
      </c>
      <c r="J106" s="330">
        <v>46022</v>
      </c>
    </row>
    <row r="107" spans="2:10" x14ac:dyDescent="0.25">
      <c r="B107" s="301" t="s">
        <v>126</v>
      </c>
      <c r="C107" s="326">
        <v>68055</v>
      </c>
      <c r="D107" s="301" t="s">
        <v>126</v>
      </c>
      <c r="E107" s="301" t="s">
        <v>126</v>
      </c>
      <c r="F107" s="301" t="s">
        <v>621</v>
      </c>
      <c r="G107" s="329" t="s">
        <v>622</v>
      </c>
      <c r="H107" s="303">
        <v>610.33</v>
      </c>
      <c r="I107" s="346">
        <v>46016</v>
      </c>
      <c r="J107" s="330">
        <v>46022</v>
      </c>
    </row>
    <row r="108" ht="6.6" customHeight="1" spans="3:10" x14ac:dyDescent="0.25">
      <c r="C108" s="326"/>
      <c r="E108" s="301"/>
      <c r="G108" s="329"/>
      <c r="H108" s="303"/>
      <c r="J108" s="330"/>
    </row>
    <row r="109" spans="3:10" x14ac:dyDescent="0.25">
      <c r="C109" s="326"/>
      <c r="E109" s="301" t="s">
        <v>401</v>
      </c>
      <c r="G109" s="329"/>
      <c r="H109" s="453">
        <f>SUBTOTAL(9,H104:H108)</f>
        <v>27093.47</v>
      </c>
      <c r="J109" s="330"/>
    </row>
    <row r="110" hidden="1" spans="7:10" x14ac:dyDescent="0.25" outlineLevel="1" collapsed="1">
      <c r="G110" s="329"/>
      <c r="J110" s="330"/>
    </row>
    <row r="111" hidden="1" spans="2:10" x14ac:dyDescent="0.25" outlineLevel="1" collapsed="1">
      <c r="B111" s="327" t="s">
        <v>479</v>
      </c>
      <c r="C111" s="326">
        <v>68110</v>
      </c>
      <c r="D111" s="327" t="s">
        <v>479</v>
      </c>
      <c r="E111" s="327" t="s">
        <v>479</v>
      </c>
      <c r="F111" s="327" t="s">
        <v>623</v>
      </c>
      <c r="G111" s="329" t="s">
        <v>624</v>
      </c>
      <c r="H111" s="303"/>
      <c r="I111" s="346"/>
      <c r="J111" s="330"/>
    </row>
    <row r="112" ht="6" customHeight="1" hidden="1" spans="3:10" x14ac:dyDescent="0.25" outlineLevel="1" collapsed="1">
      <c r="C112" s="326"/>
      <c r="D112" s="327"/>
      <c r="G112" s="329"/>
      <c r="H112" s="449"/>
      <c r="J112" s="330"/>
    </row>
    <row r="113" hidden="1" spans="3:10" x14ac:dyDescent="0.25" outlineLevel="1" collapsed="1">
      <c r="C113" s="326"/>
      <c r="D113" s="327"/>
      <c r="E113" s="327" t="s">
        <v>625</v>
      </c>
      <c r="G113" s="329"/>
      <c r="H113" s="303">
        <f>SUBTOTAL(9,H111:H112)</f>
        <v>0</v>
      </c>
      <c r="J113" s="330"/>
    </row>
    <row r="114" hidden="1" spans="3:10" x14ac:dyDescent="0.25" outlineLevel="1" collapsed="1">
      <c r="C114" s="326"/>
      <c r="D114" s="327"/>
      <c r="E114" s="327"/>
      <c r="G114" s="329"/>
      <c r="H114" s="303"/>
      <c r="J114" s="330"/>
    </row>
    <row r="115" hidden="1" spans="2:10" x14ac:dyDescent="0.25" outlineLevel="1" collapsed="1">
      <c r="B115" s="301" t="s">
        <v>513</v>
      </c>
      <c r="C115" s="326">
        <v>75000</v>
      </c>
      <c r="D115" s="301" t="s">
        <v>513</v>
      </c>
      <c r="E115" s="301" t="s">
        <v>513</v>
      </c>
      <c r="F115" s="327" t="s">
        <v>385</v>
      </c>
      <c r="G115" s="329"/>
      <c r="H115" s="303"/>
      <c r="I115" s="346"/>
      <c r="J115" s="330"/>
    </row>
    <row r="116" hidden="1" spans="2:10" x14ac:dyDescent="0.25" outlineLevel="1" collapsed="1">
      <c r="B116" s="301" t="s">
        <v>513</v>
      </c>
      <c r="C116" s="326">
        <v>75000</v>
      </c>
      <c r="D116" s="301" t="s">
        <v>513</v>
      </c>
      <c r="E116" s="301" t="s">
        <v>513</v>
      </c>
      <c r="F116" s="327" t="s">
        <v>385</v>
      </c>
      <c r="G116" s="329"/>
      <c r="H116" s="303"/>
      <c r="I116" s="346"/>
      <c r="J116" s="330"/>
    </row>
    <row r="117" hidden="1" spans="2:10" x14ac:dyDescent="0.25" outlineLevel="1" collapsed="1">
      <c r="B117" s="301" t="s">
        <v>513</v>
      </c>
      <c r="C117" s="326">
        <v>75000</v>
      </c>
      <c r="D117" s="301" t="s">
        <v>513</v>
      </c>
      <c r="E117" s="301" t="s">
        <v>513</v>
      </c>
      <c r="F117" s="327" t="s">
        <v>385</v>
      </c>
      <c r="G117" s="329"/>
      <c r="H117" s="303"/>
      <c r="I117" s="346"/>
      <c r="J117" s="330"/>
    </row>
    <row r="118" ht="6" customHeight="1" hidden="1" spans="3:10" x14ac:dyDescent="0.25" outlineLevel="1" collapsed="1">
      <c r="C118" s="326"/>
      <c r="D118" s="327"/>
      <c r="E118" s="327"/>
      <c r="G118" s="329"/>
      <c r="H118" s="303"/>
      <c r="J118" s="330"/>
    </row>
    <row r="119" hidden="1" spans="3:10" x14ac:dyDescent="0.25" outlineLevel="1" collapsed="1">
      <c r="C119" s="326"/>
      <c r="D119" s="327"/>
      <c r="E119" s="301" t="s">
        <v>626</v>
      </c>
      <c r="G119" s="329"/>
      <c r="H119" s="453">
        <f>SUBTOTAL(9,H115:H118)</f>
        <v>0</v>
      </c>
      <c r="J119" s="330"/>
    </row>
    <row r="120" spans="3:10" x14ac:dyDescent="0.25">
      <c r="C120" s="326"/>
      <c r="D120" s="327"/>
      <c r="E120" s="327"/>
      <c r="G120" s="329"/>
      <c r="H120" s="303"/>
      <c r="J120" s="330"/>
    </row>
    <row r="121" spans="2:10" x14ac:dyDescent="0.25">
      <c r="B121" s="301" t="s">
        <v>516</v>
      </c>
      <c r="C121" s="326">
        <v>75005</v>
      </c>
      <c r="D121" s="301" t="s">
        <v>516</v>
      </c>
      <c r="E121" s="301" t="s">
        <v>516</v>
      </c>
      <c r="F121" s="327" t="s">
        <v>385</v>
      </c>
      <c r="G121" s="329"/>
      <c r="H121" s="303">
        <v>3285.89</v>
      </c>
      <c r="I121" s="346">
        <v>46016</v>
      </c>
      <c r="J121" s="330">
        <v>46022</v>
      </c>
    </row>
    <row r="122" ht="5.4" customHeight="1" spans="3:10" x14ac:dyDescent="0.25">
      <c r="C122" s="326"/>
      <c r="D122" s="327"/>
      <c r="E122" s="327"/>
      <c r="G122" s="329"/>
      <c r="H122" s="303"/>
      <c r="J122" s="330"/>
    </row>
    <row r="123" spans="3:10" x14ac:dyDescent="0.25">
      <c r="C123" s="326"/>
      <c r="D123" s="327"/>
      <c r="E123" s="301" t="s">
        <v>627</v>
      </c>
      <c r="G123" s="329"/>
      <c r="H123" s="453">
        <f>SUBTOTAL(9,H121:H122)</f>
        <v>3285.89</v>
      </c>
      <c r="J123" s="330"/>
    </row>
    <row r="124" hidden="1" spans="3:10" x14ac:dyDescent="0.25" outlineLevel="1" collapsed="1">
      <c r="C124" s="326"/>
      <c r="D124" s="327"/>
      <c r="E124" s="327"/>
      <c r="G124" s="329"/>
      <c r="H124" s="303"/>
      <c r="J124" s="330"/>
    </row>
    <row r="125" hidden="1" spans="2:10" x14ac:dyDescent="0.25" outlineLevel="1" collapsed="1">
      <c r="B125" s="301" t="s">
        <v>517</v>
      </c>
      <c r="C125" s="326">
        <v>75006</v>
      </c>
      <c r="D125" s="301" t="s">
        <v>517</v>
      </c>
      <c r="E125" s="301" t="s">
        <v>517</v>
      </c>
      <c r="F125" s="327" t="s">
        <v>385</v>
      </c>
      <c r="G125" s="329" t="s">
        <v>386</v>
      </c>
      <c r="H125" s="303"/>
      <c r="I125" s="346"/>
      <c r="J125" s="330"/>
    </row>
    <row r="126" ht="4.95" customHeight="1" hidden="1" spans="3:10" x14ac:dyDescent="0.25" outlineLevel="1" collapsed="1">
      <c r="C126" s="326"/>
      <c r="D126" s="327"/>
      <c r="E126" s="327"/>
      <c r="G126" s="329"/>
      <c r="H126" s="303"/>
      <c r="J126" s="330"/>
    </row>
    <row r="127" hidden="1" spans="3:10" x14ac:dyDescent="0.25" outlineLevel="1" collapsed="1">
      <c r="C127" s="326"/>
      <c r="D127" s="327"/>
      <c r="E127" s="301" t="s">
        <v>628</v>
      </c>
      <c r="G127" s="329"/>
      <c r="H127" s="453">
        <f>SUBTOTAL(9,H125:H126)</f>
        <v>0</v>
      </c>
      <c r="J127" s="330"/>
    </row>
    <row r="128" hidden="1" spans="3:10" x14ac:dyDescent="0.25" outlineLevel="1" collapsed="1">
      <c r="C128" s="326"/>
      <c r="D128" s="327"/>
      <c r="E128" s="327"/>
      <c r="G128" s="329"/>
      <c r="H128" s="303"/>
      <c r="J128" s="330"/>
    </row>
    <row r="129" hidden="1" spans="2:10" x14ac:dyDescent="0.25" outlineLevel="1" collapsed="1">
      <c r="B129" s="327" t="s">
        <v>514</v>
      </c>
      <c r="C129" s="326">
        <v>75140</v>
      </c>
      <c r="D129" s="327" t="s">
        <v>514</v>
      </c>
      <c r="E129" s="327" t="s">
        <v>629</v>
      </c>
      <c r="F129" s="327" t="s">
        <v>630</v>
      </c>
      <c r="G129" s="331" t="s">
        <v>631</v>
      </c>
      <c r="H129" s="303"/>
      <c r="I129" s="346"/>
      <c r="J129" s="330"/>
    </row>
    <row r="130" ht="5.4" customHeight="1" hidden="1" spans="4:10" x14ac:dyDescent="0.25" outlineLevel="1" collapsed="1">
      <c r="D130" s="327"/>
      <c r="E130" s="327"/>
      <c r="G130" s="329"/>
      <c r="H130" s="456"/>
      <c r="I130" s="346"/>
      <c r="J130" s="330"/>
    </row>
    <row r="131" hidden="1" spans="4:10" x14ac:dyDescent="0.25" outlineLevel="1" collapsed="1">
      <c r="D131" s="327"/>
      <c r="E131" s="327" t="s">
        <v>632</v>
      </c>
      <c r="G131" s="329"/>
      <c r="H131" s="303">
        <f>SUBTOTAL(9,H129:H130)</f>
        <v>0</v>
      </c>
      <c r="I131" s="346"/>
      <c r="J131" s="330"/>
    </row>
    <row r="132" spans="3:9" x14ac:dyDescent="0.25">
      <c r="C132" s="326"/>
      <c r="D132" s="327"/>
      <c r="E132" s="327"/>
      <c r="G132" s="329"/>
      <c r="H132" s="303"/>
      <c r="I132" s="346"/>
    </row>
    <row r="133" ht="3.6" customHeight="1" spans="7:9" x14ac:dyDescent="0.25">
      <c r="G133" s="329"/>
      <c r="I133" s="346"/>
    </row>
    <row r="134" ht="14.4" customHeight="1" spans="5:12" x14ac:dyDescent="0.25">
      <c r="E134" s="327" t="s">
        <v>232</v>
      </c>
      <c r="G134" s="329"/>
      <c r="H134" s="450">
        <f>SUBTOTAL(9,H3:H133)</f>
        <v>64577.630000000005</v>
      </c>
      <c r="I134" s="346"/>
      <c r="L134" s="301" t="b">
        <f>IF(H134='Budget to Actual (OP)'!I88+'Budget to Actual (OP)'!I104,TRUE,FALSE)</f>
        <v>1</v>
      </c>
    </row>
    <row r="135" ht="14.4" customHeight="1" spans="7:9" x14ac:dyDescent="0.25">
      <c r="G135" s="329"/>
      <c r="I135" s="346"/>
    </row>
    <row r="136" spans="7:9" x14ac:dyDescent="0.25">
      <c r="G136" s="329"/>
      <c r="I136" s="346"/>
    </row>
    <row r="137" spans="7:9" x14ac:dyDescent="0.25">
      <c r="G137" s="329"/>
      <c r="I137" s="346"/>
    </row>
    <row r="138" spans="7:9" x14ac:dyDescent="0.25">
      <c r="G138" s="329"/>
      <c r="I138" s="346"/>
    </row>
    <row r="139" spans="7:9" x14ac:dyDescent="0.25">
      <c r="G139" s="301"/>
      <c r="I139" s="346"/>
    </row>
    <row r="140" spans="7:7" x14ac:dyDescent="0.25">
      <c r="G140" s="329"/>
    </row>
  </sheetData>
  <mergeCells count="2">
    <mergeCell ref="A1:B1"/>
    <mergeCell ref="K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38"/>
  <sheetViews>
    <sheetView workbookViewId="0" zoomScale="80" zoomScaleNormal="80">
      <selection activeCell="F31" sqref="F31"/>
    </sheetView>
  </sheetViews>
  <sheetFormatPr defaultRowHeight="14.4" outlineLevelRow="0" outlineLevelCol="1" x14ac:dyDescent="0.3" customHeight="1"/>
  <cols>
    <col min="1" max="1" width="1.109375" customWidth="1"/>
    <col min="2" max="2" width="31.6640625" customWidth="1"/>
    <col min="3" max="3" width="10.44140625" customWidth="1"/>
    <col min="4" max="4" width="34.109375" customWidth="1"/>
    <col min="5" max="5" width="43.33203125" customWidth="1"/>
    <col min="6" max="6" width="28" customWidth="1"/>
    <col min="7" max="7" width="36.33203125" style="457" customWidth="1"/>
    <col min="8" max="8" width="15.33203125" customWidth="1"/>
    <col min="9" max="9" width="15.6640625" style="346" customWidth="1"/>
    <col min="10" max="10" width="10.88671875" outlineLevel="1" collapsed="1" customWidth="1"/>
    <col min="11" max="11" width="1.88671875" outlineLevel="1" collapsed="1" customWidth="1"/>
    <col min="12" max="12" width="19.33203125" outlineLevel="1" collapsed="1" customWidth="1"/>
    <col min="13" max="13" width="11.6640625" outlineLevel="1" collapsed="1" customWidth="1"/>
  </cols>
  <sheetData>
    <row r="1" ht="6" customHeight="1" spans="1:14" x14ac:dyDescent="0.25">
      <c r="A1" s="327"/>
      <c r="B1" s="327"/>
      <c r="C1" s="326"/>
      <c r="D1" s="326"/>
      <c r="E1" s="327"/>
      <c r="F1" s="327"/>
      <c r="G1" s="326"/>
      <c r="H1" s="327"/>
      <c r="J1" s="329"/>
      <c r="K1" s="458"/>
      <c r="L1" s="458"/>
      <c r="M1" s="327"/>
      <c r="N1" s="327"/>
    </row>
    <row r="2" spans="1:14" x14ac:dyDescent="0.25">
      <c r="A2" s="327"/>
      <c r="B2" s="447" t="s">
        <v>176</v>
      </c>
      <c r="C2" s="447" t="s">
        <v>207</v>
      </c>
      <c r="D2" s="447" t="s">
        <v>206</v>
      </c>
      <c r="E2" s="447" t="s">
        <v>208</v>
      </c>
      <c r="F2" s="447" t="s">
        <v>209</v>
      </c>
      <c r="G2" s="447" t="s">
        <v>570</v>
      </c>
      <c r="H2" s="447" t="s">
        <v>234</v>
      </c>
      <c r="I2" s="459" t="s">
        <v>212</v>
      </c>
      <c r="J2" s="447" t="s">
        <v>529</v>
      </c>
      <c r="K2" s="327"/>
      <c r="L2" s="448" t="s">
        <v>530</v>
      </c>
      <c r="M2" s="448" t="s">
        <v>531</v>
      </c>
      <c r="N2" s="327"/>
    </row>
    <row r="3" ht="15.6" customHeight="1" x14ac:dyDescent="0.25"/>
    <row r="4" ht="15.6" customHeight="1" spans="2:10" x14ac:dyDescent="0.25">
      <c r="B4" t="s">
        <v>482</v>
      </c>
      <c r="C4" s="326">
        <v>60210</v>
      </c>
      <c r="D4" t="s">
        <v>571</v>
      </c>
      <c r="E4" t="s">
        <v>571</v>
      </c>
      <c r="F4" t="s">
        <v>407</v>
      </c>
      <c r="G4" t="s">
        <v>633</v>
      </c>
      <c r="H4" s="303">
        <v>154.1</v>
      </c>
      <c r="I4" s="346">
        <v>45682</v>
      </c>
      <c r="J4" s="330">
        <v>45688</v>
      </c>
    </row>
    <row r="5" ht="15.6" customHeight="1" spans="2:10" x14ac:dyDescent="0.25">
      <c r="B5" t="s">
        <v>482</v>
      </c>
      <c r="C5" s="326">
        <v>60210</v>
      </c>
      <c r="D5" t="s">
        <v>571</v>
      </c>
      <c r="E5" t="s">
        <v>571</v>
      </c>
      <c r="F5" t="s">
        <v>407</v>
      </c>
      <c r="G5" t="s">
        <v>634</v>
      </c>
      <c r="H5" s="303">
        <v>50.25</v>
      </c>
      <c r="I5" s="346">
        <v>45689</v>
      </c>
      <c r="J5" s="330">
        <v>45716</v>
      </c>
    </row>
    <row r="6" ht="15.6" customHeight="1" spans="2:10" x14ac:dyDescent="0.25">
      <c r="B6" t="s">
        <v>482</v>
      </c>
      <c r="C6" s="326">
        <v>60210</v>
      </c>
      <c r="D6" t="s">
        <v>571</v>
      </c>
      <c r="E6" t="s">
        <v>571</v>
      </c>
      <c r="F6" t="s">
        <v>407</v>
      </c>
      <c r="G6" t="s">
        <v>635</v>
      </c>
      <c r="H6" s="303">
        <v>50.23</v>
      </c>
      <c r="I6" s="346">
        <v>45689</v>
      </c>
      <c r="J6" s="330">
        <v>45716</v>
      </c>
    </row>
    <row r="7" ht="15.6" customHeight="1" spans="2:10" x14ac:dyDescent="0.25">
      <c r="B7" s="301" t="s">
        <v>482</v>
      </c>
      <c r="C7" s="326">
        <v>60210</v>
      </c>
      <c r="D7" s="301" t="s">
        <v>571</v>
      </c>
      <c r="E7" s="301" t="s">
        <v>571</v>
      </c>
      <c r="F7" s="304" t="s">
        <v>407</v>
      </c>
      <c r="G7" s="304" t="s">
        <v>636</v>
      </c>
      <c r="H7" s="303">
        <v>120.97</v>
      </c>
      <c r="I7" s="346">
        <v>45717</v>
      </c>
      <c r="J7" s="330">
        <v>45747</v>
      </c>
    </row>
    <row r="8" ht="15.6" customHeight="1" spans="2:10" x14ac:dyDescent="0.25">
      <c r="B8" s="301" t="s">
        <v>482</v>
      </c>
      <c r="C8" s="326">
        <v>60210</v>
      </c>
      <c r="D8" s="301" t="s">
        <v>571</v>
      </c>
      <c r="E8" s="301" t="s">
        <v>571</v>
      </c>
      <c r="F8" s="304" t="s">
        <v>637</v>
      </c>
      <c r="G8" s="304" t="s">
        <v>638</v>
      </c>
      <c r="H8" s="303">
        <v>75</v>
      </c>
      <c r="I8" s="346">
        <v>45717</v>
      </c>
      <c r="J8" s="330">
        <v>45747</v>
      </c>
    </row>
    <row r="9" ht="15.6" customHeight="1" spans="2:10" x14ac:dyDescent="0.25">
      <c r="B9" s="301" t="s">
        <v>482</v>
      </c>
      <c r="C9" s="326">
        <v>60210</v>
      </c>
      <c r="D9" s="301" t="s">
        <v>571</v>
      </c>
      <c r="E9" s="301" t="s">
        <v>571</v>
      </c>
      <c r="F9" s="304" t="s">
        <v>407</v>
      </c>
      <c r="G9" s="304" t="s">
        <v>639</v>
      </c>
      <c r="H9" s="303">
        <v>322</v>
      </c>
      <c r="I9" s="346">
        <v>45748</v>
      </c>
      <c r="J9" s="330">
        <v>45748</v>
      </c>
    </row>
    <row r="10" ht="15.6" customHeight="1" spans="2:10" x14ac:dyDescent="0.25">
      <c r="B10" s="301" t="s">
        <v>482</v>
      </c>
      <c r="C10" s="326">
        <v>60210</v>
      </c>
      <c r="D10" s="301" t="s">
        <v>571</v>
      </c>
      <c r="E10" s="301" t="s">
        <v>571</v>
      </c>
      <c r="F10" s="304" t="s">
        <v>407</v>
      </c>
      <c r="G10" s="304" t="s">
        <v>640</v>
      </c>
      <c r="H10" s="303">
        <v>161</v>
      </c>
      <c r="I10" s="346">
        <v>45748</v>
      </c>
      <c r="J10" s="330">
        <v>45748</v>
      </c>
    </row>
    <row r="11" ht="15.6" customHeight="1" spans="2:10" x14ac:dyDescent="0.25">
      <c r="B11" s="301" t="s">
        <v>482</v>
      </c>
      <c r="C11" s="326">
        <v>60210</v>
      </c>
      <c r="D11" s="301" t="s">
        <v>571</v>
      </c>
      <c r="E11" s="301" t="s">
        <v>571</v>
      </c>
      <c r="F11" s="304" t="s">
        <v>407</v>
      </c>
      <c r="G11" s="304" t="s">
        <v>641</v>
      </c>
      <c r="H11" s="303">
        <v>1048.73</v>
      </c>
      <c r="I11" s="346">
        <v>45748</v>
      </c>
      <c r="J11" s="330">
        <v>45770</v>
      </c>
    </row>
    <row r="12" ht="15.6" customHeight="1" spans="2:10" x14ac:dyDescent="0.25">
      <c r="B12" s="301" t="s">
        <v>482</v>
      </c>
      <c r="C12" s="326">
        <v>60210</v>
      </c>
      <c r="D12" s="301" t="s">
        <v>571</v>
      </c>
      <c r="E12" s="301" t="s">
        <v>571</v>
      </c>
      <c r="F12" s="304" t="s">
        <v>407</v>
      </c>
      <c r="G12" s="304" t="s">
        <v>642</v>
      </c>
      <c r="H12" s="303">
        <v>154</v>
      </c>
      <c r="I12" s="346">
        <v>45802</v>
      </c>
      <c r="J12" s="330">
        <v>45808</v>
      </c>
    </row>
    <row r="13" ht="15.6" customHeight="1" spans="2:10" x14ac:dyDescent="0.25">
      <c r="B13" s="301" t="s">
        <v>482</v>
      </c>
      <c r="C13" s="326">
        <v>60210</v>
      </c>
      <c r="D13" s="301" t="s">
        <v>571</v>
      </c>
      <c r="E13" s="301" t="s">
        <v>571</v>
      </c>
      <c r="F13" s="304" t="s">
        <v>407</v>
      </c>
      <c r="G13" s="304" t="s">
        <v>643</v>
      </c>
      <c r="H13" s="303">
        <v>319.2</v>
      </c>
      <c r="I13" s="346">
        <v>45833</v>
      </c>
      <c r="J13" s="330">
        <v>45838</v>
      </c>
    </row>
    <row r="14" ht="15.6" customHeight="1" spans="2:10" x14ac:dyDescent="0.25">
      <c r="B14" s="301" t="s">
        <v>482</v>
      </c>
      <c r="C14" s="326">
        <v>60210</v>
      </c>
      <c r="D14" s="301" t="s">
        <v>571</v>
      </c>
      <c r="E14" s="301" t="s">
        <v>571</v>
      </c>
      <c r="F14" s="304" t="s">
        <v>407</v>
      </c>
      <c r="G14" s="304" t="s">
        <v>644</v>
      </c>
      <c r="H14" s="303">
        <v>161</v>
      </c>
      <c r="I14" s="346">
        <v>45833</v>
      </c>
      <c r="J14" s="330">
        <v>45838</v>
      </c>
    </row>
    <row r="15" ht="15.6" customHeight="1" spans="2:10" x14ac:dyDescent="0.25">
      <c r="B15" s="301" t="s">
        <v>482</v>
      </c>
      <c r="C15" s="326">
        <v>60210</v>
      </c>
      <c r="D15" s="301" t="s">
        <v>571</v>
      </c>
      <c r="E15" s="301" t="s">
        <v>571</v>
      </c>
      <c r="F15" s="304" t="s">
        <v>407</v>
      </c>
      <c r="G15" s="304" t="s">
        <v>645</v>
      </c>
      <c r="H15" s="303">
        <v>959.28</v>
      </c>
      <c r="I15" s="346">
        <v>45833</v>
      </c>
      <c r="J15" s="330">
        <v>45838</v>
      </c>
    </row>
    <row r="16" ht="15.6" customHeight="1" spans="2:10" x14ac:dyDescent="0.25">
      <c r="B16" s="301" t="s">
        <v>482</v>
      </c>
      <c r="C16" s="326">
        <v>60210</v>
      </c>
      <c r="D16" s="301" t="s">
        <v>571</v>
      </c>
      <c r="E16" s="301" t="s">
        <v>571</v>
      </c>
      <c r="F16" s="304" t="s">
        <v>407</v>
      </c>
      <c r="G16" s="304" t="s">
        <v>646</v>
      </c>
      <c r="H16" s="303">
        <v>343.51</v>
      </c>
      <c r="I16" s="346">
        <v>45839</v>
      </c>
      <c r="J16" s="330">
        <v>45869</v>
      </c>
    </row>
    <row r="17" ht="15.6" customHeight="1" spans="2:10" x14ac:dyDescent="0.25">
      <c r="B17" s="301" t="s">
        <v>482</v>
      </c>
      <c r="C17" s="326">
        <v>60210</v>
      </c>
      <c r="D17" s="301" t="s">
        <v>571</v>
      </c>
      <c r="E17" s="301" t="s">
        <v>571</v>
      </c>
      <c r="F17" s="304" t="s">
        <v>407</v>
      </c>
      <c r="G17" s="304" t="s">
        <v>647</v>
      </c>
      <c r="H17" s="303">
        <v>161</v>
      </c>
      <c r="I17" s="346">
        <v>45870</v>
      </c>
      <c r="J17" s="330">
        <v>45870</v>
      </c>
    </row>
    <row r="18" ht="15.6" customHeight="1" spans="2:10" x14ac:dyDescent="0.25">
      <c r="B18" s="301" t="s">
        <v>482</v>
      </c>
      <c r="C18" s="326">
        <v>60210</v>
      </c>
      <c r="D18" s="301" t="s">
        <v>571</v>
      </c>
      <c r="E18" s="301" t="s">
        <v>571</v>
      </c>
      <c r="F18" s="304" t="s">
        <v>407</v>
      </c>
      <c r="G18" s="304" t="s">
        <v>648</v>
      </c>
      <c r="H18" s="303">
        <v>161</v>
      </c>
      <c r="I18" s="346">
        <v>45870</v>
      </c>
      <c r="J18" s="330">
        <v>45900</v>
      </c>
    </row>
    <row r="19" ht="15.6" customHeight="1" spans="2:10" x14ac:dyDescent="0.25">
      <c r="B19" s="301" t="s">
        <v>482</v>
      </c>
      <c r="C19" s="326">
        <v>60210</v>
      </c>
      <c r="D19" s="301" t="s">
        <v>571</v>
      </c>
      <c r="E19" s="301" t="s">
        <v>571</v>
      </c>
      <c r="F19" s="304" t="s">
        <v>407</v>
      </c>
      <c r="G19" s="304" t="s">
        <v>649</v>
      </c>
      <c r="H19" s="303">
        <v>146.61</v>
      </c>
      <c r="I19" s="346">
        <v>45870</v>
      </c>
      <c r="J19" s="330">
        <v>45877</v>
      </c>
    </row>
    <row r="20" ht="15.6" customHeight="1" spans="2:10" x14ac:dyDescent="0.25">
      <c r="B20" s="301" t="s">
        <v>482</v>
      </c>
      <c r="C20" s="326">
        <v>60210</v>
      </c>
      <c r="D20" s="301" t="s">
        <v>571</v>
      </c>
      <c r="E20" s="301" t="s">
        <v>571</v>
      </c>
      <c r="F20" s="304" t="s">
        <v>407</v>
      </c>
      <c r="G20" s="304" t="s">
        <v>650</v>
      </c>
      <c r="H20" s="303">
        <v>578.17</v>
      </c>
      <c r="I20" s="346">
        <v>45925</v>
      </c>
      <c r="J20" s="330">
        <v>45922</v>
      </c>
    </row>
    <row r="21" ht="15.6" customHeight="1" spans="2:10" x14ac:dyDescent="0.25">
      <c r="B21" s="301" t="s">
        <v>482</v>
      </c>
      <c r="C21" s="326">
        <v>60210</v>
      </c>
      <c r="D21" s="301" t="s">
        <v>571</v>
      </c>
      <c r="E21" s="301" t="s">
        <v>571</v>
      </c>
      <c r="F21" s="304" t="s">
        <v>407</v>
      </c>
      <c r="G21" s="304" t="s">
        <v>651</v>
      </c>
      <c r="H21" s="303">
        <v>536.05</v>
      </c>
      <c r="I21" s="346">
        <v>45931</v>
      </c>
      <c r="J21" s="330">
        <v>45961</v>
      </c>
    </row>
    <row r="22" ht="15.6" customHeight="1" spans="2:10" x14ac:dyDescent="0.25">
      <c r="B22" s="301" t="s">
        <v>482</v>
      </c>
      <c r="C22" s="326">
        <v>60210</v>
      </c>
      <c r="D22" s="301" t="s">
        <v>571</v>
      </c>
      <c r="E22" s="301" t="s">
        <v>571</v>
      </c>
      <c r="F22" s="304" t="s">
        <v>407</v>
      </c>
      <c r="G22" s="304" t="s">
        <v>652</v>
      </c>
      <c r="H22" s="303">
        <v>161</v>
      </c>
      <c r="I22" s="346">
        <v>45931</v>
      </c>
      <c r="J22" s="330">
        <v>45931</v>
      </c>
    </row>
    <row r="23" ht="15.6" customHeight="1" spans="2:10" x14ac:dyDescent="0.25">
      <c r="B23" s="301" t="s">
        <v>482</v>
      </c>
      <c r="C23" s="326">
        <v>60210</v>
      </c>
      <c r="D23" s="301" t="s">
        <v>571</v>
      </c>
      <c r="E23" s="301" t="s">
        <v>571</v>
      </c>
      <c r="F23" s="304" t="s">
        <v>407</v>
      </c>
      <c r="G23" s="304" t="s">
        <v>653</v>
      </c>
      <c r="H23" s="303">
        <v>161</v>
      </c>
      <c r="I23" s="346">
        <v>45931</v>
      </c>
      <c r="J23" s="330">
        <v>45946</v>
      </c>
    </row>
    <row r="24" ht="15.6" customHeight="1" spans="2:10" x14ac:dyDescent="0.25">
      <c r="B24" s="301" t="s">
        <v>482</v>
      </c>
      <c r="C24" s="326">
        <v>60210</v>
      </c>
      <c r="D24" s="301" t="s">
        <v>571</v>
      </c>
      <c r="E24" s="301" t="s">
        <v>571</v>
      </c>
      <c r="F24" s="304" t="s">
        <v>407</v>
      </c>
      <c r="G24" s="304" t="s">
        <v>654</v>
      </c>
      <c r="H24" s="303">
        <v>453.6</v>
      </c>
      <c r="I24" s="346">
        <v>45962</v>
      </c>
      <c r="J24" s="330">
        <v>45991</v>
      </c>
    </row>
    <row r="25" ht="15.6" customHeight="1" spans="2:10" x14ac:dyDescent="0.25">
      <c r="B25" s="301" t="s">
        <v>482</v>
      </c>
      <c r="C25" s="326">
        <v>60210</v>
      </c>
      <c r="D25" s="301" t="s">
        <v>571</v>
      </c>
      <c r="E25" s="301" t="s">
        <v>571</v>
      </c>
      <c r="F25" s="304" t="s">
        <v>407</v>
      </c>
      <c r="G25" s="304" t="s">
        <v>655</v>
      </c>
      <c r="H25" s="303">
        <v>1249.63</v>
      </c>
      <c r="I25" s="346">
        <v>45962</v>
      </c>
      <c r="J25" s="330">
        <v>45991</v>
      </c>
    </row>
    <row r="26" ht="15.6" customHeight="1" spans="2:10" x14ac:dyDescent="0.25">
      <c r="B26" s="301" t="s">
        <v>482</v>
      </c>
      <c r="C26" s="326">
        <v>60210</v>
      </c>
      <c r="D26" s="301" t="s">
        <v>571</v>
      </c>
      <c r="E26" s="301" t="s">
        <v>571</v>
      </c>
      <c r="F26" s="304" t="s">
        <v>407</v>
      </c>
      <c r="G26" s="304" t="s">
        <v>572</v>
      </c>
      <c r="H26" s="303">
        <v>217.32</v>
      </c>
      <c r="I26" s="346">
        <v>46016</v>
      </c>
      <c r="J26" s="330">
        <v>46022</v>
      </c>
    </row>
    <row r="27" ht="6" customHeight="1" spans="7:10" x14ac:dyDescent="0.25">
      <c r="G27" s="314"/>
      <c r="I27" s="357"/>
      <c r="J27" s="301"/>
    </row>
    <row r="28" ht="15.6" customHeight="1" spans="5:10" x14ac:dyDescent="0.25">
      <c r="E28" s="1" t="s">
        <v>573</v>
      </c>
      <c r="G28" s="314"/>
      <c r="H28" s="453">
        <f>SUBTOTAL(9,H4:H27)</f>
        <v>7744.65</v>
      </c>
      <c r="I28" s="357"/>
      <c r="J28" s="301"/>
    </row>
    <row r="29" ht="15.6" customHeight="1" spans="5:10" x14ac:dyDescent="0.25">
      <c r="E29" s="1"/>
      <c r="G29" s="314"/>
      <c r="H29" s="454"/>
      <c r="I29" s="357"/>
      <c r="J29" s="301"/>
    </row>
    <row r="30" ht="15.6" customHeight="1" spans="2:10" x14ac:dyDescent="0.25">
      <c r="B30" s="301" t="s">
        <v>483</v>
      </c>
      <c r="C30" s="302">
        <v>60500</v>
      </c>
      <c r="D30" s="301" t="s">
        <v>483</v>
      </c>
      <c r="E30" s="301" t="s">
        <v>483</v>
      </c>
      <c r="F30" s="301" t="s">
        <v>407</v>
      </c>
      <c r="G30" s="304" t="s">
        <v>646</v>
      </c>
      <c r="H30" s="303">
        <v>59.22</v>
      </c>
      <c r="I30" s="346">
        <v>45839</v>
      </c>
      <c r="J30" s="330">
        <v>45869</v>
      </c>
    </row>
    <row r="31" ht="15.6" customHeight="1" spans="2:10" x14ac:dyDescent="0.25">
      <c r="B31" s="301" t="s">
        <v>483</v>
      </c>
      <c r="C31" s="302">
        <v>60500</v>
      </c>
      <c r="D31" s="301" t="s">
        <v>483</v>
      </c>
      <c r="E31" s="301" t="s">
        <v>483</v>
      </c>
      <c r="F31" s="301" t="s">
        <v>407</v>
      </c>
      <c r="G31" s="304" t="s">
        <v>650</v>
      </c>
      <c r="H31" s="303">
        <v>95.48</v>
      </c>
      <c r="I31" s="346">
        <v>45925</v>
      </c>
      <c r="J31" s="330">
        <v>45922</v>
      </c>
    </row>
    <row r="32" ht="15.6" customHeight="1" spans="2:10" x14ac:dyDescent="0.25">
      <c r="B32" s="301" t="s">
        <v>483</v>
      </c>
      <c r="C32" s="302">
        <v>60500</v>
      </c>
      <c r="D32" s="301" t="s">
        <v>483</v>
      </c>
      <c r="E32" s="301" t="s">
        <v>483</v>
      </c>
      <c r="F32" s="301" t="s">
        <v>407</v>
      </c>
      <c r="G32" s="304" t="s">
        <v>651</v>
      </c>
      <c r="H32" s="303">
        <v>62.45</v>
      </c>
      <c r="I32" s="346">
        <v>45931</v>
      </c>
      <c r="J32" s="330">
        <v>45961</v>
      </c>
    </row>
    <row r="33" ht="15.6" customHeight="1" spans="2:10" x14ac:dyDescent="0.25">
      <c r="B33" s="301" t="s">
        <v>483</v>
      </c>
      <c r="C33" s="302">
        <v>60500</v>
      </c>
      <c r="D33" s="301" t="s">
        <v>483</v>
      </c>
      <c r="E33" s="301" t="s">
        <v>483</v>
      </c>
      <c r="F33" s="301" t="s">
        <v>407</v>
      </c>
      <c r="G33" s="304" t="s">
        <v>655</v>
      </c>
      <c r="H33" s="303">
        <v>171.23</v>
      </c>
      <c r="I33" s="346">
        <v>45962</v>
      </c>
      <c r="J33" s="330">
        <v>45991</v>
      </c>
    </row>
    <row r="34" ht="15.6" customHeight="1" spans="2:10" x14ac:dyDescent="0.25">
      <c r="B34" s="301" t="s">
        <v>483</v>
      </c>
      <c r="C34" s="302">
        <v>60500</v>
      </c>
      <c r="D34" s="301" t="s">
        <v>483</v>
      </c>
      <c r="E34" s="301" t="s">
        <v>483</v>
      </c>
      <c r="F34" s="301" t="s">
        <v>407</v>
      </c>
      <c r="G34" s="304" t="s">
        <v>572</v>
      </c>
      <c r="H34" s="303">
        <v>158.16</v>
      </c>
      <c r="I34" s="346">
        <v>46016</v>
      </c>
      <c r="J34" s="330">
        <v>46022</v>
      </c>
    </row>
    <row r="35" ht="3.6" customHeight="1" spans="2:10" x14ac:dyDescent="0.25">
      <c r="B35" s="301"/>
      <c r="C35" s="302"/>
      <c r="D35" s="301"/>
      <c r="E35" s="301"/>
      <c r="F35" s="301"/>
      <c r="G35" s="304"/>
      <c r="H35" s="454"/>
      <c r="I35" s="311"/>
      <c r="J35" s="301"/>
    </row>
    <row r="36" ht="15.6" customHeight="1" spans="2:10" x14ac:dyDescent="0.25">
      <c r="B36" s="301"/>
      <c r="C36" s="302"/>
      <c r="D36" s="301"/>
      <c r="E36" s="301" t="s">
        <v>574</v>
      </c>
      <c r="F36" s="301"/>
      <c r="G36" s="304"/>
      <c r="H36" s="453">
        <f>SUBTOTAL(9,H30:H35)</f>
        <v>546.54</v>
      </c>
      <c r="I36" s="311"/>
      <c r="J36" s="301"/>
    </row>
    <row r="37" ht="15.6" customHeight="1" x14ac:dyDescent="0.25"/>
    <row r="38" spans="2:10" x14ac:dyDescent="0.25">
      <c r="B38" s="327" t="s">
        <v>490</v>
      </c>
      <c r="C38" s="326">
        <v>61050</v>
      </c>
      <c r="D38" s="327" t="s">
        <v>490</v>
      </c>
      <c r="E38" s="327" t="s">
        <v>490</v>
      </c>
      <c r="F38" s="327" t="s">
        <v>656</v>
      </c>
      <c r="G38" s="329" t="s">
        <v>657</v>
      </c>
      <c r="H38" s="303">
        <v>4239.07</v>
      </c>
      <c r="I38" s="346">
        <v>45839</v>
      </c>
      <c r="J38" s="330">
        <v>45849</v>
      </c>
    </row>
    <row r="39" spans="2:10" x14ac:dyDescent="0.25">
      <c r="B39" s="327" t="s">
        <v>490</v>
      </c>
      <c r="C39" s="326">
        <v>61050</v>
      </c>
      <c r="D39" s="327" t="s">
        <v>490</v>
      </c>
      <c r="E39" s="327" t="s">
        <v>490</v>
      </c>
      <c r="F39" s="301" t="s">
        <v>407</v>
      </c>
      <c r="G39" s="304" t="s">
        <v>651</v>
      </c>
      <c r="H39" s="303">
        <v>1798</v>
      </c>
      <c r="I39" s="346">
        <v>45931</v>
      </c>
      <c r="J39" s="330">
        <v>45961</v>
      </c>
    </row>
    <row r="40" spans="2:10" x14ac:dyDescent="0.25">
      <c r="B40" s="327" t="s">
        <v>490</v>
      </c>
      <c r="C40" s="326">
        <v>61050</v>
      </c>
      <c r="D40" s="327" t="s">
        <v>490</v>
      </c>
      <c r="E40" s="327" t="s">
        <v>490</v>
      </c>
      <c r="F40" s="301" t="s">
        <v>658</v>
      </c>
      <c r="G40" s="304" t="s">
        <v>659</v>
      </c>
      <c r="H40" s="303">
        <v>346</v>
      </c>
      <c r="I40" s="346">
        <v>45962</v>
      </c>
      <c r="J40" s="330">
        <v>45981</v>
      </c>
    </row>
    <row r="41" spans="2:10" x14ac:dyDescent="0.25">
      <c r="B41" s="327" t="s">
        <v>490</v>
      </c>
      <c r="C41" s="326">
        <v>61050</v>
      </c>
      <c r="D41" s="327" t="s">
        <v>490</v>
      </c>
      <c r="E41" s="327" t="s">
        <v>490</v>
      </c>
      <c r="F41" s="301" t="s">
        <v>260</v>
      </c>
      <c r="G41" s="304" t="s">
        <v>575</v>
      </c>
      <c r="H41" s="303">
        <v>1061.6</v>
      </c>
      <c r="I41" s="346">
        <v>46016</v>
      </c>
      <c r="J41" s="330">
        <v>45993</v>
      </c>
    </row>
    <row r="42" ht="5.4" customHeight="1" spans="2:8" x14ac:dyDescent="0.25">
      <c r="B42" s="327"/>
      <c r="C42" s="326"/>
      <c r="D42" s="327"/>
      <c r="E42" s="327"/>
      <c r="G42" s="326"/>
      <c r="H42" s="449"/>
    </row>
    <row r="43" spans="4:8" x14ac:dyDescent="0.25">
      <c r="D43" s="327"/>
      <c r="E43" s="327" t="s">
        <v>660</v>
      </c>
      <c r="G43" s="326"/>
      <c r="H43" s="303">
        <f>SUBTOTAL(9,H38:H42)</f>
        <v>7444.67</v>
      </c>
    </row>
    <row r="44" spans="4:8" x14ac:dyDescent="0.25">
      <c r="D44" s="327"/>
      <c r="E44" s="327"/>
      <c r="G44" s="326"/>
      <c r="H44" s="303"/>
    </row>
    <row r="45" spans="2:10" x14ac:dyDescent="0.25">
      <c r="B45" s="327" t="s">
        <v>485</v>
      </c>
      <c r="C45" s="326">
        <v>61051</v>
      </c>
      <c r="D45" s="327" t="s">
        <v>485</v>
      </c>
      <c r="E45" s="327" t="s">
        <v>485</v>
      </c>
      <c r="F45" s="301" t="s">
        <v>577</v>
      </c>
      <c r="G45" s="304">
        <v>11025</v>
      </c>
      <c r="H45" s="303">
        <v>1775</v>
      </c>
      <c r="I45" s="346">
        <v>45682</v>
      </c>
      <c r="J45" s="330">
        <v>45671</v>
      </c>
    </row>
    <row r="46" ht="4.95" customHeight="1" spans="7:10" x14ac:dyDescent="0.25">
      <c r="G46" s="329"/>
      <c r="H46" s="460"/>
      <c r="I46" s="357"/>
      <c r="J46" s="330"/>
    </row>
    <row r="47" spans="5:10" x14ac:dyDescent="0.25">
      <c r="E47" s="327" t="s">
        <v>578</v>
      </c>
      <c r="G47" s="329"/>
      <c r="H47" s="303">
        <f>SUBTOTAL(9,H45:H46)</f>
        <v>1775</v>
      </c>
      <c r="I47" s="357"/>
      <c r="J47" s="330"/>
    </row>
    <row r="48" spans="5:10" x14ac:dyDescent="0.25">
      <c r="E48" s="327"/>
      <c r="G48" s="329"/>
      <c r="H48" s="303"/>
      <c r="I48" s="357"/>
      <c r="J48" s="330"/>
    </row>
    <row r="49" spans="2:10" x14ac:dyDescent="0.25">
      <c r="B49" s="327" t="s">
        <v>487</v>
      </c>
      <c r="C49" s="326">
        <v>61052</v>
      </c>
      <c r="D49" s="327" t="s">
        <v>487</v>
      </c>
      <c r="E49" s="327" t="s">
        <v>487</v>
      </c>
      <c r="F49" s="301" t="s">
        <v>577</v>
      </c>
      <c r="G49" s="304" t="s">
        <v>661</v>
      </c>
      <c r="H49" s="303">
        <v>700</v>
      </c>
      <c r="I49" s="346">
        <v>45682</v>
      </c>
      <c r="J49" s="330">
        <v>45670</v>
      </c>
    </row>
    <row r="50" spans="2:10" x14ac:dyDescent="0.25">
      <c r="B50" s="327" t="s">
        <v>487</v>
      </c>
      <c r="C50" s="326">
        <v>61052</v>
      </c>
      <c r="D50" s="327" t="s">
        <v>487</v>
      </c>
      <c r="E50" s="327" t="s">
        <v>487</v>
      </c>
      <c r="F50" s="301" t="s">
        <v>577</v>
      </c>
      <c r="G50" s="304" t="s">
        <v>662</v>
      </c>
      <c r="H50" s="303">
        <v>764</v>
      </c>
      <c r="I50" s="346">
        <v>45689</v>
      </c>
      <c r="J50" s="330">
        <v>45692</v>
      </c>
    </row>
    <row r="51" spans="2:10" x14ac:dyDescent="0.25">
      <c r="B51" s="327" t="s">
        <v>487</v>
      </c>
      <c r="C51" s="326">
        <v>61052</v>
      </c>
      <c r="D51" s="327" t="s">
        <v>487</v>
      </c>
      <c r="E51" s="327" t="s">
        <v>487</v>
      </c>
      <c r="F51" s="301" t="s">
        <v>577</v>
      </c>
      <c r="G51" s="304" t="s">
        <v>663</v>
      </c>
      <c r="H51" s="303">
        <v>700</v>
      </c>
      <c r="I51" s="346">
        <v>45717</v>
      </c>
      <c r="J51" s="330">
        <v>45721</v>
      </c>
    </row>
    <row r="52" spans="2:10" x14ac:dyDescent="0.25">
      <c r="B52" s="327" t="s">
        <v>487</v>
      </c>
      <c r="C52" s="326">
        <v>61052</v>
      </c>
      <c r="D52" s="327" t="s">
        <v>487</v>
      </c>
      <c r="E52" s="327" t="s">
        <v>487</v>
      </c>
      <c r="F52" s="301" t="s">
        <v>577</v>
      </c>
      <c r="G52" s="304" t="s">
        <v>664</v>
      </c>
      <c r="H52" s="303">
        <v>700</v>
      </c>
      <c r="I52" s="346">
        <v>45748</v>
      </c>
      <c r="J52" s="330">
        <v>45756</v>
      </c>
    </row>
    <row r="53" spans="2:10" x14ac:dyDescent="0.25">
      <c r="B53" s="327" t="s">
        <v>487</v>
      </c>
      <c r="C53" s="326">
        <v>61052</v>
      </c>
      <c r="D53" s="327" t="s">
        <v>487</v>
      </c>
      <c r="E53" s="327" t="s">
        <v>487</v>
      </c>
      <c r="F53" s="301" t="s">
        <v>577</v>
      </c>
      <c r="G53" s="304" t="s">
        <v>665</v>
      </c>
      <c r="H53" s="303">
        <v>700</v>
      </c>
      <c r="I53" s="346">
        <v>45802</v>
      </c>
      <c r="J53" s="330">
        <v>45778</v>
      </c>
    </row>
    <row r="54" spans="2:10" x14ac:dyDescent="0.25">
      <c r="B54" s="327" t="s">
        <v>487</v>
      </c>
      <c r="C54" s="326">
        <v>61052</v>
      </c>
      <c r="D54" s="327" t="s">
        <v>487</v>
      </c>
      <c r="E54" s="327" t="s">
        <v>487</v>
      </c>
      <c r="F54" s="301" t="s">
        <v>577</v>
      </c>
      <c r="G54" s="304" t="s">
        <v>666</v>
      </c>
      <c r="H54" s="303">
        <v>700</v>
      </c>
      <c r="I54" s="346">
        <v>45802</v>
      </c>
      <c r="J54" s="330">
        <v>45805</v>
      </c>
    </row>
    <row r="55" spans="2:10" x14ac:dyDescent="0.25">
      <c r="B55" s="327" t="s">
        <v>487</v>
      </c>
      <c r="C55" s="326">
        <v>61052</v>
      </c>
      <c r="D55" s="327" t="s">
        <v>487</v>
      </c>
      <c r="E55" s="327" t="s">
        <v>487</v>
      </c>
      <c r="F55" s="301" t="s">
        <v>577</v>
      </c>
      <c r="G55" s="304" t="s">
        <v>667</v>
      </c>
      <c r="H55" s="303">
        <v>700</v>
      </c>
      <c r="I55" s="346">
        <v>45833</v>
      </c>
      <c r="J55" s="330">
        <v>45833</v>
      </c>
    </row>
    <row r="56" spans="2:10" x14ac:dyDescent="0.25">
      <c r="B56" s="327" t="s">
        <v>487</v>
      </c>
      <c r="C56" s="326">
        <v>61052</v>
      </c>
      <c r="D56" s="327" t="s">
        <v>487</v>
      </c>
      <c r="E56" s="327" t="s">
        <v>487</v>
      </c>
      <c r="F56" s="301" t="s">
        <v>577</v>
      </c>
      <c r="G56" s="304" t="s">
        <v>668</v>
      </c>
      <c r="H56" s="303">
        <v>700</v>
      </c>
      <c r="I56" s="346">
        <v>45839</v>
      </c>
      <c r="J56" s="330">
        <v>45861</v>
      </c>
    </row>
    <row r="57" spans="2:10" x14ac:dyDescent="0.25">
      <c r="B57" s="327" t="s">
        <v>487</v>
      </c>
      <c r="C57" s="326">
        <v>61052</v>
      </c>
      <c r="D57" s="327" t="s">
        <v>487</v>
      </c>
      <c r="E57" s="327" t="s">
        <v>487</v>
      </c>
      <c r="F57" s="301" t="s">
        <v>577</v>
      </c>
      <c r="G57" s="304" t="s">
        <v>669</v>
      </c>
      <c r="H57" s="303">
        <v>700</v>
      </c>
      <c r="I57" s="346">
        <v>45870</v>
      </c>
      <c r="J57" s="330">
        <v>45896</v>
      </c>
    </row>
    <row r="58" spans="2:10" x14ac:dyDescent="0.25">
      <c r="B58" s="327" t="s">
        <v>487</v>
      </c>
      <c r="C58" s="326">
        <v>61052</v>
      </c>
      <c r="D58" s="327" t="s">
        <v>487</v>
      </c>
      <c r="E58" s="327" t="s">
        <v>487</v>
      </c>
      <c r="F58" s="301" t="s">
        <v>577</v>
      </c>
      <c r="G58" s="304" t="s">
        <v>670</v>
      </c>
      <c r="H58" s="303">
        <v>700</v>
      </c>
      <c r="I58" s="346">
        <v>45925</v>
      </c>
      <c r="J58" s="330">
        <v>45916</v>
      </c>
    </row>
    <row r="59" spans="2:10" x14ac:dyDescent="0.25">
      <c r="B59" s="327" t="s">
        <v>487</v>
      </c>
      <c r="C59" s="326">
        <v>61052</v>
      </c>
      <c r="D59" s="327" t="s">
        <v>487</v>
      </c>
      <c r="E59" s="327" t="s">
        <v>487</v>
      </c>
      <c r="F59" s="301" t="s">
        <v>577</v>
      </c>
      <c r="G59" s="304" t="s">
        <v>671</v>
      </c>
      <c r="H59" s="303">
        <v>700</v>
      </c>
      <c r="I59" s="346">
        <v>45931</v>
      </c>
      <c r="J59" s="330">
        <v>45947</v>
      </c>
    </row>
    <row r="60" spans="2:10" x14ac:dyDescent="0.25">
      <c r="B60" s="327" t="s">
        <v>487</v>
      </c>
      <c r="C60" s="326">
        <v>61052</v>
      </c>
      <c r="D60" s="327" t="s">
        <v>487</v>
      </c>
      <c r="E60" s="327" t="s">
        <v>487</v>
      </c>
      <c r="F60" s="301" t="s">
        <v>577</v>
      </c>
      <c r="G60" s="304" t="s">
        <v>672</v>
      </c>
      <c r="H60" s="303">
        <v>700</v>
      </c>
      <c r="I60" s="346">
        <v>45962</v>
      </c>
      <c r="J60" s="330">
        <v>45965</v>
      </c>
    </row>
    <row r="61" spans="2:10" x14ac:dyDescent="0.25">
      <c r="B61" s="327" t="s">
        <v>487</v>
      </c>
      <c r="C61" s="326">
        <v>61052</v>
      </c>
      <c r="D61" s="327" t="s">
        <v>487</v>
      </c>
      <c r="E61" s="327" t="s">
        <v>487</v>
      </c>
      <c r="F61" s="301" t="s">
        <v>577</v>
      </c>
      <c r="G61" s="304" t="s">
        <v>579</v>
      </c>
      <c r="H61" s="303">
        <v>700</v>
      </c>
      <c r="I61" s="346">
        <v>46016</v>
      </c>
      <c r="J61" s="330">
        <v>46001</v>
      </c>
    </row>
    <row r="62" ht="6.75" customHeight="1" spans="7:10" x14ac:dyDescent="0.25">
      <c r="G62" s="329"/>
      <c r="H62" s="460"/>
      <c r="I62" s="357"/>
      <c r="J62" s="330"/>
    </row>
    <row r="63" spans="5:10" x14ac:dyDescent="0.25">
      <c r="E63" s="327" t="s">
        <v>580</v>
      </c>
      <c r="G63" s="329"/>
      <c r="H63" s="303">
        <f>SUBTOTAL(9,H49:H62)</f>
        <v>9164</v>
      </c>
      <c r="I63" s="357"/>
      <c r="J63" s="330"/>
    </row>
    <row r="64" spans="5:10" x14ac:dyDescent="0.25">
      <c r="E64" s="327"/>
      <c r="G64" s="329"/>
      <c r="H64" s="303"/>
      <c r="I64" s="357"/>
      <c r="J64" s="330"/>
    </row>
    <row r="65" spans="2:10" x14ac:dyDescent="0.25">
      <c r="B65" s="327" t="s">
        <v>489</v>
      </c>
      <c r="C65" s="302">
        <v>61056</v>
      </c>
      <c r="D65" s="327" t="s">
        <v>489</v>
      </c>
      <c r="E65" s="327" t="s">
        <v>489</v>
      </c>
      <c r="F65" s="327" t="s">
        <v>271</v>
      </c>
      <c r="G65" s="331" t="s">
        <v>673</v>
      </c>
      <c r="H65" s="303">
        <v>2500</v>
      </c>
      <c r="I65" s="346">
        <v>45925</v>
      </c>
      <c r="J65" s="330">
        <v>45902</v>
      </c>
    </row>
    <row r="66" spans="2:10" x14ac:dyDescent="0.25">
      <c r="B66" s="327" t="s">
        <v>489</v>
      </c>
      <c r="C66" s="302">
        <v>61056</v>
      </c>
      <c r="D66" s="327" t="s">
        <v>489</v>
      </c>
      <c r="E66" s="327" t="s">
        <v>489</v>
      </c>
      <c r="F66" s="327" t="s">
        <v>271</v>
      </c>
      <c r="G66" s="331" t="s">
        <v>674</v>
      </c>
      <c r="H66" s="303">
        <v>2500</v>
      </c>
      <c r="I66" s="346">
        <v>45925</v>
      </c>
      <c r="J66" s="330">
        <v>45930</v>
      </c>
    </row>
    <row r="67" spans="2:10" x14ac:dyDescent="0.25">
      <c r="B67" s="327" t="s">
        <v>489</v>
      </c>
      <c r="C67" s="302">
        <v>61056</v>
      </c>
      <c r="D67" s="327" t="s">
        <v>489</v>
      </c>
      <c r="E67" s="327" t="s">
        <v>489</v>
      </c>
      <c r="F67" s="327" t="s">
        <v>271</v>
      </c>
      <c r="G67" s="331" t="s">
        <v>561</v>
      </c>
      <c r="H67" s="303">
        <v>2500</v>
      </c>
      <c r="I67" s="346">
        <v>45931</v>
      </c>
      <c r="J67" s="330">
        <v>45961</v>
      </c>
    </row>
    <row r="68" spans="2:10" x14ac:dyDescent="0.25">
      <c r="B68" s="327" t="s">
        <v>489</v>
      </c>
      <c r="C68" s="302">
        <v>61056</v>
      </c>
      <c r="D68" s="327" t="s">
        <v>489</v>
      </c>
      <c r="E68" s="327" t="s">
        <v>489</v>
      </c>
      <c r="F68" s="327" t="s">
        <v>271</v>
      </c>
      <c r="G68" s="331">
        <v>8017</v>
      </c>
      <c r="H68" s="303">
        <v>2500</v>
      </c>
      <c r="I68" s="346">
        <v>45962</v>
      </c>
      <c r="J68" s="330">
        <v>45991</v>
      </c>
    </row>
    <row r="69" spans="2:10" x14ac:dyDescent="0.25">
      <c r="B69" s="327" t="s">
        <v>489</v>
      </c>
      <c r="C69" s="302">
        <v>61056</v>
      </c>
      <c r="D69" s="327" t="s">
        <v>489</v>
      </c>
      <c r="E69" s="327" t="s">
        <v>489</v>
      </c>
      <c r="F69" s="327" t="s">
        <v>271</v>
      </c>
      <c r="G69" s="331">
        <v>8021</v>
      </c>
      <c r="H69" s="303">
        <v>2500</v>
      </c>
      <c r="I69" s="346">
        <v>46016</v>
      </c>
      <c r="J69" s="330">
        <v>46022</v>
      </c>
    </row>
    <row r="70" ht="6.75" customHeight="1" spans="2:10" x14ac:dyDescent="0.25">
      <c r="B70" s="301"/>
      <c r="C70" s="302"/>
      <c r="D70" s="301"/>
      <c r="E70" s="327"/>
      <c r="F70" s="301"/>
      <c r="G70" s="329"/>
      <c r="H70" s="456"/>
      <c r="I70" s="311"/>
      <c r="J70" s="330"/>
    </row>
    <row r="71" spans="2:10" x14ac:dyDescent="0.25">
      <c r="B71" s="301"/>
      <c r="C71" s="302"/>
      <c r="D71" s="301"/>
      <c r="E71" s="327" t="s">
        <v>581</v>
      </c>
      <c r="F71" s="301"/>
      <c r="G71" s="329"/>
      <c r="H71" s="303">
        <f>SUBTOTAL(9,H65:H70)</f>
        <v>12500</v>
      </c>
      <c r="I71" s="311"/>
      <c r="J71" s="330"/>
    </row>
    <row r="72" spans="5:10" x14ac:dyDescent="0.25">
      <c r="E72" s="327"/>
      <c r="G72" s="329"/>
      <c r="H72" s="303"/>
      <c r="I72" s="357"/>
      <c r="J72" s="330"/>
    </row>
    <row r="73" spans="2:10" x14ac:dyDescent="0.25">
      <c r="B73" s="327" t="s">
        <v>507</v>
      </c>
      <c r="C73" s="326">
        <v>61150</v>
      </c>
      <c r="D73" s="327" t="s">
        <v>507</v>
      </c>
      <c r="E73" s="327" t="s">
        <v>507</v>
      </c>
      <c r="F73" s="327" t="s">
        <v>675</v>
      </c>
      <c r="G73" t="s">
        <v>633</v>
      </c>
      <c r="H73" s="303">
        <v>113.89</v>
      </c>
      <c r="I73" s="346">
        <v>45682</v>
      </c>
      <c r="J73" s="330">
        <v>45688</v>
      </c>
    </row>
    <row r="74" spans="2:10" x14ac:dyDescent="0.25">
      <c r="B74" s="327" t="s">
        <v>507</v>
      </c>
      <c r="C74" s="326">
        <v>61150</v>
      </c>
      <c r="D74" s="327" t="s">
        <v>507</v>
      </c>
      <c r="E74" s="327" t="s">
        <v>507</v>
      </c>
      <c r="F74" s="327" t="s">
        <v>676</v>
      </c>
      <c r="G74" t="s">
        <v>633</v>
      </c>
      <c r="H74" s="303">
        <v>120.97</v>
      </c>
      <c r="I74" s="346">
        <v>45682</v>
      </c>
      <c r="J74" s="330">
        <v>45688</v>
      </c>
    </row>
    <row r="75" spans="2:10" x14ac:dyDescent="0.25">
      <c r="B75" s="327" t="s">
        <v>507</v>
      </c>
      <c r="C75" s="326">
        <v>61150</v>
      </c>
      <c r="D75" s="327" t="s">
        <v>507</v>
      </c>
      <c r="E75" s="327" t="s">
        <v>507</v>
      </c>
      <c r="F75" t="s">
        <v>407</v>
      </c>
      <c r="G75" t="s">
        <v>635</v>
      </c>
      <c r="H75" s="303">
        <v>496.99</v>
      </c>
      <c r="I75" s="346">
        <v>45689</v>
      </c>
      <c r="J75" s="330">
        <v>45716</v>
      </c>
    </row>
    <row r="76" ht="15.6" customHeight="1" spans="2:10" x14ac:dyDescent="0.25">
      <c r="B76" s="327" t="s">
        <v>507</v>
      </c>
      <c r="C76" s="326">
        <v>61150</v>
      </c>
      <c r="D76" s="327" t="s">
        <v>507</v>
      </c>
      <c r="E76" s="327" t="s">
        <v>507</v>
      </c>
      <c r="F76" s="301" t="s">
        <v>407</v>
      </c>
      <c r="G76" s="304" t="s">
        <v>641</v>
      </c>
      <c r="H76" s="303">
        <v>120.97</v>
      </c>
      <c r="I76" s="346">
        <v>45748</v>
      </c>
      <c r="J76" s="330">
        <v>45770</v>
      </c>
    </row>
    <row r="77" ht="15.6" customHeight="1" spans="2:10" x14ac:dyDescent="0.25">
      <c r="B77" s="327" t="s">
        <v>507</v>
      </c>
      <c r="C77" s="326">
        <v>61150</v>
      </c>
      <c r="D77" s="327" t="s">
        <v>507</v>
      </c>
      <c r="E77" s="327" t="s">
        <v>507</v>
      </c>
      <c r="F77" s="301" t="s">
        <v>677</v>
      </c>
      <c r="G77" s="304" t="s">
        <v>678</v>
      </c>
      <c r="H77" s="303">
        <v>113.15</v>
      </c>
      <c r="I77" s="346">
        <v>45748</v>
      </c>
      <c r="J77" s="330">
        <v>45770</v>
      </c>
    </row>
    <row r="78" ht="15.6" customHeight="1" spans="2:10" x14ac:dyDescent="0.25">
      <c r="B78" s="327" t="s">
        <v>507</v>
      </c>
      <c r="C78" s="326">
        <v>61150</v>
      </c>
      <c r="D78" s="327" t="s">
        <v>507</v>
      </c>
      <c r="E78" s="327" t="s">
        <v>507</v>
      </c>
      <c r="F78" s="301" t="s">
        <v>677</v>
      </c>
      <c r="G78" s="304" t="s">
        <v>678</v>
      </c>
      <c r="H78" s="303">
        <v>3451.19</v>
      </c>
      <c r="I78" s="346">
        <v>45748</v>
      </c>
      <c r="J78" s="330">
        <v>45771</v>
      </c>
    </row>
    <row r="79" ht="15.6" customHeight="1" spans="2:10" x14ac:dyDescent="0.25">
      <c r="B79" s="327" t="s">
        <v>507</v>
      </c>
      <c r="C79" s="326">
        <v>61150</v>
      </c>
      <c r="D79" s="327" t="s">
        <v>507</v>
      </c>
      <c r="E79" s="327" t="s">
        <v>507</v>
      </c>
      <c r="F79" s="301" t="s">
        <v>407</v>
      </c>
      <c r="G79" s="304" t="s">
        <v>679</v>
      </c>
      <c r="H79" s="303">
        <v>120.97</v>
      </c>
      <c r="I79" s="346">
        <v>45802</v>
      </c>
      <c r="J79" s="330">
        <v>45784</v>
      </c>
    </row>
    <row r="80" ht="15.6" customHeight="1" spans="2:10" x14ac:dyDescent="0.25">
      <c r="B80" s="327" t="s">
        <v>507</v>
      </c>
      <c r="C80" s="326">
        <v>61150</v>
      </c>
      <c r="D80" s="327" t="s">
        <v>507</v>
      </c>
      <c r="E80" s="327" t="s">
        <v>507</v>
      </c>
      <c r="F80" s="301" t="s">
        <v>407</v>
      </c>
      <c r="G80" s="304" t="s">
        <v>680</v>
      </c>
      <c r="H80" s="303">
        <v>367.1</v>
      </c>
      <c r="I80" s="346">
        <v>45833</v>
      </c>
      <c r="J80" s="330">
        <v>45838</v>
      </c>
    </row>
    <row r="81" ht="15.6" customHeight="1" spans="2:10" x14ac:dyDescent="0.25">
      <c r="B81" s="327" t="s">
        <v>507</v>
      </c>
      <c r="C81" s="326">
        <v>61150</v>
      </c>
      <c r="D81" s="327" t="s">
        <v>507</v>
      </c>
      <c r="E81" s="327" t="s">
        <v>507</v>
      </c>
      <c r="F81" s="301" t="s">
        <v>675</v>
      </c>
      <c r="G81" s="304" t="s">
        <v>681</v>
      </c>
      <c r="H81" s="303">
        <v>118.6</v>
      </c>
      <c r="I81" s="346">
        <v>45833</v>
      </c>
      <c r="J81" s="330">
        <v>45811</v>
      </c>
    </row>
    <row r="82" ht="15.6" customHeight="1" spans="2:10" x14ac:dyDescent="0.25">
      <c r="B82" s="327" t="s">
        <v>507</v>
      </c>
      <c r="C82" s="326">
        <v>61150</v>
      </c>
      <c r="D82" s="327" t="s">
        <v>507</v>
      </c>
      <c r="E82" s="327" t="s">
        <v>507</v>
      </c>
      <c r="F82" s="301" t="s">
        <v>675</v>
      </c>
      <c r="G82" s="304" t="s">
        <v>682</v>
      </c>
      <c r="H82" s="303">
        <v>238.46</v>
      </c>
      <c r="I82" s="346">
        <v>45839</v>
      </c>
      <c r="J82" s="330">
        <v>45848</v>
      </c>
    </row>
    <row r="83" ht="15.6" customHeight="1" spans="2:10" x14ac:dyDescent="0.25">
      <c r="B83" s="327" t="s">
        <v>507</v>
      </c>
      <c r="C83" s="326">
        <v>61150</v>
      </c>
      <c r="D83" s="327" t="s">
        <v>507</v>
      </c>
      <c r="E83" s="327" t="s">
        <v>507</v>
      </c>
      <c r="F83" s="301" t="s">
        <v>675</v>
      </c>
      <c r="G83" s="304" t="s">
        <v>682</v>
      </c>
      <c r="H83" s="303">
        <v>5516.43</v>
      </c>
      <c r="I83" s="346">
        <v>45839</v>
      </c>
      <c r="J83" s="330">
        <v>45848</v>
      </c>
    </row>
    <row r="84" ht="15.6" customHeight="1" spans="2:10" x14ac:dyDescent="0.25">
      <c r="B84" s="327" t="s">
        <v>507</v>
      </c>
      <c r="C84" s="326">
        <v>61150</v>
      </c>
      <c r="D84" s="327" t="s">
        <v>507</v>
      </c>
      <c r="E84" s="327" t="s">
        <v>507</v>
      </c>
      <c r="F84" s="301" t="s">
        <v>675</v>
      </c>
      <c r="G84" s="304" t="s">
        <v>682</v>
      </c>
      <c r="H84" s="303">
        <v>121.18</v>
      </c>
      <c r="I84" s="346">
        <v>45839</v>
      </c>
      <c r="J84" s="330">
        <v>45869</v>
      </c>
    </row>
    <row r="85" ht="15.6" customHeight="1" spans="2:10" x14ac:dyDescent="0.25">
      <c r="B85" s="327" t="s">
        <v>507</v>
      </c>
      <c r="C85" s="326">
        <v>61150</v>
      </c>
      <c r="D85" s="327" t="s">
        <v>507</v>
      </c>
      <c r="E85" s="327" t="s">
        <v>507</v>
      </c>
      <c r="F85" s="301" t="s">
        <v>675</v>
      </c>
      <c r="G85" s="304" t="s">
        <v>682</v>
      </c>
      <c r="H85" s="303">
        <v>5506.03</v>
      </c>
      <c r="I85" s="346">
        <v>45839</v>
      </c>
      <c r="J85" s="330">
        <v>45869</v>
      </c>
    </row>
    <row r="86" ht="15.6" customHeight="1" spans="2:10" x14ac:dyDescent="0.25">
      <c r="B86" s="327" t="s">
        <v>507</v>
      </c>
      <c r="C86" s="326">
        <v>61150</v>
      </c>
      <c r="D86" s="327" t="s">
        <v>507</v>
      </c>
      <c r="E86" s="327" t="s">
        <v>507</v>
      </c>
      <c r="F86" s="301" t="s">
        <v>407</v>
      </c>
      <c r="G86" s="304" t="s">
        <v>646</v>
      </c>
      <c r="H86" s="303">
        <v>120.97</v>
      </c>
      <c r="I86" s="346">
        <v>45839</v>
      </c>
      <c r="J86" s="330">
        <v>45869</v>
      </c>
    </row>
    <row r="87" ht="15.6" customHeight="1" spans="2:10" x14ac:dyDescent="0.25">
      <c r="B87" s="327" t="s">
        <v>507</v>
      </c>
      <c r="C87" s="326">
        <v>61150</v>
      </c>
      <c r="D87" s="327" t="s">
        <v>507</v>
      </c>
      <c r="E87" s="327" t="s">
        <v>507</v>
      </c>
      <c r="F87" s="304" t="s">
        <v>407</v>
      </c>
      <c r="G87" s="304" t="s">
        <v>649</v>
      </c>
      <c r="H87" s="303">
        <v>120.97</v>
      </c>
      <c r="I87" s="346">
        <v>45870</v>
      </c>
      <c r="J87" s="330">
        <v>45877</v>
      </c>
    </row>
    <row r="88" ht="15.6" customHeight="1" spans="2:10" x14ac:dyDescent="0.25">
      <c r="B88" s="327" t="s">
        <v>507</v>
      </c>
      <c r="C88" s="326">
        <v>61150</v>
      </c>
      <c r="D88" s="327" t="s">
        <v>507</v>
      </c>
      <c r="E88" s="327" t="s">
        <v>507</v>
      </c>
      <c r="F88" s="304" t="s">
        <v>407</v>
      </c>
      <c r="G88" s="304" t="s">
        <v>683</v>
      </c>
      <c r="H88" s="303">
        <v>374.84</v>
      </c>
      <c r="I88" s="346">
        <v>45925</v>
      </c>
      <c r="J88" s="330">
        <v>45901</v>
      </c>
    </row>
    <row r="89" ht="15.6" customHeight="1" spans="2:10" x14ac:dyDescent="0.25">
      <c r="B89" s="327" t="s">
        <v>507</v>
      </c>
      <c r="C89" s="326">
        <v>61150</v>
      </c>
      <c r="D89" s="327" t="s">
        <v>507</v>
      </c>
      <c r="E89" s="327" t="s">
        <v>507</v>
      </c>
      <c r="F89" s="304" t="s">
        <v>684</v>
      </c>
      <c r="G89" s="304" t="s">
        <v>685</v>
      </c>
      <c r="H89" s="303">
        <v>460.84</v>
      </c>
      <c r="I89" s="346">
        <v>45925</v>
      </c>
      <c r="J89" s="330">
        <v>45918</v>
      </c>
    </row>
    <row r="90" ht="15.6" customHeight="1" spans="2:10" x14ac:dyDescent="0.25">
      <c r="B90" s="327" t="s">
        <v>507</v>
      </c>
      <c r="C90" s="326">
        <v>61150</v>
      </c>
      <c r="D90" s="327" t="s">
        <v>507</v>
      </c>
      <c r="E90" s="327" t="s">
        <v>507</v>
      </c>
      <c r="F90" s="304" t="s">
        <v>684</v>
      </c>
      <c r="G90" s="304" t="s">
        <v>686</v>
      </c>
      <c r="H90" s="303">
        <v>308.32</v>
      </c>
      <c r="I90" s="346">
        <v>45925</v>
      </c>
      <c r="J90" s="330">
        <v>45930</v>
      </c>
    </row>
    <row r="91" ht="15.6" customHeight="1" spans="2:10" x14ac:dyDescent="0.25">
      <c r="B91" s="327" t="s">
        <v>507</v>
      </c>
      <c r="C91" s="326">
        <v>61150</v>
      </c>
      <c r="D91" s="327" t="s">
        <v>507</v>
      </c>
      <c r="E91" s="327" t="s">
        <v>507</v>
      </c>
      <c r="F91" s="304" t="s">
        <v>687</v>
      </c>
      <c r="G91" s="304" t="s">
        <v>688</v>
      </c>
      <c r="H91" s="303">
        <v>116.93</v>
      </c>
      <c r="I91" s="346">
        <v>45925</v>
      </c>
      <c r="J91" s="330">
        <v>45905</v>
      </c>
    </row>
    <row r="92" ht="15.6" customHeight="1" spans="2:10" x14ac:dyDescent="0.25">
      <c r="B92" s="327" t="s">
        <v>507</v>
      </c>
      <c r="C92" s="326">
        <v>61150</v>
      </c>
      <c r="D92" s="327" t="s">
        <v>507</v>
      </c>
      <c r="E92" s="327" t="s">
        <v>507</v>
      </c>
      <c r="F92" s="304" t="s">
        <v>687</v>
      </c>
      <c r="G92" s="304" t="s">
        <v>688</v>
      </c>
      <c r="H92" s="303">
        <v>5481.58</v>
      </c>
      <c r="I92" s="346">
        <v>45925</v>
      </c>
      <c r="J92" s="330">
        <v>45918</v>
      </c>
    </row>
    <row r="93" ht="15.6" customHeight="1" spans="2:10" x14ac:dyDescent="0.25">
      <c r="B93" s="327" t="s">
        <v>507</v>
      </c>
      <c r="C93" s="326">
        <v>61150</v>
      </c>
      <c r="D93" s="327" t="s">
        <v>507</v>
      </c>
      <c r="E93" s="327" t="s">
        <v>507</v>
      </c>
      <c r="F93" s="304" t="s">
        <v>407</v>
      </c>
      <c r="G93" s="304" t="s">
        <v>650</v>
      </c>
      <c r="H93" s="303">
        <v>120.97</v>
      </c>
      <c r="I93" s="346">
        <v>45925</v>
      </c>
      <c r="J93" s="330">
        <v>45922</v>
      </c>
    </row>
    <row r="94" ht="15.6" customHeight="1" spans="2:10" x14ac:dyDescent="0.25">
      <c r="B94" s="327" t="s">
        <v>507</v>
      </c>
      <c r="C94" s="326">
        <v>61150</v>
      </c>
      <c r="D94" s="327" t="s">
        <v>507</v>
      </c>
      <c r="E94" s="327" t="s">
        <v>507</v>
      </c>
      <c r="F94" s="304" t="s">
        <v>687</v>
      </c>
      <c r="G94" s="304" t="s">
        <v>688</v>
      </c>
      <c r="H94" s="303">
        <v>116.93</v>
      </c>
      <c r="I94" s="346">
        <v>45931</v>
      </c>
      <c r="J94" s="330">
        <v>45936</v>
      </c>
    </row>
    <row r="95" ht="15.6" customHeight="1" spans="2:10" x14ac:dyDescent="0.25">
      <c r="B95" s="327" t="s">
        <v>507</v>
      </c>
      <c r="C95" s="326">
        <v>61150</v>
      </c>
      <c r="D95" s="327" t="s">
        <v>507</v>
      </c>
      <c r="E95" s="327" t="s">
        <v>507</v>
      </c>
      <c r="F95" s="304" t="s">
        <v>687</v>
      </c>
      <c r="G95" s="304" t="s">
        <v>688</v>
      </c>
      <c r="H95" s="303">
        <v>5481.58</v>
      </c>
      <c r="I95" s="346">
        <v>45931</v>
      </c>
      <c r="J95" s="330">
        <v>45946</v>
      </c>
    </row>
    <row r="96" ht="15.6" customHeight="1" spans="2:10" x14ac:dyDescent="0.25">
      <c r="B96" s="327" t="s">
        <v>507</v>
      </c>
      <c r="C96" s="326">
        <v>61150</v>
      </c>
      <c r="D96" s="327" t="s">
        <v>507</v>
      </c>
      <c r="E96" s="327" t="s">
        <v>507</v>
      </c>
      <c r="F96" s="304" t="s">
        <v>407</v>
      </c>
      <c r="G96" s="304" t="s">
        <v>651</v>
      </c>
      <c r="H96" s="303">
        <v>120.97</v>
      </c>
      <c r="I96" s="346">
        <v>45931</v>
      </c>
      <c r="J96" s="330">
        <v>45946</v>
      </c>
    </row>
    <row r="97" ht="15.6" customHeight="1" spans="2:10" x14ac:dyDescent="0.25">
      <c r="B97" s="327" t="s">
        <v>507</v>
      </c>
      <c r="C97" s="326">
        <v>61150</v>
      </c>
      <c r="D97" s="327" t="s">
        <v>507</v>
      </c>
      <c r="E97" s="327" t="s">
        <v>507</v>
      </c>
      <c r="F97" s="304" t="s">
        <v>687</v>
      </c>
      <c r="G97" s="304" t="s">
        <v>689</v>
      </c>
      <c r="H97" s="303">
        <v>122.33</v>
      </c>
      <c r="I97" s="346">
        <v>45962</v>
      </c>
      <c r="J97" s="330">
        <v>45971</v>
      </c>
    </row>
    <row r="98" ht="15.6" customHeight="1" spans="2:10" x14ac:dyDescent="0.25">
      <c r="B98" s="327" t="s">
        <v>507</v>
      </c>
      <c r="C98" s="326">
        <v>61150</v>
      </c>
      <c r="D98" s="327" t="s">
        <v>507</v>
      </c>
      <c r="E98" s="327" t="s">
        <v>507</v>
      </c>
      <c r="F98" s="304" t="s">
        <v>687</v>
      </c>
      <c r="G98" s="304" t="s">
        <v>689</v>
      </c>
      <c r="H98" s="303">
        <v>5539.4</v>
      </c>
      <c r="I98" s="346">
        <v>45962</v>
      </c>
      <c r="J98" s="330">
        <v>45971</v>
      </c>
    </row>
    <row r="99" ht="15.6" customHeight="1" spans="2:10" x14ac:dyDescent="0.25">
      <c r="B99" s="327" t="s">
        <v>507</v>
      </c>
      <c r="C99" s="326">
        <v>61150</v>
      </c>
      <c r="D99" s="327" t="s">
        <v>507</v>
      </c>
      <c r="E99" s="327" t="s">
        <v>507</v>
      </c>
      <c r="F99" s="301" t="s">
        <v>407</v>
      </c>
      <c r="G99" s="304" t="s">
        <v>655</v>
      </c>
      <c r="H99" s="303">
        <v>120.97</v>
      </c>
      <c r="I99" s="346">
        <v>45962</v>
      </c>
      <c r="J99" s="330">
        <v>45991</v>
      </c>
    </row>
    <row r="100" ht="15.6" customHeight="1" spans="2:10" x14ac:dyDescent="0.25">
      <c r="B100" s="327" t="s">
        <v>507</v>
      </c>
      <c r="C100" s="326">
        <v>61150</v>
      </c>
      <c r="D100" s="327" t="s">
        <v>507</v>
      </c>
      <c r="E100" s="327" t="s">
        <v>507</v>
      </c>
      <c r="F100" s="301" t="s">
        <v>407</v>
      </c>
      <c r="G100" s="304" t="s">
        <v>572</v>
      </c>
      <c r="H100" s="303">
        <v>1184.69</v>
      </c>
      <c r="I100" s="346">
        <v>46016</v>
      </c>
      <c r="J100" s="330">
        <v>46022</v>
      </c>
    </row>
    <row r="101" ht="6" customHeight="1" spans="5:10" x14ac:dyDescent="0.25">
      <c r="E101" s="327"/>
      <c r="G101" s="329"/>
      <c r="H101" s="303"/>
      <c r="J101" s="301"/>
    </row>
    <row r="102" spans="5:10" x14ac:dyDescent="0.25">
      <c r="E102" s="327" t="s">
        <v>582</v>
      </c>
      <c r="G102" s="329"/>
      <c r="H102" s="453">
        <f>SUBTOTAL(9,H73:H101)</f>
        <v>36198.220000000016</v>
      </c>
      <c r="I102" s="357"/>
      <c r="J102" s="330"/>
    </row>
    <row r="103" spans="5:10" x14ac:dyDescent="0.25">
      <c r="E103" s="327"/>
      <c r="G103" s="329"/>
      <c r="H103" s="454"/>
      <c r="I103" s="357"/>
      <c r="J103" s="330"/>
    </row>
    <row r="104" spans="2:10" x14ac:dyDescent="0.25">
      <c r="B104" s="327" t="s">
        <v>495</v>
      </c>
      <c r="C104" s="326">
        <v>61164</v>
      </c>
      <c r="D104" s="327" t="s">
        <v>495</v>
      </c>
      <c r="E104" s="327" t="s">
        <v>495</v>
      </c>
      <c r="F104" s="327" t="s">
        <v>583</v>
      </c>
      <c r="G104" s="329" t="s">
        <v>690</v>
      </c>
      <c r="H104" s="303">
        <v>883.52</v>
      </c>
      <c r="I104" s="346">
        <v>45682</v>
      </c>
      <c r="J104" s="330">
        <v>45672</v>
      </c>
    </row>
    <row r="105" spans="2:10" x14ac:dyDescent="0.25">
      <c r="B105" s="327" t="s">
        <v>495</v>
      </c>
      <c r="C105" s="326">
        <v>61164</v>
      </c>
      <c r="D105" s="327" t="s">
        <v>495</v>
      </c>
      <c r="E105" s="327" t="s">
        <v>495</v>
      </c>
      <c r="F105" s="327" t="s">
        <v>583</v>
      </c>
      <c r="G105" s="331" t="s">
        <v>691</v>
      </c>
      <c r="H105" s="303">
        <v>3701.52</v>
      </c>
      <c r="I105" s="346">
        <v>45925</v>
      </c>
      <c r="J105" s="330">
        <v>45910</v>
      </c>
    </row>
    <row r="106" spans="2:10" x14ac:dyDescent="0.25">
      <c r="B106" s="327" t="s">
        <v>495</v>
      </c>
      <c r="C106" s="326">
        <v>61164</v>
      </c>
      <c r="D106" s="327" t="s">
        <v>495</v>
      </c>
      <c r="E106" s="327" t="s">
        <v>495</v>
      </c>
      <c r="F106" s="327" t="s">
        <v>583</v>
      </c>
      <c r="G106" s="331" t="s">
        <v>584</v>
      </c>
      <c r="H106" s="303">
        <v>1952.87</v>
      </c>
      <c r="I106" s="346">
        <v>46016</v>
      </c>
      <c r="J106" s="330">
        <v>45994</v>
      </c>
    </row>
    <row r="107" spans="2:10" x14ac:dyDescent="0.25">
      <c r="B107" s="327" t="s">
        <v>495</v>
      </c>
      <c r="C107" s="326">
        <v>61164</v>
      </c>
      <c r="D107" s="327" t="s">
        <v>495</v>
      </c>
      <c r="E107" s="327" t="s">
        <v>495</v>
      </c>
      <c r="F107" s="327" t="s">
        <v>583</v>
      </c>
      <c r="G107" s="331" t="s">
        <v>585</v>
      </c>
      <c r="H107" s="303">
        <v>2016.44</v>
      </c>
      <c r="I107" s="346">
        <v>46016</v>
      </c>
      <c r="J107" s="330">
        <v>46022</v>
      </c>
    </row>
    <row r="108" ht="4.95" customHeight="1" spans="5:10" x14ac:dyDescent="0.25">
      <c r="E108" s="327"/>
      <c r="G108" s="329"/>
      <c r="H108" s="303"/>
      <c r="I108" s="357"/>
      <c r="J108" s="330"/>
    </row>
    <row r="109" spans="5:10" x14ac:dyDescent="0.25">
      <c r="E109" s="327" t="s">
        <v>586</v>
      </c>
      <c r="G109" s="329"/>
      <c r="H109" s="453">
        <f>SUBTOTAL(9,H104:H108)</f>
        <v>8554.35</v>
      </c>
      <c r="I109" s="357"/>
      <c r="J109" s="330"/>
    </row>
    <row r="110" ht="15" customHeight="1" x14ac:dyDescent="0.25"/>
    <row r="111" spans="2:10" x14ac:dyDescent="0.25">
      <c r="B111" s="327" t="s">
        <v>481</v>
      </c>
      <c r="C111" s="326">
        <v>63000</v>
      </c>
      <c r="D111" s="327" t="s">
        <v>481</v>
      </c>
      <c r="E111" s="327" t="s">
        <v>587</v>
      </c>
      <c r="F111" s="327" t="s">
        <v>214</v>
      </c>
      <c r="G111" s="329" t="s">
        <v>692</v>
      </c>
      <c r="H111" s="303">
        <v>4709.25</v>
      </c>
      <c r="I111" s="346">
        <v>45682</v>
      </c>
      <c r="J111" s="330">
        <v>45667</v>
      </c>
    </row>
    <row r="112" spans="2:10" x14ac:dyDescent="0.25">
      <c r="B112" s="327" t="s">
        <v>481</v>
      </c>
      <c r="C112" s="326">
        <v>63000</v>
      </c>
      <c r="D112" s="327" t="s">
        <v>481</v>
      </c>
      <c r="E112" s="327" t="s">
        <v>587</v>
      </c>
      <c r="F112" s="327" t="s">
        <v>214</v>
      </c>
      <c r="G112" s="329" t="s">
        <v>693</v>
      </c>
      <c r="H112" s="303">
        <v>6914.25</v>
      </c>
      <c r="I112" s="346">
        <v>45689</v>
      </c>
      <c r="J112" s="330">
        <v>45708</v>
      </c>
    </row>
    <row r="113" spans="2:10" x14ac:dyDescent="0.25">
      <c r="B113" s="327" t="s">
        <v>481</v>
      </c>
      <c r="C113" s="326">
        <v>63000</v>
      </c>
      <c r="D113" s="327" t="s">
        <v>481</v>
      </c>
      <c r="E113" s="327" t="s">
        <v>587</v>
      </c>
      <c r="F113" s="327" t="s">
        <v>214</v>
      </c>
      <c r="G113" s="329" t="s">
        <v>694</v>
      </c>
      <c r="H113" s="303">
        <v>8121.75</v>
      </c>
      <c r="I113" s="346">
        <v>45717</v>
      </c>
      <c r="J113" s="330">
        <v>45747</v>
      </c>
    </row>
    <row r="114" spans="2:10" x14ac:dyDescent="0.25">
      <c r="B114" s="327" t="s">
        <v>481</v>
      </c>
      <c r="C114" s="326">
        <v>63000</v>
      </c>
      <c r="D114" s="327" t="s">
        <v>481</v>
      </c>
      <c r="E114" s="327" t="s">
        <v>587</v>
      </c>
      <c r="F114" s="327" t="s">
        <v>695</v>
      </c>
      <c r="G114" s="329">
        <v>2427642</v>
      </c>
      <c r="H114" s="303">
        <v>4068.75</v>
      </c>
      <c r="I114" s="346">
        <v>45717</v>
      </c>
      <c r="J114" s="330">
        <v>45747</v>
      </c>
    </row>
    <row r="115" spans="2:10" x14ac:dyDescent="0.25">
      <c r="B115" s="327" t="s">
        <v>481</v>
      </c>
      <c r="C115" s="326">
        <v>63000</v>
      </c>
      <c r="D115" s="327" t="s">
        <v>481</v>
      </c>
      <c r="E115" s="327" t="s">
        <v>587</v>
      </c>
      <c r="F115" s="327" t="s">
        <v>214</v>
      </c>
      <c r="G115" s="329" t="s">
        <v>696</v>
      </c>
      <c r="H115" s="303">
        <v>4498.2</v>
      </c>
      <c r="I115" s="346">
        <v>45748</v>
      </c>
      <c r="J115" s="330">
        <v>45758</v>
      </c>
    </row>
    <row r="116" spans="2:10" x14ac:dyDescent="0.25">
      <c r="B116" s="327" t="s">
        <v>481</v>
      </c>
      <c r="C116" s="326">
        <v>63000</v>
      </c>
      <c r="D116" s="327" t="s">
        <v>481</v>
      </c>
      <c r="E116" s="327" t="s">
        <v>587</v>
      </c>
      <c r="F116" s="327" t="s">
        <v>214</v>
      </c>
      <c r="G116" s="329" t="s">
        <v>697</v>
      </c>
      <c r="H116" s="303">
        <v>1192</v>
      </c>
      <c r="I116" s="346">
        <v>45802</v>
      </c>
      <c r="J116" s="330">
        <v>45727</v>
      </c>
    </row>
    <row r="117" spans="2:10" x14ac:dyDescent="0.25">
      <c r="B117" s="327" t="s">
        <v>481</v>
      </c>
      <c r="C117" s="326">
        <v>63000</v>
      </c>
      <c r="D117" s="327" t="s">
        <v>481</v>
      </c>
      <c r="E117" s="327" t="s">
        <v>587</v>
      </c>
      <c r="F117" s="327" t="s">
        <v>214</v>
      </c>
      <c r="G117" s="329" t="s">
        <v>698</v>
      </c>
      <c r="H117" s="303">
        <v>8526.75</v>
      </c>
      <c r="I117" s="346">
        <v>45802</v>
      </c>
      <c r="J117" s="330">
        <v>45791</v>
      </c>
    </row>
    <row r="118" spans="2:10" x14ac:dyDescent="0.25">
      <c r="B118" s="327" t="s">
        <v>481</v>
      </c>
      <c r="C118" s="326">
        <v>63000</v>
      </c>
      <c r="D118" s="327" t="s">
        <v>481</v>
      </c>
      <c r="E118" s="327" t="s">
        <v>587</v>
      </c>
      <c r="F118" s="327" t="s">
        <v>214</v>
      </c>
      <c r="G118" s="329" t="s">
        <v>699</v>
      </c>
      <c r="H118" s="303">
        <v>149</v>
      </c>
      <c r="I118" s="346">
        <v>45802</v>
      </c>
      <c r="J118" s="330">
        <v>45792</v>
      </c>
    </row>
    <row r="119" spans="2:10" x14ac:dyDescent="0.25">
      <c r="B119" s="327" t="s">
        <v>481</v>
      </c>
      <c r="C119" s="326">
        <v>63000</v>
      </c>
      <c r="D119" s="327" t="s">
        <v>481</v>
      </c>
      <c r="E119" s="327" t="s">
        <v>587</v>
      </c>
      <c r="F119" s="327" t="s">
        <v>695</v>
      </c>
      <c r="G119" s="329">
        <v>2526026</v>
      </c>
      <c r="H119" s="303">
        <v>4068.75</v>
      </c>
      <c r="I119" s="346">
        <v>45802</v>
      </c>
      <c r="J119" s="330">
        <v>45783</v>
      </c>
    </row>
    <row r="120" spans="2:10" x14ac:dyDescent="0.25">
      <c r="B120" s="327" t="s">
        <v>481</v>
      </c>
      <c r="C120" s="326">
        <v>63000</v>
      </c>
      <c r="D120" s="327" t="s">
        <v>481</v>
      </c>
      <c r="E120" s="327" t="s">
        <v>587</v>
      </c>
      <c r="F120" s="327" t="s">
        <v>214</v>
      </c>
      <c r="G120" s="329" t="s">
        <v>700</v>
      </c>
      <c r="H120" s="303">
        <v>4901.25</v>
      </c>
      <c r="I120" s="346">
        <v>45839</v>
      </c>
      <c r="J120" s="330">
        <v>45859</v>
      </c>
    </row>
    <row r="121" spans="2:10" x14ac:dyDescent="0.25">
      <c r="B121" s="327" t="s">
        <v>481</v>
      </c>
      <c r="C121" s="326">
        <v>63000</v>
      </c>
      <c r="D121" s="327" t="s">
        <v>481</v>
      </c>
      <c r="E121" s="327" t="s">
        <v>587</v>
      </c>
      <c r="F121" s="327" t="s">
        <v>214</v>
      </c>
      <c r="G121" s="329" t="s">
        <v>701</v>
      </c>
      <c r="H121" s="303">
        <v>4941.43</v>
      </c>
      <c r="I121" s="346">
        <v>45870</v>
      </c>
      <c r="J121" s="330">
        <v>45897</v>
      </c>
    </row>
    <row r="122" ht="4.95" customHeight="1" spans="7:8" x14ac:dyDescent="0.25">
      <c r="G122" s="326"/>
      <c r="H122" s="460"/>
    </row>
    <row r="123" spans="5:8" x14ac:dyDescent="0.25">
      <c r="E123" s="327" t="s">
        <v>588</v>
      </c>
      <c r="G123" s="326"/>
      <c r="H123" s="303">
        <f>SUBTOTAL(9,H111:H122)</f>
        <v>52091.38</v>
      </c>
    </row>
    <row r="124" spans="5:8" x14ac:dyDescent="0.25">
      <c r="E124" s="327"/>
      <c r="G124" s="326"/>
      <c r="H124" s="303"/>
    </row>
    <row r="125" spans="2:10" x14ac:dyDescent="0.25">
      <c r="B125" s="301" t="s">
        <v>471</v>
      </c>
      <c r="C125" s="302">
        <v>63025</v>
      </c>
      <c r="D125" s="301" t="s">
        <v>471</v>
      </c>
      <c r="E125" s="301" t="s">
        <v>471</v>
      </c>
      <c r="F125" s="301" t="s">
        <v>407</v>
      </c>
      <c r="G125" s="304" t="s">
        <v>635</v>
      </c>
      <c r="H125" s="303">
        <v>253.33</v>
      </c>
      <c r="I125" s="346">
        <v>45689</v>
      </c>
      <c r="J125" s="330">
        <v>45716</v>
      </c>
    </row>
    <row r="126" spans="2:10" x14ac:dyDescent="0.25">
      <c r="B126" s="301" t="s">
        <v>471</v>
      </c>
      <c r="C126" s="302">
        <v>63025</v>
      </c>
      <c r="D126" s="301" t="s">
        <v>471</v>
      </c>
      <c r="E126" s="301" t="s">
        <v>471</v>
      </c>
      <c r="F126" s="301" t="s">
        <v>407</v>
      </c>
      <c r="G126" s="304" t="s">
        <v>680</v>
      </c>
      <c r="H126" s="303">
        <v>58.69</v>
      </c>
      <c r="I126" s="346">
        <v>45833</v>
      </c>
      <c r="J126" s="330">
        <v>45838</v>
      </c>
    </row>
    <row r="127" spans="2:10" x14ac:dyDescent="0.25">
      <c r="B127" s="301" t="s">
        <v>471</v>
      </c>
      <c r="C127" s="302">
        <v>63025</v>
      </c>
      <c r="D127" s="301" t="s">
        <v>471</v>
      </c>
      <c r="E127" s="301" t="s">
        <v>471</v>
      </c>
      <c r="F127" s="301" t="s">
        <v>407</v>
      </c>
      <c r="G127" s="304" t="s">
        <v>646</v>
      </c>
      <c r="H127" s="303">
        <v>67.77</v>
      </c>
      <c r="I127" s="346">
        <v>45839</v>
      </c>
      <c r="J127" s="330">
        <v>45869</v>
      </c>
    </row>
    <row r="128" spans="2:10" x14ac:dyDescent="0.25">
      <c r="B128" s="301" t="s">
        <v>471</v>
      </c>
      <c r="C128" s="302">
        <v>63025</v>
      </c>
      <c r="D128" s="301" t="s">
        <v>471</v>
      </c>
      <c r="E128" s="301" t="s">
        <v>471</v>
      </c>
      <c r="F128" s="301" t="s">
        <v>407</v>
      </c>
      <c r="G128" s="304" t="s">
        <v>646</v>
      </c>
      <c r="H128" s="303">
        <v>999.99</v>
      </c>
      <c r="I128" s="346">
        <v>45870</v>
      </c>
      <c r="J128" s="330">
        <v>45900</v>
      </c>
    </row>
    <row r="129" spans="2:10" x14ac:dyDescent="0.25">
      <c r="B129" s="301" t="s">
        <v>471</v>
      </c>
      <c r="C129" s="302">
        <v>63025</v>
      </c>
      <c r="D129" s="301" t="s">
        <v>471</v>
      </c>
      <c r="E129" s="301" t="s">
        <v>471</v>
      </c>
      <c r="F129" s="301" t="s">
        <v>407</v>
      </c>
      <c r="G129" s="304" t="s">
        <v>649</v>
      </c>
      <c r="H129" s="303">
        <v>142.22</v>
      </c>
      <c r="I129" s="346">
        <v>45870</v>
      </c>
      <c r="J129" s="330">
        <v>45877</v>
      </c>
    </row>
    <row r="130" spans="2:10" x14ac:dyDescent="0.25">
      <c r="B130" s="301" t="s">
        <v>471</v>
      </c>
      <c r="C130" s="302">
        <v>63025</v>
      </c>
      <c r="D130" s="301" t="s">
        <v>471</v>
      </c>
      <c r="E130" s="301" t="s">
        <v>471</v>
      </c>
      <c r="F130" s="301" t="s">
        <v>407</v>
      </c>
      <c r="G130" s="304" t="s">
        <v>618</v>
      </c>
      <c r="H130" s="303">
        <v>2500</v>
      </c>
      <c r="I130" s="346">
        <v>45870</v>
      </c>
      <c r="J130" s="330">
        <v>45855</v>
      </c>
    </row>
    <row r="131" spans="2:10" x14ac:dyDescent="0.25">
      <c r="B131" s="301" t="s">
        <v>471</v>
      </c>
      <c r="C131" s="302">
        <v>63025</v>
      </c>
      <c r="D131" s="301" t="s">
        <v>471</v>
      </c>
      <c r="E131" s="301" t="s">
        <v>471</v>
      </c>
      <c r="F131" s="301" t="s">
        <v>407</v>
      </c>
      <c r="G131" s="304" t="s">
        <v>702</v>
      </c>
      <c r="H131" s="303">
        <v>115</v>
      </c>
      <c r="I131" s="346">
        <v>45925</v>
      </c>
      <c r="J131" s="330">
        <v>45901</v>
      </c>
    </row>
    <row r="132" spans="2:10" x14ac:dyDescent="0.25">
      <c r="B132" s="301" t="s">
        <v>471</v>
      </c>
      <c r="C132" s="302">
        <v>63025</v>
      </c>
      <c r="D132" s="301" t="s">
        <v>471</v>
      </c>
      <c r="E132" s="301" t="s">
        <v>471</v>
      </c>
      <c r="F132" s="301" t="s">
        <v>407</v>
      </c>
      <c r="G132" s="304" t="s">
        <v>702</v>
      </c>
      <c r="H132" s="303">
        <v>94.79</v>
      </c>
      <c r="I132" s="346">
        <v>45925</v>
      </c>
      <c r="J132" s="330">
        <v>45901</v>
      </c>
    </row>
    <row r="133" spans="2:10" x14ac:dyDescent="0.25">
      <c r="B133" s="301" t="s">
        <v>471</v>
      </c>
      <c r="C133" s="302">
        <v>63025</v>
      </c>
      <c r="D133" s="301" t="s">
        <v>471</v>
      </c>
      <c r="E133" s="301" t="s">
        <v>471</v>
      </c>
      <c r="F133" s="301" t="s">
        <v>407</v>
      </c>
      <c r="G133" s="304" t="s">
        <v>650</v>
      </c>
      <c r="H133" s="303">
        <v>227.07</v>
      </c>
      <c r="I133" s="346">
        <v>45925</v>
      </c>
      <c r="J133" s="330">
        <v>45922</v>
      </c>
    </row>
    <row r="134" spans="2:10" x14ac:dyDescent="0.25">
      <c r="B134" s="301" t="s">
        <v>471</v>
      </c>
      <c r="C134" s="302">
        <v>63025</v>
      </c>
      <c r="D134" s="301" t="s">
        <v>471</v>
      </c>
      <c r="E134" s="301" t="s">
        <v>471</v>
      </c>
      <c r="F134" s="301" t="s">
        <v>703</v>
      </c>
      <c r="G134" s="304" t="s">
        <v>704</v>
      </c>
      <c r="H134" s="303">
        <v>1960</v>
      </c>
      <c r="I134" s="346">
        <v>45931</v>
      </c>
      <c r="J134" s="330">
        <v>45961</v>
      </c>
    </row>
    <row r="135" spans="2:10" x14ac:dyDescent="0.25">
      <c r="B135" s="301" t="s">
        <v>471</v>
      </c>
      <c r="C135" s="302">
        <v>63025</v>
      </c>
      <c r="D135" s="301" t="s">
        <v>471</v>
      </c>
      <c r="E135" s="301" t="s">
        <v>471</v>
      </c>
      <c r="F135" s="301" t="s">
        <v>705</v>
      </c>
      <c r="G135" s="304">
        <v>2510036</v>
      </c>
      <c r="H135" s="303">
        <v>425</v>
      </c>
      <c r="I135" s="346">
        <v>45962</v>
      </c>
      <c r="J135" s="330">
        <v>45979</v>
      </c>
    </row>
    <row r="136" spans="2:10" x14ac:dyDescent="0.25">
      <c r="B136" s="301" t="s">
        <v>471</v>
      </c>
      <c r="C136" s="302">
        <v>63025</v>
      </c>
      <c r="D136" s="301" t="s">
        <v>471</v>
      </c>
      <c r="E136" s="301" t="s">
        <v>471</v>
      </c>
      <c r="F136" s="301" t="s">
        <v>407</v>
      </c>
      <c r="G136" s="304" t="s">
        <v>655</v>
      </c>
      <c r="H136" s="303">
        <v>296.26</v>
      </c>
      <c r="I136" s="346">
        <v>45962</v>
      </c>
      <c r="J136" s="330">
        <v>45991</v>
      </c>
    </row>
    <row r="137" spans="2:10" x14ac:dyDescent="0.25">
      <c r="B137" s="301" t="s">
        <v>471</v>
      </c>
      <c r="C137" s="302">
        <v>63025</v>
      </c>
      <c r="D137" s="301" t="s">
        <v>471</v>
      </c>
      <c r="E137" s="301" t="s">
        <v>471</v>
      </c>
      <c r="F137" s="301" t="s">
        <v>407</v>
      </c>
      <c r="G137" s="304" t="s">
        <v>572</v>
      </c>
      <c r="H137" s="303">
        <v>1.25</v>
      </c>
      <c r="I137" s="346">
        <v>46016</v>
      </c>
      <c r="J137" s="330">
        <v>46022</v>
      </c>
    </row>
    <row r="138" ht="6" customHeight="1" spans="5:10" x14ac:dyDescent="0.25">
      <c r="E138" s="327"/>
      <c r="G138" s="329"/>
      <c r="H138" s="460"/>
      <c r="J138" s="330"/>
    </row>
    <row r="139" spans="5:10" x14ac:dyDescent="0.25">
      <c r="E139" s="1" t="s">
        <v>589</v>
      </c>
      <c r="G139" s="329"/>
      <c r="H139" s="303">
        <f>SUBTOTAL(9,H125:H138)</f>
        <v>7141.37</v>
      </c>
      <c r="J139" s="330"/>
    </row>
    <row r="140" spans="5:8" x14ac:dyDescent="0.25">
      <c r="E140" s="327"/>
      <c r="G140" s="326"/>
      <c r="H140" s="303"/>
    </row>
    <row r="141" spans="2:10" x14ac:dyDescent="0.25">
      <c r="B141" s="327" t="s">
        <v>500</v>
      </c>
      <c r="C141" s="326">
        <v>63026</v>
      </c>
      <c r="D141" s="327" t="s">
        <v>500</v>
      </c>
      <c r="E141" s="327" t="s">
        <v>500</v>
      </c>
      <c r="F141" s="327" t="s">
        <v>590</v>
      </c>
      <c r="G141" s="329">
        <v>2029</v>
      </c>
      <c r="H141" s="303">
        <v>2895.77</v>
      </c>
      <c r="I141" s="346">
        <v>45682</v>
      </c>
      <c r="J141" s="330">
        <v>45664</v>
      </c>
    </row>
    <row r="142" spans="2:10" x14ac:dyDescent="0.25">
      <c r="B142" s="327" t="s">
        <v>500</v>
      </c>
      <c r="C142" s="326">
        <v>63026</v>
      </c>
      <c r="D142" s="327" t="s">
        <v>500</v>
      </c>
      <c r="E142" s="327" t="s">
        <v>500</v>
      </c>
      <c r="F142" s="327" t="s">
        <v>590</v>
      </c>
      <c r="G142" s="329">
        <v>2031</v>
      </c>
      <c r="H142" s="303">
        <v>2895.77</v>
      </c>
      <c r="I142" s="346">
        <v>45689</v>
      </c>
      <c r="J142" s="330">
        <v>45698</v>
      </c>
    </row>
    <row r="143" spans="2:10" x14ac:dyDescent="0.25">
      <c r="B143" s="327" t="s">
        <v>500</v>
      </c>
      <c r="C143" s="326">
        <v>63026</v>
      </c>
      <c r="D143" s="327" t="s">
        <v>500</v>
      </c>
      <c r="E143" s="327" t="s">
        <v>500</v>
      </c>
      <c r="F143" s="327" t="s">
        <v>590</v>
      </c>
      <c r="G143" s="329">
        <v>2033</v>
      </c>
      <c r="H143" s="303">
        <v>2943.27</v>
      </c>
      <c r="I143" s="346">
        <v>45717</v>
      </c>
      <c r="J143" s="330">
        <v>45747</v>
      </c>
    </row>
    <row r="144" spans="2:10" x14ac:dyDescent="0.25">
      <c r="B144" s="327" t="s">
        <v>500</v>
      </c>
      <c r="C144" s="326">
        <v>63026</v>
      </c>
      <c r="D144" s="327" t="s">
        <v>500</v>
      </c>
      <c r="E144" s="327" t="s">
        <v>500</v>
      </c>
      <c r="F144" s="327" t="s">
        <v>590</v>
      </c>
      <c r="G144" s="329">
        <v>2035</v>
      </c>
      <c r="H144" s="303">
        <v>3106.5</v>
      </c>
      <c r="I144" s="346">
        <v>45748</v>
      </c>
      <c r="J144" s="330">
        <v>45766</v>
      </c>
    </row>
    <row r="145" spans="2:10" x14ac:dyDescent="0.25">
      <c r="B145" s="327" t="s">
        <v>500</v>
      </c>
      <c r="C145" s="326">
        <v>63026</v>
      </c>
      <c r="D145" s="327" t="s">
        <v>500</v>
      </c>
      <c r="E145" s="327" t="s">
        <v>500</v>
      </c>
      <c r="F145" s="327" t="s">
        <v>590</v>
      </c>
      <c r="G145" s="329">
        <v>2037</v>
      </c>
      <c r="H145" s="303">
        <v>8496.5</v>
      </c>
      <c r="I145" s="346">
        <v>45802</v>
      </c>
      <c r="J145" s="330">
        <v>45783</v>
      </c>
    </row>
    <row r="146" spans="2:10" x14ac:dyDescent="0.25">
      <c r="B146" s="327" t="s">
        <v>500</v>
      </c>
      <c r="C146" s="326">
        <v>63026</v>
      </c>
      <c r="D146" s="327" t="s">
        <v>500</v>
      </c>
      <c r="E146" s="327" t="s">
        <v>500</v>
      </c>
      <c r="F146" s="327" t="s">
        <v>590</v>
      </c>
      <c r="G146" s="329">
        <v>2039</v>
      </c>
      <c r="H146" s="303">
        <v>8667.5</v>
      </c>
      <c r="I146" s="346">
        <v>45833</v>
      </c>
      <c r="J146" s="330">
        <v>45813</v>
      </c>
    </row>
    <row r="147" spans="2:10" x14ac:dyDescent="0.25">
      <c r="B147" s="327" t="s">
        <v>500</v>
      </c>
      <c r="C147" s="326">
        <v>63026</v>
      </c>
      <c r="D147" s="327" t="s">
        <v>500</v>
      </c>
      <c r="E147" s="327" t="s">
        <v>500</v>
      </c>
      <c r="F147" s="327" t="s">
        <v>590</v>
      </c>
      <c r="G147" s="329">
        <v>2041</v>
      </c>
      <c r="H147" s="303">
        <v>8428.2</v>
      </c>
      <c r="I147" s="346">
        <v>45839</v>
      </c>
      <c r="J147" s="330">
        <v>45847</v>
      </c>
    </row>
    <row r="148" spans="2:10" x14ac:dyDescent="0.25">
      <c r="B148" s="327" t="s">
        <v>500</v>
      </c>
      <c r="C148" s="326">
        <v>63026</v>
      </c>
      <c r="D148" s="327" t="s">
        <v>500</v>
      </c>
      <c r="E148" s="327" t="s">
        <v>500</v>
      </c>
      <c r="F148" s="327" t="s">
        <v>590</v>
      </c>
      <c r="G148" s="329">
        <v>2043</v>
      </c>
      <c r="H148" s="303">
        <v>8206.5</v>
      </c>
      <c r="I148" s="346">
        <v>45870</v>
      </c>
      <c r="J148" s="330">
        <v>45891</v>
      </c>
    </row>
    <row r="149" ht="4.95" customHeight="1" spans="7:8" x14ac:dyDescent="0.25">
      <c r="G149" s="326"/>
      <c r="H149" s="460"/>
    </row>
    <row r="150" spans="5:8" x14ac:dyDescent="0.25">
      <c r="E150" s="327" t="s">
        <v>591</v>
      </c>
      <c r="G150" s="326"/>
      <c r="H150" s="303">
        <f>SUBTOTAL(9,H141:H149)</f>
        <v>45640.009999999995</v>
      </c>
    </row>
    <row r="151" spans="7:7" x14ac:dyDescent="0.25">
      <c r="G151" s="326"/>
    </row>
    <row r="152" spans="2:10" x14ac:dyDescent="0.25">
      <c r="B152" s="327" t="s">
        <v>502</v>
      </c>
      <c r="C152" s="326">
        <v>63027</v>
      </c>
      <c r="D152" s="327" t="s">
        <v>592</v>
      </c>
      <c r="E152" s="327" t="s">
        <v>592</v>
      </c>
      <c r="F152" s="327" t="s">
        <v>593</v>
      </c>
      <c r="G152" s="329" t="s">
        <v>706</v>
      </c>
      <c r="H152" s="303">
        <v>12500</v>
      </c>
      <c r="I152" s="346">
        <v>45682</v>
      </c>
      <c r="J152" s="330">
        <v>45688</v>
      </c>
    </row>
    <row r="153" spans="2:10" x14ac:dyDescent="0.25">
      <c r="B153" s="327" t="s">
        <v>502</v>
      </c>
      <c r="C153" s="326">
        <v>63027</v>
      </c>
      <c r="D153" s="327" t="s">
        <v>592</v>
      </c>
      <c r="E153" s="327" t="s">
        <v>592</v>
      </c>
      <c r="F153" s="327" t="s">
        <v>593</v>
      </c>
      <c r="G153" s="329" t="s">
        <v>707</v>
      </c>
      <c r="H153" s="303">
        <v>12500</v>
      </c>
      <c r="I153" s="346">
        <v>45689</v>
      </c>
      <c r="J153" s="330">
        <v>45716</v>
      </c>
    </row>
    <row r="154" spans="2:10" x14ac:dyDescent="0.25">
      <c r="B154" s="327" t="s">
        <v>502</v>
      </c>
      <c r="C154" s="326">
        <v>63027</v>
      </c>
      <c r="D154" s="327" t="s">
        <v>592</v>
      </c>
      <c r="E154" s="327" t="s">
        <v>592</v>
      </c>
      <c r="F154" s="327" t="s">
        <v>593</v>
      </c>
      <c r="G154" s="329" t="s">
        <v>708</v>
      </c>
      <c r="H154" s="303">
        <v>12500</v>
      </c>
      <c r="I154" s="346">
        <v>45717</v>
      </c>
      <c r="J154" s="330">
        <v>45747</v>
      </c>
    </row>
    <row r="155" spans="2:10" x14ac:dyDescent="0.25">
      <c r="B155" s="327" t="s">
        <v>502</v>
      </c>
      <c r="C155" s="326">
        <v>63027</v>
      </c>
      <c r="D155" s="327" t="s">
        <v>592</v>
      </c>
      <c r="E155" s="327" t="s">
        <v>592</v>
      </c>
      <c r="F155" s="327" t="s">
        <v>593</v>
      </c>
      <c r="G155" s="329" t="s">
        <v>709</v>
      </c>
      <c r="H155" s="303">
        <v>12500</v>
      </c>
      <c r="I155" s="346">
        <v>45748</v>
      </c>
      <c r="J155" s="330">
        <v>45777</v>
      </c>
    </row>
    <row r="156" spans="2:10" x14ac:dyDescent="0.25">
      <c r="B156" s="327" t="s">
        <v>502</v>
      </c>
      <c r="C156" s="326">
        <v>63027</v>
      </c>
      <c r="D156" s="327" t="s">
        <v>592</v>
      </c>
      <c r="E156" s="327" t="s">
        <v>592</v>
      </c>
      <c r="F156" s="327" t="s">
        <v>593</v>
      </c>
      <c r="G156" s="329" t="s">
        <v>710</v>
      </c>
      <c r="H156" s="303">
        <v>12500</v>
      </c>
      <c r="I156" s="346">
        <v>45802</v>
      </c>
      <c r="J156" s="330">
        <v>45808</v>
      </c>
    </row>
    <row r="157" spans="2:10" x14ac:dyDescent="0.25">
      <c r="B157" s="327" t="s">
        <v>502</v>
      </c>
      <c r="C157" s="326">
        <v>63027</v>
      </c>
      <c r="D157" s="327" t="s">
        <v>592</v>
      </c>
      <c r="E157" s="327" t="s">
        <v>592</v>
      </c>
      <c r="F157" s="327" t="s">
        <v>593</v>
      </c>
      <c r="G157" s="329" t="s">
        <v>711</v>
      </c>
      <c r="H157" s="303">
        <v>12500</v>
      </c>
      <c r="I157" s="346">
        <v>45833</v>
      </c>
      <c r="J157" s="330">
        <v>45838</v>
      </c>
    </row>
    <row r="158" spans="2:10" x14ac:dyDescent="0.25">
      <c r="B158" s="327" t="s">
        <v>502</v>
      </c>
      <c r="C158" s="326">
        <v>63027</v>
      </c>
      <c r="D158" s="327" t="s">
        <v>592</v>
      </c>
      <c r="E158" s="327" t="s">
        <v>592</v>
      </c>
      <c r="F158" s="327" t="s">
        <v>593</v>
      </c>
      <c r="G158" s="329" t="s">
        <v>712</v>
      </c>
      <c r="H158" s="303">
        <v>12500</v>
      </c>
      <c r="I158" s="346">
        <v>45839</v>
      </c>
      <c r="J158" s="330">
        <v>45869</v>
      </c>
    </row>
    <row r="159" spans="2:10" x14ac:dyDescent="0.25">
      <c r="B159" s="327" t="s">
        <v>502</v>
      </c>
      <c r="C159" s="326">
        <v>63027</v>
      </c>
      <c r="D159" s="327" t="s">
        <v>592</v>
      </c>
      <c r="E159" s="327" t="s">
        <v>592</v>
      </c>
      <c r="F159" s="327" t="s">
        <v>593</v>
      </c>
      <c r="G159" s="329" t="s">
        <v>713</v>
      </c>
      <c r="H159" s="303">
        <v>5683.19</v>
      </c>
      <c r="I159" s="346">
        <v>45870</v>
      </c>
      <c r="J159" s="330">
        <v>45900</v>
      </c>
    </row>
    <row r="160" spans="2:10" x14ac:dyDescent="0.25">
      <c r="B160" s="327" t="s">
        <v>502</v>
      </c>
      <c r="C160" s="326">
        <v>63027</v>
      </c>
      <c r="D160" s="327" t="s">
        <v>592</v>
      </c>
      <c r="E160" s="327" t="s">
        <v>592</v>
      </c>
      <c r="F160" s="327" t="s">
        <v>593</v>
      </c>
      <c r="G160" s="329"/>
      <c r="H160" s="303">
        <v>5683.19</v>
      </c>
      <c r="I160" s="346">
        <v>45925</v>
      </c>
      <c r="J160" s="330">
        <v>45930</v>
      </c>
    </row>
    <row r="161" spans="2:10" x14ac:dyDescent="0.25">
      <c r="B161" s="327" t="s">
        <v>502</v>
      </c>
      <c r="C161" s="326">
        <v>63027</v>
      </c>
      <c r="D161" s="327" t="s">
        <v>592</v>
      </c>
      <c r="E161" s="327" t="s">
        <v>592</v>
      </c>
      <c r="F161" s="327" t="s">
        <v>593</v>
      </c>
      <c r="G161" s="329" t="s">
        <v>714</v>
      </c>
      <c r="H161" s="303">
        <v>5683.19</v>
      </c>
      <c r="I161" s="346">
        <v>45931</v>
      </c>
      <c r="J161" s="330">
        <v>45961</v>
      </c>
    </row>
    <row r="162" spans="2:10" x14ac:dyDescent="0.25">
      <c r="B162" s="327" t="s">
        <v>502</v>
      </c>
      <c r="C162" s="326">
        <v>63027</v>
      </c>
      <c r="D162" s="327" t="s">
        <v>592</v>
      </c>
      <c r="E162" s="327" t="s">
        <v>592</v>
      </c>
      <c r="F162" s="327" t="s">
        <v>593</v>
      </c>
      <c r="G162" s="329" t="s">
        <v>715</v>
      </c>
      <c r="H162" s="303">
        <v>5683.19</v>
      </c>
      <c r="I162" s="346">
        <v>45962</v>
      </c>
      <c r="J162" s="330">
        <v>45991</v>
      </c>
    </row>
    <row r="163" spans="2:10" x14ac:dyDescent="0.25">
      <c r="B163" s="327" t="s">
        <v>502</v>
      </c>
      <c r="C163" s="326">
        <v>63027</v>
      </c>
      <c r="D163" s="327" t="s">
        <v>592</v>
      </c>
      <c r="E163" s="327" t="s">
        <v>592</v>
      </c>
      <c r="F163" s="327" t="s">
        <v>593</v>
      </c>
      <c r="G163" s="329" t="s">
        <v>594</v>
      </c>
      <c r="H163" s="303">
        <v>5683.19</v>
      </c>
      <c r="I163" s="346">
        <v>46016</v>
      </c>
      <c r="J163" s="330">
        <v>46022</v>
      </c>
    </row>
    <row r="164" ht="4.95" customHeight="1" spans="2:10" x14ac:dyDescent="0.25">
      <c r="B164" s="327"/>
      <c r="C164" s="326"/>
      <c r="D164" s="327"/>
      <c r="E164" s="327"/>
      <c r="F164" s="327"/>
      <c r="G164" s="329"/>
      <c r="H164" s="449"/>
      <c r="J164" s="330"/>
    </row>
    <row r="165" spans="5:8" x14ac:dyDescent="0.25">
      <c r="E165" s="327" t="s">
        <v>595</v>
      </c>
      <c r="G165" s="326"/>
      <c r="H165" s="303">
        <f>SUBTOTAL(9,H152:H164)</f>
        <v>115915.95000000001</v>
      </c>
    </row>
    <row r="166" spans="7:7" x14ac:dyDescent="0.25">
      <c r="G166" s="326"/>
    </row>
    <row r="167" spans="2:10" x14ac:dyDescent="0.25">
      <c r="B167" s="327" t="s">
        <v>464</v>
      </c>
      <c r="C167" s="326">
        <v>63028</v>
      </c>
      <c r="D167" s="327" t="s">
        <v>464</v>
      </c>
      <c r="E167" s="327" t="s">
        <v>596</v>
      </c>
      <c r="F167" s="327" t="s">
        <v>593</v>
      </c>
      <c r="G167" s="329" t="s">
        <v>706</v>
      </c>
      <c r="H167" s="303">
        <v>1875</v>
      </c>
      <c r="I167" s="346">
        <v>45682</v>
      </c>
      <c r="J167" s="330">
        <v>45688</v>
      </c>
    </row>
    <row r="168" spans="2:10" x14ac:dyDescent="0.25">
      <c r="B168" s="327" t="s">
        <v>464</v>
      </c>
      <c r="C168" s="326">
        <v>63028</v>
      </c>
      <c r="D168" s="327" t="s">
        <v>464</v>
      </c>
      <c r="E168" s="327" t="s">
        <v>596</v>
      </c>
      <c r="F168" s="327" t="s">
        <v>593</v>
      </c>
      <c r="G168" s="329" t="s">
        <v>716</v>
      </c>
      <c r="H168" s="303">
        <v>1875</v>
      </c>
      <c r="I168" s="346">
        <v>45689</v>
      </c>
      <c r="J168" s="330">
        <v>45716</v>
      </c>
    </row>
    <row r="169" spans="2:10" x14ac:dyDescent="0.25">
      <c r="B169" s="327" t="s">
        <v>464</v>
      </c>
      <c r="C169" s="326">
        <v>63028</v>
      </c>
      <c r="D169" s="327" t="s">
        <v>464</v>
      </c>
      <c r="E169" s="327" t="s">
        <v>596</v>
      </c>
      <c r="F169" s="327" t="s">
        <v>593</v>
      </c>
      <c r="G169" s="329" t="s">
        <v>717</v>
      </c>
      <c r="H169" s="303">
        <v>1875</v>
      </c>
      <c r="I169" s="346">
        <v>45717</v>
      </c>
      <c r="J169" s="330">
        <v>45747</v>
      </c>
    </row>
    <row r="170" spans="2:10" x14ac:dyDescent="0.25">
      <c r="B170" s="327" t="s">
        <v>464</v>
      </c>
      <c r="C170" s="326">
        <v>63028</v>
      </c>
      <c r="D170" s="327" t="s">
        <v>464</v>
      </c>
      <c r="E170" s="327" t="s">
        <v>596</v>
      </c>
      <c r="F170" s="327" t="s">
        <v>593</v>
      </c>
      <c r="G170" s="329" t="s">
        <v>718</v>
      </c>
      <c r="H170" s="303">
        <v>1875</v>
      </c>
      <c r="I170" s="346">
        <v>45748</v>
      </c>
      <c r="J170" s="330">
        <v>45777</v>
      </c>
    </row>
    <row r="171" spans="2:10" x14ac:dyDescent="0.25">
      <c r="B171" s="327" t="s">
        <v>464</v>
      </c>
      <c r="C171" s="326">
        <v>63028</v>
      </c>
      <c r="D171" s="327" t="s">
        <v>464</v>
      </c>
      <c r="E171" s="327" t="s">
        <v>596</v>
      </c>
      <c r="F171" s="327" t="s">
        <v>593</v>
      </c>
      <c r="G171" s="329" t="s">
        <v>719</v>
      </c>
      <c r="H171" s="303">
        <v>1875</v>
      </c>
      <c r="I171" s="346">
        <v>45802</v>
      </c>
      <c r="J171" s="330">
        <v>45808</v>
      </c>
    </row>
    <row r="172" spans="2:10" x14ac:dyDescent="0.25">
      <c r="B172" s="327" t="s">
        <v>464</v>
      </c>
      <c r="C172" s="326">
        <v>63028</v>
      </c>
      <c r="D172" s="327" t="s">
        <v>464</v>
      </c>
      <c r="E172" s="327" t="s">
        <v>596</v>
      </c>
      <c r="F172" s="327" t="s">
        <v>593</v>
      </c>
      <c r="G172" s="329" t="s">
        <v>720</v>
      </c>
      <c r="H172" s="303">
        <v>1875</v>
      </c>
      <c r="I172" s="346">
        <v>45833</v>
      </c>
      <c r="J172" s="330">
        <v>45838</v>
      </c>
    </row>
    <row r="173" spans="2:10" x14ac:dyDescent="0.25">
      <c r="B173" s="327" t="s">
        <v>464</v>
      </c>
      <c r="C173" s="326">
        <v>63028</v>
      </c>
      <c r="D173" s="327" t="s">
        <v>464</v>
      </c>
      <c r="E173" s="327" t="s">
        <v>596</v>
      </c>
      <c r="F173" s="327" t="s">
        <v>593</v>
      </c>
      <c r="G173" s="329" t="s">
        <v>721</v>
      </c>
      <c r="H173" s="303">
        <v>1875</v>
      </c>
      <c r="I173" s="346">
        <v>45839</v>
      </c>
      <c r="J173" s="330">
        <v>45869</v>
      </c>
    </row>
    <row r="174" ht="6" customHeight="1" spans="2:10" x14ac:dyDescent="0.25">
      <c r="B174" s="327"/>
      <c r="C174" s="326"/>
      <c r="D174" s="327"/>
      <c r="E174" s="327"/>
      <c r="F174" s="327"/>
      <c r="G174" s="329"/>
      <c r="H174" s="449"/>
      <c r="J174" s="330"/>
    </row>
    <row r="175" spans="5:8" x14ac:dyDescent="0.25">
      <c r="E175" s="327" t="s">
        <v>599</v>
      </c>
      <c r="G175" s="326"/>
      <c r="H175" s="303">
        <f>SUBTOTAL(9,H167:H174)</f>
        <v>13125</v>
      </c>
    </row>
    <row r="176" spans="5:8" x14ac:dyDescent="0.25">
      <c r="E176" s="327"/>
      <c r="G176" s="326"/>
      <c r="H176" s="303"/>
    </row>
    <row r="177" spans="2:10" x14ac:dyDescent="0.25">
      <c r="B177" s="327" t="s">
        <v>458</v>
      </c>
      <c r="C177" s="326">
        <v>63032</v>
      </c>
      <c r="D177" s="327" t="s">
        <v>459</v>
      </c>
      <c r="E177" s="327" t="s">
        <v>459</v>
      </c>
      <c r="F177" s="327" t="s">
        <v>590</v>
      </c>
      <c r="G177" s="329">
        <v>2030</v>
      </c>
      <c r="H177" s="303">
        <v>1807.07</v>
      </c>
      <c r="I177" s="346">
        <v>45682</v>
      </c>
      <c r="J177" s="330">
        <v>45658</v>
      </c>
    </row>
    <row r="178" spans="2:10" x14ac:dyDescent="0.25">
      <c r="B178" s="327" t="s">
        <v>458</v>
      </c>
      <c r="C178" s="326">
        <v>63032</v>
      </c>
      <c r="D178" s="327" t="s">
        <v>459</v>
      </c>
      <c r="E178" s="327" t="s">
        <v>459</v>
      </c>
      <c r="F178" s="327" t="s">
        <v>590</v>
      </c>
      <c r="G178" s="329">
        <v>2032</v>
      </c>
      <c r="H178" s="303">
        <v>1807.07</v>
      </c>
      <c r="I178" s="346">
        <v>45682</v>
      </c>
      <c r="J178" s="330">
        <v>45684</v>
      </c>
    </row>
    <row r="179" spans="2:10" x14ac:dyDescent="0.25">
      <c r="B179" s="327" t="s">
        <v>458</v>
      </c>
      <c r="C179" s="326">
        <v>63032</v>
      </c>
      <c r="D179" s="327" t="s">
        <v>459</v>
      </c>
      <c r="E179" s="327" t="s">
        <v>459</v>
      </c>
      <c r="F179" s="327" t="s">
        <v>590</v>
      </c>
      <c r="G179" s="329">
        <v>2034</v>
      </c>
      <c r="H179" s="303">
        <v>1807.07</v>
      </c>
      <c r="I179" s="346">
        <v>45689</v>
      </c>
      <c r="J179" s="330">
        <v>45714</v>
      </c>
    </row>
    <row r="180" spans="2:10" x14ac:dyDescent="0.25">
      <c r="B180" s="327" t="s">
        <v>458</v>
      </c>
      <c r="C180" s="326">
        <v>63032</v>
      </c>
      <c r="D180" s="327" t="s">
        <v>459</v>
      </c>
      <c r="E180" s="327" t="s">
        <v>459</v>
      </c>
      <c r="F180" s="327" t="s">
        <v>590</v>
      </c>
      <c r="G180" s="329">
        <v>2036</v>
      </c>
      <c r="H180" s="303">
        <v>1807.07</v>
      </c>
      <c r="I180" s="346">
        <v>45717</v>
      </c>
      <c r="J180" s="330">
        <v>45747</v>
      </c>
    </row>
    <row r="181" spans="2:10" x14ac:dyDescent="0.25">
      <c r="B181" s="327" t="s">
        <v>458</v>
      </c>
      <c r="C181" s="326">
        <v>63032</v>
      </c>
      <c r="D181" s="327" t="s">
        <v>459</v>
      </c>
      <c r="E181" s="327" t="s">
        <v>459</v>
      </c>
      <c r="F181" s="327" t="s">
        <v>590</v>
      </c>
      <c r="G181" s="329">
        <v>2038</v>
      </c>
      <c r="H181" s="303">
        <v>1807.07</v>
      </c>
      <c r="I181" s="346">
        <v>45748</v>
      </c>
      <c r="J181" s="330">
        <v>45770</v>
      </c>
    </row>
    <row r="182" spans="2:10" x14ac:dyDescent="0.25">
      <c r="B182" s="327" t="s">
        <v>458</v>
      </c>
      <c r="C182" s="326">
        <v>63032</v>
      </c>
      <c r="D182" s="327" t="s">
        <v>459</v>
      </c>
      <c r="E182" s="327" t="s">
        <v>459</v>
      </c>
      <c r="F182" s="327" t="s">
        <v>590</v>
      </c>
      <c r="G182" s="329">
        <v>2040</v>
      </c>
      <c r="H182" s="303">
        <v>1807.07</v>
      </c>
      <c r="I182" s="346">
        <v>45802</v>
      </c>
      <c r="J182" s="330">
        <v>45801</v>
      </c>
    </row>
    <row r="183" spans="2:10" x14ac:dyDescent="0.25">
      <c r="B183" s="327" t="s">
        <v>458</v>
      </c>
      <c r="C183" s="326">
        <v>63032</v>
      </c>
      <c r="D183" s="327" t="s">
        <v>459</v>
      </c>
      <c r="E183" s="327" t="s">
        <v>459</v>
      </c>
      <c r="F183" s="327" t="s">
        <v>590</v>
      </c>
      <c r="G183" s="329">
        <v>2042</v>
      </c>
      <c r="H183" s="303">
        <v>1807.07</v>
      </c>
      <c r="I183" s="346">
        <v>45833</v>
      </c>
      <c r="J183" s="330">
        <v>45827</v>
      </c>
    </row>
    <row r="184" spans="2:10" x14ac:dyDescent="0.25">
      <c r="B184" s="327" t="s">
        <v>458</v>
      </c>
      <c r="C184" s="326">
        <v>63032</v>
      </c>
      <c r="D184" s="327" t="s">
        <v>459</v>
      </c>
      <c r="E184" s="327" t="s">
        <v>459</v>
      </c>
      <c r="F184" s="327" t="s">
        <v>590</v>
      </c>
      <c r="G184" s="329">
        <v>2044</v>
      </c>
      <c r="H184" s="303">
        <v>1807.07</v>
      </c>
      <c r="I184" s="346">
        <v>45839</v>
      </c>
      <c r="J184" s="330">
        <v>45856</v>
      </c>
    </row>
    <row r="185" spans="2:10" x14ac:dyDescent="0.25">
      <c r="B185" s="327" t="s">
        <v>458</v>
      </c>
      <c r="C185" s="326">
        <v>63032</v>
      </c>
      <c r="D185" s="327" t="s">
        <v>459</v>
      </c>
      <c r="E185" s="327" t="s">
        <v>459</v>
      </c>
      <c r="F185" s="327" t="s">
        <v>590</v>
      </c>
      <c r="G185" s="329">
        <v>2046</v>
      </c>
      <c r="H185" s="303">
        <v>1807.07</v>
      </c>
      <c r="I185" s="346">
        <v>45870</v>
      </c>
      <c r="J185" s="330">
        <v>45872</v>
      </c>
    </row>
    <row r="186" ht="6" customHeight="1" spans="2:10" x14ac:dyDescent="0.25">
      <c r="B186" s="327"/>
      <c r="C186" s="326"/>
      <c r="D186" s="327"/>
      <c r="E186" s="327"/>
      <c r="F186" s="327"/>
      <c r="G186" s="329"/>
      <c r="H186" s="449"/>
      <c r="J186" s="330"/>
    </row>
    <row r="187" spans="5:8" x14ac:dyDescent="0.25">
      <c r="E187" s="327" t="s">
        <v>603</v>
      </c>
      <c r="G187" s="326"/>
      <c r="H187" s="303">
        <f>SUBTOTAL(9,H176:H186)</f>
        <v>16263.63</v>
      </c>
    </row>
    <row r="188" spans="5:8" x14ac:dyDescent="0.25">
      <c r="E188" s="327"/>
      <c r="G188" s="326"/>
      <c r="H188" s="303"/>
    </row>
    <row r="189" spans="2:10" x14ac:dyDescent="0.25">
      <c r="B189" s="327" t="s">
        <v>460</v>
      </c>
      <c r="C189" s="326">
        <v>63033</v>
      </c>
      <c r="D189" s="327" t="s">
        <v>460</v>
      </c>
      <c r="E189" s="327" t="s">
        <v>601</v>
      </c>
      <c r="F189" s="327" t="s">
        <v>722</v>
      </c>
      <c r="G189" s="329">
        <v>402095</v>
      </c>
      <c r="H189" s="303">
        <v>1350</v>
      </c>
      <c r="I189" s="346">
        <v>45682</v>
      </c>
      <c r="J189" s="330">
        <v>45677</v>
      </c>
    </row>
    <row r="190" spans="2:10" x14ac:dyDescent="0.25">
      <c r="B190" s="327" t="s">
        <v>460</v>
      </c>
      <c r="C190" s="326">
        <v>63033</v>
      </c>
      <c r="D190" s="327" t="s">
        <v>460</v>
      </c>
      <c r="E190" s="327" t="s">
        <v>601</v>
      </c>
      <c r="F190" s="327" t="s">
        <v>722</v>
      </c>
      <c r="G190" s="329">
        <v>402058</v>
      </c>
      <c r="H190" s="303">
        <v>1350</v>
      </c>
      <c r="I190" s="346">
        <v>45682</v>
      </c>
      <c r="J190" s="330">
        <v>45664</v>
      </c>
    </row>
    <row r="191" spans="2:10" x14ac:dyDescent="0.25">
      <c r="B191" s="327" t="s">
        <v>460</v>
      </c>
      <c r="C191" s="326">
        <v>63033</v>
      </c>
      <c r="D191" s="327" t="s">
        <v>460</v>
      </c>
      <c r="E191" s="327" t="s">
        <v>601</v>
      </c>
      <c r="F191" s="327" t="s">
        <v>722</v>
      </c>
      <c r="G191" s="329">
        <v>402429</v>
      </c>
      <c r="H191" s="303">
        <v>1350</v>
      </c>
      <c r="I191" s="346">
        <v>45717</v>
      </c>
      <c r="J191" s="330">
        <v>45747</v>
      </c>
    </row>
    <row r="192" spans="2:10" x14ac:dyDescent="0.25">
      <c r="B192" s="327" t="s">
        <v>460</v>
      </c>
      <c r="C192" s="326">
        <v>63033</v>
      </c>
      <c r="D192" s="327" t="s">
        <v>460</v>
      </c>
      <c r="E192" s="327" t="s">
        <v>601</v>
      </c>
      <c r="F192" s="327" t="s">
        <v>722</v>
      </c>
      <c r="G192" s="329">
        <v>402475</v>
      </c>
      <c r="H192" s="303">
        <v>2700</v>
      </c>
      <c r="I192" s="346">
        <v>45748</v>
      </c>
      <c r="J192" s="330">
        <v>45749</v>
      </c>
    </row>
    <row r="193" spans="2:10" x14ac:dyDescent="0.25">
      <c r="B193" s="327" t="s">
        <v>460</v>
      </c>
      <c r="C193" s="326">
        <v>63033</v>
      </c>
      <c r="D193" s="327" t="s">
        <v>460</v>
      </c>
      <c r="E193" s="327" t="s">
        <v>601</v>
      </c>
      <c r="F193" s="327" t="s">
        <v>722</v>
      </c>
      <c r="G193" s="329">
        <v>402663</v>
      </c>
      <c r="H193" s="303">
        <v>2700</v>
      </c>
      <c r="I193" s="346">
        <v>45748</v>
      </c>
      <c r="J193" s="330">
        <v>45777</v>
      </c>
    </row>
    <row r="194" spans="2:10" x14ac:dyDescent="0.25">
      <c r="B194" s="327" t="s">
        <v>460</v>
      </c>
      <c r="C194" s="326">
        <v>63033</v>
      </c>
      <c r="D194" s="327" t="s">
        <v>460</v>
      </c>
      <c r="E194" s="327" t="s">
        <v>601</v>
      </c>
      <c r="F194" s="327" t="s">
        <v>722</v>
      </c>
      <c r="G194" s="329">
        <v>402822</v>
      </c>
      <c r="H194" s="303">
        <v>2700</v>
      </c>
      <c r="I194" s="346">
        <v>45802</v>
      </c>
      <c r="J194" s="330">
        <v>45805</v>
      </c>
    </row>
    <row r="195" spans="2:10" x14ac:dyDescent="0.25">
      <c r="B195" s="327" t="s">
        <v>460</v>
      </c>
      <c r="C195" s="326">
        <v>63033</v>
      </c>
      <c r="D195" s="327" t="s">
        <v>460</v>
      </c>
      <c r="E195" s="327" t="s">
        <v>601</v>
      </c>
      <c r="F195" s="327" t="s">
        <v>590</v>
      </c>
      <c r="G195" s="329">
        <v>2041</v>
      </c>
      <c r="H195" s="303">
        <v>2500</v>
      </c>
      <c r="I195" s="346">
        <v>45839</v>
      </c>
      <c r="J195" s="330">
        <v>45847</v>
      </c>
    </row>
    <row r="196" spans="2:10" x14ac:dyDescent="0.25">
      <c r="B196" s="327" t="s">
        <v>460</v>
      </c>
      <c r="C196" s="326">
        <v>63033</v>
      </c>
      <c r="D196" s="327" t="s">
        <v>460</v>
      </c>
      <c r="E196" s="327" t="s">
        <v>601</v>
      </c>
      <c r="F196" s="327" t="s">
        <v>271</v>
      </c>
      <c r="G196" s="329">
        <v>8001</v>
      </c>
      <c r="H196" s="303">
        <v>2500</v>
      </c>
      <c r="I196" s="346">
        <v>45870</v>
      </c>
      <c r="J196" s="330">
        <v>45876</v>
      </c>
    </row>
    <row r="197" ht="4.95" customHeight="1" spans="5:10" x14ac:dyDescent="0.25">
      <c r="E197" s="327"/>
      <c r="G197" s="329"/>
      <c r="H197" s="303"/>
      <c r="J197" s="330"/>
    </row>
    <row r="198" spans="5:10" x14ac:dyDescent="0.25">
      <c r="E198" s="327" t="s">
        <v>602</v>
      </c>
      <c r="G198" s="329"/>
      <c r="H198" s="453">
        <f>SUBTOTAL(9,H189:H197)</f>
        <v>17150</v>
      </c>
      <c r="J198" s="330"/>
    </row>
    <row r="199" spans="6:7" x14ac:dyDescent="0.25">
      <c r="F199" s="327"/>
      <c r="G199" s="326"/>
    </row>
    <row r="200" spans="2:10" x14ac:dyDescent="0.25">
      <c r="B200" s="327" t="s">
        <v>458</v>
      </c>
      <c r="C200" s="326">
        <v>63034</v>
      </c>
      <c r="D200" s="327" t="s">
        <v>458</v>
      </c>
      <c r="E200" s="327" t="s">
        <v>458</v>
      </c>
      <c r="F200" s="327" t="s">
        <v>590</v>
      </c>
      <c r="G200" s="329">
        <v>2030</v>
      </c>
      <c r="H200" s="303">
        <v>10070</v>
      </c>
      <c r="I200" s="346">
        <v>45682</v>
      </c>
      <c r="J200" s="330">
        <v>45658</v>
      </c>
    </row>
    <row r="201" spans="2:10" x14ac:dyDescent="0.25">
      <c r="B201" s="327" t="s">
        <v>458</v>
      </c>
      <c r="C201" s="326">
        <v>63034</v>
      </c>
      <c r="D201" s="327" t="s">
        <v>458</v>
      </c>
      <c r="E201" s="327" t="s">
        <v>458</v>
      </c>
      <c r="F201" s="327" t="s">
        <v>590</v>
      </c>
      <c r="G201" s="329">
        <v>2032</v>
      </c>
      <c r="H201" s="303">
        <v>15480</v>
      </c>
      <c r="I201" s="346">
        <v>45682</v>
      </c>
      <c r="J201" s="330">
        <v>45684</v>
      </c>
    </row>
    <row r="202" spans="2:10" x14ac:dyDescent="0.25">
      <c r="B202" s="327" t="s">
        <v>458</v>
      </c>
      <c r="C202" s="326">
        <v>63034</v>
      </c>
      <c r="D202" s="327" t="s">
        <v>458</v>
      </c>
      <c r="E202" s="327" t="s">
        <v>458</v>
      </c>
      <c r="F202" s="327" t="s">
        <v>590</v>
      </c>
      <c r="G202" s="329">
        <v>2034</v>
      </c>
      <c r="H202" s="303">
        <v>9600</v>
      </c>
      <c r="I202" s="346">
        <v>45689</v>
      </c>
      <c r="J202" s="330">
        <v>45714</v>
      </c>
    </row>
    <row r="203" spans="2:10" x14ac:dyDescent="0.25">
      <c r="B203" s="327" t="s">
        <v>458</v>
      </c>
      <c r="C203" s="326">
        <v>63034</v>
      </c>
      <c r="D203" s="327" t="s">
        <v>458</v>
      </c>
      <c r="E203" s="327" t="s">
        <v>458</v>
      </c>
      <c r="F203" s="327" t="s">
        <v>590</v>
      </c>
      <c r="G203" s="329">
        <v>2036</v>
      </c>
      <c r="H203" s="303">
        <v>9600</v>
      </c>
      <c r="I203" s="346">
        <v>45717</v>
      </c>
      <c r="J203" s="330">
        <v>45747</v>
      </c>
    </row>
    <row r="204" spans="2:10" x14ac:dyDescent="0.25">
      <c r="B204" s="327" t="s">
        <v>458</v>
      </c>
      <c r="C204" s="326">
        <v>63034</v>
      </c>
      <c r="D204" s="327" t="s">
        <v>458</v>
      </c>
      <c r="E204" s="327" t="s">
        <v>458</v>
      </c>
      <c r="F204" s="327" t="s">
        <v>590</v>
      </c>
      <c r="G204" s="329">
        <v>2038</v>
      </c>
      <c r="H204" s="303">
        <v>9780</v>
      </c>
      <c r="I204" s="346">
        <v>45748</v>
      </c>
      <c r="J204" s="330">
        <v>45770</v>
      </c>
    </row>
    <row r="205" spans="2:10" x14ac:dyDescent="0.25">
      <c r="B205" s="327" t="s">
        <v>458</v>
      </c>
      <c r="C205" s="326">
        <v>63034</v>
      </c>
      <c r="D205" s="327" t="s">
        <v>458</v>
      </c>
      <c r="E205" s="327" t="s">
        <v>458</v>
      </c>
      <c r="F205" s="327" t="s">
        <v>590</v>
      </c>
      <c r="G205" s="329">
        <v>2040</v>
      </c>
      <c r="H205" s="303">
        <v>9888</v>
      </c>
      <c r="I205" s="346">
        <v>45802</v>
      </c>
      <c r="J205" s="330">
        <v>45801</v>
      </c>
    </row>
    <row r="206" spans="2:10" x14ac:dyDescent="0.25">
      <c r="B206" s="327" t="s">
        <v>458</v>
      </c>
      <c r="C206" s="326">
        <v>63034</v>
      </c>
      <c r="D206" s="327" t="s">
        <v>458</v>
      </c>
      <c r="E206" s="327" t="s">
        <v>458</v>
      </c>
      <c r="F206" s="327" t="s">
        <v>590</v>
      </c>
      <c r="G206" s="329">
        <v>2042</v>
      </c>
      <c r="H206" s="303">
        <v>10718.88</v>
      </c>
      <c r="I206" s="346">
        <v>45833</v>
      </c>
      <c r="J206" s="330">
        <v>45827</v>
      </c>
    </row>
    <row r="207" spans="2:10" x14ac:dyDescent="0.25">
      <c r="B207" s="327" t="s">
        <v>458</v>
      </c>
      <c r="C207" s="326">
        <v>63034</v>
      </c>
      <c r="D207" s="327" t="s">
        <v>458</v>
      </c>
      <c r="E207" s="327" t="s">
        <v>458</v>
      </c>
      <c r="F207" s="327" t="s">
        <v>590</v>
      </c>
      <c r="G207" s="329">
        <v>2044</v>
      </c>
      <c r="H207" s="303">
        <v>11900.29</v>
      </c>
      <c r="I207" s="346">
        <v>45839</v>
      </c>
      <c r="J207" s="330">
        <v>45856</v>
      </c>
    </row>
    <row r="208" spans="2:10" x14ac:dyDescent="0.25">
      <c r="B208" s="327" t="s">
        <v>458</v>
      </c>
      <c r="C208" s="326">
        <v>63034</v>
      </c>
      <c r="D208" s="327" t="s">
        <v>458</v>
      </c>
      <c r="E208" s="327" t="s">
        <v>458</v>
      </c>
      <c r="F208" s="327" t="s">
        <v>590</v>
      </c>
      <c r="G208" s="329">
        <v>2046</v>
      </c>
      <c r="H208" s="303">
        <v>4944</v>
      </c>
      <c r="I208" s="346">
        <v>45870</v>
      </c>
      <c r="J208" s="330">
        <v>45872</v>
      </c>
    </row>
    <row r="209" spans="2:10" x14ac:dyDescent="0.25">
      <c r="B209" s="327" t="s">
        <v>458</v>
      </c>
      <c r="C209" s="326">
        <v>63034</v>
      </c>
      <c r="D209" s="327" t="s">
        <v>458</v>
      </c>
      <c r="E209" s="327" t="s">
        <v>458</v>
      </c>
      <c r="F209" s="327" t="s">
        <v>597</v>
      </c>
      <c r="G209" s="329">
        <v>2</v>
      </c>
      <c r="H209" s="303">
        <v>10970.76</v>
      </c>
      <c r="I209" s="346">
        <v>45870</v>
      </c>
      <c r="J209" s="330">
        <v>45900</v>
      </c>
    </row>
    <row r="210" spans="2:10" x14ac:dyDescent="0.25">
      <c r="B210" s="327" t="s">
        <v>458</v>
      </c>
      <c r="C210" s="326">
        <v>63034</v>
      </c>
      <c r="D210" s="327" t="s">
        <v>458</v>
      </c>
      <c r="E210" s="327" t="s">
        <v>458</v>
      </c>
      <c r="F210" s="327" t="s">
        <v>597</v>
      </c>
      <c r="G210" s="331" t="s">
        <v>723</v>
      </c>
      <c r="H210" s="303">
        <v>10888.12</v>
      </c>
      <c r="I210" s="346">
        <v>45925</v>
      </c>
      <c r="J210" s="330">
        <v>45930</v>
      </c>
    </row>
    <row r="211" spans="2:10" x14ac:dyDescent="0.25">
      <c r="B211" s="327" t="s">
        <v>458</v>
      </c>
      <c r="C211" s="326">
        <v>63034</v>
      </c>
      <c r="D211" s="327" t="s">
        <v>458</v>
      </c>
      <c r="E211" s="327" t="s">
        <v>458</v>
      </c>
      <c r="F211" s="327" t="s">
        <v>597</v>
      </c>
      <c r="G211" s="331" t="s">
        <v>403</v>
      </c>
      <c r="H211" s="303">
        <v>10981.73</v>
      </c>
      <c r="I211" s="346">
        <v>45931</v>
      </c>
      <c r="J211" s="330">
        <v>45961</v>
      </c>
    </row>
    <row r="212" spans="2:10" x14ac:dyDescent="0.25">
      <c r="B212" s="327" t="s">
        <v>458</v>
      </c>
      <c r="C212" s="326">
        <v>63034</v>
      </c>
      <c r="D212" s="327" t="s">
        <v>458</v>
      </c>
      <c r="E212" s="327" t="s">
        <v>458</v>
      </c>
      <c r="F212" s="327" t="s">
        <v>597</v>
      </c>
      <c r="G212" s="331">
        <v>26</v>
      </c>
      <c r="H212" s="303">
        <v>10910.92</v>
      </c>
      <c r="I212" s="346">
        <v>45962</v>
      </c>
      <c r="J212" s="330">
        <v>45991</v>
      </c>
    </row>
    <row r="213" spans="2:10" x14ac:dyDescent="0.25">
      <c r="B213" s="327" t="s">
        <v>458</v>
      </c>
      <c r="C213" s="326">
        <v>63034</v>
      </c>
      <c r="D213" s="327" t="s">
        <v>458</v>
      </c>
      <c r="E213" s="327" t="s">
        <v>458</v>
      </c>
      <c r="F213" s="327" t="s">
        <v>597</v>
      </c>
      <c r="G213" s="331">
        <v>34</v>
      </c>
      <c r="H213" s="303">
        <v>11560.34</v>
      </c>
      <c r="I213" s="346">
        <v>46016</v>
      </c>
      <c r="J213" s="330">
        <v>46022</v>
      </c>
    </row>
    <row r="214" ht="4.95" customHeight="1" spans="2:10" x14ac:dyDescent="0.25">
      <c r="B214" s="327"/>
      <c r="C214" s="326"/>
      <c r="D214" s="327"/>
      <c r="E214" s="327"/>
      <c r="F214" s="327"/>
      <c r="G214" s="329"/>
      <c r="H214" s="449"/>
      <c r="J214" s="330"/>
    </row>
    <row r="215" spans="5:8" x14ac:dyDescent="0.25">
      <c r="E215" s="327" t="s">
        <v>603</v>
      </c>
      <c r="G215" s="326"/>
      <c r="H215" s="303">
        <f>SUBTOTAL(9,H200:H214)</f>
        <v>147293.04</v>
      </c>
    </row>
    <row r="216" spans="5:8" x14ac:dyDescent="0.25">
      <c r="E216" s="327"/>
      <c r="G216" s="326"/>
      <c r="H216" s="303"/>
    </row>
    <row r="217" spans="2:10" x14ac:dyDescent="0.25">
      <c r="B217" s="327" t="s">
        <v>465</v>
      </c>
      <c r="C217" s="326">
        <v>63036</v>
      </c>
      <c r="D217" s="327" t="s">
        <v>465</v>
      </c>
      <c r="E217" s="327" t="s">
        <v>724</v>
      </c>
      <c r="F217" s="327" t="s">
        <v>593</v>
      </c>
      <c r="G217" s="329" t="s">
        <v>706</v>
      </c>
      <c r="H217" s="303">
        <v>1875</v>
      </c>
      <c r="I217" s="346">
        <v>45682</v>
      </c>
      <c r="J217" s="330">
        <v>45688</v>
      </c>
    </row>
    <row r="218" spans="2:10" x14ac:dyDescent="0.25">
      <c r="B218" s="327" t="s">
        <v>465</v>
      </c>
      <c r="C218" s="326">
        <v>63036</v>
      </c>
      <c r="D218" s="327" t="s">
        <v>465</v>
      </c>
      <c r="E218" s="327" t="s">
        <v>724</v>
      </c>
      <c r="F218" s="327" t="s">
        <v>593</v>
      </c>
      <c r="G218" s="329" t="s">
        <v>725</v>
      </c>
      <c r="H218" s="303">
        <v>1875</v>
      </c>
      <c r="I218" s="346">
        <v>45689</v>
      </c>
      <c r="J218" s="330">
        <v>45716</v>
      </c>
    </row>
    <row r="219" spans="2:10" x14ac:dyDescent="0.25">
      <c r="B219" s="327" t="s">
        <v>465</v>
      </c>
      <c r="C219" s="326">
        <v>63036</v>
      </c>
      <c r="D219" s="327" t="s">
        <v>465</v>
      </c>
      <c r="E219" s="327" t="s">
        <v>724</v>
      </c>
      <c r="F219" s="327" t="s">
        <v>593</v>
      </c>
      <c r="G219" s="329" t="s">
        <v>726</v>
      </c>
      <c r="H219" s="303">
        <v>1875</v>
      </c>
      <c r="I219" s="346">
        <v>45717</v>
      </c>
      <c r="J219" s="330">
        <v>45747</v>
      </c>
    </row>
    <row r="220" spans="2:10" x14ac:dyDescent="0.25">
      <c r="B220" s="327" t="s">
        <v>465</v>
      </c>
      <c r="C220" s="326">
        <v>63036</v>
      </c>
      <c r="D220" s="327" t="s">
        <v>465</v>
      </c>
      <c r="E220" s="327" t="s">
        <v>724</v>
      </c>
      <c r="F220" s="327" t="s">
        <v>593</v>
      </c>
      <c r="G220" s="329" t="s">
        <v>727</v>
      </c>
      <c r="H220" s="303">
        <v>1875</v>
      </c>
      <c r="I220" s="346">
        <v>45748</v>
      </c>
      <c r="J220" s="330">
        <v>45777</v>
      </c>
    </row>
    <row r="221" spans="2:10" x14ac:dyDescent="0.25">
      <c r="B221" s="327" t="s">
        <v>465</v>
      </c>
      <c r="C221" s="326">
        <v>63036</v>
      </c>
      <c r="D221" s="327" t="s">
        <v>465</v>
      </c>
      <c r="E221" s="327" t="s">
        <v>724</v>
      </c>
      <c r="F221" s="327" t="s">
        <v>593</v>
      </c>
      <c r="G221" s="329" t="s">
        <v>728</v>
      </c>
      <c r="H221" s="303">
        <v>1875</v>
      </c>
      <c r="I221" s="346">
        <v>45802</v>
      </c>
      <c r="J221" s="330">
        <v>45808</v>
      </c>
    </row>
    <row r="222" spans="2:10" x14ac:dyDescent="0.25">
      <c r="B222" s="327" t="s">
        <v>465</v>
      </c>
      <c r="C222" s="326">
        <v>63036</v>
      </c>
      <c r="D222" s="327" t="s">
        <v>465</v>
      </c>
      <c r="E222" s="327" t="s">
        <v>724</v>
      </c>
      <c r="F222" s="327" t="s">
        <v>593</v>
      </c>
      <c r="G222" s="329" t="s">
        <v>729</v>
      </c>
      <c r="H222" s="303">
        <v>1875</v>
      </c>
      <c r="I222" s="346">
        <v>45833</v>
      </c>
      <c r="J222" s="330">
        <v>45838</v>
      </c>
    </row>
    <row r="223" spans="2:10" x14ac:dyDescent="0.25">
      <c r="B223" s="327" t="s">
        <v>465</v>
      </c>
      <c r="C223" s="326">
        <v>63036</v>
      </c>
      <c r="D223" s="327" t="s">
        <v>465</v>
      </c>
      <c r="E223" s="327" t="s">
        <v>724</v>
      </c>
      <c r="F223" s="327" t="s">
        <v>593</v>
      </c>
      <c r="G223" s="329" t="s">
        <v>730</v>
      </c>
      <c r="H223" s="303">
        <v>1875</v>
      </c>
      <c r="I223" s="346">
        <v>45839</v>
      </c>
      <c r="J223" s="330">
        <v>45869</v>
      </c>
    </row>
    <row r="224" ht="3.6" customHeight="1" spans="2:10" x14ac:dyDescent="0.25">
      <c r="B224" s="327"/>
      <c r="C224" s="326"/>
      <c r="D224" s="327"/>
      <c r="E224" s="327"/>
      <c r="F224" s="327"/>
      <c r="G224" s="329"/>
      <c r="H224" s="449"/>
      <c r="J224" s="330"/>
    </row>
    <row r="225" spans="5:8" x14ac:dyDescent="0.25">
      <c r="E225" s="327" t="s">
        <v>605</v>
      </c>
      <c r="G225" s="326"/>
      <c r="H225" s="303">
        <f>SUBTOTAL(9,H217:H224)</f>
        <v>13125</v>
      </c>
    </row>
    <row r="226" spans="5:8" x14ac:dyDescent="0.25">
      <c r="E226" s="327"/>
      <c r="G226" s="326"/>
      <c r="H226" s="303"/>
    </row>
    <row r="227" spans="2:10" x14ac:dyDescent="0.25">
      <c r="B227" s="327" t="s">
        <v>466</v>
      </c>
      <c r="C227" s="326">
        <v>63040</v>
      </c>
      <c r="D227" s="327" t="s">
        <v>466</v>
      </c>
      <c r="E227" s="327" t="s">
        <v>731</v>
      </c>
      <c r="F227" s="327" t="s">
        <v>593</v>
      </c>
      <c r="G227" s="329" t="s">
        <v>706</v>
      </c>
      <c r="H227" s="303">
        <v>5000</v>
      </c>
      <c r="I227" s="346">
        <v>45682</v>
      </c>
      <c r="J227" s="330">
        <v>45688</v>
      </c>
    </row>
    <row r="228" spans="2:10" x14ac:dyDescent="0.25">
      <c r="B228" s="327" t="s">
        <v>466</v>
      </c>
      <c r="C228" s="326">
        <v>63040</v>
      </c>
      <c r="D228" s="327" t="s">
        <v>466</v>
      </c>
      <c r="E228" s="327" t="s">
        <v>731</v>
      </c>
      <c r="F228" s="327" t="s">
        <v>593</v>
      </c>
      <c r="G228" s="329" t="s">
        <v>732</v>
      </c>
      <c r="H228" s="303">
        <v>5000</v>
      </c>
      <c r="I228" s="346">
        <v>45689</v>
      </c>
      <c r="J228" s="330">
        <v>45716</v>
      </c>
    </row>
    <row r="229" spans="2:10" x14ac:dyDescent="0.25">
      <c r="B229" s="327" t="s">
        <v>466</v>
      </c>
      <c r="C229" s="326">
        <v>63040</v>
      </c>
      <c r="D229" s="327" t="s">
        <v>466</v>
      </c>
      <c r="E229" s="327" t="s">
        <v>731</v>
      </c>
      <c r="F229" s="327" t="s">
        <v>593</v>
      </c>
      <c r="G229" s="329" t="s">
        <v>733</v>
      </c>
      <c r="H229" s="303">
        <v>5000</v>
      </c>
      <c r="I229" s="346">
        <v>45717</v>
      </c>
      <c r="J229" s="330">
        <v>45747</v>
      </c>
    </row>
    <row r="230" spans="2:10" x14ac:dyDescent="0.25">
      <c r="B230" s="327" t="s">
        <v>466</v>
      </c>
      <c r="C230" s="326">
        <v>63040</v>
      </c>
      <c r="D230" s="327" t="s">
        <v>466</v>
      </c>
      <c r="E230" s="327" t="s">
        <v>731</v>
      </c>
      <c r="F230" s="327" t="s">
        <v>593</v>
      </c>
      <c r="G230" s="329" t="s">
        <v>734</v>
      </c>
      <c r="H230" s="303">
        <v>5000</v>
      </c>
      <c r="I230" s="346">
        <v>45748</v>
      </c>
      <c r="J230" s="330">
        <v>45777</v>
      </c>
    </row>
    <row r="231" spans="2:10" x14ac:dyDescent="0.25">
      <c r="B231" s="327" t="s">
        <v>466</v>
      </c>
      <c r="C231" s="326">
        <v>63040</v>
      </c>
      <c r="D231" s="327" t="s">
        <v>466</v>
      </c>
      <c r="E231" s="327" t="s">
        <v>731</v>
      </c>
      <c r="F231" s="327" t="s">
        <v>593</v>
      </c>
      <c r="G231" s="329" t="s">
        <v>735</v>
      </c>
      <c r="H231" s="303">
        <v>5000</v>
      </c>
      <c r="I231" s="346">
        <v>45802</v>
      </c>
      <c r="J231" s="330">
        <v>45808</v>
      </c>
    </row>
    <row r="232" spans="2:10" x14ac:dyDescent="0.25">
      <c r="B232" s="327" t="s">
        <v>466</v>
      </c>
      <c r="C232" s="326">
        <v>63040</v>
      </c>
      <c r="D232" s="327" t="s">
        <v>466</v>
      </c>
      <c r="E232" s="327" t="s">
        <v>731</v>
      </c>
      <c r="F232" s="327" t="s">
        <v>593</v>
      </c>
      <c r="G232" s="329" t="s">
        <v>736</v>
      </c>
      <c r="H232" s="303">
        <v>5000</v>
      </c>
      <c r="I232" s="346">
        <v>45833</v>
      </c>
      <c r="J232" s="330">
        <v>45838</v>
      </c>
    </row>
    <row r="233" spans="2:10" x14ac:dyDescent="0.25">
      <c r="B233" s="327" t="s">
        <v>466</v>
      </c>
      <c r="C233" s="326">
        <v>63040</v>
      </c>
      <c r="D233" s="327" t="s">
        <v>466</v>
      </c>
      <c r="E233" s="327" t="s">
        <v>731</v>
      </c>
      <c r="F233" s="327" t="s">
        <v>593</v>
      </c>
      <c r="G233" s="329" t="s">
        <v>737</v>
      </c>
      <c r="H233" s="303">
        <v>5000</v>
      </c>
      <c r="I233" s="346">
        <v>45839</v>
      </c>
      <c r="J233" s="330">
        <v>45869</v>
      </c>
    </row>
    <row r="234" ht="4.95" customHeight="1" spans="2:10" x14ac:dyDescent="0.25">
      <c r="B234" s="327"/>
      <c r="C234" s="326"/>
      <c r="D234" s="327"/>
      <c r="E234" s="327"/>
      <c r="F234" s="327"/>
      <c r="G234" s="329"/>
      <c r="H234" s="449"/>
      <c r="J234" s="330"/>
    </row>
    <row r="235" spans="5:9" x14ac:dyDescent="0.25">
      <c r="E235" s="327" t="s">
        <v>738</v>
      </c>
      <c r="G235" s="326"/>
      <c r="H235" s="303">
        <f>SUBTOTAL(9,H227:H234)</f>
        <v>35000</v>
      </c>
      <c r="I235" s="357"/>
    </row>
    <row r="236" spans="5:9" x14ac:dyDescent="0.25">
      <c r="E236" s="327"/>
      <c r="G236" s="326"/>
      <c r="H236" s="303"/>
      <c r="I236" s="357"/>
    </row>
    <row r="237" spans="2:10" x14ac:dyDescent="0.25">
      <c r="B237" s="327" t="s">
        <v>467</v>
      </c>
      <c r="C237" s="326">
        <v>63041</v>
      </c>
      <c r="D237" s="327" t="s">
        <v>467</v>
      </c>
      <c r="E237" s="327" t="s">
        <v>604</v>
      </c>
      <c r="F237" s="327" t="s">
        <v>597</v>
      </c>
      <c r="G237" s="331" t="s">
        <v>562</v>
      </c>
      <c r="H237" s="303">
        <v>7727</v>
      </c>
      <c r="I237" s="346">
        <v>45925</v>
      </c>
      <c r="J237" s="330">
        <v>45901</v>
      </c>
    </row>
    <row r="238" spans="2:10" x14ac:dyDescent="0.25">
      <c r="B238" s="327" t="s">
        <v>467</v>
      </c>
      <c r="C238" s="326">
        <v>63041</v>
      </c>
      <c r="D238" s="327" t="s">
        <v>467</v>
      </c>
      <c r="E238" s="327" t="s">
        <v>604</v>
      </c>
      <c r="F238" s="327" t="s">
        <v>597</v>
      </c>
      <c r="G238" s="331" t="s">
        <v>739</v>
      </c>
      <c r="H238" s="303">
        <v>6650.05</v>
      </c>
      <c r="I238" s="346">
        <v>45931</v>
      </c>
      <c r="J238" s="330">
        <v>45931</v>
      </c>
    </row>
    <row r="239" spans="2:10" x14ac:dyDescent="0.25">
      <c r="B239" s="327" t="s">
        <v>467</v>
      </c>
      <c r="C239" s="326">
        <v>63041</v>
      </c>
      <c r="D239" s="327" t="s">
        <v>467</v>
      </c>
      <c r="E239" s="327" t="s">
        <v>604</v>
      </c>
      <c r="F239" s="327" t="s">
        <v>597</v>
      </c>
      <c r="G239" s="331" t="s">
        <v>740</v>
      </c>
      <c r="H239" s="303">
        <f>337.8+5480.8</f>
        <v>5818.6</v>
      </c>
      <c r="I239" s="346">
        <v>45931</v>
      </c>
      <c r="J239" s="330">
        <v>45961</v>
      </c>
    </row>
    <row r="240" spans="2:12" x14ac:dyDescent="0.25">
      <c r="B240" s="327" t="s">
        <v>467</v>
      </c>
      <c r="C240" s="326">
        <v>63041</v>
      </c>
      <c r="D240" s="327" t="s">
        <v>467</v>
      </c>
      <c r="E240" s="327" t="s">
        <v>604</v>
      </c>
      <c r="F240" s="327" t="s">
        <v>597</v>
      </c>
      <c r="G240" s="331">
        <v>38</v>
      </c>
      <c r="H240" s="303">
        <v>-1603.53</v>
      </c>
      <c r="I240" s="346">
        <v>46016</v>
      </c>
      <c r="J240" s="330">
        <v>46022</v>
      </c>
      <c r="K240" s="301"/>
      <c r="L240" s="301" t="s">
        <v>741</v>
      </c>
    </row>
    <row r="241" ht="5.25" customHeight="1" spans="2:10" x14ac:dyDescent="0.25">
      <c r="B241" s="301"/>
      <c r="C241" s="302"/>
      <c r="D241" s="301"/>
      <c r="E241" s="301"/>
      <c r="F241" s="301"/>
      <c r="G241" s="329"/>
      <c r="H241" s="455"/>
      <c r="I241" s="311"/>
      <c r="J241" s="330"/>
    </row>
    <row r="242" spans="2:10" x14ac:dyDescent="0.25">
      <c r="B242" s="301"/>
      <c r="C242" s="302"/>
      <c r="D242" s="301"/>
      <c r="E242" s="327" t="s">
        <v>605</v>
      </c>
      <c r="F242" s="301"/>
      <c r="G242" s="329"/>
      <c r="H242" s="303">
        <f>SUBTOTAL(9,H237:H241)</f>
        <v>18592.120000000003</v>
      </c>
      <c r="I242" s="311"/>
      <c r="J242" s="330"/>
    </row>
    <row r="243" spans="5:9" x14ac:dyDescent="0.25">
      <c r="E243" s="327"/>
      <c r="G243" s="326"/>
      <c r="H243" s="303"/>
      <c r="I243" s="357"/>
    </row>
    <row r="244" spans="2:10" x14ac:dyDescent="0.25">
      <c r="B244" s="327" t="s">
        <v>468</v>
      </c>
      <c r="C244" s="326">
        <v>63042</v>
      </c>
      <c r="D244" s="327" t="s">
        <v>468</v>
      </c>
      <c r="E244" s="327" t="s">
        <v>468</v>
      </c>
      <c r="F244" s="327" t="s">
        <v>597</v>
      </c>
      <c r="G244" s="329">
        <v>2</v>
      </c>
      <c r="H244" s="303">
        <v>13142.97</v>
      </c>
      <c r="I244" s="346">
        <v>45870</v>
      </c>
      <c r="J244" s="330">
        <v>45900</v>
      </c>
    </row>
    <row r="245" spans="2:10" x14ac:dyDescent="0.25">
      <c r="B245" s="327" t="s">
        <v>468</v>
      </c>
      <c r="C245" s="326">
        <v>63042</v>
      </c>
      <c r="D245" s="327" t="s">
        <v>468</v>
      </c>
      <c r="E245" s="327" t="s">
        <v>468</v>
      </c>
      <c r="F245" s="327" t="s">
        <v>597</v>
      </c>
      <c r="G245" s="331" t="s">
        <v>723</v>
      </c>
      <c r="H245" s="303">
        <v>13142.97</v>
      </c>
      <c r="I245" s="346">
        <v>45925</v>
      </c>
      <c r="J245" s="330">
        <v>45930</v>
      </c>
    </row>
    <row r="246" spans="2:10" x14ac:dyDescent="0.25">
      <c r="B246" s="327" t="s">
        <v>468</v>
      </c>
      <c r="C246" s="326">
        <v>63042</v>
      </c>
      <c r="D246" s="327" t="s">
        <v>468</v>
      </c>
      <c r="E246" s="327" t="s">
        <v>468</v>
      </c>
      <c r="F246" s="327" t="s">
        <v>597</v>
      </c>
      <c r="G246" s="331" t="s">
        <v>403</v>
      </c>
      <c r="H246" s="303">
        <v>13142.97</v>
      </c>
      <c r="I246" s="346">
        <v>45931</v>
      </c>
      <c r="J246" s="330">
        <v>45961</v>
      </c>
    </row>
    <row r="247" spans="2:10" x14ac:dyDescent="0.25">
      <c r="B247" s="327" t="s">
        <v>468</v>
      </c>
      <c r="C247" s="326">
        <v>63042</v>
      </c>
      <c r="D247" s="327" t="s">
        <v>468</v>
      </c>
      <c r="E247" s="327" t="s">
        <v>468</v>
      </c>
      <c r="F247" s="327" t="s">
        <v>597</v>
      </c>
      <c r="G247" s="331">
        <v>26</v>
      </c>
      <c r="H247" s="303">
        <v>1584.52</v>
      </c>
      <c r="I247" s="346">
        <v>45962</v>
      </c>
      <c r="J247" s="330">
        <v>45991</v>
      </c>
    </row>
    <row r="248" spans="2:10" x14ac:dyDescent="0.25">
      <c r="B248" s="327" t="s">
        <v>468</v>
      </c>
      <c r="C248" s="326">
        <v>63042</v>
      </c>
      <c r="D248" s="327" t="s">
        <v>468</v>
      </c>
      <c r="E248" s="327" t="s">
        <v>468</v>
      </c>
      <c r="F248" s="327" t="s">
        <v>597</v>
      </c>
      <c r="G248" s="331">
        <v>34</v>
      </c>
      <c r="H248" s="303">
        <v>10116.6</v>
      </c>
      <c r="I248" s="346">
        <v>46016</v>
      </c>
      <c r="J248" s="330">
        <v>46022</v>
      </c>
    </row>
    <row r="249" ht="5.25" customHeight="1" spans="2:10" x14ac:dyDescent="0.25">
      <c r="B249" s="327"/>
      <c r="C249" s="326"/>
      <c r="D249" s="327"/>
      <c r="E249" s="327"/>
      <c r="F249" s="301"/>
      <c r="G249" s="329"/>
      <c r="H249" s="449"/>
      <c r="J249" s="330"/>
    </row>
    <row r="250" spans="2:10" x14ac:dyDescent="0.25">
      <c r="B250" s="301"/>
      <c r="C250" s="302"/>
      <c r="D250" s="301"/>
      <c r="E250" s="327" t="s">
        <v>742</v>
      </c>
      <c r="F250" s="301"/>
      <c r="G250" s="329"/>
      <c r="H250" s="303">
        <f>SUBTOTAL(9,H244:H249)</f>
        <v>51130.02999999999</v>
      </c>
      <c r="I250" s="311"/>
      <c r="J250" s="330"/>
    </row>
    <row r="251" spans="5:9" x14ac:dyDescent="0.25">
      <c r="E251" s="327"/>
      <c r="G251" s="326"/>
      <c r="H251" s="303"/>
      <c r="I251" s="357"/>
    </row>
    <row r="252" spans="2:10" x14ac:dyDescent="0.25">
      <c r="B252" s="327" t="s">
        <v>472</v>
      </c>
      <c r="C252" s="326">
        <v>63050</v>
      </c>
      <c r="D252" s="327" t="s">
        <v>472</v>
      </c>
      <c r="E252" s="327" t="s">
        <v>607</v>
      </c>
      <c r="F252" s="327" t="s">
        <v>743</v>
      </c>
      <c r="G252" s="329">
        <v>732951</v>
      </c>
      <c r="H252" s="303">
        <v>1231</v>
      </c>
      <c r="I252" s="346">
        <v>45682</v>
      </c>
      <c r="J252" s="330">
        <v>45639</v>
      </c>
    </row>
    <row r="253" spans="2:10" x14ac:dyDescent="0.25">
      <c r="B253" s="327" t="s">
        <v>472</v>
      </c>
      <c r="C253" s="326">
        <v>63050</v>
      </c>
      <c r="D253" s="327" t="s">
        <v>472</v>
      </c>
      <c r="E253" s="327" t="s">
        <v>607</v>
      </c>
      <c r="F253" s="327" t="s">
        <v>744</v>
      </c>
      <c r="G253" s="329" t="s">
        <v>745</v>
      </c>
      <c r="H253" s="303">
        <v>1261.7</v>
      </c>
      <c r="I253" s="346">
        <v>45682</v>
      </c>
      <c r="J253" s="330">
        <v>45036</v>
      </c>
    </row>
    <row r="254" spans="2:10" x14ac:dyDescent="0.25">
      <c r="B254" s="327" t="s">
        <v>472</v>
      </c>
      <c r="C254" s="326">
        <v>63050</v>
      </c>
      <c r="D254" s="327" t="s">
        <v>472</v>
      </c>
      <c r="E254" s="327" t="s">
        <v>607</v>
      </c>
      <c r="F254" s="327" t="s">
        <v>333</v>
      </c>
      <c r="G254" s="329">
        <v>131892561</v>
      </c>
      <c r="H254" s="303">
        <v>1105</v>
      </c>
      <c r="I254" s="346">
        <v>45682</v>
      </c>
      <c r="J254" s="330">
        <v>45685</v>
      </c>
    </row>
    <row r="255" spans="2:10" x14ac:dyDescent="0.25">
      <c r="B255" s="327" t="s">
        <v>472</v>
      </c>
      <c r="C255" s="326">
        <v>63050</v>
      </c>
      <c r="D255" s="327" t="s">
        <v>472</v>
      </c>
      <c r="E255" s="327" t="s">
        <v>607</v>
      </c>
      <c r="F255" s="327" t="s">
        <v>331</v>
      </c>
      <c r="G255" s="331" t="s">
        <v>746</v>
      </c>
      <c r="H255" s="303">
        <v>45.75</v>
      </c>
      <c r="I255" s="346">
        <v>45689</v>
      </c>
      <c r="J255" s="330">
        <v>45707</v>
      </c>
    </row>
    <row r="256" spans="2:10" x14ac:dyDescent="0.25">
      <c r="B256" s="327" t="s">
        <v>472</v>
      </c>
      <c r="C256" s="326">
        <v>63050</v>
      </c>
      <c r="D256" s="327" t="s">
        <v>472</v>
      </c>
      <c r="E256" s="327" t="s">
        <v>607</v>
      </c>
      <c r="F256" s="327" t="s">
        <v>331</v>
      </c>
      <c r="G256" s="331" t="s">
        <v>747</v>
      </c>
      <c r="H256" s="303">
        <v>1006.5</v>
      </c>
      <c r="I256" s="346">
        <v>45717</v>
      </c>
      <c r="J256" s="330">
        <v>45727</v>
      </c>
    </row>
    <row r="257" spans="2:10" x14ac:dyDescent="0.25">
      <c r="B257" s="327" t="s">
        <v>472</v>
      </c>
      <c r="C257" s="326">
        <v>63050</v>
      </c>
      <c r="D257" s="327" t="s">
        <v>472</v>
      </c>
      <c r="E257" s="327" t="s">
        <v>607</v>
      </c>
      <c r="F257" s="327" t="s">
        <v>331</v>
      </c>
      <c r="G257" s="331" t="s">
        <v>748</v>
      </c>
      <c r="H257" s="303">
        <v>1647</v>
      </c>
      <c r="I257" s="346">
        <v>45748</v>
      </c>
      <c r="J257" s="330">
        <v>45763</v>
      </c>
    </row>
    <row r="258" spans="2:12" x14ac:dyDescent="0.25">
      <c r="B258" s="327" t="s">
        <v>472</v>
      </c>
      <c r="C258" s="326">
        <v>63050</v>
      </c>
      <c r="D258" s="327" t="s">
        <v>472</v>
      </c>
      <c r="E258" s="327" t="s">
        <v>607</v>
      </c>
      <c r="F258" s="327" t="s">
        <v>749</v>
      </c>
      <c r="G258" s="331">
        <v>9947182</v>
      </c>
      <c r="H258" s="303">
        <v>6577.5</v>
      </c>
      <c r="I258" s="346">
        <v>45802</v>
      </c>
      <c r="J258" s="330">
        <v>45307</v>
      </c>
      <c r="K258" s="301"/>
      <c r="L258" s="301"/>
    </row>
    <row r="259" spans="2:12" x14ac:dyDescent="0.25">
      <c r="B259" s="327" t="s">
        <v>472</v>
      </c>
      <c r="C259" s="326">
        <v>63050</v>
      </c>
      <c r="D259" s="327" t="s">
        <v>472</v>
      </c>
      <c r="E259" s="327" t="s">
        <v>607</v>
      </c>
      <c r="F259" s="327" t="s">
        <v>608</v>
      </c>
      <c r="G259" s="331" t="s">
        <v>750</v>
      </c>
      <c r="H259" s="303">
        <v>2287.5</v>
      </c>
      <c r="I259" s="346">
        <v>45802</v>
      </c>
      <c r="J259" s="330">
        <v>45789</v>
      </c>
      <c r="K259" s="301"/>
      <c r="L259" s="301"/>
    </row>
    <row r="260" spans="2:12" x14ac:dyDescent="0.25">
      <c r="B260" s="327" t="s">
        <v>472</v>
      </c>
      <c r="C260" s="326">
        <v>63050</v>
      </c>
      <c r="D260" s="327" t="s">
        <v>472</v>
      </c>
      <c r="E260" s="327" t="s">
        <v>607</v>
      </c>
      <c r="F260" s="327" t="s">
        <v>751</v>
      </c>
      <c r="G260" s="331" t="s">
        <v>752</v>
      </c>
      <c r="H260" s="303">
        <v>2823.75</v>
      </c>
      <c r="I260" s="346">
        <v>45802</v>
      </c>
      <c r="J260" s="330">
        <v>45798</v>
      </c>
      <c r="K260" s="301"/>
      <c r="L260" s="301"/>
    </row>
    <row r="261" spans="2:12" x14ac:dyDescent="0.25">
      <c r="B261" s="327" t="s">
        <v>472</v>
      </c>
      <c r="C261" s="326">
        <v>63050</v>
      </c>
      <c r="D261" s="327" t="s">
        <v>472</v>
      </c>
      <c r="E261" s="327" t="s">
        <v>607</v>
      </c>
      <c r="F261" s="327" t="s">
        <v>751</v>
      </c>
      <c r="G261" s="331" t="s">
        <v>753</v>
      </c>
      <c r="H261" s="303">
        <v>1626.25</v>
      </c>
      <c r="I261" s="346">
        <v>45748</v>
      </c>
      <c r="J261" s="330">
        <v>45748</v>
      </c>
      <c r="K261" s="301"/>
      <c r="L261" s="301" t="s">
        <v>754</v>
      </c>
    </row>
    <row r="262" spans="2:12" x14ac:dyDescent="0.25">
      <c r="B262" s="327" t="s">
        <v>472</v>
      </c>
      <c r="C262" s="326">
        <v>63050</v>
      </c>
      <c r="D262" s="327" t="s">
        <v>472</v>
      </c>
      <c r="E262" s="327" t="s">
        <v>607</v>
      </c>
      <c r="F262" s="327" t="s">
        <v>751</v>
      </c>
      <c r="G262" s="331" t="s">
        <v>755</v>
      </c>
      <c r="H262" s="303">
        <v>5483.38</v>
      </c>
      <c r="I262" s="346">
        <v>45748</v>
      </c>
      <c r="J262" s="330">
        <v>45748</v>
      </c>
      <c r="K262" s="301"/>
      <c r="L262" s="301" t="s">
        <v>754</v>
      </c>
    </row>
    <row r="263" spans="2:12" x14ac:dyDescent="0.25">
      <c r="B263" s="327" t="s">
        <v>472</v>
      </c>
      <c r="C263" s="326">
        <v>63050</v>
      </c>
      <c r="D263" s="327" t="s">
        <v>472</v>
      </c>
      <c r="E263" s="327" t="s">
        <v>607</v>
      </c>
      <c r="F263" s="327" t="s">
        <v>751</v>
      </c>
      <c r="G263" s="331" t="s">
        <v>756</v>
      </c>
      <c r="H263" s="303">
        <v>3710</v>
      </c>
      <c r="I263" s="346">
        <v>45748</v>
      </c>
      <c r="J263" s="330">
        <v>45748</v>
      </c>
      <c r="K263" s="301"/>
      <c r="L263" s="301" t="s">
        <v>754</v>
      </c>
    </row>
    <row r="264" spans="2:12" x14ac:dyDescent="0.25">
      <c r="B264" s="327" t="s">
        <v>472</v>
      </c>
      <c r="C264" s="326">
        <v>63050</v>
      </c>
      <c r="D264" s="327" t="s">
        <v>472</v>
      </c>
      <c r="E264" s="327" t="s">
        <v>607</v>
      </c>
      <c r="F264" s="327" t="s">
        <v>751</v>
      </c>
      <c r="G264" s="331" t="s">
        <v>757</v>
      </c>
      <c r="H264" s="303">
        <v>843.75</v>
      </c>
      <c r="I264" s="346">
        <v>45748</v>
      </c>
      <c r="J264" s="330">
        <v>45748</v>
      </c>
      <c r="K264" s="301"/>
      <c r="L264" s="301" t="s">
        <v>754</v>
      </c>
    </row>
    <row r="265" spans="2:12" x14ac:dyDescent="0.25">
      <c r="B265" s="327" t="s">
        <v>472</v>
      </c>
      <c r="C265" s="326">
        <v>63050</v>
      </c>
      <c r="D265" s="327" t="s">
        <v>472</v>
      </c>
      <c r="E265" s="327" t="s">
        <v>607</v>
      </c>
      <c r="F265" s="327" t="s">
        <v>751</v>
      </c>
      <c r="G265" s="331" t="s">
        <v>758</v>
      </c>
      <c r="H265" s="303">
        <v>748.13</v>
      </c>
      <c r="I265" s="346">
        <v>45748</v>
      </c>
      <c r="J265" s="330">
        <v>45748</v>
      </c>
      <c r="K265" s="301"/>
      <c r="L265" s="301" t="s">
        <v>754</v>
      </c>
    </row>
    <row r="266" spans="2:12" x14ac:dyDescent="0.25">
      <c r="B266" s="327" t="s">
        <v>472</v>
      </c>
      <c r="C266" s="326">
        <v>63050</v>
      </c>
      <c r="D266" s="327" t="s">
        <v>472</v>
      </c>
      <c r="E266" s="327" t="s">
        <v>607</v>
      </c>
      <c r="F266" s="327" t="s">
        <v>751</v>
      </c>
      <c r="G266" s="331" t="s">
        <v>759</v>
      </c>
      <c r="H266" s="303">
        <v>1960</v>
      </c>
      <c r="I266" s="346">
        <v>45748</v>
      </c>
      <c r="J266" s="330">
        <v>45748</v>
      </c>
      <c r="K266" s="301"/>
      <c r="L266" s="301" t="s">
        <v>754</v>
      </c>
    </row>
    <row r="267" spans="2:12" x14ac:dyDescent="0.25">
      <c r="B267" s="327" t="s">
        <v>472</v>
      </c>
      <c r="C267" s="326">
        <v>63050</v>
      </c>
      <c r="D267" s="327" t="s">
        <v>472</v>
      </c>
      <c r="E267" s="327" t="s">
        <v>607</v>
      </c>
      <c r="F267" s="327" t="s">
        <v>751</v>
      </c>
      <c r="G267" s="331" t="s">
        <v>760</v>
      </c>
      <c r="H267" s="303">
        <v>4407</v>
      </c>
      <c r="I267" s="346">
        <v>45748</v>
      </c>
      <c r="J267" s="330">
        <v>45748</v>
      </c>
      <c r="K267" s="301"/>
      <c r="L267" s="301" t="s">
        <v>754</v>
      </c>
    </row>
    <row r="268" spans="2:12" x14ac:dyDescent="0.25">
      <c r="B268" s="327" t="s">
        <v>472</v>
      </c>
      <c r="C268" s="326">
        <v>63050</v>
      </c>
      <c r="D268" s="327" t="s">
        <v>472</v>
      </c>
      <c r="E268" s="327" t="s">
        <v>607</v>
      </c>
      <c r="F268" s="327" t="s">
        <v>751</v>
      </c>
      <c r="G268" s="331" t="s">
        <v>761</v>
      </c>
      <c r="H268" s="303">
        <v>798.75</v>
      </c>
      <c r="I268" s="346">
        <v>45748</v>
      </c>
      <c r="J268" s="330">
        <v>45748</v>
      </c>
      <c r="K268" s="301"/>
      <c r="L268" s="301" t="s">
        <v>754</v>
      </c>
    </row>
    <row r="269" spans="2:12" x14ac:dyDescent="0.25">
      <c r="B269" s="327" t="s">
        <v>472</v>
      </c>
      <c r="C269" s="326">
        <v>63050</v>
      </c>
      <c r="D269" s="327" t="s">
        <v>472</v>
      </c>
      <c r="E269" s="327" t="s">
        <v>607</v>
      </c>
      <c r="F269" s="327" t="s">
        <v>751</v>
      </c>
      <c r="G269" s="331" t="s">
        <v>762</v>
      </c>
      <c r="H269" s="303">
        <v>4650</v>
      </c>
      <c r="I269" s="346">
        <v>45748</v>
      </c>
      <c r="J269" s="330">
        <v>45748</v>
      </c>
      <c r="K269" s="301"/>
      <c r="L269" s="301" t="s">
        <v>754</v>
      </c>
    </row>
    <row r="270" spans="2:10" x14ac:dyDescent="0.25">
      <c r="B270" s="327" t="s">
        <v>472</v>
      </c>
      <c r="C270" s="326">
        <v>63050</v>
      </c>
      <c r="D270" s="327" t="s">
        <v>472</v>
      </c>
      <c r="E270" s="327" t="s">
        <v>607</v>
      </c>
      <c r="F270" s="327" t="s">
        <v>331</v>
      </c>
      <c r="G270" s="331" t="s">
        <v>763</v>
      </c>
      <c r="H270" s="303">
        <v>2470.5</v>
      </c>
      <c r="I270" s="346">
        <v>45833</v>
      </c>
      <c r="J270" s="330">
        <v>45818</v>
      </c>
    </row>
    <row r="271" spans="2:10" x14ac:dyDescent="0.25">
      <c r="B271" s="327" t="s">
        <v>472</v>
      </c>
      <c r="C271" s="326">
        <v>63050</v>
      </c>
      <c r="D271" s="327" t="s">
        <v>472</v>
      </c>
      <c r="E271" s="327" t="s">
        <v>607</v>
      </c>
      <c r="F271" s="327" t="s">
        <v>331</v>
      </c>
      <c r="G271" s="331" t="s">
        <v>764</v>
      </c>
      <c r="H271" s="303">
        <v>457.5</v>
      </c>
      <c r="I271" s="346">
        <v>45839</v>
      </c>
      <c r="J271" s="330">
        <v>45853</v>
      </c>
    </row>
    <row r="272" spans="2:10" x14ac:dyDescent="0.25">
      <c r="B272" s="327" t="s">
        <v>472</v>
      </c>
      <c r="C272" s="326">
        <v>63050</v>
      </c>
      <c r="D272" s="327" t="s">
        <v>472</v>
      </c>
      <c r="E272" s="327" t="s">
        <v>607</v>
      </c>
      <c r="F272" s="327" t="s">
        <v>749</v>
      </c>
      <c r="G272" s="331">
        <v>10091994</v>
      </c>
      <c r="H272" s="303">
        <v>9301.5</v>
      </c>
      <c r="I272" s="346">
        <v>45839</v>
      </c>
      <c r="J272" s="330">
        <v>45853</v>
      </c>
    </row>
    <row r="273" spans="2:10" x14ac:dyDescent="0.25">
      <c r="B273" s="327" t="s">
        <v>472</v>
      </c>
      <c r="C273" s="326">
        <v>63050</v>
      </c>
      <c r="D273" s="327" t="s">
        <v>472</v>
      </c>
      <c r="E273" s="327" t="s">
        <v>607</v>
      </c>
      <c r="F273" s="327" t="s">
        <v>744</v>
      </c>
      <c r="G273" s="331" t="s">
        <v>765</v>
      </c>
      <c r="H273" s="303">
        <v>187</v>
      </c>
      <c r="I273" s="346">
        <v>45870</v>
      </c>
      <c r="J273" s="330">
        <v>45784</v>
      </c>
    </row>
    <row r="274" spans="2:10" x14ac:dyDescent="0.25">
      <c r="B274" s="327" t="s">
        <v>472</v>
      </c>
      <c r="C274" s="326">
        <v>63050</v>
      </c>
      <c r="D274" s="327" t="s">
        <v>472</v>
      </c>
      <c r="E274" s="327" t="s">
        <v>607</v>
      </c>
      <c r="F274" s="327" t="s">
        <v>744</v>
      </c>
      <c r="G274" s="331" t="s">
        <v>766</v>
      </c>
      <c r="H274" s="303">
        <v>510.2</v>
      </c>
      <c r="I274" s="346">
        <v>45870</v>
      </c>
      <c r="J274" s="330">
        <v>45717</v>
      </c>
    </row>
    <row r="275" spans="2:10" x14ac:dyDescent="0.25">
      <c r="B275" s="327" t="s">
        <v>472</v>
      </c>
      <c r="C275" s="326">
        <v>63050</v>
      </c>
      <c r="D275" s="327" t="s">
        <v>472</v>
      </c>
      <c r="E275" s="327" t="s">
        <v>607</v>
      </c>
      <c r="F275" s="327" t="s">
        <v>744</v>
      </c>
      <c r="G275" s="331" t="s">
        <v>767</v>
      </c>
      <c r="H275" s="303">
        <v>720.4</v>
      </c>
      <c r="I275" s="346">
        <v>45870</v>
      </c>
      <c r="J275" s="330">
        <v>45717</v>
      </c>
    </row>
    <row r="276" spans="2:10" x14ac:dyDescent="0.25">
      <c r="B276" s="327" t="s">
        <v>472</v>
      </c>
      <c r="C276" s="326">
        <v>63050</v>
      </c>
      <c r="D276" s="327" t="s">
        <v>472</v>
      </c>
      <c r="E276" s="327" t="s">
        <v>607</v>
      </c>
      <c r="F276" s="327" t="s">
        <v>608</v>
      </c>
      <c r="G276" s="331" t="s">
        <v>768</v>
      </c>
      <c r="H276" s="303">
        <v>2104.5</v>
      </c>
      <c r="I276" s="346">
        <v>45931</v>
      </c>
      <c r="J276" s="330">
        <v>45938</v>
      </c>
    </row>
    <row r="277" spans="2:10" x14ac:dyDescent="0.25">
      <c r="B277" s="327" t="s">
        <v>472</v>
      </c>
      <c r="C277" s="326">
        <v>63050</v>
      </c>
      <c r="D277" s="327" t="s">
        <v>472</v>
      </c>
      <c r="E277" s="327" t="s">
        <v>607</v>
      </c>
      <c r="F277" s="327" t="s">
        <v>769</v>
      </c>
      <c r="G277" s="331" t="s">
        <v>770</v>
      </c>
      <c r="H277" s="303">
        <v>4012.5</v>
      </c>
      <c r="I277" s="346">
        <v>45931</v>
      </c>
      <c r="J277" s="330">
        <v>45931</v>
      </c>
    </row>
    <row r="278" spans="2:10" x14ac:dyDescent="0.25">
      <c r="B278" s="327" t="s">
        <v>472</v>
      </c>
      <c r="C278" s="326">
        <v>63050</v>
      </c>
      <c r="D278" s="327" t="s">
        <v>472</v>
      </c>
      <c r="E278" s="327" t="s">
        <v>607</v>
      </c>
      <c r="F278" s="327" t="s">
        <v>769</v>
      </c>
      <c r="G278" s="331" t="s">
        <v>771</v>
      </c>
      <c r="H278" s="303">
        <v>3921.25</v>
      </c>
      <c r="I278" s="346">
        <v>45931</v>
      </c>
      <c r="J278" s="330">
        <v>45931</v>
      </c>
    </row>
    <row r="279" spans="2:10" x14ac:dyDescent="0.25">
      <c r="B279" s="327" t="s">
        <v>472</v>
      </c>
      <c r="C279" s="326">
        <v>63050</v>
      </c>
      <c r="D279" s="327" t="s">
        <v>472</v>
      </c>
      <c r="E279" s="327" t="s">
        <v>607</v>
      </c>
      <c r="F279" s="327" t="s">
        <v>608</v>
      </c>
      <c r="G279" s="331" t="s">
        <v>609</v>
      </c>
      <c r="H279" s="303">
        <v>732</v>
      </c>
      <c r="I279" s="346">
        <v>45962</v>
      </c>
      <c r="J279" s="330">
        <v>45971</v>
      </c>
    </row>
    <row r="280" ht="6" customHeight="1" spans="2:10" x14ac:dyDescent="0.25">
      <c r="B280" s="327"/>
      <c r="C280" s="326"/>
      <c r="D280" s="327"/>
      <c r="E280" s="327"/>
      <c r="F280" s="327"/>
      <c r="G280" s="331"/>
      <c r="H280" s="303"/>
      <c r="J280" s="330"/>
    </row>
    <row r="281" spans="5:10" x14ac:dyDescent="0.25">
      <c r="E281" s="327" t="s">
        <v>610</v>
      </c>
      <c r="G281" s="329"/>
      <c r="H281" s="453">
        <f>SUBTOTAL(9,H252:H280)</f>
        <v>66630.31</v>
      </c>
      <c r="I281" s="357"/>
      <c r="J281" s="330"/>
    </row>
    <row r="282" spans="5:9" x14ac:dyDescent="0.25">
      <c r="E282" s="327"/>
      <c r="G282" s="326"/>
      <c r="H282" s="303"/>
      <c r="I282" s="357"/>
    </row>
    <row r="283" spans="2:10" x14ac:dyDescent="0.25">
      <c r="B283" s="301" t="s">
        <v>473</v>
      </c>
      <c r="C283" s="326">
        <v>63100</v>
      </c>
      <c r="D283" s="301" t="s">
        <v>473</v>
      </c>
      <c r="E283" s="301" t="s">
        <v>772</v>
      </c>
      <c r="F283" s="301" t="s">
        <v>773</v>
      </c>
      <c r="G283" s="329" t="s">
        <v>774</v>
      </c>
      <c r="H283" s="303">
        <v>5390.85</v>
      </c>
      <c r="I283" s="346">
        <v>45748</v>
      </c>
      <c r="J283" s="330">
        <v>45758</v>
      </c>
    </row>
    <row r="284" spans="2:10" x14ac:dyDescent="0.25">
      <c r="B284" s="301" t="s">
        <v>473</v>
      </c>
      <c r="C284" s="326">
        <v>63100</v>
      </c>
      <c r="D284" s="301" t="s">
        <v>473</v>
      </c>
      <c r="E284" s="301" t="s">
        <v>772</v>
      </c>
      <c r="F284" s="301" t="s">
        <v>775</v>
      </c>
      <c r="G284" s="329" t="s">
        <v>776</v>
      </c>
      <c r="H284" s="303">
        <v>2950</v>
      </c>
      <c r="I284" s="346">
        <v>45802</v>
      </c>
      <c r="J284" s="330">
        <v>45804</v>
      </c>
    </row>
    <row r="285" ht="5.4" customHeight="1" spans="7:8" x14ac:dyDescent="0.25">
      <c r="G285" s="326"/>
      <c r="H285" s="449"/>
    </row>
    <row r="286" spans="5:8" x14ac:dyDescent="0.25">
      <c r="E286" s="327" t="s">
        <v>612</v>
      </c>
      <c r="G286" s="326"/>
      <c r="H286" s="303">
        <f>SUBTOTAL(9,H283:H285)</f>
        <v>8340.85</v>
      </c>
    </row>
    <row r="287" spans="7:8" x14ac:dyDescent="0.25">
      <c r="G287" s="326"/>
      <c r="H287" s="303"/>
    </row>
    <row r="288" spans="2:10" x14ac:dyDescent="0.25">
      <c r="B288" s="301" t="s">
        <v>473</v>
      </c>
      <c r="C288" s="326">
        <v>63150</v>
      </c>
      <c r="D288" s="301" t="s">
        <v>611</v>
      </c>
      <c r="E288" s="301" t="s">
        <v>611</v>
      </c>
      <c r="F288" s="301" t="s">
        <v>402</v>
      </c>
      <c r="G288" s="331" t="s">
        <v>403</v>
      </c>
      <c r="H288" s="303">
        <v>9535.41</v>
      </c>
      <c r="I288" s="346">
        <v>45839</v>
      </c>
      <c r="J288" s="330">
        <v>45848</v>
      </c>
    </row>
    <row r="289" ht="3.6" customHeight="1" spans="4:8" x14ac:dyDescent="0.25">
      <c r="D289" s="327"/>
      <c r="G289" s="326"/>
      <c r="H289" s="449"/>
    </row>
    <row r="290" spans="4:8" x14ac:dyDescent="0.25">
      <c r="D290" s="327"/>
      <c r="E290" s="327" t="s">
        <v>777</v>
      </c>
      <c r="G290" s="326"/>
      <c r="H290" s="303">
        <f>SUBTOTAL(9,H288:H289)</f>
        <v>9535.41</v>
      </c>
    </row>
    <row r="291" spans="4:8" x14ac:dyDescent="0.25">
      <c r="D291" s="327"/>
      <c r="G291" s="326"/>
      <c r="H291" s="303"/>
    </row>
    <row r="292" spans="2:10" x14ac:dyDescent="0.25">
      <c r="B292" s="327" t="s">
        <v>463</v>
      </c>
      <c r="C292" s="326">
        <v>64000</v>
      </c>
      <c r="D292" s="327" t="s">
        <v>613</v>
      </c>
      <c r="E292" s="327" t="s">
        <v>613</v>
      </c>
      <c r="F292" s="327" t="s">
        <v>614</v>
      </c>
      <c r="G292" s="329">
        <v>2466</v>
      </c>
      <c r="H292" s="303">
        <v>2233.01</v>
      </c>
      <c r="I292" s="346">
        <v>45682</v>
      </c>
      <c r="J292" s="330">
        <v>45659</v>
      </c>
    </row>
    <row r="293" spans="2:10" x14ac:dyDescent="0.25">
      <c r="B293" s="327" t="s">
        <v>463</v>
      </c>
      <c r="C293" s="326">
        <v>64000</v>
      </c>
      <c r="D293" s="327" t="s">
        <v>613</v>
      </c>
      <c r="E293" s="327" t="s">
        <v>613</v>
      </c>
      <c r="F293" s="327" t="s">
        <v>614</v>
      </c>
      <c r="G293" s="329">
        <v>2469</v>
      </c>
      <c r="H293" s="303">
        <v>1337.43</v>
      </c>
      <c r="I293" s="346">
        <v>45682</v>
      </c>
      <c r="J293" s="330">
        <v>45666</v>
      </c>
    </row>
    <row r="294" spans="2:10" x14ac:dyDescent="0.25">
      <c r="B294" s="327" t="s">
        <v>463</v>
      </c>
      <c r="C294" s="326">
        <v>64000</v>
      </c>
      <c r="D294" s="327" t="s">
        <v>613</v>
      </c>
      <c r="E294" s="327" t="s">
        <v>613</v>
      </c>
      <c r="F294" s="327" t="s">
        <v>614</v>
      </c>
      <c r="G294" s="329">
        <v>2487</v>
      </c>
      <c r="H294" s="303">
        <v>1337.43</v>
      </c>
      <c r="I294" s="346">
        <v>45682</v>
      </c>
      <c r="J294" s="330">
        <v>45673</v>
      </c>
    </row>
    <row r="295" spans="2:10" x14ac:dyDescent="0.25">
      <c r="B295" s="327" t="s">
        <v>463</v>
      </c>
      <c r="C295" s="326">
        <v>64000</v>
      </c>
      <c r="D295" s="327" t="s">
        <v>613</v>
      </c>
      <c r="E295" s="327" t="s">
        <v>613</v>
      </c>
      <c r="F295" s="327" t="s">
        <v>614</v>
      </c>
      <c r="G295" s="329">
        <v>2493</v>
      </c>
      <c r="H295" s="303">
        <v>1337.43</v>
      </c>
      <c r="I295" s="346">
        <v>45682</v>
      </c>
      <c r="J295" s="330">
        <v>45680</v>
      </c>
    </row>
    <row r="296" spans="2:10" x14ac:dyDescent="0.25">
      <c r="B296" s="327" t="s">
        <v>463</v>
      </c>
      <c r="C296" s="326">
        <v>64000</v>
      </c>
      <c r="D296" s="327" t="s">
        <v>613</v>
      </c>
      <c r="E296" s="327" t="s">
        <v>613</v>
      </c>
      <c r="F296" s="327" t="s">
        <v>614</v>
      </c>
      <c r="G296" s="329">
        <v>2510</v>
      </c>
      <c r="H296" s="303">
        <v>1385.22</v>
      </c>
      <c r="I296" s="346">
        <v>45682</v>
      </c>
      <c r="J296" s="330">
        <v>45687</v>
      </c>
    </row>
    <row r="297" spans="2:10" x14ac:dyDescent="0.25">
      <c r="B297" s="327" t="s">
        <v>463</v>
      </c>
      <c r="C297" s="326">
        <v>64000</v>
      </c>
      <c r="D297" s="327" t="s">
        <v>613</v>
      </c>
      <c r="E297" s="327" t="s">
        <v>613</v>
      </c>
      <c r="F297" s="327" t="s">
        <v>614</v>
      </c>
      <c r="G297" s="329">
        <v>2521</v>
      </c>
      <c r="H297" s="303">
        <v>2137.43</v>
      </c>
      <c r="I297" s="346">
        <v>45689</v>
      </c>
      <c r="J297" s="330">
        <v>45694</v>
      </c>
    </row>
    <row r="298" spans="2:10" x14ac:dyDescent="0.25">
      <c r="B298" s="327" t="s">
        <v>463</v>
      </c>
      <c r="C298" s="326">
        <v>64000</v>
      </c>
      <c r="D298" s="327" t="s">
        <v>613</v>
      </c>
      <c r="E298" s="327" t="s">
        <v>613</v>
      </c>
      <c r="F298" s="327" t="s">
        <v>614</v>
      </c>
      <c r="G298" s="329">
        <v>2526</v>
      </c>
      <c r="H298" s="303">
        <v>1337.43</v>
      </c>
      <c r="I298" s="346">
        <v>45689</v>
      </c>
      <c r="J298" s="330">
        <v>45701</v>
      </c>
    </row>
    <row r="299" spans="2:10" x14ac:dyDescent="0.25">
      <c r="B299" s="327" t="s">
        <v>463</v>
      </c>
      <c r="C299" s="326">
        <v>64000</v>
      </c>
      <c r="D299" s="327" t="s">
        <v>613</v>
      </c>
      <c r="E299" s="327" t="s">
        <v>613</v>
      </c>
      <c r="F299" s="327" t="s">
        <v>614</v>
      </c>
      <c r="G299" s="329">
        <v>2544</v>
      </c>
      <c r="H299" s="303">
        <v>1337.43</v>
      </c>
      <c r="I299" s="346">
        <v>45689</v>
      </c>
      <c r="J299" s="330">
        <v>45708</v>
      </c>
    </row>
    <row r="300" spans="2:10" x14ac:dyDescent="0.25">
      <c r="B300" s="327" t="s">
        <v>463</v>
      </c>
      <c r="C300" s="326">
        <v>64000</v>
      </c>
      <c r="D300" s="327" t="s">
        <v>613</v>
      </c>
      <c r="E300" s="327" t="s">
        <v>613</v>
      </c>
      <c r="F300" s="327" t="s">
        <v>614</v>
      </c>
      <c r="G300" s="329">
        <v>2556</v>
      </c>
      <c r="H300" s="303">
        <v>1337.43</v>
      </c>
      <c r="I300" s="346">
        <v>45689</v>
      </c>
      <c r="J300" s="330">
        <v>45715</v>
      </c>
    </row>
    <row r="301" spans="2:10" x14ac:dyDescent="0.25">
      <c r="B301" s="327" t="s">
        <v>463</v>
      </c>
      <c r="C301" s="326">
        <v>64000</v>
      </c>
      <c r="D301" s="327" t="s">
        <v>613</v>
      </c>
      <c r="E301" s="327" t="s">
        <v>613</v>
      </c>
      <c r="F301" s="327" t="s">
        <v>614</v>
      </c>
      <c r="G301" s="329">
        <v>2567</v>
      </c>
      <c r="H301" s="303">
        <v>2137.43</v>
      </c>
      <c r="I301" s="346">
        <v>45717</v>
      </c>
      <c r="J301" s="330">
        <v>45722</v>
      </c>
    </row>
    <row r="302" spans="2:10" x14ac:dyDescent="0.25">
      <c r="B302" s="327" t="s">
        <v>463</v>
      </c>
      <c r="C302" s="326">
        <v>64000</v>
      </c>
      <c r="D302" s="327" t="s">
        <v>613</v>
      </c>
      <c r="E302" s="327" t="s">
        <v>613</v>
      </c>
      <c r="F302" s="327" t="s">
        <v>614</v>
      </c>
      <c r="G302" s="329">
        <v>2578</v>
      </c>
      <c r="H302" s="303">
        <v>1337.43</v>
      </c>
      <c r="I302" s="346">
        <v>45717</v>
      </c>
      <c r="J302" s="330">
        <v>45731</v>
      </c>
    </row>
    <row r="303" spans="2:10" x14ac:dyDescent="0.25">
      <c r="B303" s="327" t="s">
        <v>463</v>
      </c>
      <c r="C303" s="326">
        <v>64000</v>
      </c>
      <c r="D303" s="327" t="s">
        <v>613</v>
      </c>
      <c r="E303" s="327" t="s">
        <v>613</v>
      </c>
      <c r="F303" s="327" t="s">
        <v>614</v>
      </c>
      <c r="G303" s="329">
        <v>2590</v>
      </c>
      <c r="H303" s="303">
        <v>1337.43</v>
      </c>
      <c r="I303" s="346">
        <v>45717</v>
      </c>
      <c r="J303" s="330">
        <v>45743</v>
      </c>
    </row>
    <row r="304" spans="2:10" x14ac:dyDescent="0.25">
      <c r="B304" s="327" t="s">
        <v>463</v>
      </c>
      <c r="C304" s="326">
        <v>64000</v>
      </c>
      <c r="D304" s="327" t="s">
        <v>613</v>
      </c>
      <c r="E304" s="327" t="s">
        <v>613</v>
      </c>
      <c r="F304" s="327" t="s">
        <v>614</v>
      </c>
      <c r="G304" s="329">
        <v>2601</v>
      </c>
      <c r="H304" s="303">
        <v>1337.43</v>
      </c>
      <c r="I304" s="346">
        <v>45748</v>
      </c>
      <c r="J304" s="330">
        <v>45748</v>
      </c>
    </row>
    <row r="305" spans="2:10" x14ac:dyDescent="0.25">
      <c r="B305" s="327" t="s">
        <v>463</v>
      </c>
      <c r="C305" s="326">
        <v>64000</v>
      </c>
      <c r="D305" s="327" t="s">
        <v>613</v>
      </c>
      <c r="E305" s="327" t="s">
        <v>613</v>
      </c>
      <c r="F305" s="327" t="s">
        <v>614</v>
      </c>
      <c r="G305" s="329">
        <v>2613</v>
      </c>
      <c r="H305" s="303">
        <v>2137.43</v>
      </c>
      <c r="I305" s="346">
        <v>45748</v>
      </c>
      <c r="J305" s="330">
        <v>45750</v>
      </c>
    </row>
    <row r="306" spans="2:10" x14ac:dyDescent="0.25">
      <c r="B306" s="327" t="s">
        <v>463</v>
      </c>
      <c r="C306" s="326">
        <v>64000</v>
      </c>
      <c r="D306" s="327" t="s">
        <v>613</v>
      </c>
      <c r="E306" s="327" t="s">
        <v>613</v>
      </c>
      <c r="F306" s="327" t="s">
        <v>614</v>
      </c>
      <c r="G306" s="329">
        <v>2624</v>
      </c>
      <c r="H306" s="303">
        <v>1337.43</v>
      </c>
      <c r="I306" s="346">
        <v>45748</v>
      </c>
      <c r="J306" s="330">
        <v>45757</v>
      </c>
    </row>
    <row r="307" spans="2:10" x14ac:dyDescent="0.25">
      <c r="B307" s="327" t="s">
        <v>463</v>
      </c>
      <c r="C307" s="326">
        <v>64000</v>
      </c>
      <c r="D307" s="327" t="s">
        <v>613</v>
      </c>
      <c r="E307" s="327" t="s">
        <v>613</v>
      </c>
      <c r="F307" s="327" t="s">
        <v>614</v>
      </c>
      <c r="G307" s="329">
        <v>2635</v>
      </c>
      <c r="H307" s="303">
        <v>1337.43</v>
      </c>
      <c r="I307" s="346">
        <v>45748</v>
      </c>
      <c r="J307" s="330">
        <v>45764</v>
      </c>
    </row>
    <row r="308" spans="2:10" x14ac:dyDescent="0.25">
      <c r="B308" s="327" t="s">
        <v>463</v>
      </c>
      <c r="C308" s="326">
        <v>64000</v>
      </c>
      <c r="D308" s="327" t="s">
        <v>613</v>
      </c>
      <c r="E308" s="327" t="s">
        <v>613</v>
      </c>
      <c r="F308" s="327" t="s">
        <v>614</v>
      </c>
      <c r="G308" s="329">
        <v>2646</v>
      </c>
      <c r="H308" s="303">
        <v>1433.01</v>
      </c>
      <c r="I308" s="346">
        <v>45748</v>
      </c>
      <c r="J308" s="330">
        <v>45771</v>
      </c>
    </row>
    <row r="309" spans="2:10" x14ac:dyDescent="0.25">
      <c r="B309" s="327" t="s">
        <v>463</v>
      </c>
      <c r="C309" s="326">
        <v>64000</v>
      </c>
      <c r="D309" s="327" t="s">
        <v>613</v>
      </c>
      <c r="E309" s="327" t="s">
        <v>613</v>
      </c>
      <c r="F309" s="327" t="s">
        <v>614</v>
      </c>
      <c r="G309" s="329">
        <v>2657</v>
      </c>
      <c r="H309" s="303">
        <v>2137.43</v>
      </c>
      <c r="I309" s="346">
        <v>45802</v>
      </c>
      <c r="J309" s="330">
        <v>45778</v>
      </c>
    </row>
    <row r="310" spans="2:10" x14ac:dyDescent="0.25">
      <c r="B310" s="327" t="s">
        <v>463</v>
      </c>
      <c r="C310" s="326">
        <v>64000</v>
      </c>
      <c r="D310" s="327" t="s">
        <v>613</v>
      </c>
      <c r="E310" s="327" t="s">
        <v>613</v>
      </c>
      <c r="F310" s="327" t="s">
        <v>614</v>
      </c>
      <c r="G310" s="329">
        <v>2668</v>
      </c>
      <c r="H310" s="303">
        <v>1337.43</v>
      </c>
      <c r="I310" s="346">
        <v>45802</v>
      </c>
      <c r="J310" s="330">
        <v>45785</v>
      </c>
    </row>
    <row r="311" spans="2:10" x14ac:dyDescent="0.25">
      <c r="B311" s="327" t="s">
        <v>463</v>
      </c>
      <c r="C311" s="326">
        <v>64000</v>
      </c>
      <c r="D311" s="327" t="s">
        <v>613</v>
      </c>
      <c r="E311" s="327" t="s">
        <v>613</v>
      </c>
      <c r="F311" s="327" t="s">
        <v>614</v>
      </c>
      <c r="G311" s="329">
        <v>2679</v>
      </c>
      <c r="H311" s="303">
        <v>1337.43</v>
      </c>
      <c r="I311" s="346">
        <v>45802</v>
      </c>
      <c r="J311" s="330">
        <v>45792</v>
      </c>
    </row>
    <row r="312" spans="2:10" x14ac:dyDescent="0.25">
      <c r="B312" s="327" t="s">
        <v>463</v>
      </c>
      <c r="C312" s="326">
        <v>64000</v>
      </c>
      <c r="D312" s="327" t="s">
        <v>613</v>
      </c>
      <c r="E312" s="327" t="s">
        <v>613</v>
      </c>
      <c r="F312" s="327" t="s">
        <v>614</v>
      </c>
      <c r="G312" s="329">
        <v>2691</v>
      </c>
      <c r="H312" s="303">
        <v>1337.43</v>
      </c>
      <c r="I312" s="346">
        <v>45802</v>
      </c>
      <c r="J312" s="330">
        <v>45799</v>
      </c>
    </row>
    <row r="313" spans="2:10" x14ac:dyDescent="0.25">
      <c r="B313" s="327" t="s">
        <v>463</v>
      </c>
      <c r="C313" s="326">
        <v>64000</v>
      </c>
      <c r="D313" s="327" t="s">
        <v>613</v>
      </c>
      <c r="E313" s="327" t="s">
        <v>613</v>
      </c>
      <c r="F313" s="327" t="s">
        <v>614</v>
      </c>
      <c r="G313" s="329">
        <v>2702</v>
      </c>
      <c r="H313" s="303">
        <v>1442.57</v>
      </c>
      <c r="I313" s="346">
        <v>45802</v>
      </c>
      <c r="J313" s="330">
        <v>45806</v>
      </c>
    </row>
    <row r="314" spans="2:10" x14ac:dyDescent="0.25">
      <c r="B314" s="327" t="s">
        <v>463</v>
      </c>
      <c r="C314" s="326">
        <v>64000</v>
      </c>
      <c r="D314" s="327" t="s">
        <v>613</v>
      </c>
      <c r="E314" s="327" t="s">
        <v>613</v>
      </c>
      <c r="F314" s="327" t="s">
        <v>614</v>
      </c>
      <c r="G314" s="329">
        <v>2703</v>
      </c>
      <c r="H314" s="303">
        <v>1442.57</v>
      </c>
      <c r="I314" s="346">
        <v>45833</v>
      </c>
      <c r="J314" s="330">
        <v>45809</v>
      </c>
    </row>
    <row r="315" spans="2:10" x14ac:dyDescent="0.25">
      <c r="B315" s="327" t="s">
        <v>463</v>
      </c>
      <c r="C315" s="326">
        <v>64000</v>
      </c>
      <c r="D315" s="327" t="s">
        <v>613</v>
      </c>
      <c r="E315" s="327" t="s">
        <v>613</v>
      </c>
      <c r="F315" s="327" t="s">
        <v>614</v>
      </c>
      <c r="G315" s="329">
        <v>2713</v>
      </c>
      <c r="H315" s="303">
        <v>1337.43</v>
      </c>
      <c r="I315" s="346">
        <v>45833</v>
      </c>
      <c r="J315" s="330">
        <v>45813</v>
      </c>
    </row>
    <row r="316" spans="2:10" x14ac:dyDescent="0.25">
      <c r="B316" s="327" t="s">
        <v>463</v>
      </c>
      <c r="C316" s="326">
        <v>64000</v>
      </c>
      <c r="D316" s="327" t="s">
        <v>613</v>
      </c>
      <c r="E316" s="327" t="s">
        <v>613</v>
      </c>
      <c r="F316" s="327" t="s">
        <v>614</v>
      </c>
      <c r="G316" s="329">
        <v>2724</v>
      </c>
      <c r="H316" s="303">
        <v>2137.43</v>
      </c>
      <c r="I316" s="346">
        <v>45833</v>
      </c>
      <c r="J316" s="330">
        <v>45820</v>
      </c>
    </row>
    <row r="317" spans="2:10" x14ac:dyDescent="0.25">
      <c r="B317" s="327" t="s">
        <v>463</v>
      </c>
      <c r="C317" s="326">
        <v>64000</v>
      </c>
      <c r="D317" s="327" t="s">
        <v>613</v>
      </c>
      <c r="E317" s="327" t="s">
        <v>613</v>
      </c>
      <c r="F317" s="327" t="s">
        <v>614</v>
      </c>
      <c r="G317" s="329">
        <v>2737</v>
      </c>
      <c r="H317" s="303">
        <v>1337.43</v>
      </c>
      <c r="I317" s="346">
        <v>45833</v>
      </c>
      <c r="J317" s="330">
        <v>45827</v>
      </c>
    </row>
    <row r="318" spans="2:10" x14ac:dyDescent="0.25">
      <c r="B318" s="327" t="s">
        <v>463</v>
      </c>
      <c r="C318" s="326">
        <v>64000</v>
      </c>
      <c r="D318" s="327" t="s">
        <v>613</v>
      </c>
      <c r="E318" s="327" t="s">
        <v>613</v>
      </c>
      <c r="F318" s="327" t="s">
        <v>614</v>
      </c>
      <c r="G318" s="329">
        <v>2749</v>
      </c>
      <c r="H318" s="303">
        <v>1337.43</v>
      </c>
      <c r="I318" s="346">
        <v>45833</v>
      </c>
      <c r="J318" s="330">
        <v>45834</v>
      </c>
    </row>
    <row r="319" spans="2:10" x14ac:dyDescent="0.25">
      <c r="B319" s="327" t="s">
        <v>463</v>
      </c>
      <c r="C319" s="326">
        <v>64000</v>
      </c>
      <c r="D319" s="327" t="s">
        <v>613</v>
      </c>
      <c r="E319" s="327" t="s">
        <v>613</v>
      </c>
      <c r="F319" s="327" t="s">
        <v>614</v>
      </c>
      <c r="G319" s="329">
        <v>2762</v>
      </c>
      <c r="H319" s="303">
        <v>2137.43</v>
      </c>
      <c r="I319" s="346">
        <v>45839</v>
      </c>
      <c r="J319" s="330">
        <v>45841</v>
      </c>
    </row>
    <row r="320" spans="2:10" x14ac:dyDescent="0.25">
      <c r="B320" s="327" t="s">
        <v>463</v>
      </c>
      <c r="C320" s="326">
        <v>64000</v>
      </c>
      <c r="D320" s="327" t="s">
        <v>613</v>
      </c>
      <c r="E320" s="327" t="s">
        <v>613</v>
      </c>
      <c r="F320" s="327" t="s">
        <v>614</v>
      </c>
      <c r="G320" s="329">
        <v>2774</v>
      </c>
      <c r="H320" s="303">
        <v>1433.01</v>
      </c>
      <c r="I320" s="346">
        <v>45839</v>
      </c>
      <c r="J320" s="330">
        <v>45848</v>
      </c>
    </row>
    <row r="321" spans="2:10" x14ac:dyDescent="0.25">
      <c r="B321" s="327" t="s">
        <v>463</v>
      </c>
      <c r="C321" s="326">
        <v>64000</v>
      </c>
      <c r="D321" s="327" t="s">
        <v>613</v>
      </c>
      <c r="E321" s="327" t="s">
        <v>613</v>
      </c>
      <c r="F321" s="327" t="s">
        <v>614</v>
      </c>
      <c r="G321" s="329">
        <v>2786</v>
      </c>
      <c r="H321" s="303">
        <v>1337.43</v>
      </c>
      <c r="I321" s="346">
        <v>45839</v>
      </c>
      <c r="J321" s="330">
        <v>45855</v>
      </c>
    </row>
    <row r="322" spans="2:10" x14ac:dyDescent="0.25">
      <c r="B322" s="327" t="s">
        <v>463</v>
      </c>
      <c r="C322" s="326">
        <v>64000</v>
      </c>
      <c r="D322" s="327" t="s">
        <v>613</v>
      </c>
      <c r="E322" s="327" t="s">
        <v>613</v>
      </c>
      <c r="F322" s="327" t="s">
        <v>614</v>
      </c>
      <c r="G322" s="329">
        <v>2798</v>
      </c>
      <c r="H322" s="303">
        <v>1433.01</v>
      </c>
      <c r="I322" s="346">
        <v>45839</v>
      </c>
      <c r="J322" s="330">
        <v>45862</v>
      </c>
    </row>
    <row r="323" spans="2:10" x14ac:dyDescent="0.25">
      <c r="B323" s="327" t="s">
        <v>463</v>
      </c>
      <c r="C323" s="326">
        <v>64000</v>
      </c>
      <c r="D323" s="327" t="s">
        <v>613</v>
      </c>
      <c r="E323" s="327" t="s">
        <v>613</v>
      </c>
      <c r="F323" s="327" t="s">
        <v>614</v>
      </c>
      <c r="G323" s="329">
        <v>2810</v>
      </c>
      <c r="H323" s="303">
        <v>1349.38</v>
      </c>
      <c r="I323" s="346">
        <v>45839</v>
      </c>
      <c r="J323" s="330">
        <v>45869</v>
      </c>
    </row>
    <row r="324" spans="2:10" x14ac:dyDescent="0.25">
      <c r="B324" s="327" t="s">
        <v>463</v>
      </c>
      <c r="C324" s="326">
        <v>64000</v>
      </c>
      <c r="D324" s="327" t="s">
        <v>613</v>
      </c>
      <c r="E324" s="327" t="s">
        <v>613</v>
      </c>
      <c r="F324" s="327" t="s">
        <v>614</v>
      </c>
      <c r="G324" s="329">
        <v>2822</v>
      </c>
      <c r="H324" s="303">
        <v>2137.43</v>
      </c>
      <c r="I324" s="346">
        <v>45870</v>
      </c>
      <c r="J324" s="330">
        <v>45876</v>
      </c>
    </row>
    <row r="325" spans="2:10" x14ac:dyDescent="0.25">
      <c r="B325" s="327" t="s">
        <v>463</v>
      </c>
      <c r="C325" s="326">
        <v>64000</v>
      </c>
      <c r="D325" s="327" t="s">
        <v>613</v>
      </c>
      <c r="E325" s="327" t="s">
        <v>613</v>
      </c>
      <c r="F325" s="327" t="s">
        <v>614</v>
      </c>
      <c r="G325" s="329">
        <v>2834</v>
      </c>
      <c r="H325" s="303">
        <v>1337.43</v>
      </c>
      <c r="I325" s="346">
        <v>45870</v>
      </c>
      <c r="J325" s="330">
        <v>45883</v>
      </c>
    </row>
    <row r="326" spans="2:10" x14ac:dyDescent="0.25">
      <c r="B326" s="327" t="s">
        <v>463</v>
      </c>
      <c r="C326" s="326">
        <v>64000</v>
      </c>
      <c r="D326" s="327" t="s">
        <v>613</v>
      </c>
      <c r="E326" s="327" t="s">
        <v>613</v>
      </c>
      <c r="F326" s="327" t="s">
        <v>614</v>
      </c>
      <c r="G326" s="329">
        <v>2846</v>
      </c>
      <c r="H326" s="303">
        <v>1337.43</v>
      </c>
      <c r="I326" s="346">
        <v>45870</v>
      </c>
      <c r="J326" s="330">
        <v>45890</v>
      </c>
    </row>
    <row r="327" spans="2:10" x14ac:dyDescent="0.25">
      <c r="B327" s="327" t="s">
        <v>463</v>
      </c>
      <c r="C327" s="326">
        <v>64000</v>
      </c>
      <c r="D327" s="327" t="s">
        <v>613</v>
      </c>
      <c r="E327" s="327" t="s">
        <v>613</v>
      </c>
      <c r="F327" s="327" t="s">
        <v>614</v>
      </c>
      <c r="G327" s="329">
        <v>2858</v>
      </c>
      <c r="H327" s="303">
        <v>1433.01</v>
      </c>
      <c r="I327" s="346">
        <v>45870</v>
      </c>
      <c r="J327" s="330">
        <v>45897</v>
      </c>
    </row>
    <row r="328" spans="2:10" x14ac:dyDescent="0.25">
      <c r="B328" s="327" t="s">
        <v>463</v>
      </c>
      <c r="C328" s="326">
        <v>64000</v>
      </c>
      <c r="D328" s="327" t="s">
        <v>613</v>
      </c>
      <c r="E328" s="327" t="s">
        <v>613</v>
      </c>
      <c r="F328" s="327" t="s">
        <v>614</v>
      </c>
      <c r="G328" s="331" t="s">
        <v>778</v>
      </c>
      <c r="H328" s="303">
        <v>2271.25</v>
      </c>
      <c r="I328" s="346">
        <v>45925</v>
      </c>
      <c r="J328" s="330">
        <v>45904</v>
      </c>
    </row>
    <row r="329" spans="2:10" x14ac:dyDescent="0.25">
      <c r="B329" s="327" t="s">
        <v>463</v>
      </c>
      <c r="C329" s="326">
        <v>64000</v>
      </c>
      <c r="D329" s="327" t="s">
        <v>613</v>
      </c>
      <c r="E329" s="327" t="s">
        <v>613</v>
      </c>
      <c r="F329" s="327" t="s">
        <v>614</v>
      </c>
      <c r="G329" s="331" t="s">
        <v>779</v>
      </c>
      <c r="H329" s="303">
        <v>1433.01</v>
      </c>
      <c r="I329" s="346">
        <v>45925</v>
      </c>
      <c r="J329" s="330">
        <v>45911</v>
      </c>
    </row>
    <row r="330" spans="2:10" x14ac:dyDescent="0.25">
      <c r="B330" s="327" t="s">
        <v>463</v>
      </c>
      <c r="C330" s="326">
        <v>64000</v>
      </c>
      <c r="D330" s="327" t="s">
        <v>613</v>
      </c>
      <c r="E330" s="327" t="s">
        <v>613</v>
      </c>
      <c r="F330" s="327" t="s">
        <v>614</v>
      </c>
      <c r="G330" s="331" t="s">
        <v>780</v>
      </c>
      <c r="H330" s="303">
        <v>1337.43</v>
      </c>
      <c r="I330" s="346">
        <v>45925</v>
      </c>
      <c r="J330" s="330">
        <v>45918</v>
      </c>
    </row>
    <row r="331" spans="2:10" x14ac:dyDescent="0.25">
      <c r="B331" s="327" t="s">
        <v>463</v>
      </c>
      <c r="C331" s="326">
        <v>64000</v>
      </c>
      <c r="D331" s="327" t="s">
        <v>613</v>
      </c>
      <c r="E331" s="327" t="s">
        <v>613</v>
      </c>
      <c r="F331" s="327" t="s">
        <v>614</v>
      </c>
      <c r="G331" s="331" t="s">
        <v>781</v>
      </c>
      <c r="H331" s="303">
        <v>1337.43</v>
      </c>
      <c r="I331" s="346">
        <v>45925</v>
      </c>
      <c r="J331" s="330">
        <v>45925</v>
      </c>
    </row>
    <row r="332" spans="2:10" x14ac:dyDescent="0.25">
      <c r="B332" s="327" t="s">
        <v>463</v>
      </c>
      <c r="C332" s="326">
        <v>64000</v>
      </c>
      <c r="D332" s="327" t="s">
        <v>613</v>
      </c>
      <c r="E332" s="327" t="s">
        <v>613</v>
      </c>
      <c r="F332" s="327" t="s">
        <v>614</v>
      </c>
      <c r="G332" s="331" t="s">
        <v>782</v>
      </c>
      <c r="H332" s="303">
        <v>2137.43</v>
      </c>
      <c r="I332" s="346">
        <v>45931</v>
      </c>
      <c r="J332" s="330">
        <v>45932</v>
      </c>
    </row>
    <row r="333" spans="2:10" x14ac:dyDescent="0.25">
      <c r="B333" s="327" t="s">
        <v>463</v>
      </c>
      <c r="C333" s="326">
        <v>64000</v>
      </c>
      <c r="D333" s="327" t="s">
        <v>613</v>
      </c>
      <c r="E333" s="327" t="s">
        <v>613</v>
      </c>
      <c r="F333" s="327" t="s">
        <v>614</v>
      </c>
      <c r="G333" s="331" t="s">
        <v>783</v>
      </c>
      <c r="H333" s="303">
        <v>1337.43</v>
      </c>
      <c r="I333" s="346">
        <v>45931</v>
      </c>
      <c r="J333" s="330">
        <v>45939</v>
      </c>
    </row>
    <row r="334" spans="2:10" x14ac:dyDescent="0.25">
      <c r="B334" s="327" t="s">
        <v>463</v>
      </c>
      <c r="C334" s="326">
        <v>64000</v>
      </c>
      <c r="D334" s="327" t="s">
        <v>613</v>
      </c>
      <c r="E334" s="327" t="s">
        <v>613</v>
      </c>
      <c r="F334" s="327" t="s">
        <v>614</v>
      </c>
      <c r="G334" s="331" t="s">
        <v>784</v>
      </c>
      <c r="H334" s="303">
        <v>1337.43</v>
      </c>
      <c r="I334" s="346">
        <v>45931</v>
      </c>
      <c r="J334" s="330">
        <v>45946</v>
      </c>
    </row>
    <row r="335" spans="2:10" x14ac:dyDescent="0.25">
      <c r="B335" s="327" t="s">
        <v>463</v>
      </c>
      <c r="C335" s="326">
        <v>64000</v>
      </c>
      <c r="D335" s="327" t="s">
        <v>613</v>
      </c>
      <c r="E335" s="327" t="s">
        <v>613</v>
      </c>
      <c r="F335" s="327" t="s">
        <v>614</v>
      </c>
      <c r="G335" s="331" t="s">
        <v>785</v>
      </c>
      <c r="H335" s="303">
        <v>1337.43</v>
      </c>
      <c r="I335" s="346">
        <v>45931</v>
      </c>
      <c r="J335" s="330">
        <v>45953</v>
      </c>
    </row>
    <row r="336" spans="2:10" x14ac:dyDescent="0.25">
      <c r="B336" s="327" t="s">
        <v>463</v>
      </c>
      <c r="C336" s="326">
        <v>64000</v>
      </c>
      <c r="D336" s="327" t="s">
        <v>613</v>
      </c>
      <c r="E336" s="327" t="s">
        <v>613</v>
      </c>
      <c r="F336" s="327" t="s">
        <v>614</v>
      </c>
      <c r="G336" s="331" t="s">
        <v>786</v>
      </c>
      <c r="H336" s="303">
        <v>1528.6</v>
      </c>
      <c r="I336" s="346">
        <v>45931</v>
      </c>
      <c r="J336" s="330">
        <v>45960</v>
      </c>
    </row>
    <row r="337" spans="2:10" x14ac:dyDescent="0.25">
      <c r="B337" s="327" t="s">
        <v>463</v>
      </c>
      <c r="C337" s="326">
        <v>64000</v>
      </c>
      <c r="D337" s="327" t="s">
        <v>613</v>
      </c>
      <c r="E337" s="327" t="s">
        <v>613</v>
      </c>
      <c r="F337" s="327" t="s">
        <v>614</v>
      </c>
      <c r="G337" s="331">
        <v>2982</v>
      </c>
      <c r="H337" s="303">
        <v>2233.01</v>
      </c>
      <c r="I337" s="346">
        <v>45962</v>
      </c>
      <c r="J337" s="330">
        <v>45967</v>
      </c>
    </row>
    <row r="338" spans="2:10" x14ac:dyDescent="0.25">
      <c r="B338" s="327" t="s">
        <v>463</v>
      </c>
      <c r="C338" s="326">
        <v>64000</v>
      </c>
      <c r="D338" s="327" t="s">
        <v>613</v>
      </c>
      <c r="E338" s="327" t="s">
        <v>613</v>
      </c>
      <c r="F338" s="327" t="s">
        <v>614</v>
      </c>
      <c r="G338" s="331">
        <v>2994</v>
      </c>
      <c r="H338" s="303">
        <v>1337.43</v>
      </c>
      <c r="I338" s="346">
        <v>45962</v>
      </c>
      <c r="J338" s="330">
        <v>45974</v>
      </c>
    </row>
    <row r="339" spans="2:10" x14ac:dyDescent="0.25">
      <c r="B339" s="327" t="s">
        <v>463</v>
      </c>
      <c r="C339" s="326">
        <v>64000</v>
      </c>
      <c r="D339" s="327" t="s">
        <v>613</v>
      </c>
      <c r="E339" s="327" t="s">
        <v>613</v>
      </c>
      <c r="F339" s="327" t="s">
        <v>614</v>
      </c>
      <c r="G339" s="331">
        <v>3006</v>
      </c>
      <c r="H339" s="303">
        <v>1528.6</v>
      </c>
      <c r="I339" s="346">
        <v>45962</v>
      </c>
      <c r="J339" s="330">
        <v>45981</v>
      </c>
    </row>
    <row r="340" spans="2:10" x14ac:dyDescent="0.25">
      <c r="B340" s="327" t="s">
        <v>463</v>
      </c>
      <c r="C340" s="326">
        <v>64000</v>
      </c>
      <c r="D340" s="327" t="s">
        <v>613</v>
      </c>
      <c r="E340" s="327" t="s">
        <v>613</v>
      </c>
      <c r="F340" s="327" t="s">
        <v>614</v>
      </c>
      <c r="G340" s="331">
        <v>3018</v>
      </c>
      <c r="H340" s="303">
        <v>1337.43</v>
      </c>
      <c r="I340" s="346">
        <v>45962</v>
      </c>
      <c r="J340" s="330">
        <v>45988</v>
      </c>
    </row>
    <row r="341" spans="2:10" x14ac:dyDescent="0.25">
      <c r="B341" s="327" t="s">
        <v>463</v>
      </c>
      <c r="C341" s="326">
        <v>64000</v>
      </c>
      <c r="D341" s="327" t="s">
        <v>613</v>
      </c>
      <c r="E341" s="327" t="s">
        <v>613</v>
      </c>
      <c r="F341" s="327" t="s">
        <v>614</v>
      </c>
      <c r="G341" s="331">
        <v>3030</v>
      </c>
      <c r="H341" s="303">
        <v>2233.01</v>
      </c>
      <c r="I341" s="346">
        <v>46016</v>
      </c>
      <c r="J341" s="330">
        <v>45995</v>
      </c>
    </row>
    <row r="342" spans="2:10" x14ac:dyDescent="0.25">
      <c r="B342" s="327" t="s">
        <v>463</v>
      </c>
      <c r="C342" s="326">
        <v>64000</v>
      </c>
      <c r="D342" s="327" t="s">
        <v>613</v>
      </c>
      <c r="E342" s="327" t="s">
        <v>613</v>
      </c>
      <c r="F342" s="327" t="s">
        <v>614</v>
      </c>
      <c r="G342" s="331">
        <v>3042</v>
      </c>
      <c r="H342" s="303">
        <v>1337.43</v>
      </c>
      <c r="I342" s="346">
        <v>46016</v>
      </c>
      <c r="J342" s="330">
        <v>46002</v>
      </c>
    </row>
    <row r="343" spans="2:10" x14ac:dyDescent="0.25">
      <c r="B343" s="327" t="s">
        <v>463</v>
      </c>
      <c r="C343" s="326">
        <v>64000</v>
      </c>
      <c r="D343" s="327" t="s">
        <v>613</v>
      </c>
      <c r="E343" s="327" t="s">
        <v>613</v>
      </c>
      <c r="F343" s="327" t="s">
        <v>614</v>
      </c>
      <c r="G343" s="331">
        <v>3054</v>
      </c>
      <c r="H343" s="303">
        <v>1337.43</v>
      </c>
      <c r="I343" s="346">
        <v>46016</v>
      </c>
      <c r="J343" s="330">
        <v>46009</v>
      </c>
    </row>
    <row r="344" spans="2:10" x14ac:dyDescent="0.25">
      <c r="B344" s="327" t="s">
        <v>463</v>
      </c>
      <c r="C344" s="326">
        <v>64000</v>
      </c>
      <c r="D344" s="327" t="s">
        <v>613</v>
      </c>
      <c r="E344" s="327" t="s">
        <v>613</v>
      </c>
      <c r="F344" s="327" t="s">
        <v>614</v>
      </c>
      <c r="G344" s="331">
        <v>3066</v>
      </c>
      <c r="H344" s="303">
        <v>1337.43</v>
      </c>
      <c r="I344" s="346">
        <v>46016</v>
      </c>
      <c r="J344" s="330">
        <v>46016</v>
      </c>
    </row>
    <row r="345" ht="4.95" customHeight="1" spans="2:10" x14ac:dyDescent="0.25">
      <c r="B345" s="327"/>
      <c r="C345" s="326"/>
      <c r="D345" s="327"/>
      <c r="E345" s="327"/>
      <c r="F345" s="327"/>
      <c r="G345" s="329"/>
      <c r="H345" s="449"/>
      <c r="J345" s="330"/>
    </row>
    <row r="346" spans="4:8" x14ac:dyDescent="0.25">
      <c r="D346" s="327"/>
      <c r="E346" s="327" t="s">
        <v>615</v>
      </c>
      <c r="G346" s="326"/>
      <c r="H346" s="303">
        <f>SUBTOTAL(9,H292:H345)</f>
        <v>82034.60999999997</v>
      </c>
    </row>
    <row r="347" spans="4:8" x14ac:dyDescent="0.25">
      <c r="D347" s="327"/>
      <c r="E347" s="327"/>
      <c r="G347" s="326"/>
      <c r="H347" s="303"/>
    </row>
    <row r="348" spans="2:10" x14ac:dyDescent="0.25">
      <c r="B348" s="301" t="s">
        <v>474</v>
      </c>
      <c r="C348" s="302">
        <v>67100</v>
      </c>
      <c r="D348" s="301" t="s">
        <v>474</v>
      </c>
      <c r="E348" s="301" t="s">
        <v>474</v>
      </c>
      <c r="F348" s="301" t="s">
        <v>407</v>
      </c>
      <c r="G348" s="301" t="s">
        <v>636</v>
      </c>
      <c r="H348" s="303">
        <v>1560</v>
      </c>
      <c r="I348" s="346">
        <v>45717</v>
      </c>
      <c r="J348" s="330">
        <v>45747</v>
      </c>
    </row>
    <row r="349" ht="5.4" customHeight="1" spans="2:10" x14ac:dyDescent="0.25">
      <c r="B349" s="301"/>
      <c r="C349" s="302"/>
      <c r="D349" s="301"/>
      <c r="E349" s="327"/>
      <c r="F349" s="301"/>
      <c r="G349" s="329"/>
      <c r="H349" s="303"/>
      <c r="I349" s="311"/>
      <c r="J349" s="330"/>
    </row>
    <row r="350" spans="2:10" x14ac:dyDescent="0.25">
      <c r="B350" s="301"/>
      <c r="C350" s="302"/>
      <c r="D350" s="301"/>
      <c r="E350" s="301" t="s">
        <v>616</v>
      </c>
      <c r="F350" s="301"/>
      <c r="G350" s="329"/>
      <c r="H350" s="453">
        <f>SUBTOTAL(9,H348:H349)</f>
        <v>1560</v>
      </c>
      <c r="I350" s="311"/>
      <c r="J350" s="330"/>
    </row>
    <row r="351" spans="4:8" x14ac:dyDescent="0.25">
      <c r="D351" s="327"/>
      <c r="E351" s="327"/>
      <c r="G351" s="326"/>
      <c r="H351" s="303"/>
    </row>
    <row r="352" spans="2:10" x14ac:dyDescent="0.25">
      <c r="B352" t="s">
        <v>475</v>
      </c>
      <c r="C352" s="302">
        <v>67200</v>
      </c>
      <c r="D352" t="s">
        <v>475</v>
      </c>
      <c r="E352" t="s">
        <v>475</v>
      </c>
      <c r="F352" t="s">
        <v>787</v>
      </c>
      <c r="G352" t="s">
        <v>633</v>
      </c>
      <c r="H352" s="303">
        <v>146.56</v>
      </c>
      <c r="I352" s="346">
        <v>45682</v>
      </c>
      <c r="J352" s="330">
        <v>45688</v>
      </c>
    </row>
    <row r="353" spans="2:10" x14ac:dyDescent="0.25">
      <c r="B353" s="301" t="s">
        <v>475</v>
      </c>
      <c r="C353" s="302">
        <v>67200</v>
      </c>
      <c r="D353" s="301" t="s">
        <v>475</v>
      </c>
      <c r="E353" s="301" t="s">
        <v>475</v>
      </c>
      <c r="F353" s="301" t="s">
        <v>407</v>
      </c>
      <c r="G353" s="301" t="s">
        <v>636</v>
      </c>
      <c r="H353" s="303">
        <v>1336.47</v>
      </c>
      <c r="I353" s="346">
        <v>45717</v>
      </c>
      <c r="J353" s="330">
        <v>45747</v>
      </c>
    </row>
    <row r="354" spans="2:10" x14ac:dyDescent="0.25">
      <c r="B354" s="301" t="s">
        <v>475</v>
      </c>
      <c r="C354" s="302">
        <v>67200</v>
      </c>
      <c r="D354" s="301" t="s">
        <v>475</v>
      </c>
      <c r="E354" s="301" t="s">
        <v>475</v>
      </c>
      <c r="F354" s="301" t="s">
        <v>407</v>
      </c>
      <c r="G354" s="304" t="s">
        <v>641</v>
      </c>
      <c r="H354" s="303">
        <v>155.05</v>
      </c>
      <c r="I354" s="346">
        <v>45748</v>
      </c>
      <c r="J354" s="330">
        <v>45770</v>
      </c>
    </row>
    <row r="355" spans="2:10" x14ac:dyDescent="0.25">
      <c r="B355" s="301" t="s">
        <v>475</v>
      </c>
      <c r="C355" s="302">
        <v>67200</v>
      </c>
      <c r="D355" s="301" t="s">
        <v>475</v>
      </c>
      <c r="E355" s="301" t="s">
        <v>475</v>
      </c>
      <c r="F355" s="301" t="s">
        <v>407</v>
      </c>
      <c r="G355" s="304" t="s">
        <v>679</v>
      </c>
      <c r="H355" s="303">
        <v>173.62</v>
      </c>
      <c r="I355" s="346">
        <v>45802</v>
      </c>
      <c r="J355" s="330">
        <v>45784</v>
      </c>
    </row>
    <row r="356" spans="2:10" x14ac:dyDescent="0.25">
      <c r="B356" s="301" t="s">
        <v>475</v>
      </c>
      <c r="C356" s="302">
        <v>67200</v>
      </c>
      <c r="D356" s="301" t="s">
        <v>475</v>
      </c>
      <c r="E356" s="301" t="s">
        <v>475</v>
      </c>
      <c r="F356" s="301" t="s">
        <v>407</v>
      </c>
      <c r="G356" s="304" t="s">
        <v>650</v>
      </c>
      <c r="H356" s="303">
        <v>438.61</v>
      </c>
      <c r="I356" s="346">
        <v>45925</v>
      </c>
      <c r="J356" s="330">
        <v>45922</v>
      </c>
    </row>
    <row r="357" spans="2:10" x14ac:dyDescent="0.25">
      <c r="B357" s="301" t="s">
        <v>475</v>
      </c>
      <c r="C357" s="302">
        <v>67200</v>
      </c>
      <c r="D357" s="301" t="s">
        <v>475</v>
      </c>
      <c r="E357" s="301" t="s">
        <v>475</v>
      </c>
      <c r="F357" s="301" t="s">
        <v>407</v>
      </c>
      <c r="G357" s="304" t="s">
        <v>651</v>
      </c>
      <c r="H357" s="303">
        <v>373.16</v>
      </c>
      <c r="I357" s="346">
        <v>45931</v>
      </c>
      <c r="J357" s="330">
        <v>45961</v>
      </c>
    </row>
    <row r="358" spans="2:10" x14ac:dyDescent="0.25">
      <c r="B358" s="301" t="s">
        <v>475</v>
      </c>
      <c r="C358" s="302">
        <v>67200</v>
      </c>
      <c r="D358" s="301" t="s">
        <v>475</v>
      </c>
      <c r="E358" s="301" t="s">
        <v>475</v>
      </c>
      <c r="F358" s="301" t="s">
        <v>407</v>
      </c>
      <c r="G358" s="304" t="s">
        <v>655</v>
      </c>
      <c r="H358" s="303">
        <v>109.51</v>
      </c>
      <c r="I358" s="346">
        <v>45962</v>
      </c>
      <c r="J358" s="330">
        <v>45991</v>
      </c>
    </row>
    <row r="359" spans="2:10" x14ac:dyDescent="0.25">
      <c r="B359" s="301" t="s">
        <v>475</v>
      </c>
      <c r="C359" s="302">
        <v>67200</v>
      </c>
      <c r="D359" s="301" t="s">
        <v>475</v>
      </c>
      <c r="E359" s="301" t="s">
        <v>475</v>
      </c>
      <c r="F359" s="301" t="s">
        <v>407</v>
      </c>
      <c r="G359" s="304" t="s">
        <v>572</v>
      </c>
      <c r="H359" s="303">
        <v>366.67</v>
      </c>
      <c r="I359" s="346">
        <v>46016</v>
      </c>
      <c r="J359" s="330">
        <v>46022</v>
      </c>
    </row>
    <row r="360" ht="5.4" customHeight="1" spans="3:10" x14ac:dyDescent="0.25">
      <c r="C360" s="457"/>
      <c r="E360" s="327"/>
      <c r="G360" s="329"/>
      <c r="H360" s="303"/>
      <c r="I360" s="357"/>
      <c r="J360" s="330"/>
    </row>
    <row r="361" spans="3:10" x14ac:dyDescent="0.25">
      <c r="C361" s="457"/>
      <c r="E361" s="1" t="s">
        <v>617</v>
      </c>
      <c r="G361" s="329"/>
      <c r="H361" s="453">
        <f>SUBTOTAL(9,H352:H360)</f>
        <v>3099.65</v>
      </c>
      <c r="I361" s="357"/>
      <c r="J361" s="330"/>
    </row>
    <row r="362" spans="3:10" x14ac:dyDescent="0.25">
      <c r="C362" s="457"/>
      <c r="E362" s="1"/>
      <c r="G362" s="329"/>
      <c r="H362" s="454"/>
      <c r="I362" s="357"/>
      <c r="J362" s="330"/>
    </row>
    <row r="363" spans="2:10" x14ac:dyDescent="0.25">
      <c r="B363" t="s">
        <v>125</v>
      </c>
      <c r="C363" s="326">
        <v>68050</v>
      </c>
      <c r="D363" t="s">
        <v>125</v>
      </c>
      <c r="E363" t="s">
        <v>125</v>
      </c>
      <c r="F363" t="s">
        <v>618</v>
      </c>
      <c r="G363" s="329" t="s">
        <v>788</v>
      </c>
      <c r="H363" s="303">
        <v>9609.65</v>
      </c>
      <c r="I363" s="346">
        <v>45682</v>
      </c>
      <c r="J363" s="330">
        <v>45688</v>
      </c>
    </row>
    <row r="364" spans="2:10" x14ac:dyDescent="0.25">
      <c r="B364" t="s">
        <v>125</v>
      </c>
      <c r="C364" s="326">
        <v>68050</v>
      </c>
      <c r="D364" t="s">
        <v>125</v>
      </c>
      <c r="E364" t="s">
        <v>125</v>
      </c>
      <c r="F364" t="s">
        <v>618</v>
      </c>
      <c r="G364" s="329" t="s">
        <v>789</v>
      </c>
      <c r="H364" s="303">
        <v>9609.65</v>
      </c>
      <c r="I364" s="346">
        <v>45689</v>
      </c>
      <c r="J364" s="330">
        <v>45716</v>
      </c>
    </row>
    <row r="365" spans="2:10" x14ac:dyDescent="0.25">
      <c r="B365" s="301" t="s">
        <v>125</v>
      </c>
      <c r="C365" s="326">
        <v>68050</v>
      </c>
      <c r="D365" s="301" t="s">
        <v>125</v>
      </c>
      <c r="E365" s="301" t="s">
        <v>125</v>
      </c>
      <c r="F365" s="301" t="s">
        <v>618</v>
      </c>
      <c r="G365" s="329" t="s">
        <v>790</v>
      </c>
      <c r="H365" s="303">
        <v>9609.65</v>
      </c>
      <c r="I365" s="346">
        <v>45717</v>
      </c>
      <c r="J365" s="330">
        <v>45747</v>
      </c>
    </row>
    <row r="366" spans="2:10" x14ac:dyDescent="0.25">
      <c r="B366" s="301" t="s">
        <v>125</v>
      </c>
      <c r="C366" s="326">
        <v>68050</v>
      </c>
      <c r="D366" s="301" t="s">
        <v>125</v>
      </c>
      <c r="E366" s="301" t="s">
        <v>125</v>
      </c>
      <c r="F366" s="301" t="s">
        <v>618</v>
      </c>
      <c r="G366" s="329" t="s">
        <v>791</v>
      </c>
      <c r="H366" s="303">
        <v>9609.65</v>
      </c>
      <c r="I366" s="346">
        <v>45748</v>
      </c>
      <c r="J366" s="330">
        <v>45777</v>
      </c>
    </row>
    <row r="367" spans="2:10" x14ac:dyDescent="0.25">
      <c r="B367" s="301" t="s">
        <v>125</v>
      </c>
      <c r="C367" s="326">
        <v>68050</v>
      </c>
      <c r="D367" s="301" t="s">
        <v>125</v>
      </c>
      <c r="E367" s="301" t="s">
        <v>125</v>
      </c>
      <c r="F367" s="301" t="s">
        <v>618</v>
      </c>
      <c r="G367" s="329" t="s">
        <v>792</v>
      </c>
      <c r="H367" s="303">
        <v>9609.65</v>
      </c>
      <c r="I367" s="346">
        <v>45802</v>
      </c>
      <c r="J367" s="330">
        <v>45808</v>
      </c>
    </row>
    <row r="368" spans="2:10" x14ac:dyDescent="0.25">
      <c r="B368" s="301" t="s">
        <v>125</v>
      </c>
      <c r="C368" s="326">
        <v>68050</v>
      </c>
      <c r="D368" s="301" t="s">
        <v>125</v>
      </c>
      <c r="E368" s="301" t="s">
        <v>125</v>
      </c>
      <c r="F368" s="301" t="s">
        <v>618</v>
      </c>
      <c r="G368" s="329" t="s">
        <v>793</v>
      </c>
      <c r="H368" s="303">
        <v>9609.65</v>
      </c>
      <c r="I368" s="346">
        <v>45833</v>
      </c>
      <c r="J368" s="330">
        <v>45838</v>
      </c>
    </row>
    <row r="369" spans="2:10" x14ac:dyDescent="0.25">
      <c r="B369" s="301" t="s">
        <v>125</v>
      </c>
      <c r="C369" s="326">
        <v>68050</v>
      </c>
      <c r="D369" s="301" t="s">
        <v>125</v>
      </c>
      <c r="E369" s="301" t="s">
        <v>125</v>
      </c>
      <c r="F369" s="301" t="s">
        <v>618</v>
      </c>
      <c r="G369" s="329" t="s">
        <v>794</v>
      </c>
      <c r="H369" s="303">
        <v>9609.65</v>
      </c>
      <c r="I369" s="346">
        <v>45839</v>
      </c>
      <c r="J369" s="330">
        <v>45869</v>
      </c>
    </row>
    <row r="370" spans="2:10" x14ac:dyDescent="0.25">
      <c r="B370" s="301" t="s">
        <v>125</v>
      </c>
      <c r="C370" s="326">
        <v>68050</v>
      </c>
      <c r="D370" s="301" t="s">
        <v>125</v>
      </c>
      <c r="E370" s="301" t="s">
        <v>125</v>
      </c>
      <c r="F370" s="301" t="s">
        <v>618</v>
      </c>
      <c r="G370" s="329" t="s">
        <v>795</v>
      </c>
      <c r="H370" s="303">
        <v>9609.65</v>
      </c>
      <c r="I370" s="346">
        <v>45870</v>
      </c>
      <c r="J370" s="330">
        <v>45900</v>
      </c>
    </row>
    <row r="371" spans="2:10" x14ac:dyDescent="0.25">
      <c r="B371" s="301" t="s">
        <v>125</v>
      </c>
      <c r="C371" s="326">
        <v>68050</v>
      </c>
      <c r="D371" s="301" t="s">
        <v>125</v>
      </c>
      <c r="E371" s="301" t="s">
        <v>125</v>
      </c>
      <c r="F371" s="301" t="s">
        <v>618</v>
      </c>
      <c r="G371" s="329" t="s">
        <v>796</v>
      </c>
      <c r="H371" s="303">
        <v>9609.65</v>
      </c>
      <c r="I371" s="346">
        <v>45925</v>
      </c>
      <c r="J371" s="330">
        <v>45930</v>
      </c>
    </row>
    <row r="372" spans="2:10" x14ac:dyDescent="0.25">
      <c r="B372" s="301" t="s">
        <v>125</v>
      </c>
      <c r="C372" s="326">
        <v>68050</v>
      </c>
      <c r="D372" s="301" t="s">
        <v>125</v>
      </c>
      <c r="E372" s="301" t="s">
        <v>125</v>
      </c>
      <c r="F372" s="301" t="s">
        <v>618</v>
      </c>
      <c r="G372" s="329" t="s">
        <v>797</v>
      </c>
      <c r="H372" s="303">
        <v>9609.65</v>
      </c>
      <c r="I372" s="346">
        <v>45931</v>
      </c>
      <c r="J372" s="330">
        <v>45961</v>
      </c>
    </row>
    <row r="373" spans="2:10" x14ac:dyDescent="0.25">
      <c r="B373" s="301" t="s">
        <v>125</v>
      </c>
      <c r="C373" s="326">
        <v>68050</v>
      </c>
      <c r="D373" s="301" t="s">
        <v>125</v>
      </c>
      <c r="E373" s="301" t="s">
        <v>125</v>
      </c>
      <c r="F373" s="301" t="s">
        <v>618</v>
      </c>
      <c r="G373" s="329" t="s">
        <v>798</v>
      </c>
      <c r="H373" s="303">
        <v>9609.65</v>
      </c>
      <c r="I373" s="346">
        <v>45962</v>
      </c>
      <c r="J373" s="330">
        <v>45991</v>
      </c>
    </row>
    <row r="374" spans="2:10" x14ac:dyDescent="0.25">
      <c r="B374" s="301" t="s">
        <v>125</v>
      </c>
      <c r="C374" s="326">
        <v>68050</v>
      </c>
      <c r="D374" s="301" t="s">
        <v>125</v>
      </c>
      <c r="E374" s="301" t="s">
        <v>125</v>
      </c>
      <c r="F374" s="301" t="s">
        <v>618</v>
      </c>
      <c r="G374" s="329" t="s">
        <v>619</v>
      </c>
      <c r="H374" s="303">
        <v>-7962.63</v>
      </c>
      <c r="I374" s="346">
        <v>46016</v>
      </c>
      <c r="J374" s="330">
        <v>46022</v>
      </c>
    </row>
    <row r="375" ht="6" customHeight="1" spans="3:10" x14ac:dyDescent="0.25">
      <c r="C375" s="326"/>
      <c r="E375" s="327"/>
      <c r="G375" s="329"/>
      <c r="H375" s="456"/>
      <c r="I375" s="357"/>
      <c r="J375" s="330"/>
    </row>
    <row r="376" spans="3:10" x14ac:dyDescent="0.25">
      <c r="C376" s="326"/>
      <c r="E376" s="1" t="s">
        <v>620</v>
      </c>
      <c r="G376" s="329"/>
      <c r="H376" s="303">
        <f>SUBTOTAL(9,H363:H375)</f>
        <v>97743.51999999997</v>
      </c>
      <c r="I376" s="357"/>
      <c r="J376" s="330"/>
    </row>
    <row r="377" spans="3:10" x14ac:dyDescent="0.25">
      <c r="C377" s="326"/>
      <c r="E377" s="1"/>
      <c r="G377" s="329"/>
      <c r="H377" s="303"/>
      <c r="I377" s="357"/>
      <c r="J377" s="330"/>
    </row>
    <row r="378" spans="2:10" x14ac:dyDescent="0.25">
      <c r="B378" t="s">
        <v>126</v>
      </c>
      <c r="C378" s="326">
        <v>68055</v>
      </c>
      <c r="D378" t="s">
        <v>126</v>
      </c>
      <c r="E378" t="s">
        <v>126</v>
      </c>
      <c r="F378" t="s">
        <v>621</v>
      </c>
      <c r="G378" s="329" t="s">
        <v>788</v>
      </c>
      <c r="H378" s="303">
        <v>6542.08</v>
      </c>
      <c r="I378" s="346">
        <v>45682</v>
      </c>
      <c r="J378" s="330">
        <v>45688</v>
      </c>
    </row>
    <row r="379" spans="2:10" x14ac:dyDescent="0.25">
      <c r="B379" t="s">
        <v>126</v>
      </c>
      <c r="C379" s="326">
        <v>68055</v>
      </c>
      <c r="D379" t="s">
        <v>126</v>
      </c>
      <c r="E379" t="s">
        <v>126</v>
      </c>
      <c r="F379" t="s">
        <v>621</v>
      </c>
      <c r="G379" s="329" t="s">
        <v>799</v>
      </c>
      <c r="H379" s="303">
        <v>6542.08</v>
      </c>
      <c r="I379" s="346">
        <v>45689</v>
      </c>
      <c r="J379" s="330">
        <v>45716</v>
      </c>
    </row>
    <row r="380" spans="2:10" x14ac:dyDescent="0.25">
      <c r="B380" s="301" t="s">
        <v>126</v>
      </c>
      <c r="C380" s="326">
        <v>68055</v>
      </c>
      <c r="D380" s="301" t="s">
        <v>126</v>
      </c>
      <c r="E380" s="301" t="s">
        <v>126</v>
      </c>
      <c r="F380" s="301" t="s">
        <v>621</v>
      </c>
      <c r="G380" s="329" t="s">
        <v>800</v>
      </c>
      <c r="H380" s="303">
        <v>6542.08</v>
      </c>
      <c r="I380" s="346">
        <v>45717</v>
      </c>
      <c r="J380" s="330">
        <v>45747</v>
      </c>
    </row>
    <row r="381" spans="2:10" x14ac:dyDescent="0.25">
      <c r="B381" s="301" t="s">
        <v>126</v>
      </c>
      <c r="C381" s="326">
        <v>68055</v>
      </c>
      <c r="D381" s="301" t="s">
        <v>126</v>
      </c>
      <c r="E381" s="301" t="s">
        <v>126</v>
      </c>
      <c r="F381" s="301" t="s">
        <v>621</v>
      </c>
      <c r="G381" s="329" t="s">
        <v>801</v>
      </c>
      <c r="H381" s="303">
        <v>6542.08</v>
      </c>
      <c r="I381" s="346">
        <v>45748</v>
      </c>
      <c r="J381" s="330">
        <v>45777</v>
      </c>
    </row>
    <row r="382" spans="2:10" x14ac:dyDescent="0.25">
      <c r="B382" s="301" t="s">
        <v>126</v>
      </c>
      <c r="C382" s="326">
        <v>68055</v>
      </c>
      <c r="D382" s="301" t="s">
        <v>126</v>
      </c>
      <c r="E382" s="301" t="s">
        <v>126</v>
      </c>
      <c r="F382" s="301" t="s">
        <v>621</v>
      </c>
      <c r="G382" s="329" t="s">
        <v>802</v>
      </c>
      <c r="H382" s="303">
        <v>14490.72</v>
      </c>
      <c r="I382" s="346">
        <v>45802</v>
      </c>
      <c r="J382" s="330">
        <v>45808</v>
      </c>
    </row>
    <row r="383" spans="2:10" x14ac:dyDescent="0.25">
      <c r="B383" s="301" t="s">
        <v>126</v>
      </c>
      <c r="C383" s="326">
        <v>68055</v>
      </c>
      <c r="D383" s="301" t="s">
        <v>126</v>
      </c>
      <c r="E383" s="301" t="s">
        <v>126</v>
      </c>
      <c r="F383" s="301" t="s">
        <v>621</v>
      </c>
      <c r="G383" s="329" t="s">
        <v>803</v>
      </c>
      <c r="H383" s="303">
        <v>14490.72</v>
      </c>
      <c r="I383" s="346">
        <v>45833</v>
      </c>
      <c r="J383" s="330">
        <v>45838</v>
      </c>
    </row>
    <row r="384" spans="2:10" x14ac:dyDescent="0.25">
      <c r="B384" s="301" t="s">
        <v>126</v>
      </c>
      <c r="C384" s="326">
        <v>68055</v>
      </c>
      <c r="D384" s="301" t="s">
        <v>126</v>
      </c>
      <c r="E384" s="301" t="s">
        <v>126</v>
      </c>
      <c r="F384" s="301" t="s">
        <v>621</v>
      </c>
      <c r="G384" s="329" t="s">
        <v>804</v>
      </c>
      <c r="H384" s="303">
        <v>14490.72</v>
      </c>
      <c r="I384" s="346">
        <v>45839</v>
      </c>
      <c r="J384" s="330">
        <v>45869</v>
      </c>
    </row>
    <row r="385" spans="2:10" x14ac:dyDescent="0.25">
      <c r="B385" s="301" t="s">
        <v>126</v>
      </c>
      <c r="C385" s="326">
        <v>68055</v>
      </c>
      <c r="D385" s="301" t="s">
        <v>126</v>
      </c>
      <c r="E385" s="301" t="s">
        <v>126</v>
      </c>
      <c r="F385" s="301" t="s">
        <v>621</v>
      </c>
      <c r="G385" s="329" t="s">
        <v>805</v>
      </c>
      <c r="H385" s="303">
        <v>6542.04</v>
      </c>
      <c r="I385" s="346">
        <v>45870</v>
      </c>
      <c r="J385" s="330">
        <v>45900</v>
      </c>
    </row>
    <row r="386" spans="2:10" x14ac:dyDescent="0.25">
      <c r="B386" s="301" t="s">
        <v>126</v>
      </c>
      <c r="C386" s="326">
        <v>68055</v>
      </c>
      <c r="D386" s="301" t="s">
        <v>126</v>
      </c>
      <c r="E386" s="301" t="s">
        <v>126</v>
      </c>
      <c r="F386" s="301" t="s">
        <v>621</v>
      </c>
      <c r="G386" s="329" t="s">
        <v>805</v>
      </c>
      <c r="H386" s="303">
        <v>7948.64</v>
      </c>
      <c r="I386" s="346">
        <v>45870</v>
      </c>
      <c r="J386" s="330">
        <v>45900</v>
      </c>
    </row>
    <row r="387" spans="2:10" x14ac:dyDescent="0.25">
      <c r="B387" s="301" t="s">
        <v>126</v>
      </c>
      <c r="C387" s="326">
        <v>68055</v>
      </c>
      <c r="D387" s="301" t="s">
        <v>126</v>
      </c>
      <c r="E387" s="301" t="s">
        <v>126</v>
      </c>
      <c r="F387" s="301" t="s">
        <v>621</v>
      </c>
      <c r="G387" s="329" t="s">
        <v>805</v>
      </c>
      <c r="H387" s="303">
        <v>4917.97</v>
      </c>
      <c r="I387" s="346">
        <v>45870</v>
      </c>
      <c r="J387" s="330">
        <v>45900</v>
      </c>
    </row>
    <row r="388" spans="2:10" x14ac:dyDescent="0.25">
      <c r="B388" s="301" t="s">
        <v>126</v>
      </c>
      <c r="C388" s="326">
        <v>68055</v>
      </c>
      <c r="D388" s="301" t="s">
        <v>126</v>
      </c>
      <c r="E388" s="301" t="s">
        <v>126</v>
      </c>
      <c r="F388" s="301" t="s">
        <v>621</v>
      </c>
      <c r="G388" s="329" t="s">
        <v>805</v>
      </c>
      <c r="H388" s="303">
        <v>14284.71</v>
      </c>
      <c r="I388" s="346">
        <v>45870</v>
      </c>
      <c r="J388" s="330">
        <v>45900</v>
      </c>
    </row>
    <row r="389" spans="2:10" x14ac:dyDescent="0.25">
      <c r="B389" s="301" t="s">
        <v>126</v>
      </c>
      <c r="C389" s="326">
        <v>68055</v>
      </c>
      <c r="D389" s="301" t="s">
        <v>126</v>
      </c>
      <c r="E389" s="301" t="s">
        <v>126</v>
      </c>
      <c r="F389" s="301" t="s">
        <v>621</v>
      </c>
      <c r="G389" s="329" t="s">
        <v>806</v>
      </c>
      <c r="H389" s="303">
        <v>601.76</v>
      </c>
      <c r="I389" s="346">
        <v>45925</v>
      </c>
      <c r="J389" s="330">
        <v>45901</v>
      </c>
    </row>
    <row r="390" spans="2:10" x14ac:dyDescent="0.25">
      <c r="B390" s="301" t="s">
        <v>126</v>
      </c>
      <c r="C390" s="326">
        <v>68055</v>
      </c>
      <c r="D390" s="301" t="s">
        <v>126</v>
      </c>
      <c r="E390" s="301" t="s">
        <v>126</v>
      </c>
      <c r="F390" s="301" t="s">
        <v>621</v>
      </c>
      <c r="G390" s="329" t="s">
        <v>807</v>
      </c>
      <c r="H390" s="303">
        <v>1759.14</v>
      </c>
      <c r="I390" s="346">
        <v>45925</v>
      </c>
      <c r="J390" s="330">
        <v>45901</v>
      </c>
    </row>
    <row r="391" spans="2:10" x14ac:dyDescent="0.25">
      <c r="B391" s="301" t="s">
        <v>126</v>
      </c>
      <c r="C391" s="326">
        <v>68055</v>
      </c>
      <c r="D391" s="301" t="s">
        <v>126</v>
      </c>
      <c r="E391" s="301" t="s">
        <v>126</v>
      </c>
      <c r="F391" s="301" t="s">
        <v>621</v>
      </c>
      <c r="G391" s="329" t="s">
        <v>808</v>
      </c>
      <c r="H391" s="303">
        <v>1524.46</v>
      </c>
      <c r="I391" s="346">
        <v>45925</v>
      </c>
      <c r="J391" s="330">
        <v>45901</v>
      </c>
    </row>
    <row r="392" spans="2:10" x14ac:dyDescent="0.25">
      <c r="B392" s="301" t="s">
        <v>126</v>
      </c>
      <c r="C392" s="326">
        <v>68055</v>
      </c>
      <c r="D392" s="301" t="s">
        <v>126</v>
      </c>
      <c r="E392" s="301" t="s">
        <v>126</v>
      </c>
      <c r="F392" s="301" t="s">
        <v>621</v>
      </c>
      <c r="G392" s="329" t="s">
        <v>809</v>
      </c>
      <c r="H392" s="303">
        <v>4917.97</v>
      </c>
      <c r="I392" s="346">
        <v>45925</v>
      </c>
      <c r="J392" s="330">
        <v>45930</v>
      </c>
    </row>
    <row r="393" spans="2:10" x14ac:dyDescent="0.25">
      <c r="B393" s="301" t="s">
        <v>126</v>
      </c>
      <c r="C393" s="326">
        <v>68055</v>
      </c>
      <c r="D393" s="301" t="s">
        <v>126</v>
      </c>
      <c r="E393" s="301" t="s">
        <v>126</v>
      </c>
      <c r="F393" s="301" t="s">
        <v>621</v>
      </c>
      <c r="G393" s="329" t="s">
        <v>809</v>
      </c>
      <c r="H393" s="303">
        <v>7948.64</v>
      </c>
      <c r="I393" s="346">
        <v>45925</v>
      </c>
      <c r="J393" s="330">
        <v>45930</v>
      </c>
    </row>
    <row r="394" spans="2:10" x14ac:dyDescent="0.25">
      <c r="B394" s="301" t="s">
        <v>126</v>
      </c>
      <c r="C394" s="326">
        <v>68055</v>
      </c>
      <c r="D394" s="301" t="s">
        <v>126</v>
      </c>
      <c r="E394" s="301" t="s">
        <v>126</v>
      </c>
      <c r="F394" s="301" t="s">
        <v>621</v>
      </c>
      <c r="G394" s="329" t="s">
        <v>809</v>
      </c>
      <c r="H394" s="303">
        <v>14284.71</v>
      </c>
      <c r="I394" s="346">
        <v>45925</v>
      </c>
      <c r="J394" s="330">
        <v>45930</v>
      </c>
    </row>
    <row r="395" spans="2:10" x14ac:dyDescent="0.25">
      <c r="B395" s="301" t="s">
        <v>126</v>
      </c>
      <c r="C395" s="326">
        <v>68055</v>
      </c>
      <c r="D395" s="301" t="s">
        <v>126</v>
      </c>
      <c r="E395" s="301" t="s">
        <v>126</v>
      </c>
      <c r="F395" s="301" t="s">
        <v>621</v>
      </c>
      <c r="G395" s="329" t="s">
        <v>810</v>
      </c>
      <c r="H395" s="303">
        <v>7280.46</v>
      </c>
      <c r="I395" s="346">
        <v>45925</v>
      </c>
      <c r="J395" s="330">
        <v>45930</v>
      </c>
    </row>
    <row r="396" spans="2:10" x14ac:dyDescent="0.25">
      <c r="B396" s="301" t="s">
        <v>126</v>
      </c>
      <c r="C396" s="326">
        <v>68055</v>
      </c>
      <c r="D396" s="301" t="s">
        <v>126</v>
      </c>
      <c r="E396" s="301" t="s">
        <v>126</v>
      </c>
      <c r="F396" s="301" t="s">
        <v>621</v>
      </c>
      <c r="G396" s="329" t="s">
        <v>811</v>
      </c>
      <c r="H396" s="303">
        <v>7948.65</v>
      </c>
      <c r="I396" s="346">
        <v>45931</v>
      </c>
      <c r="J396" s="330">
        <v>45961</v>
      </c>
    </row>
    <row r="397" spans="2:10" x14ac:dyDescent="0.25">
      <c r="B397" s="301" t="s">
        <v>126</v>
      </c>
      <c r="C397" s="326">
        <v>68055</v>
      </c>
      <c r="D397" s="301" t="s">
        <v>126</v>
      </c>
      <c r="E397" s="301" t="s">
        <v>126</v>
      </c>
      <c r="F397" s="301" t="s">
        <v>621</v>
      </c>
      <c r="G397" s="329" t="s">
        <v>811</v>
      </c>
      <c r="H397" s="303">
        <v>4917.97</v>
      </c>
      <c r="I397" s="346">
        <v>45931</v>
      </c>
      <c r="J397" s="330">
        <v>45961</v>
      </c>
    </row>
    <row r="398" spans="2:10" x14ac:dyDescent="0.25">
      <c r="B398" s="301" t="s">
        <v>126</v>
      </c>
      <c r="C398" s="326">
        <v>68055</v>
      </c>
      <c r="D398" s="301" t="s">
        <v>126</v>
      </c>
      <c r="E398" s="301" t="s">
        <v>126</v>
      </c>
      <c r="F398" s="301" t="s">
        <v>621</v>
      </c>
      <c r="G398" s="329" t="s">
        <v>811</v>
      </c>
      <c r="H398" s="303">
        <v>14284.71</v>
      </c>
      <c r="I398" s="346">
        <v>45931</v>
      </c>
      <c r="J398" s="330">
        <v>45961</v>
      </c>
    </row>
    <row r="399" spans="2:10" x14ac:dyDescent="0.25">
      <c r="B399" s="301" t="s">
        <v>126</v>
      </c>
      <c r="C399" s="326">
        <v>68055</v>
      </c>
      <c r="D399" s="301" t="s">
        <v>126</v>
      </c>
      <c r="E399" s="301" t="s">
        <v>126</v>
      </c>
      <c r="F399" s="301" t="s">
        <v>621</v>
      </c>
      <c r="G399" s="329" t="s">
        <v>812</v>
      </c>
      <c r="H399" s="303">
        <v>7280.46</v>
      </c>
      <c r="I399" s="346">
        <v>45931</v>
      </c>
      <c r="J399" s="330">
        <v>45961</v>
      </c>
    </row>
    <row r="400" spans="2:10" x14ac:dyDescent="0.25">
      <c r="B400" s="301" t="s">
        <v>126</v>
      </c>
      <c r="C400" s="326">
        <v>68055</v>
      </c>
      <c r="D400" s="301" t="s">
        <v>126</v>
      </c>
      <c r="E400" s="301" t="s">
        <v>126</v>
      </c>
      <c r="F400" s="301" t="s">
        <v>621</v>
      </c>
      <c r="G400" s="329" t="s">
        <v>813</v>
      </c>
      <c r="H400" s="303">
        <v>4917.97</v>
      </c>
      <c r="I400" s="346">
        <v>45962</v>
      </c>
      <c r="J400" s="330">
        <v>45991</v>
      </c>
    </row>
    <row r="401" spans="2:10" x14ac:dyDescent="0.25">
      <c r="B401" s="301" t="s">
        <v>126</v>
      </c>
      <c r="C401" s="326">
        <v>68055</v>
      </c>
      <c r="D401" s="301" t="s">
        <v>126</v>
      </c>
      <c r="E401" s="301" t="s">
        <v>126</v>
      </c>
      <c r="F401" s="301" t="s">
        <v>621</v>
      </c>
      <c r="G401" s="329" t="s">
        <v>813</v>
      </c>
      <c r="H401" s="303">
        <v>14284.71</v>
      </c>
      <c r="I401" s="346">
        <v>45962</v>
      </c>
      <c r="J401" s="330">
        <v>45991</v>
      </c>
    </row>
    <row r="402" spans="2:10" x14ac:dyDescent="0.25">
      <c r="B402" s="301" t="s">
        <v>126</v>
      </c>
      <c r="C402" s="326">
        <v>68055</v>
      </c>
      <c r="D402" s="301" t="s">
        <v>126</v>
      </c>
      <c r="E402" s="301" t="s">
        <v>126</v>
      </c>
      <c r="F402" s="301" t="s">
        <v>621</v>
      </c>
      <c r="G402" s="329" t="s">
        <v>813</v>
      </c>
      <c r="H402" s="303">
        <v>7280.46</v>
      </c>
      <c r="I402" s="346">
        <v>45962</v>
      </c>
      <c r="J402" s="330">
        <v>45991</v>
      </c>
    </row>
    <row r="403" spans="2:10" x14ac:dyDescent="0.25">
      <c r="B403" s="301" t="s">
        <v>126</v>
      </c>
      <c r="C403" s="326">
        <v>68055</v>
      </c>
      <c r="D403" s="301" t="s">
        <v>126</v>
      </c>
      <c r="E403" s="301" t="s">
        <v>126</v>
      </c>
      <c r="F403" s="301" t="s">
        <v>621</v>
      </c>
      <c r="G403" s="329" t="s">
        <v>622</v>
      </c>
      <c r="H403" s="303">
        <v>4917.97</v>
      </c>
      <c r="I403" s="346">
        <v>46016</v>
      </c>
      <c r="J403" s="330">
        <v>46022</v>
      </c>
    </row>
    <row r="404" spans="2:10" x14ac:dyDescent="0.25">
      <c r="B404" s="301" t="s">
        <v>126</v>
      </c>
      <c r="C404" s="326">
        <v>68055</v>
      </c>
      <c r="D404" s="301" t="s">
        <v>126</v>
      </c>
      <c r="E404" s="301" t="s">
        <v>126</v>
      </c>
      <c r="F404" s="301" t="s">
        <v>621</v>
      </c>
      <c r="G404" s="329" t="s">
        <v>622</v>
      </c>
      <c r="H404" s="303">
        <v>14284.71</v>
      </c>
      <c r="I404" s="346">
        <v>46016</v>
      </c>
      <c r="J404" s="330">
        <v>46022</v>
      </c>
    </row>
    <row r="405" spans="2:10" x14ac:dyDescent="0.25">
      <c r="B405" s="301" t="s">
        <v>126</v>
      </c>
      <c r="C405" s="326">
        <v>68055</v>
      </c>
      <c r="D405" s="301" t="s">
        <v>126</v>
      </c>
      <c r="E405" s="301" t="s">
        <v>126</v>
      </c>
      <c r="F405" s="301" t="s">
        <v>621</v>
      </c>
      <c r="G405" s="329" t="s">
        <v>622</v>
      </c>
      <c r="H405" s="303">
        <v>7280.46</v>
      </c>
      <c r="I405" s="346">
        <v>46016</v>
      </c>
      <c r="J405" s="330">
        <v>46022</v>
      </c>
    </row>
    <row r="406" spans="2:10" x14ac:dyDescent="0.25">
      <c r="B406" s="301" t="s">
        <v>126</v>
      </c>
      <c r="C406" s="326">
        <v>68055</v>
      </c>
      <c r="D406" s="301" t="s">
        <v>126</v>
      </c>
      <c r="E406" s="301" t="s">
        <v>126</v>
      </c>
      <c r="F406" s="301" t="s">
        <v>621</v>
      </c>
      <c r="G406" s="329" t="s">
        <v>622</v>
      </c>
      <c r="H406" s="303">
        <v>610.33</v>
      </c>
      <c r="I406" s="346">
        <v>46016</v>
      </c>
      <c r="J406" s="330">
        <v>46022</v>
      </c>
    </row>
    <row r="407" ht="4.95" customHeight="1" spans="2:10" x14ac:dyDescent="0.25">
      <c r="B407" s="301"/>
      <c r="C407" s="326"/>
      <c r="D407" s="301"/>
      <c r="E407" s="301"/>
      <c r="F407" s="301"/>
      <c r="G407" s="329"/>
      <c r="H407" s="303"/>
      <c r="J407" s="330"/>
    </row>
    <row r="408" spans="3:10" x14ac:dyDescent="0.25">
      <c r="C408" s="326"/>
      <c r="E408" s="1" t="s">
        <v>401</v>
      </c>
      <c r="G408" s="329"/>
      <c r="H408" s="453">
        <f>SUBTOTAL(9,H378:H407)</f>
        <v>229659.37999999992</v>
      </c>
      <c r="I408" s="357"/>
      <c r="J408" s="330"/>
    </row>
    <row r="409" spans="4:8" x14ac:dyDescent="0.25">
      <c r="D409" s="327"/>
      <c r="G409" s="326"/>
      <c r="H409" s="303"/>
    </row>
    <row r="410" spans="2:10" x14ac:dyDescent="0.25">
      <c r="B410" s="327" t="s">
        <v>479</v>
      </c>
      <c r="C410" s="326">
        <v>68110</v>
      </c>
      <c r="D410" s="327" t="s">
        <v>479</v>
      </c>
      <c r="E410" s="327" t="s">
        <v>479</v>
      </c>
      <c r="F410" s="327" t="s">
        <v>623</v>
      </c>
      <c r="G410" s="329" t="s">
        <v>814</v>
      </c>
      <c r="H410" s="303">
        <v>38.78</v>
      </c>
      <c r="I410" s="346">
        <v>45717</v>
      </c>
      <c r="J410" s="330">
        <v>45747</v>
      </c>
    </row>
    <row r="411" spans="2:10" x14ac:dyDescent="0.25">
      <c r="B411" s="327" t="s">
        <v>479</v>
      </c>
      <c r="C411" s="326">
        <v>68110</v>
      </c>
      <c r="D411" s="327" t="s">
        <v>479</v>
      </c>
      <c r="E411" s="327" t="s">
        <v>479</v>
      </c>
      <c r="F411" s="327" t="s">
        <v>623</v>
      </c>
      <c r="G411" s="329" t="s">
        <v>815</v>
      </c>
      <c r="H411" s="303">
        <v>62.85</v>
      </c>
      <c r="I411" s="346">
        <v>45748</v>
      </c>
      <c r="J411" s="330">
        <v>45777</v>
      </c>
    </row>
    <row r="412" spans="2:10" x14ac:dyDescent="0.25">
      <c r="B412" s="327" t="s">
        <v>479</v>
      </c>
      <c r="C412" s="326">
        <v>68110</v>
      </c>
      <c r="D412" s="327" t="s">
        <v>479</v>
      </c>
      <c r="E412" s="327" t="s">
        <v>479</v>
      </c>
      <c r="F412" s="327" t="s">
        <v>623</v>
      </c>
      <c r="G412" s="329" t="s">
        <v>816</v>
      </c>
      <c r="H412" s="303">
        <v>94.69</v>
      </c>
      <c r="I412" s="346">
        <v>45802</v>
      </c>
      <c r="J412" s="330">
        <v>45808</v>
      </c>
    </row>
    <row r="413" spans="2:10" x14ac:dyDescent="0.25">
      <c r="B413" s="327" t="s">
        <v>479</v>
      </c>
      <c r="C413" s="326">
        <v>68110</v>
      </c>
      <c r="D413" s="327" t="s">
        <v>479</v>
      </c>
      <c r="E413" s="327" t="s">
        <v>479</v>
      </c>
      <c r="F413" s="327" t="s">
        <v>623</v>
      </c>
      <c r="G413" s="329" t="s">
        <v>817</v>
      </c>
      <c r="H413" s="303">
        <v>81.99</v>
      </c>
      <c r="I413" s="346">
        <v>45833</v>
      </c>
      <c r="J413" s="330">
        <v>45819</v>
      </c>
    </row>
    <row r="414" spans="2:10" x14ac:dyDescent="0.25">
      <c r="B414" s="327" t="s">
        <v>479</v>
      </c>
      <c r="C414" s="326">
        <v>68110</v>
      </c>
      <c r="D414" s="327" t="s">
        <v>479</v>
      </c>
      <c r="E414" s="327" t="s">
        <v>479</v>
      </c>
      <c r="F414" s="327" t="s">
        <v>623</v>
      </c>
      <c r="G414" s="329" t="s">
        <v>818</v>
      </c>
      <c r="H414" s="303">
        <v>105.18</v>
      </c>
      <c r="I414" s="346">
        <v>45839</v>
      </c>
      <c r="J414" s="330">
        <v>45869</v>
      </c>
    </row>
    <row r="415" spans="2:10" x14ac:dyDescent="0.25">
      <c r="B415" s="327" t="s">
        <v>479</v>
      </c>
      <c r="C415" s="326">
        <v>68110</v>
      </c>
      <c r="D415" s="327" t="s">
        <v>479</v>
      </c>
      <c r="E415" s="327" t="s">
        <v>479</v>
      </c>
      <c r="F415" s="327" t="s">
        <v>623</v>
      </c>
      <c r="G415" s="329" t="s">
        <v>819</v>
      </c>
      <c r="H415" s="303">
        <v>26.31</v>
      </c>
      <c r="I415" s="346">
        <v>45870</v>
      </c>
      <c r="J415" s="330">
        <v>45898</v>
      </c>
    </row>
    <row r="416" spans="2:10" x14ac:dyDescent="0.25">
      <c r="B416" s="327" t="s">
        <v>479</v>
      </c>
      <c r="C416" s="326">
        <v>68110</v>
      </c>
      <c r="D416" s="327" t="s">
        <v>479</v>
      </c>
      <c r="E416" s="327" t="s">
        <v>479</v>
      </c>
      <c r="F416" s="327" t="s">
        <v>623</v>
      </c>
      <c r="G416" s="329" t="s">
        <v>820</v>
      </c>
      <c r="H416" s="303">
        <v>78.29</v>
      </c>
      <c r="I416" s="346">
        <v>45925</v>
      </c>
      <c r="J416" s="330">
        <v>45911</v>
      </c>
    </row>
    <row r="417" spans="2:10" x14ac:dyDescent="0.25">
      <c r="B417" s="327" t="s">
        <v>479</v>
      </c>
      <c r="C417" s="326">
        <v>68110</v>
      </c>
      <c r="D417" s="327" t="s">
        <v>479</v>
      </c>
      <c r="E417" s="327" t="s">
        <v>479</v>
      </c>
      <c r="F417" s="327" t="s">
        <v>623</v>
      </c>
      <c r="G417" s="329" t="s">
        <v>821</v>
      </c>
      <c r="H417" s="303">
        <v>207.29</v>
      </c>
      <c r="I417" s="346">
        <v>45931</v>
      </c>
      <c r="J417" s="330">
        <v>45954</v>
      </c>
    </row>
    <row r="418" spans="2:10" x14ac:dyDescent="0.25">
      <c r="B418" s="327" t="s">
        <v>479</v>
      </c>
      <c r="C418" s="326">
        <v>68110</v>
      </c>
      <c r="D418" s="327" t="s">
        <v>479</v>
      </c>
      <c r="E418" s="327" t="s">
        <v>479</v>
      </c>
      <c r="F418" s="327" t="s">
        <v>623</v>
      </c>
      <c r="G418" s="329" t="s">
        <v>822</v>
      </c>
      <c r="H418" s="303">
        <v>214.62</v>
      </c>
      <c r="I418" s="346">
        <v>45962</v>
      </c>
      <c r="J418" s="330">
        <v>45978</v>
      </c>
    </row>
    <row r="419" ht="4.95" customHeight="1" spans="2:10" x14ac:dyDescent="0.25">
      <c r="B419" s="327"/>
      <c r="C419" s="326"/>
      <c r="D419" s="327"/>
      <c r="E419" s="327"/>
      <c r="F419" s="327"/>
      <c r="G419" s="329"/>
      <c r="H419" s="449"/>
      <c r="J419" s="330"/>
    </row>
    <row r="420" spans="3:8" x14ac:dyDescent="0.25">
      <c r="C420" s="326"/>
      <c r="D420" s="327"/>
      <c r="E420" s="327" t="s">
        <v>625</v>
      </c>
      <c r="G420" s="326"/>
      <c r="H420" s="303">
        <f>SUBTOTAL(9,H410:H419)</f>
        <v>910</v>
      </c>
    </row>
    <row r="421" spans="3:8" x14ac:dyDescent="0.25">
      <c r="C421" s="326"/>
      <c r="D421" s="327"/>
      <c r="E421" s="327"/>
      <c r="G421" s="326"/>
      <c r="H421" s="303"/>
    </row>
    <row r="422" spans="2:10" x14ac:dyDescent="0.25">
      <c r="B422" s="301" t="s">
        <v>513</v>
      </c>
      <c r="C422" s="326">
        <v>75000</v>
      </c>
      <c r="D422" s="301" t="s">
        <v>513</v>
      </c>
      <c r="E422" s="301" t="s">
        <v>513</v>
      </c>
      <c r="F422" s="327" t="s">
        <v>623</v>
      </c>
      <c r="G422" s="329" t="s">
        <v>823</v>
      </c>
      <c r="H422" s="303">
        <v>23429.39</v>
      </c>
      <c r="I422" s="346">
        <v>45682</v>
      </c>
      <c r="J422" s="330">
        <v>45688</v>
      </c>
    </row>
    <row r="423" spans="2:10" x14ac:dyDescent="0.25">
      <c r="B423" s="301" t="s">
        <v>513</v>
      </c>
      <c r="C423" s="326">
        <v>75000</v>
      </c>
      <c r="D423" s="301" t="s">
        <v>513</v>
      </c>
      <c r="E423" s="301" t="s">
        <v>513</v>
      </c>
      <c r="F423" s="327" t="s">
        <v>623</v>
      </c>
      <c r="G423" s="329" t="s">
        <v>824</v>
      </c>
      <c r="H423" s="303">
        <v>21202.81</v>
      </c>
      <c r="I423" s="346">
        <v>45709</v>
      </c>
      <c r="J423" s="330">
        <v>45709</v>
      </c>
    </row>
    <row r="424" spans="2:10" x14ac:dyDescent="0.25">
      <c r="B424" s="301" t="s">
        <v>513</v>
      </c>
      <c r="C424" s="326">
        <v>75000</v>
      </c>
      <c r="D424" s="301" t="s">
        <v>513</v>
      </c>
      <c r="E424" s="301" t="s">
        <v>513</v>
      </c>
      <c r="F424" s="327" t="s">
        <v>623</v>
      </c>
      <c r="G424" s="329" t="s">
        <v>825</v>
      </c>
      <c r="H424" s="303">
        <v>23498.35</v>
      </c>
      <c r="I424" s="346">
        <v>45717</v>
      </c>
      <c r="J424" s="330">
        <v>45737</v>
      </c>
    </row>
    <row r="425" spans="2:10" x14ac:dyDescent="0.25">
      <c r="B425" s="301" t="s">
        <v>513</v>
      </c>
      <c r="C425" s="326">
        <v>75000</v>
      </c>
      <c r="D425" s="301" t="s">
        <v>513</v>
      </c>
      <c r="E425" s="301" t="s">
        <v>513</v>
      </c>
      <c r="F425" s="327" t="s">
        <v>623</v>
      </c>
      <c r="G425" s="329" t="s">
        <v>826</v>
      </c>
      <c r="H425" s="303">
        <v>22736.4</v>
      </c>
      <c r="I425" s="346">
        <v>45748</v>
      </c>
      <c r="J425" s="330">
        <v>45777</v>
      </c>
    </row>
    <row r="426" spans="2:10" x14ac:dyDescent="0.25">
      <c r="B426" s="301" t="s">
        <v>513</v>
      </c>
      <c r="C426" s="326">
        <v>75000</v>
      </c>
      <c r="D426" s="301" t="s">
        <v>513</v>
      </c>
      <c r="E426" s="301" t="s">
        <v>513</v>
      </c>
      <c r="F426" s="327" t="s">
        <v>623</v>
      </c>
      <c r="G426" s="329" t="s">
        <v>827</v>
      </c>
      <c r="H426" s="303">
        <v>23534.89</v>
      </c>
      <c r="I426" s="346">
        <v>45802</v>
      </c>
      <c r="J426" s="330">
        <v>45808</v>
      </c>
    </row>
    <row r="427" spans="2:10" x14ac:dyDescent="0.25">
      <c r="B427" s="301" t="s">
        <v>513</v>
      </c>
      <c r="C427" s="326">
        <v>75000</v>
      </c>
      <c r="D427" s="301" t="s">
        <v>513</v>
      </c>
      <c r="E427" s="301" t="s">
        <v>513</v>
      </c>
      <c r="F427" s="327" t="s">
        <v>623</v>
      </c>
      <c r="G427" s="329" t="s">
        <v>828</v>
      </c>
      <c r="H427" s="303">
        <v>22714.3</v>
      </c>
      <c r="I427" s="346">
        <v>45833</v>
      </c>
      <c r="J427" s="330">
        <v>45833</v>
      </c>
    </row>
    <row r="428" spans="2:10" x14ac:dyDescent="0.25">
      <c r="B428" s="301" t="s">
        <v>513</v>
      </c>
      <c r="C428" s="326">
        <v>75000</v>
      </c>
      <c r="D428" s="301" t="s">
        <v>513</v>
      </c>
      <c r="E428" s="301" t="s">
        <v>513</v>
      </c>
      <c r="F428" s="327" t="s">
        <v>623</v>
      </c>
      <c r="G428" s="329" t="s">
        <v>829</v>
      </c>
      <c r="H428" s="303">
        <v>23581.94</v>
      </c>
      <c r="I428" s="346">
        <v>45839</v>
      </c>
      <c r="J428" s="330">
        <v>45869</v>
      </c>
    </row>
    <row r="429" ht="6" customHeight="1" spans="2:10" x14ac:dyDescent="0.25">
      <c r="B429" s="301"/>
      <c r="C429" s="326"/>
      <c r="D429" s="301"/>
      <c r="E429" s="301"/>
      <c r="F429" s="301"/>
      <c r="G429" s="329"/>
      <c r="H429" s="303"/>
      <c r="J429" s="330"/>
    </row>
    <row r="430" spans="3:10" x14ac:dyDescent="0.25">
      <c r="C430" s="326"/>
      <c r="D430" s="327"/>
      <c r="E430" s="1" t="s">
        <v>626</v>
      </c>
      <c r="G430" s="329"/>
      <c r="H430" s="453">
        <f>SUBTOTAL(9,H422:H429)</f>
        <v>160698.08</v>
      </c>
      <c r="I430" s="357"/>
      <c r="J430" s="330"/>
    </row>
    <row r="431" spans="4:8" x14ac:dyDescent="0.25">
      <c r="D431" s="327"/>
      <c r="G431" s="326"/>
      <c r="H431" s="303"/>
    </row>
    <row r="432" spans="2:10" x14ac:dyDescent="0.25">
      <c r="B432" s="301" t="s">
        <v>516</v>
      </c>
      <c r="C432" s="326">
        <v>75005</v>
      </c>
      <c r="D432" s="301" t="s">
        <v>516</v>
      </c>
      <c r="E432" s="301" t="s">
        <v>516</v>
      </c>
      <c r="F432" s="327" t="s">
        <v>385</v>
      </c>
      <c r="G432" s="329" t="s">
        <v>386</v>
      </c>
      <c r="H432" s="303">
        <v>667.68</v>
      </c>
      <c r="I432" s="346">
        <v>45925</v>
      </c>
      <c r="J432" s="330">
        <v>45930</v>
      </c>
    </row>
    <row r="433" spans="2:10" x14ac:dyDescent="0.25">
      <c r="B433" s="301" t="s">
        <v>516</v>
      </c>
      <c r="C433" s="326">
        <v>75005</v>
      </c>
      <c r="D433" s="301" t="s">
        <v>516</v>
      </c>
      <c r="E433" s="301" t="s">
        <v>516</v>
      </c>
      <c r="F433" s="327" t="s">
        <v>385</v>
      </c>
      <c r="G433" s="329"/>
      <c r="H433" s="303">
        <v>3285.89</v>
      </c>
      <c r="I433" s="346">
        <v>46016</v>
      </c>
      <c r="J433" s="330">
        <v>46022</v>
      </c>
    </row>
    <row r="434" ht="6" customHeight="1" spans="2:10" x14ac:dyDescent="0.25">
      <c r="B434" s="301"/>
      <c r="C434" s="326"/>
      <c r="D434" s="327"/>
      <c r="E434" s="327"/>
      <c r="F434" s="301"/>
      <c r="G434" s="329"/>
      <c r="H434" s="303"/>
      <c r="I434" s="311"/>
      <c r="J434" s="330"/>
    </row>
    <row r="435" spans="2:10" x14ac:dyDescent="0.25">
      <c r="B435" s="301"/>
      <c r="C435" s="326"/>
      <c r="D435" s="327"/>
      <c r="E435" s="301" t="s">
        <v>627</v>
      </c>
      <c r="F435" s="301"/>
      <c r="G435" s="329"/>
      <c r="H435" s="453">
        <f>SUBTOTAL(9,H432:H434)</f>
        <v>3953.5699999999997</v>
      </c>
      <c r="I435" s="311"/>
      <c r="J435" s="330"/>
    </row>
    <row r="436" spans="4:8" x14ac:dyDescent="0.25">
      <c r="D436" s="327"/>
      <c r="E436" s="327"/>
      <c r="G436" s="326"/>
      <c r="H436" s="303"/>
    </row>
    <row r="437" spans="2:10" x14ac:dyDescent="0.25">
      <c r="B437" s="327" t="s">
        <v>514</v>
      </c>
      <c r="C437" s="326">
        <v>75140</v>
      </c>
      <c r="D437" s="327" t="s">
        <v>514</v>
      </c>
      <c r="E437" s="327" t="s">
        <v>629</v>
      </c>
      <c r="F437" s="327" t="s">
        <v>630</v>
      </c>
      <c r="G437" s="329">
        <v>131842</v>
      </c>
      <c r="H437" s="303">
        <v>1022.5</v>
      </c>
      <c r="I437" s="346">
        <v>45682</v>
      </c>
      <c r="J437" s="330">
        <v>45657</v>
      </c>
    </row>
    <row r="438" spans="2:10" x14ac:dyDescent="0.25">
      <c r="B438" s="327" t="s">
        <v>514</v>
      </c>
      <c r="C438" s="326">
        <v>75140</v>
      </c>
      <c r="D438" s="327" t="s">
        <v>514</v>
      </c>
      <c r="E438" s="327" t="s">
        <v>629</v>
      </c>
      <c r="F438" s="327" t="s">
        <v>630</v>
      </c>
      <c r="G438" s="329">
        <v>132427</v>
      </c>
      <c r="H438" s="303">
        <v>1392.45</v>
      </c>
      <c r="I438" s="346">
        <v>45717</v>
      </c>
      <c r="J438" s="330">
        <v>45737</v>
      </c>
    </row>
    <row r="439" spans="2:10" x14ac:dyDescent="0.25">
      <c r="B439" s="327" t="s">
        <v>514</v>
      </c>
      <c r="C439" s="326">
        <v>75140</v>
      </c>
      <c r="D439" s="327" t="s">
        <v>514</v>
      </c>
      <c r="E439" s="327" t="s">
        <v>629</v>
      </c>
      <c r="F439" s="327" t="s">
        <v>630</v>
      </c>
      <c r="G439" s="329">
        <v>132713</v>
      </c>
      <c r="H439" s="303">
        <v>204.5</v>
      </c>
      <c r="I439" s="346">
        <v>45748</v>
      </c>
      <c r="J439" s="330">
        <v>45747</v>
      </c>
    </row>
    <row r="440" spans="2:10" x14ac:dyDescent="0.25">
      <c r="B440" s="327" t="s">
        <v>514</v>
      </c>
      <c r="C440" s="326">
        <v>75140</v>
      </c>
      <c r="D440" s="327" t="s">
        <v>514</v>
      </c>
      <c r="E440" s="327" t="s">
        <v>629</v>
      </c>
      <c r="F440" s="327" t="s">
        <v>630</v>
      </c>
      <c r="G440" s="331" t="s">
        <v>631</v>
      </c>
      <c r="H440" s="303">
        <v>1264</v>
      </c>
      <c r="I440" s="346">
        <v>45962</v>
      </c>
      <c r="J440" s="330">
        <v>45991</v>
      </c>
    </row>
    <row r="441" ht="6.6" customHeight="1" spans="4:8" x14ac:dyDescent="0.25">
      <c r="D441" s="327"/>
      <c r="E441" s="327"/>
      <c r="G441" s="326"/>
      <c r="H441" s="456"/>
    </row>
    <row r="442" spans="4:8" x14ac:dyDescent="0.25">
      <c r="D442" s="327"/>
      <c r="E442" s="327" t="s">
        <v>632</v>
      </c>
      <c r="G442" s="326"/>
      <c r="H442" s="303">
        <f>SUBTOTAL(9,H437:H441)</f>
        <v>3883.45</v>
      </c>
    </row>
    <row r="443" spans="4:8" x14ac:dyDescent="0.25">
      <c r="D443" s="327"/>
      <c r="E443" s="327"/>
      <c r="G443" s="326"/>
      <c r="H443" s="303"/>
    </row>
    <row r="444" ht="6" customHeight="1" spans="4:8" x14ac:dyDescent="0.25">
      <c r="D444" s="327"/>
      <c r="G444" s="326"/>
      <c r="H444" s="303"/>
    </row>
    <row r="445" ht="15" customHeight="1" spans="4:8" x14ac:dyDescent="0.25">
      <c r="D445" s="327"/>
      <c r="E445" s="327" t="s">
        <v>232</v>
      </c>
      <c r="G445" s="326"/>
      <c r="H445" s="450">
        <f>SUBTOTAL(9,H3:H444)</f>
        <v>1284443.7900000014</v>
      </c>
    </row>
    <row r="446" ht="15" customHeight="1" spans="4:8" x14ac:dyDescent="0.25">
      <c r="D446" s="327"/>
      <c r="G446" s="326"/>
      <c r="H446" s="303"/>
    </row>
    <row r="447" spans="4:8" x14ac:dyDescent="0.25">
      <c r="D447" s="327"/>
      <c r="G447" s="326"/>
      <c r="H447" s="303"/>
    </row>
    <row r="448" spans="4:8" x14ac:dyDescent="0.25">
      <c r="D448" s="327"/>
      <c r="G448" s="326"/>
      <c r="H448" s="303"/>
    </row>
    <row r="449" spans="4:8" x14ac:dyDescent="0.25">
      <c r="D449" s="327"/>
      <c r="G449" s="326"/>
      <c r="H449" s="303"/>
    </row>
    <row r="450" spans="4:8" x14ac:dyDescent="0.25">
      <c r="D450" s="327"/>
      <c r="G450" s="326"/>
      <c r="H450" s="303"/>
    </row>
    <row r="451" spans="4:8" x14ac:dyDescent="0.25">
      <c r="D451" s="327"/>
      <c r="G451" s="326"/>
      <c r="H451" s="303"/>
    </row>
    <row r="452" spans="4:8" x14ac:dyDescent="0.25">
      <c r="D452" s="327"/>
      <c r="G452" s="326"/>
      <c r="H452" s="303"/>
    </row>
    <row r="453" spans="4:8" x14ac:dyDescent="0.25">
      <c r="D453" s="327"/>
      <c r="G453" s="326"/>
      <c r="H453" s="303"/>
    </row>
    <row r="454" spans="4:8" x14ac:dyDescent="0.25">
      <c r="D454" s="327"/>
      <c r="G454" s="326"/>
      <c r="H454" s="303"/>
    </row>
    <row r="455" spans="4:8" x14ac:dyDescent="0.25">
      <c r="D455" s="327"/>
      <c r="G455" s="326"/>
      <c r="H455" s="303"/>
    </row>
    <row r="456" spans="4:8" x14ac:dyDescent="0.25">
      <c r="D456" s="327"/>
      <c r="G456" s="326"/>
      <c r="H456" s="303"/>
    </row>
    <row r="457" spans="4:8" x14ac:dyDescent="0.25">
      <c r="D457" s="327"/>
      <c r="G457" s="326"/>
      <c r="H457" s="303"/>
    </row>
    <row r="458" spans="4:8" x14ac:dyDescent="0.25">
      <c r="D458" s="327"/>
      <c r="G458" s="326"/>
      <c r="H458" s="303"/>
    </row>
    <row r="459" spans="4:8" x14ac:dyDescent="0.25">
      <c r="D459" s="327"/>
      <c r="G459" s="326"/>
      <c r="H459" s="303"/>
    </row>
    <row r="460" spans="4:8" x14ac:dyDescent="0.25">
      <c r="D460" s="327"/>
      <c r="G460" s="326"/>
      <c r="H460" s="303"/>
    </row>
    <row r="461" spans="4:8" x14ac:dyDescent="0.25">
      <c r="D461" s="327"/>
      <c r="G461" s="326"/>
      <c r="H461" s="303"/>
    </row>
    <row r="462" spans="4:8" x14ac:dyDescent="0.25">
      <c r="D462" s="327"/>
      <c r="G462" s="326"/>
      <c r="H462" s="303"/>
    </row>
    <row r="463" spans="4:8" x14ac:dyDescent="0.25">
      <c r="D463" s="327"/>
      <c r="G463" s="326"/>
      <c r="H463" s="303"/>
    </row>
    <row r="464" spans="4:8" x14ac:dyDescent="0.25">
      <c r="D464" s="327"/>
      <c r="G464" s="326"/>
      <c r="H464" s="303"/>
    </row>
    <row r="465" spans="4:8" x14ac:dyDescent="0.25">
      <c r="D465" s="327"/>
      <c r="G465" s="326"/>
      <c r="H465" s="303"/>
    </row>
    <row r="466" spans="4:8" x14ac:dyDescent="0.25">
      <c r="D466" s="327"/>
      <c r="G466" s="326"/>
      <c r="H466" s="303"/>
    </row>
    <row r="467" spans="4:8" x14ac:dyDescent="0.25">
      <c r="D467" s="327"/>
      <c r="G467" s="326"/>
      <c r="H467" s="303"/>
    </row>
    <row r="468" spans="4:8" x14ac:dyDescent="0.25">
      <c r="D468" s="327"/>
      <c r="G468" s="326"/>
      <c r="H468" s="303"/>
    </row>
    <row r="469" spans="4:8" x14ac:dyDescent="0.25">
      <c r="D469" s="327"/>
      <c r="G469" s="326"/>
      <c r="H469" s="303"/>
    </row>
    <row r="470" spans="4:8" x14ac:dyDescent="0.25">
      <c r="D470" s="327"/>
      <c r="G470" s="326"/>
      <c r="H470" s="303"/>
    </row>
    <row r="471" spans="4:8" x14ac:dyDescent="0.25">
      <c r="D471" s="327"/>
      <c r="G471" s="326"/>
      <c r="H471" s="303"/>
    </row>
    <row r="472" spans="4:8" x14ac:dyDescent="0.25">
      <c r="D472" s="327"/>
      <c r="G472" s="326"/>
      <c r="H472" s="303"/>
    </row>
    <row r="473" spans="4:8" x14ac:dyDescent="0.25">
      <c r="D473" s="327"/>
      <c r="G473" s="326"/>
      <c r="H473" s="303"/>
    </row>
    <row r="474" spans="4:8" x14ac:dyDescent="0.25">
      <c r="D474" s="327"/>
      <c r="G474" s="326"/>
      <c r="H474" s="303"/>
    </row>
    <row r="475" spans="4:8" x14ac:dyDescent="0.25">
      <c r="D475" s="327"/>
      <c r="G475" s="326"/>
      <c r="H475" s="303"/>
    </row>
    <row r="476" spans="4:8" x14ac:dyDescent="0.25">
      <c r="D476" s="327"/>
      <c r="G476" s="326"/>
      <c r="H476" s="303"/>
    </row>
    <row r="477" spans="4:8" x14ac:dyDescent="0.25">
      <c r="D477" s="327"/>
      <c r="G477" s="326"/>
      <c r="H477" s="303"/>
    </row>
    <row r="478" spans="4:8" x14ac:dyDescent="0.25">
      <c r="D478" s="327"/>
      <c r="G478" s="326"/>
      <c r="H478" s="303"/>
    </row>
    <row r="479" spans="4:8" x14ac:dyDescent="0.25">
      <c r="D479" s="327"/>
      <c r="G479" s="326"/>
      <c r="H479" s="303"/>
    </row>
    <row r="480" spans="4:8" x14ac:dyDescent="0.25">
      <c r="D480" s="327"/>
      <c r="G480" s="326"/>
      <c r="H480" s="303"/>
    </row>
    <row r="481" spans="4:8" x14ac:dyDescent="0.25">
      <c r="D481" s="327"/>
      <c r="G481" s="326"/>
      <c r="H481" s="303"/>
    </row>
    <row r="482" spans="4:8" x14ac:dyDescent="0.25">
      <c r="D482" s="327"/>
      <c r="G482" s="326"/>
      <c r="H482" s="303"/>
    </row>
    <row r="483" spans="4:8" x14ac:dyDescent="0.25">
      <c r="D483" s="327"/>
      <c r="G483" s="326"/>
      <c r="H483" s="303"/>
    </row>
    <row r="484" spans="4:8" x14ac:dyDescent="0.25">
      <c r="D484" s="327"/>
      <c r="G484" s="326"/>
      <c r="H484" s="303"/>
    </row>
    <row r="485" spans="4:8" x14ac:dyDescent="0.25">
      <c r="D485" s="327"/>
      <c r="G485" s="326"/>
      <c r="H485" s="303"/>
    </row>
    <row r="486" spans="4:8" x14ac:dyDescent="0.25">
      <c r="D486" s="327"/>
      <c r="G486" s="326"/>
      <c r="H486" s="303"/>
    </row>
    <row r="487" spans="4:8" x14ac:dyDescent="0.25">
      <c r="D487" s="327"/>
      <c r="G487" s="326"/>
      <c r="H487" s="303"/>
    </row>
    <row r="488" spans="4:8" x14ac:dyDescent="0.25">
      <c r="D488" s="327"/>
      <c r="G488" s="326"/>
      <c r="H488" s="303"/>
    </row>
    <row r="489" spans="4:8" x14ac:dyDescent="0.25">
      <c r="D489" s="327"/>
      <c r="G489" s="326"/>
      <c r="H489" s="303"/>
    </row>
    <row r="490" spans="4:8" x14ac:dyDescent="0.25">
      <c r="D490" s="327"/>
      <c r="G490" s="326"/>
      <c r="H490" s="303"/>
    </row>
    <row r="491" spans="4:8" x14ac:dyDescent="0.25">
      <c r="D491" s="327"/>
      <c r="G491" s="326"/>
      <c r="H491" s="303"/>
    </row>
    <row r="492" spans="4:8" x14ac:dyDescent="0.25">
      <c r="D492" s="327"/>
      <c r="G492" s="326"/>
      <c r="H492" s="303"/>
    </row>
    <row r="493" spans="4:8" x14ac:dyDescent="0.25">
      <c r="D493" s="327"/>
      <c r="G493" s="326"/>
      <c r="H493" s="303"/>
    </row>
    <row r="494" spans="4:8" x14ac:dyDescent="0.25">
      <c r="D494" s="327"/>
      <c r="G494" s="326"/>
      <c r="H494" s="303"/>
    </row>
    <row r="495" spans="4:8" x14ac:dyDescent="0.25">
      <c r="D495" s="327"/>
      <c r="G495" s="326"/>
      <c r="H495" s="303"/>
    </row>
    <row r="496" spans="4:8" x14ac:dyDescent="0.25">
      <c r="D496" s="327"/>
      <c r="G496" s="326"/>
      <c r="H496" s="303"/>
    </row>
    <row r="497" spans="4:8" x14ac:dyDescent="0.25">
      <c r="D497" s="327"/>
      <c r="G497" s="326"/>
      <c r="H497" s="303"/>
    </row>
    <row r="498" spans="4:8" x14ac:dyDescent="0.25">
      <c r="D498" s="327"/>
      <c r="G498" s="326"/>
      <c r="H498" s="303"/>
    </row>
    <row r="499" spans="4:8" x14ac:dyDescent="0.25">
      <c r="D499" s="327"/>
      <c r="G499" s="326"/>
      <c r="H499" s="303"/>
    </row>
    <row r="500" spans="4:8" x14ac:dyDescent="0.25">
      <c r="D500" s="327"/>
      <c r="G500" s="326"/>
      <c r="H500" s="303"/>
    </row>
    <row r="501" spans="4:8" x14ac:dyDescent="0.25">
      <c r="D501" s="327"/>
      <c r="G501" s="326"/>
      <c r="H501" s="303"/>
    </row>
    <row r="502" spans="4:8" x14ac:dyDescent="0.25">
      <c r="D502" s="327"/>
      <c r="G502" s="326"/>
      <c r="H502" s="303"/>
    </row>
    <row r="503" spans="4:8" x14ac:dyDescent="0.25">
      <c r="D503" s="327"/>
      <c r="G503" s="326"/>
      <c r="H503" s="303"/>
    </row>
    <row r="504" spans="4:8" x14ac:dyDescent="0.25">
      <c r="D504" s="327"/>
      <c r="G504" s="326"/>
      <c r="H504" s="303"/>
    </row>
    <row r="505" spans="4:8" x14ac:dyDescent="0.25">
      <c r="D505" s="327"/>
      <c r="G505" s="326"/>
      <c r="H505" s="303"/>
    </row>
    <row r="506" spans="4:8" x14ac:dyDescent="0.25">
      <c r="D506" s="327"/>
      <c r="G506" s="326"/>
      <c r="H506" s="303"/>
    </row>
    <row r="507" spans="4:8" x14ac:dyDescent="0.25">
      <c r="D507" s="327"/>
      <c r="G507" s="326"/>
      <c r="H507" s="303"/>
    </row>
    <row r="508" spans="4:8" x14ac:dyDescent="0.25">
      <c r="D508" s="327"/>
      <c r="G508" s="326"/>
      <c r="H508" s="303"/>
    </row>
    <row r="509" spans="4:8" x14ac:dyDescent="0.25">
      <c r="D509" s="327"/>
      <c r="G509" s="326"/>
      <c r="H509" s="303"/>
    </row>
    <row r="510" spans="4:8" x14ac:dyDescent="0.25">
      <c r="D510" s="327"/>
      <c r="G510" s="326"/>
      <c r="H510" s="303"/>
    </row>
    <row r="511" spans="4:8" x14ac:dyDescent="0.25">
      <c r="D511" s="327"/>
      <c r="G511" s="326"/>
      <c r="H511" s="303"/>
    </row>
    <row r="512" spans="4:8" x14ac:dyDescent="0.25">
      <c r="D512" s="327"/>
      <c r="G512" s="326"/>
      <c r="H512" s="303"/>
    </row>
    <row r="513" spans="4:8" x14ac:dyDescent="0.25">
      <c r="D513" s="327"/>
      <c r="G513" s="326"/>
      <c r="H513" s="303"/>
    </row>
    <row r="514" spans="4:8" x14ac:dyDescent="0.25">
      <c r="D514" s="327"/>
      <c r="G514" s="326"/>
      <c r="H514" s="303"/>
    </row>
    <row r="515" spans="4:8" x14ac:dyDescent="0.25">
      <c r="D515" s="327"/>
      <c r="G515" s="326"/>
      <c r="H515" s="303"/>
    </row>
    <row r="516" spans="4:8" x14ac:dyDescent="0.25">
      <c r="D516" s="327"/>
      <c r="G516" s="326"/>
      <c r="H516" s="303"/>
    </row>
    <row r="517" spans="4:8" x14ac:dyDescent="0.25">
      <c r="D517" s="327"/>
      <c r="G517" s="326"/>
      <c r="H517" s="303"/>
    </row>
    <row r="518" spans="4:8" x14ac:dyDescent="0.25">
      <c r="D518" s="327"/>
      <c r="G518" s="326"/>
      <c r="H518" s="303"/>
    </row>
    <row r="519" spans="4:8" x14ac:dyDescent="0.25">
      <c r="D519" s="327"/>
      <c r="G519" s="326"/>
      <c r="H519" s="303"/>
    </row>
    <row r="520" spans="4:8" x14ac:dyDescent="0.25">
      <c r="D520" s="327"/>
      <c r="G520" s="326"/>
      <c r="H520" s="303"/>
    </row>
    <row r="521" spans="4:8" x14ac:dyDescent="0.25">
      <c r="D521" s="327"/>
      <c r="G521" s="326"/>
      <c r="H521" s="303"/>
    </row>
    <row r="522" spans="4:8" x14ac:dyDescent="0.25">
      <c r="D522" s="327"/>
      <c r="G522" s="326"/>
      <c r="H522" s="303"/>
    </row>
    <row r="523" spans="4:8" x14ac:dyDescent="0.25">
      <c r="D523" s="327"/>
      <c r="G523" s="326"/>
      <c r="H523" s="303"/>
    </row>
    <row r="524" spans="4:8" x14ac:dyDescent="0.25">
      <c r="D524" s="327"/>
      <c r="G524" s="326"/>
      <c r="H524" s="303"/>
    </row>
    <row r="525" spans="4:8" x14ac:dyDescent="0.25">
      <c r="D525" s="327"/>
      <c r="G525" s="326"/>
      <c r="H525" s="303"/>
    </row>
    <row r="526" spans="4:8" x14ac:dyDescent="0.25">
      <c r="D526" s="327"/>
      <c r="G526" s="326"/>
      <c r="H526" s="303"/>
    </row>
    <row r="527" spans="4:8" x14ac:dyDescent="0.25">
      <c r="D527" s="327"/>
      <c r="G527" s="326"/>
      <c r="H527" s="303"/>
    </row>
    <row r="528" spans="4:8" x14ac:dyDescent="0.25">
      <c r="D528" s="327"/>
      <c r="G528" s="326"/>
      <c r="H528" s="303"/>
    </row>
    <row r="529" spans="4:8" x14ac:dyDescent="0.25">
      <c r="D529" s="327"/>
      <c r="G529" s="326"/>
      <c r="H529" s="303"/>
    </row>
    <row r="530" spans="4:8" x14ac:dyDescent="0.25">
      <c r="D530" s="327"/>
      <c r="G530" s="326"/>
      <c r="H530" s="303"/>
    </row>
    <row r="531" spans="4:8" x14ac:dyDescent="0.25">
      <c r="D531" s="327"/>
      <c r="G531" s="326"/>
      <c r="H531" s="303"/>
    </row>
    <row r="532" spans="4:8" x14ac:dyDescent="0.25">
      <c r="D532" s="327"/>
      <c r="G532" s="326"/>
      <c r="H532" s="303"/>
    </row>
    <row r="533" spans="4:8" x14ac:dyDescent="0.25">
      <c r="D533" s="327"/>
      <c r="G533" s="326"/>
      <c r="H533" s="303"/>
    </row>
    <row r="534" spans="4:8" x14ac:dyDescent="0.25">
      <c r="D534" s="327"/>
      <c r="G534" s="326"/>
      <c r="H534" s="303"/>
    </row>
    <row r="535" spans="4:8" x14ac:dyDescent="0.25">
      <c r="D535" s="327"/>
      <c r="G535" s="326"/>
      <c r="H535" s="303"/>
    </row>
    <row r="536" spans="4:8" x14ac:dyDescent="0.25">
      <c r="D536" s="327"/>
      <c r="G536" s="326"/>
      <c r="H536" s="303"/>
    </row>
    <row r="537" spans="4:8" x14ac:dyDescent="0.25">
      <c r="D537" s="327"/>
      <c r="G537" s="326"/>
      <c r="H537" s="303"/>
    </row>
    <row r="538" spans="4:8" x14ac:dyDescent="0.25">
      <c r="D538" s="327"/>
      <c r="G538" s="326"/>
      <c r="H538" s="303"/>
    </row>
    <row r="539" spans="4:8" x14ac:dyDescent="0.25">
      <c r="D539" s="327"/>
      <c r="G539" s="326"/>
      <c r="H539" s="303"/>
    </row>
    <row r="540" spans="4:8" x14ac:dyDescent="0.25">
      <c r="D540" s="327"/>
      <c r="G540" s="326"/>
      <c r="H540" s="303"/>
    </row>
    <row r="541" spans="4:8" x14ac:dyDescent="0.25">
      <c r="D541" s="327"/>
      <c r="G541" s="326"/>
      <c r="H541" s="303"/>
    </row>
    <row r="542" spans="4:8" x14ac:dyDescent="0.25">
      <c r="D542" s="327"/>
      <c r="G542" s="326"/>
      <c r="H542" s="303"/>
    </row>
    <row r="543" spans="4:8" x14ac:dyDescent="0.25">
      <c r="D543" s="327"/>
      <c r="G543" s="326"/>
      <c r="H543" s="303"/>
    </row>
    <row r="544" spans="4:8" x14ac:dyDescent="0.25">
      <c r="D544" s="327"/>
      <c r="G544" s="326"/>
      <c r="H544" s="303"/>
    </row>
    <row r="545" spans="4:8" x14ac:dyDescent="0.25">
      <c r="D545" s="327"/>
      <c r="G545" s="326"/>
      <c r="H545" s="303"/>
    </row>
    <row r="546" spans="4:8" x14ac:dyDescent="0.25">
      <c r="D546" s="327"/>
      <c r="G546" s="326"/>
      <c r="H546" s="303"/>
    </row>
    <row r="547" spans="4:8" x14ac:dyDescent="0.25">
      <c r="D547" s="327"/>
      <c r="G547" s="326"/>
      <c r="H547" s="303"/>
    </row>
    <row r="548" spans="4:8" x14ac:dyDescent="0.25">
      <c r="D548" s="327"/>
      <c r="G548" s="326"/>
      <c r="H548" s="303"/>
    </row>
    <row r="549" spans="4:8" x14ac:dyDescent="0.25">
      <c r="D549" s="327"/>
      <c r="G549" s="326"/>
      <c r="H549" s="303"/>
    </row>
    <row r="550" spans="4:8" x14ac:dyDescent="0.25">
      <c r="D550" s="327"/>
      <c r="G550" s="326"/>
      <c r="H550" s="303"/>
    </row>
    <row r="551" spans="4:8" x14ac:dyDescent="0.25">
      <c r="D551" s="327"/>
      <c r="G551" s="326"/>
      <c r="H551" s="303"/>
    </row>
    <row r="552" spans="4:8" x14ac:dyDescent="0.25">
      <c r="D552" s="327"/>
      <c r="G552" s="326"/>
      <c r="H552" s="303"/>
    </row>
    <row r="553" spans="4:8" x14ac:dyDescent="0.25">
      <c r="D553" s="327"/>
      <c r="G553" s="326"/>
      <c r="H553" s="303"/>
    </row>
    <row r="554" spans="4:8" x14ac:dyDescent="0.25">
      <c r="D554" s="327"/>
      <c r="G554" s="326"/>
      <c r="H554" s="303"/>
    </row>
    <row r="555" spans="4:8" x14ac:dyDescent="0.25">
      <c r="D555" s="327"/>
      <c r="G555" s="326"/>
      <c r="H555" s="303"/>
    </row>
    <row r="556" spans="4:8" x14ac:dyDescent="0.25">
      <c r="D556" s="327"/>
      <c r="G556" s="326"/>
      <c r="H556" s="303"/>
    </row>
    <row r="557" spans="4:8" x14ac:dyDescent="0.25">
      <c r="D557" s="327"/>
      <c r="G557" s="326"/>
      <c r="H557" s="303"/>
    </row>
    <row r="558" spans="4:8" x14ac:dyDescent="0.25">
      <c r="D558" s="327"/>
      <c r="G558" s="326"/>
      <c r="H558" s="303"/>
    </row>
    <row r="559" spans="4:8" x14ac:dyDescent="0.25">
      <c r="D559" s="327"/>
      <c r="G559" s="326"/>
      <c r="H559" s="303"/>
    </row>
    <row r="560" spans="4:8" x14ac:dyDescent="0.25">
      <c r="D560" s="327"/>
      <c r="G560" s="326"/>
      <c r="H560" s="303"/>
    </row>
    <row r="561" spans="4:8" x14ac:dyDescent="0.25">
      <c r="D561" s="327"/>
      <c r="G561" s="326"/>
      <c r="H561" s="303"/>
    </row>
    <row r="562" spans="4:8" x14ac:dyDescent="0.25">
      <c r="D562" s="327"/>
      <c r="G562" s="326"/>
      <c r="H562" s="303"/>
    </row>
    <row r="563" spans="4:8" x14ac:dyDescent="0.25">
      <c r="D563" s="327"/>
      <c r="G563" s="326"/>
      <c r="H563" s="303"/>
    </row>
    <row r="564" spans="4:8" x14ac:dyDescent="0.25">
      <c r="D564" s="327"/>
      <c r="G564" s="326"/>
      <c r="H564" s="303"/>
    </row>
    <row r="565" spans="4:8" x14ac:dyDescent="0.25">
      <c r="D565" s="327"/>
      <c r="G565" s="326"/>
      <c r="H565" s="303"/>
    </row>
    <row r="566" spans="4:8" x14ac:dyDescent="0.25">
      <c r="D566" s="327"/>
      <c r="G566" s="326"/>
      <c r="H566" s="303"/>
    </row>
    <row r="567" spans="4:8" x14ac:dyDescent="0.25">
      <c r="D567" s="327"/>
      <c r="G567" s="326"/>
      <c r="H567" s="303"/>
    </row>
    <row r="568" spans="4:8" x14ac:dyDescent="0.25">
      <c r="D568" s="327"/>
      <c r="G568" s="326"/>
      <c r="H568" s="303"/>
    </row>
    <row r="569" spans="4:8" x14ac:dyDescent="0.25">
      <c r="D569" s="327"/>
      <c r="G569" s="326"/>
      <c r="H569" s="303"/>
    </row>
    <row r="570" spans="4:8" x14ac:dyDescent="0.25">
      <c r="D570" s="327"/>
      <c r="G570" s="326"/>
      <c r="H570" s="303"/>
    </row>
    <row r="571" spans="4:8" x14ac:dyDescent="0.25">
      <c r="D571" s="327"/>
      <c r="G571" s="326"/>
      <c r="H571" s="303"/>
    </row>
    <row r="572" spans="4:8" x14ac:dyDescent="0.25">
      <c r="D572" s="327"/>
      <c r="G572" s="326"/>
      <c r="H572" s="303"/>
    </row>
    <row r="573" spans="7:8" x14ac:dyDescent="0.25">
      <c r="G573" s="326"/>
      <c r="H573" s="303"/>
    </row>
    <row r="574" spans="7:8" x14ac:dyDescent="0.25">
      <c r="G574" s="326"/>
      <c r="H574" s="303"/>
    </row>
    <row r="575" spans="7:8" x14ac:dyDescent="0.25">
      <c r="G575" s="326"/>
      <c r="H575" s="303"/>
    </row>
    <row r="576" spans="7:8" x14ac:dyDescent="0.25">
      <c r="G576" s="326"/>
      <c r="H576" s="303"/>
    </row>
    <row r="577" spans="7:8" x14ac:dyDescent="0.25">
      <c r="G577" s="326"/>
      <c r="H577" s="303"/>
    </row>
    <row r="578" spans="7:8" x14ac:dyDescent="0.25">
      <c r="G578" s="326"/>
      <c r="H578" s="303"/>
    </row>
    <row r="579" spans="7:8" x14ac:dyDescent="0.25">
      <c r="G579" s="326"/>
      <c r="H579" s="303"/>
    </row>
    <row r="580" spans="7:8" x14ac:dyDescent="0.25">
      <c r="G580" s="326"/>
      <c r="H580" s="303"/>
    </row>
    <row r="581" spans="7:8" x14ac:dyDescent="0.25">
      <c r="G581" s="326"/>
      <c r="H581" s="303"/>
    </row>
    <row r="582" spans="7:8" x14ac:dyDescent="0.25">
      <c r="G582" s="326"/>
      <c r="H582" s="303"/>
    </row>
    <row r="583" spans="7:8" x14ac:dyDescent="0.25">
      <c r="G583" s="326"/>
      <c r="H583" s="303"/>
    </row>
    <row r="584" spans="7:8" x14ac:dyDescent="0.25">
      <c r="G584" s="326"/>
      <c r="H584" s="303"/>
    </row>
    <row r="585" spans="7:8" x14ac:dyDescent="0.25">
      <c r="G585" s="326"/>
      <c r="H585" s="303"/>
    </row>
    <row r="586" spans="7:8" x14ac:dyDescent="0.25">
      <c r="G586" s="326"/>
      <c r="H586" s="303"/>
    </row>
    <row r="587" spans="7:8" x14ac:dyDescent="0.25">
      <c r="G587" s="326"/>
      <c r="H587" s="303"/>
    </row>
    <row r="588" spans="7:8" x14ac:dyDescent="0.25">
      <c r="G588" s="326"/>
      <c r="H588" s="303"/>
    </row>
    <row r="589" spans="7:8" x14ac:dyDescent="0.25">
      <c r="G589" s="326"/>
      <c r="H589" s="303"/>
    </row>
    <row r="590" spans="7:8" x14ac:dyDescent="0.25">
      <c r="G590" s="326"/>
      <c r="H590" s="303"/>
    </row>
    <row r="591" spans="7:8" x14ac:dyDescent="0.25">
      <c r="G591" s="326"/>
      <c r="H591" s="303"/>
    </row>
    <row r="592" spans="7:8" x14ac:dyDescent="0.25">
      <c r="G592" s="326"/>
      <c r="H592" s="303"/>
    </row>
    <row r="593" spans="7:8" x14ac:dyDescent="0.25">
      <c r="G593" s="326"/>
      <c r="H593" s="303"/>
    </row>
    <row r="594" spans="7:8" x14ac:dyDescent="0.25">
      <c r="G594" s="326"/>
      <c r="H594" s="303"/>
    </row>
    <row r="595" spans="7:8" x14ac:dyDescent="0.25">
      <c r="G595" s="326"/>
      <c r="H595" s="303"/>
    </row>
    <row r="596" spans="7:8" x14ac:dyDescent="0.25">
      <c r="G596" s="326"/>
      <c r="H596" s="303"/>
    </row>
    <row r="597" spans="7:8" x14ac:dyDescent="0.25">
      <c r="G597" s="326"/>
      <c r="H597" s="303"/>
    </row>
    <row r="598" spans="7:8" x14ac:dyDescent="0.25">
      <c r="G598" s="326"/>
      <c r="H598" s="303"/>
    </row>
    <row r="599" spans="7:8" x14ac:dyDescent="0.25">
      <c r="G599" s="326"/>
      <c r="H599" s="303"/>
    </row>
    <row r="600" spans="7:8" x14ac:dyDescent="0.25">
      <c r="G600" s="326"/>
      <c r="H600" s="303"/>
    </row>
    <row r="601" spans="7:8" x14ac:dyDescent="0.25">
      <c r="G601" s="326"/>
      <c r="H601" s="303"/>
    </row>
    <row r="602" spans="7:8" x14ac:dyDescent="0.25">
      <c r="G602" s="326"/>
      <c r="H602" s="303"/>
    </row>
    <row r="603" spans="7:8" x14ac:dyDescent="0.25">
      <c r="G603" s="326"/>
      <c r="H603" s="303"/>
    </row>
    <row r="604" spans="7:8" x14ac:dyDescent="0.25">
      <c r="G604" s="326"/>
      <c r="H604" s="303"/>
    </row>
    <row r="605" spans="7:8" x14ac:dyDescent="0.25">
      <c r="G605" s="326"/>
      <c r="H605" s="303"/>
    </row>
    <row r="606" spans="7:8" x14ac:dyDescent="0.25">
      <c r="G606" s="326"/>
      <c r="H606" s="303"/>
    </row>
    <row r="607" spans="7:8" x14ac:dyDescent="0.25">
      <c r="G607" s="326"/>
      <c r="H607" s="303"/>
    </row>
    <row r="608" spans="7:8" x14ac:dyDescent="0.25">
      <c r="G608" s="326"/>
      <c r="H608" s="303"/>
    </row>
    <row r="609" spans="7:8" x14ac:dyDescent="0.25">
      <c r="G609" s="326"/>
      <c r="H609" s="303"/>
    </row>
    <row r="610" spans="7:8" x14ac:dyDescent="0.25">
      <c r="G610" s="326"/>
      <c r="H610" s="303"/>
    </row>
    <row r="611" spans="7:8" x14ac:dyDescent="0.25">
      <c r="G611" s="326"/>
      <c r="H611" s="303"/>
    </row>
    <row r="612" spans="7:8" x14ac:dyDescent="0.25">
      <c r="G612" s="326"/>
      <c r="H612" s="303"/>
    </row>
    <row r="613" spans="7:8" x14ac:dyDescent="0.25">
      <c r="G613" s="326"/>
      <c r="H613" s="303"/>
    </row>
    <row r="614" spans="7:8" x14ac:dyDescent="0.25">
      <c r="G614" s="326"/>
      <c r="H614" s="303"/>
    </row>
    <row r="615" spans="7:8" x14ac:dyDescent="0.25">
      <c r="G615" s="326"/>
      <c r="H615" s="303"/>
    </row>
    <row r="616" spans="7:8" x14ac:dyDescent="0.25">
      <c r="G616" s="326"/>
      <c r="H616" s="303"/>
    </row>
    <row r="617" spans="7:8" x14ac:dyDescent="0.25">
      <c r="G617" s="326"/>
      <c r="H617" s="303"/>
    </row>
    <row r="618" spans="7:8" x14ac:dyDescent="0.25">
      <c r="G618" s="326"/>
      <c r="H618" s="303"/>
    </row>
    <row r="619" spans="7:8" x14ac:dyDescent="0.25">
      <c r="G619" s="326"/>
      <c r="H619" s="303"/>
    </row>
    <row r="620" spans="7:8" x14ac:dyDescent="0.25">
      <c r="G620" s="326"/>
      <c r="H620" s="303"/>
    </row>
    <row r="621" spans="7:8" x14ac:dyDescent="0.25">
      <c r="G621" s="326"/>
      <c r="H621" s="303"/>
    </row>
    <row r="622" spans="7:8" x14ac:dyDescent="0.25">
      <c r="G622" s="326"/>
      <c r="H622" s="303"/>
    </row>
    <row r="623" spans="7:8" x14ac:dyDescent="0.25">
      <c r="G623" s="326"/>
      <c r="H623" s="303"/>
    </row>
    <row r="624" spans="7:8" x14ac:dyDescent="0.25">
      <c r="G624" s="326"/>
      <c r="H624" s="303"/>
    </row>
    <row r="625" spans="7:8" x14ac:dyDescent="0.25">
      <c r="G625" s="326"/>
      <c r="H625" s="303"/>
    </row>
    <row r="626" spans="7:8" x14ac:dyDescent="0.25">
      <c r="G626" s="326"/>
      <c r="H626" s="303"/>
    </row>
    <row r="627" spans="7:8" x14ac:dyDescent="0.25">
      <c r="G627" s="326"/>
      <c r="H627" s="303"/>
    </row>
    <row r="628" spans="7:8" x14ac:dyDescent="0.25">
      <c r="G628" s="326"/>
      <c r="H628" s="303"/>
    </row>
    <row r="629" spans="7:8" x14ac:dyDescent="0.25">
      <c r="G629" s="326"/>
      <c r="H629" s="303"/>
    </row>
    <row r="630" spans="7:8" x14ac:dyDescent="0.25">
      <c r="G630" s="326"/>
      <c r="H630" s="303"/>
    </row>
    <row r="631" spans="7:8" x14ac:dyDescent="0.25">
      <c r="G631" s="326"/>
      <c r="H631" s="303"/>
    </row>
    <row r="632" spans="7:8" x14ac:dyDescent="0.25">
      <c r="G632" s="326"/>
      <c r="H632" s="303"/>
    </row>
    <row r="633" spans="7:8" x14ac:dyDescent="0.25">
      <c r="G633" s="326"/>
      <c r="H633" s="303"/>
    </row>
    <row r="634" spans="7:8" x14ac:dyDescent="0.25">
      <c r="G634" s="326"/>
      <c r="H634" s="303"/>
    </row>
    <row r="635" spans="7:8" x14ac:dyDescent="0.25">
      <c r="G635" s="326"/>
      <c r="H635" s="303"/>
    </row>
    <row r="636" spans="7:8" x14ac:dyDescent="0.25">
      <c r="G636" s="326"/>
      <c r="H636" s="303"/>
    </row>
    <row r="637" spans="7:8" x14ac:dyDescent="0.25">
      <c r="G637" s="326"/>
      <c r="H637" s="303"/>
    </row>
    <row r="638" spans="7:8" x14ac:dyDescent="0.25">
      <c r="G638" s="326"/>
      <c r="H638" s="303"/>
    </row>
    <row r="639" spans="7:8" x14ac:dyDescent="0.25">
      <c r="G639" s="326"/>
      <c r="H639" s="303"/>
    </row>
    <row r="640" spans="7:8" x14ac:dyDescent="0.25">
      <c r="G640" s="326"/>
      <c r="H640" s="303"/>
    </row>
    <row r="641" spans="7:8" x14ac:dyDescent="0.25">
      <c r="G641" s="326"/>
      <c r="H641" s="303"/>
    </row>
    <row r="642" spans="7:8" x14ac:dyDescent="0.25">
      <c r="G642" s="326"/>
      <c r="H642" s="303"/>
    </row>
    <row r="643" spans="7:8" x14ac:dyDescent="0.25">
      <c r="G643" s="326"/>
      <c r="H643" s="303"/>
    </row>
    <row r="644" spans="7:8" x14ac:dyDescent="0.25">
      <c r="G644" s="326"/>
      <c r="H644" s="303"/>
    </row>
    <row r="645" spans="7:8" x14ac:dyDescent="0.25">
      <c r="G645" s="326"/>
      <c r="H645" s="303"/>
    </row>
    <row r="646" spans="7:8" x14ac:dyDescent="0.25">
      <c r="G646" s="326"/>
      <c r="H646" s="303"/>
    </row>
    <row r="647" spans="7:8" x14ac:dyDescent="0.25">
      <c r="G647" s="326"/>
      <c r="H647" s="303"/>
    </row>
    <row r="648" spans="7:8" x14ac:dyDescent="0.25">
      <c r="G648" s="326"/>
      <c r="H648" s="303"/>
    </row>
    <row r="649" spans="7:8" x14ac:dyDescent="0.25">
      <c r="G649" s="326"/>
      <c r="H649" s="303"/>
    </row>
    <row r="650" spans="7:8" x14ac:dyDescent="0.25">
      <c r="G650" s="326"/>
      <c r="H650" s="303"/>
    </row>
    <row r="651" spans="8:8" x14ac:dyDescent="0.25">
      <c r="H651" s="303"/>
    </row>
    <row r="652" spans="8:8" x14ac:dyDescent="0.25">
      <c r="H652" s="303"/>
    </row>
    <row r="653" spans="8:8" x14ac:dyDescent="0.25">
      <c r="H653" s="303"/>
    </row>
    <row r="654" spans="8:8" x14ac:dyDescent="0.25">
      <c r="H654" s="303"/>
    </row>
    <row r="655" spans="8:8" x14ac:dyDescent="0.25">
      <c r="H655" s="303"/>
    </row>
    <row r="656" spans="8:8" x14ac:dyDescent="0.25">
      <c r="H656" s="303"/>
    </row>
    <row r="657" spans="8:8" x14ac:dyDescent="0.25">
      <c r="H657" s="303"/>
    </row>
    <row r="658" spans="8:8" x14ac:dyDescent="0.25">
      <c r="H658" s="303"/>
    </row>
    <row r="659" spans="8:8" x14ac:dyDescent="0.25">
      <c r="H659" s="303"/>
    </row>
    <row r="660" spans="8:8" x14ac:dyDescent="0.25">
      <c r="H660" s="303"/>
    </row>
    <row r="661" spans="8:8" x14ac:dyDescent="0.25">
      <c r="H661" s="303"/>
    </row>
    <row r="662" spans="8:8" x14ac:dyDescent="0.25">
      <c r="H662" s="303"/>
    </row>
    <row r="663" spans="8:8" x14ac:dyDescent="0.25">
      <c r="H663" s="303"/>
    </row>
    <row r="664" spans="8:8" x14ac:dyDescent="0.25">
      <c r="H664" s="303"/>
    </row>
    <row r="665" spans="8:8" x14ac:dyDescent="0.25">
      <c r="H665" s="303"/>
    </row>
    <row r="666" spans="8:8" x14ac:dyDescent="0.25">
      <c r="H666" s="303"/>
    </row>
    <row r="667" spans="8:8" x14ac:dyDescent="0.25">
      <c r="H667" s="303"/>
    </row>
    <row r="668" spans="8:8" x14ac:dyDescent="0.25">
      <c r="H668" s="303"/>
    </row>
    <row r="669" spans="8:8" x14ac:dyDescent="0.25">
      <c r="H669" s="303"/>
    </row>
    <row r="670" spans="8:8" x14ac:dyDescent="0.25">
      <c r="H670" s="303"/>
    </row>
    <row r="671" spans="8:8" x14ac:dyDescent="0.25">
      <c r="H671" s="303"/>
    </row>
    <row r="672" spans="8:8" x14ac:dyDescent="0.25">
      <c r="H672" s="303"/>
    </row>
    <row r="673" spans="8:8" x14ac:dyDescent="0.25">
      <c r="H673" s="303"/>
    </row>
    <row r="674" spans="8:8" x14ac:dyDescent="0.25">
      <c r="H674" s="303"/>
    </row>
    <row r="675" spans="8:8" x14ac:dyDescent="0.25">
      <c r="H675" s="303"/>
    </row>
    <row r="676" spans="8:8" x14ac:dyDescent="0.25">
      <c r="H676" s="303"/>
    </row>
    <row r="677" spans="8:8" x14ac:dyDescent="0.25">
      <c r="H677" s="303"/>
    </row>
    <row r="678" spans="8:8" x14ac:dyDescent="0.25">
      <c r="H678" s="303"/>
    </row>
    <row r="679" spans="8:8" x14ac:dyDescent="0.25">
      <c r="H679" s="303"/>
    </row>
    <row r="680" spans="8:8" x14ac:dyDescent="0.25">
      <c r="H680" s="303"/>
    </row>
    <row r="681" spans="8:8" x14ac:dyDescent="0.25">
      <c r="H681" s="303"/>
    </row>
    <row r="682" spans="8:8" x14ac:dyDescent="0.25">
      <c r="H682" s="303"/>
    </row>
    <row r="683" spans="8:8" x14ac:dyDescent="0.25">
      <c r="H683" s="303"/>
    </row>
    <row r="684" spans="8:8" x14ac:dyDescent="0.25">
      <c r="H684" s="303"/>
    </row>
    <row r="685" spans="8:8" x14ac:dyDescent="0.25">
      <c r="H685" s="303"/>
    </row>
    <row r="686" spans="8:8" x14ac:dyDescent="0.25">
      <c r="H686" s="303"/>
    </row>
    <row r="687" spans="8:8" x14ac:dyDescent="0.25">
      <c r="H687" s="303"/>
    </row>
    <row r="688" spans="8:8" x14ac:dyDescent="0.25">
      <c r="H688" s="303"/>
    </row>
    <row r="689" spans="8:8" x14ac:dyDescent="0.25">
      <c r="H689" s="303"/>
    </row>
    <row r="690" spans="8:8" x14ac:dyDescent="0.25">
      <c r="H690" s="303"/>
    </row>
    <row r="691" spans="8:8" x14ac:dyDescent="0.25">
      <c r="H691" s="303"/>
    </row>
    <row r="692" spans="8:8" x14ac:dyDescent="0.25">
      <c r="H692" s="303"/>
    </row>
    <row r="693" spans="8:8" x14ac:dyDescent="0.25">
      <c r="H693" s="303"/>
    </row>
    <row r="694" spans="8:8" x14ac:dyDescent="0.25">
      <c r="H694" s="303"/>
    </row>
    <row r="695" spans="8:8" x14ac:dyDescent="0.25">
      <c r="H695" s="303"/>
    </row>
    <row r="696" spans="8:8" x14ac:dyDescent="0.25">
      <c r="H696" s="303"/>
    </row>
    <row r="697" spans="8:8" x14ac:dyDescent="0.25">
      <c r="H697" s="303"/>
    </row>
    <row r="698" spans="8:8" x14ac:dyDescent="0.25">
      <c r="H698" s="303"/>
    </row>
    <row r="699" spans="8:8" x14ac:dyDescent="0.25">
      <c r="H699" s="303"/>
    </row>
    <row r="700" spans="8:8" x14ac:dyDescent="0.25">
      <c r="H700" s="303"/>
    </row>
    <row r="701" spans="8:8" x14ac:dyDescent="0.25">
      <c r="H701" s="303"/>
    </row>
    <row r="702" spans="8:8" x14ac:dyDescent="0.25">
      <c r="H702" s="303"/>
    </row>
    <row r="703" spans="8:8" x14ac:dyDescent="0.25">
      <c r="H703" s="303"/>
    </row>
    <row r="704" spans="8:8" x14ac:dyDescent="0.25">
      <c r="H704" s="303"/>
    </row>
    <row r="705" spans="8:8" x14ac:dyDescent="0.25">
      <c r="H705" s="303"/>
    </row>
    <row r="706" spans="8:8" x14ac:dyDescent="0.25">
      <c r="H706" s="303"/>
    </row>
    <row r="707" spans="8:8" x14ac:dyDescent="0.25">
      <c r="H707" s="303"/>
    </row>
    <row r="708" spans="8:8" x14ac:dyDescent="0.25">
      <c r="H708" s="303"/>
    </row>
    <row r="709" spans="8:8" x14ac:dyDescent="0.25">
      <c r="H709" s="303"/>
    </row>
    <row r="710" spans="8:8" x14ac:dyDescent="0.25">
      <c r="H710" s="303"/>
    </row>
    <row r="711" spans="8:8" x14ac:dyDescent="0.25">
      <c r="H711" s="303"/>
    </row>
    <row r="712" spans="8:8" x14ac:dyDescent="0.25">
      <c r="H712" s="303"/>
    </row>
    <row r="713" spans="8:8" x14ac:dyDescent="0.25">
      <c r="H713" s="303"/>
    </row>
    <row r="714" spans="8:8" x14ac:dyDescent="0.25">
      <c r="H714" s="303"/>
    </row>
    <row r="715" spans="8:8" x14ac:dyDescent="0.25">
      <c r="H715" s="303"/>
    </row>
    <row r="716" spans="8:8" x14ac:dyDescent="0.25">
      <c r="H716" s="303"/>
    </row>
    <row r="717" spans="8:8" x14ac:dyDescent="0.25">
      <c r="H717" s="303"/>
    </row>
    <row r="718" spans="8:8" x14ac:dyDescent="0.25">
      <c r="H718" s="303"/>
    </row>
    <row r="719" spans="8:8" x14ac:dyDescent="0.25">
      <c r="H719" s="303"/>
    </row>
    <row r="720" spans="8:8" x14ac:dyDescent="0.25">
      <c r="H720" s="303"/>
    </row>
    <row r="721" spans="8:8" x14ac:dyDescent="0.25">
      <c r="H721" s="303"/>
    </row>
    <row r="722" spans="8:8" x14ac:dyDescent="0.25">
      <c r="H722" s="303"/>
    </row>
    <row r="723" spans="8:8" x14ac:dyDescent="0.25">
      <c r="H723" s="303"/>
    </row>
    <row r="724" spans="8:8" x14ac:dyDescent="0.25">
      <c r="H724" s="303"/>
    </row>
    <row r="725" spans="8:8" x14ac:dyDescent="0.25">
      <c r="H725" s="303"/>
    </row>
    <row r="726" spans="8:8" x14ac:dyDescent="0.25">
      <c r="H726" s="303"/>
    </row>
    <row r="727" spans="8:8" x14ac:dyDescent="0.25">
      <c r="H727" s="303"/>
    </row>
    <row r="728" spans="8:8" x14ac:dyDescent="0.25">
      <c r="H728" s="303"/>
    </row>
    <row r="729" spans="8:8" x14ac:dyDescent="0.25">
      <c r="H729" s="303"/>
    </row>
    <row r="730" spans="8:8" x14ac:dyDescent="0.25">
      <c r="H730" s="303"/>
    </row>
    <row r="731" spans="8:8" x14ac:dyDescent="0.25">
      <c r="H731" s="303"/>
    </row>
    <row r="732" spans="8:8" x14ac:dyDescent="0.25">
      <c r="H732" s="303"/>
    </row>
    <row r="733" spans="8:8" x14ac:dyDescent="0.25">
      <c r="H733" s="303"/>
    </row>
    <row r="734" spans="8:8" x14ac:dyDescent="0.25">
      <c r="H734" s="303"/>
    </row>
    <row r="735" spans="8:8" x14ac:dyDescent="0.25">
      <c r="H735" s="303"/>
    </row>
    <row r="736" spans="8:8" x14ac:dyDescent="0.25">
      <c r="H736" s="303"/>
    </row>
    <row r="737" spans="8:8" x14ac:dyDescent="0.25">
      <c r="H737" s="303"/>
    </row>
    <row r="738" spans="8:8" x14ac:dyDescent="0.25">
      <c r="H738" s="303"/>
    </row>
  </sheetData>
  <mergeCells count="2">
    <mergeCell ref="A1:B1"/>
    <mergeCell ref="K1:L1"/>
  </mergeCells>
  <conditionalFormatting sqref="G292:G317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"/>
  </sheetPr>
  <dimension ref="A1:A1"/>
  <sheetViews>
    <sheetView workbookViewId="0" zoomScale="100" zoomScaleNormal="100">
      <selection activeCell="P40" sqref="P40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Dev Phase -&gt;</vt:lpstr>
      <vt:lpstr>Board Report (Dev) </vt:lpstr>
      <vt:lpstr>Budget to Actual P1</vt:lpstr>
      <vt:lpstr>Soft Cost Contingency P1</vt:lpstr>
      <vt:lpstr>Soft cost contingency-PSTR</vt:lpstr>
      <vt:lpstr>Hard cost contingency</vt:lpstr>
      <vt:lpstr>Hard Cost Contigency P1</vt:lpstr>
      <vt:lpstr>Current Invoice Log P1</vt:lpstr>
      <vt:lpstr>Prior Invoice Log P1</vt:lpstr>
      <vt:lpstr>Dev Fee P1</vt:lpstr>
      <vt:lpstr>Project Costs (Dev)</vt:lpstr>
      <vt:lpstr>OP-&gt;</vt:lpstr>
      <vt:lpstr>Budget to Actual (OP)</vt:lpstr>
      <vt:lpstr>Current Revenue Log (OP)</vt:lpstr>
      <vt:lpstr>Prior Revenue Log (OP)</vt:lpstr>
      <vt:lpstr>Current Invoice Log (OP)</vt:lpstr>
      <vt:lpstr>Prior Invoice Log (OP)</vt:lpstr>
      <vt:lpstr>Bridge Approvd Budget to Actual</vt:lpstr>
      <vt:lpstr>Budget to Actual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Blas Pedral</dc:creator>
  <dc:title/>
  <dc:subject/>
  <dc:description/>
  <cp:keywords/>
  <cp:category/>
  <cp:lastModifiedBy>Tarter, Brad</cp:lastModifiedBy>
  <cp:contentStatus/>
  <dcterms:created xsi:type="dcterms:W3CDTF">2021-01-07T19:43:10Z</dcterms:created>
  <dcterms:modified xsi:type="dcterms:W3CDTF">2026-07-20T14:25:39Z</dcterms:modified>
</cp:coreProperties>
</file>